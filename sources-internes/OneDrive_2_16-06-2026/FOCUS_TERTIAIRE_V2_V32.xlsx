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5.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drawings/drawing6.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prestnov-my.sharepoint.com/personal/a_bedos_presto_fr/Documents/Poids &amp; Potentiel par pays/Objectif - Marché FRANCE/FOCUS TERTAIRE - Sophie/"/>
    </mc:Choice>
  </mc:AlternateContent>
  <xr:revisionPtr revIDLastSave="3105" documentId="8_{051DFD0D-D087-4CF2-A6CB-9F4E58E66029}" xr6:coauthVersionLast="47" xr6:coauthVersionMax="47" xr10:uidLastSave="{EBABF09F-F86D-4D0B-8553-1A3AE0523A31}"/>
  <bookViews>
    <workbookView xWindow="28680" yWindow="-1920" windowWidth="29040" windowHeight="17520" tabRatio="819" activeTab="1" xr2:uid="{00000000-000D-0000-FFFF-FFFF00000000}"/>
  </bookViews>
  <sheets>
    <sheet name="Périmètre TERTIAIRE" sheetId="1" r:id="rId1"/>
    <sheet name="DATA - ANALYSE - TERTIAIRE" sheetId="2" r:id="rId2"/>
    <sheet name="PARC TERTIAIRE vs. TOTAL" sheetId="3" r:id="rId3"/>
    <sheet name="DETAIL PARC TERTIAIRE" sheetId="4" r:id="rId4"/>
    <sheet name="VENTES 2026-30 – NEUF-RÉNO" sheetId="7" r:id="rId5"/>
    <sheet name="SYNTHESE &amp; BONUS MITIGEURS" sheetId="9" r:id="rId6"/>
    <sheet name="PARC TERTIAIRE vs. TOTAL - OLD" sheetId="5" state="hidden" r:id="rId7"/>
    <sheet name="DETAIL PARC TERTIAIREprevious" sheetId="6" state="hidden" r:id="rId8"/>
  </sheets>
  <externalReferences>
    <externalReference r:id="rId9"/>
  </externalReferences>
  <definedNames>
    <definedName name="X01523bc55cc9d7891758349de91063e5054bba0" localSheetId="2">'VENTES 2026-30 – NEUF-RÉNO'!#REF!</definedName>
    <definedName name="X1c1027bec0843a5e4f94050f62561fd20c91d93" localSheetId="2">'VENTES 2026-30 – NEUF-RÉNO'!#REF!</definedName>
    <definedName name="X9714d30f3be8d8aef2230409d030d0767b57939" localSheetId="2">'VENTES 2026-30 – NEUF-RÉNO'!#REF!</definedName>
    <definedName name="Xbab138113ded3ce224050259b53b6ee0062ae07" localSheetId="2">'VENTES 2026-30 – NEUF-RÉNO'!#REF!</definedName>
    <definedName name="Xd0f99639db72f25eeee83bcc1c064b9627c8eeb" localSheetId="2">'VENTES 2026-30 – NEUF-RÉNO'!#REF!</definedName>
    <definedName name="Xe58082e289258386bd204de2e5aee637eb250e8" localSheetId="2">'VENTES 2026-30 – NEUF-RÉNO'!#REF!</definedName>
    <definedName name="_xlnm.Print_Area" localSheetId="3">'DETAIL PARC TERTIAIRE'!$A$1:$T$82</definedName>
    <definedName name="_xlnm.Print_Area" localSheetId="2">'PARC TERTIAIRE vs. TOTAL'!$A$1:$W$88</definedName>
    <definedName name="_xlnm.Print_Area" localSheetId="4">'VENTES 2026-30 – NEUF-RÉNO'!$A$1:$Y$88</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29" i="4" l="1"/>
  <c r="O228" i="4"/>
  <c r="O227" i="4"/>
  <c r="O226" i="4"/>
  <c r="L215" i="4"/>
  <c r="L214" i="4"/>
  <c r="L213" i="4"/>
  <c r="L212" i="4"/>
  <c r="Q172" i="3"/>
  <c r="N172" i="3"/>
  <c r="Q171" i="3"/>
  <c r="N171" i="3"/>
  <c r="Q170" i="3"/>
  <c r="N170" i="3"/>
  <c r="Q169" i="3"/>
  <c r="N169" i="3"/>
  <c r="K160" i="3"/>
  <c r="K159" i="3"/>
  <c r="K158" i="3"/>
  <c r="K157" i="3"/>
  <c r="GF17" i="2"/>
  <c r="FX17" i="2"/>
  <c r="FV17" i="2"/>
  <c r="FT17" i="2"/>
  <c r="BM17" i="2"/>
  <c r="EQ17" i="2" s="1"/>
  <c r="BL17" i="2"/>
  <c r="EJ17" i="2" s="1"/>
  <c r="BK17" i="2"/>
  <c r="DW17" i="2" s="1"/>
  <c r="BJ17" i="2"/>
  <c r="DP17" i="2" s="1"/>
  <c r="BH17" i="2"/>
  <c r="BG17" i="2"/>
  <c r="EB17" i="2" s="1"/>
  <c r="BF17" i="2"/>
  <c r="DS17" i="2" s="1"/>
  <c r="GU17" i="2" s="1"/>
  <c r="BE17" i="2"/>
  <c r="AG17" i="2"/>
  <c r="AP7" i="2" s="1"/>
  <c r="AB17" i="2"/>
  <c r="AB7" i="2" s="1"/>
  <c r="W17" i="2"/>
  <c r="W7" i="2" s="1"/>
  <c r="GF16" i="2"/>
  <c r="FX16" i="2"/>
  <c r="FV16" i="2"/>
  <c r="FT16" i="2"/>
  <c r="BM16" i="2"/>
  <c r="BL16" i="2"/>
  <c r="EJ16" i="2" s="1"/>
  <c r="BK16" i="2"/>
  <c r="DY16" i="2" s="1"/>
  <c r="BJ16" i="2"/>
  <c r="DM16" i="2" s="1"/>
  <c r="BH16" i="2"/>
  <c r="BG16" i="2"/>
  <c r="ED16" i="2" s="1"/>
  <c r="HJ16" i="2" s="1"/>
  <c r="BF16" i="2"/>
  <c r="BE16" i="2"/>
  <c r="DH16" i="2" s="1"/>
  <c r="GF15" i="2"/>
  <c r="FX15" i="2"/>
  <c r="FV15" i="2"/>
  <c r="FT15" i="2"/>
  <c r="BM15" i="2"/>
  <c r="ES15" i="2" s="1"/>
  <c r="BL15" i="2"/>
  <c r="EJ15" i="2" s="1"/>
  <c r="BK15" i="2"/>
  <c r="DW15" i="2" s="1"/>
  <c r="BJ15" i="2"/>
  <c r="BH15" i="2"/>
  <c r="EN15" i="2" s="1"/>
  <c r="HS15" i="2" s="1"/>
  <c r="BG15" i="2"/>
  <c r="EE15" i="2" s="1"/>
  <c r="HM15" i="2" s="1"/>
  <c r="BF15" i="2"/>
  <c r="BE15" i="2"/>
  <c r="GF14" i="2"/>
  <c r="FX14" i="2"/>
  <c r="FV14" i="2"/>
  <c r="FT14" i="2"/>
  <c r="BM14" i="2"/>
  <c r="ER14" i="2" s="1"/>
  <c r="BL14" i="2"/>
  <c r="EI14" i="2" s="1"/>
  <c r="BK14" i="2"/>
  <c r="DY14" i="2" s="1"/>
  <c r="BJ14" i="2"/>
  <c r="BH14" i="2"/>
  <c r="BG14" i="2"/>
  <c r="BF14" i="2"/>
  <c r="DS14" i="2" s="1"/>
  <c r="GU14" i="2" s="1"/>
  <c r="BE14" i="2"/>
  <c r="GF13" i="2"/>
  <c r="FX13" i="2"/>
  <c r="FV13" i="2"/>
  <c r="FT13" i="2"/>
  <c r="BM13" i="2"/>
  <c r="ES13" i="2" s="1"/>
  <c r="BL13" i="2"/>
  <c r="EG13" i="2" s="1"/>
  <c r="BK13" i="2"/>
  <c r="DY13" i="2" s="1"/>
  <c r="BJ13" i="2"/>
  <c r="DM13" i="2" s="1"/>
  <c r="BH13" i="2"/>
  <c r="EN13" i="2" s="1"/>
  <c r="HS13" i="2" s="1"/>
  <c r="BG13" i="2"/>
  <c r="BF13" i="2"/>
  <c r="DS13" i="2" s="1"/>
  <c r="GU13" i="2" s="1"/>
  <c r="BE13" i="2"/>
  <c r="GF12" i="2"/>
  <c r="FX12" i="2"/>
  <c r="FV12" i="2"/>
  <c r="FT12" i="2"/>
  <c r="BM12" i="2"/>
  <c r="BL12" i="2"/>
  <c r="EH12" i="2" s="1"/>
  <c r="BK12" i="2"/>
  <c r="DW12" i="2" s="1"/>
  <c r="BJ12" i="2"/>
  <c r="BH12" i="2"/>
  <c r="EO12" i="2" s="1"/>
  <c r="HV12" i="2" s="1"/>
  <c r="BG12" i="2"/>
  <c r="EE12" i="2" s="1"/>
  <c r="HM12" i="2" s="1"/>
  <c r="BF12" i="2"/>
  <c r="DT12" i="2" s="1"/>
  <c r="GX12" i="2" s="1"/>
  <c r="BE12" i="2"/>
  <c r="GF11" i="2"/>
  <c r="FX11" i="2"/>
  <c r="FV11" i="2"/>
  <c r="FT11" i="2"/>
  <c r="BM11" i="2"/>
  <c r="BL11" i="2"/>
  <c r="BK11" i="2"/>
  <c r="DY11" i="2" s="1"/>
  <c r="BJ11" i="2"/>
  <c r="DM11" i="2" s="1"/>
  <c r="BH11" i="2"/>
  <c r="EM11" i="2" s="1"/>
  <c r="HP11" i="2" s="1"/>
  <c r="BG11" i="2"/>
  <c r="EC11" i="2" s="1"/>
  <c r="HG11" i="2" s="1"/>
  <c r="BF11" i="2"/>
  <c r="DT11" i="2" s="1"/>
  <c r="GX11" i="2" s="1"/>
  <c r="BE11" i="2"/>
  <c r="GF10" i="2"/>
  <c r="FX10" i="2"/>
  <c r="FV10" i="2"/>
  <c r="FT10" i="2"/>
  <c r="BM10" i="2"/>
  <c r="ES10" i="2" s="1"/>
  <c r="BL10" i="2"/>
  <c r="EJ10" i="2" s="1"/>
  <c r="BK10" i="2"/>
  <c r="DY10" i="2" s="1"/>
  <c r="BJ10" i="2"/>
  <c r="DO10" i="2" s="1"/>
  <c r="BH10" i="2"/>
  <c r="EO10" i="2" s="1"/>
  <c r="HV10" i="2" s="1"/>
  <c r="BG10" i="2"/>
  <c r="EE10" i="2" s="1"/>
  <c r="HM10" i="2" s="1"/>
  <c r="BF10" i="2"/>
  <c r="BE10" i="2"/>
  <c r="DK10" i="2" s="1"/>
  <c r="GR10" i="2" s="1"/>
  <c r="A10" i="2"/>
  <c r="A11" i="2" s="1"/>
  <c r="A12" i="2" s="1"/>
  <c r="A13" i="2" s="1"/>
  <c r="A14" i="2" s="1"/>
  <c r="A15" i="2" s="1"/>
  <c r="A16" i="2" s="1"/>
  <c r="A17" i="2" s="1"/>
  <c r="GF9" i="2"/>
  <c r="FX9" i="2"/>
  <c r="FV9" i="2"/>
  <c r="FT9" i="2"/>
  <c r="BM9" i="2"/>
  <c r="BL9" i="2"/>
  <c r="EI9" i="2" s="1"/>
  <c r="BK9" i="2"/>
  <c r="DY9" i="2" s="1"/>
  <c r="BJ9" i="2"/>
  <c r="BH9" i="2"/>
  <c r="BG9" i="2"/>
  <c r="EB9" i="2" s="1"/>
  <c r="HD9" i="2" s="1"/>
  <c r="BF9" i="2"/>
  <c r="DT9" i="2" s="1"/>
  <c r="GX9" i="2" s="1"/>
  <c r="BE9" i="2"/>
  <c r="DK9" i="2" s="1"/>
  <c r="GR9" i="2" s="1"/>
  <c r="KB8" i="2"/>
  <c r="KA8" i="2"/>
  <c r="JZ8" i="2"/>
  <c r="JY8" i="2"/>
  <c r="JX8" i="2"/>
  <c r="JR8" i="2"/>
  <c r="JQ8" i="2"/>
  <c r="JP8" i="2"/>
  <c r="JO8" i="2"/>
  <c r="JN8" i="2"/>
  <c r="JH8" i="2"/>
  <c r="JG8" i="2"/>
  <c r="JF8" i="2"/>
  <c r="JE8" i="2"/>
  <c r="JD8" i="2"/>
  <c r="GF7" i="2"/>
  <c r="FP7" i="2"/>
  <c r="FO7" i="2"/>
  <c r="BC7" i="2"/>
  <c r="BB7" i="2"/>
  <c r="BA7" i="2"/>
  <c r="AZ7" i="2"/>
  <c r="AS7" i="2"/>
  <c r="AR7" i="2"/>
  <c r="AQ7" i="2"/>
  <c r="AK7" i="2"/>
  <c r="AF7" i="2"/>
  <c r="AA7" i="2"/>
  <c r="V7" i="2"/>
  <c r="U7" i="2"/>
  <c r="T7" i="2"/>
  <c r="S7" i="2"/>
  <c r="DY17" i="2" l="1"/>
  <c r="DY7" i="2" s="1"/>
  <c r="BF7" i="2"/>
  <c r="BD11" i="2"/>
  <c r="BI13" i="2"/>
  <c r="DU12" i="2"/>
  <c r="HA12" i="2" s="1"/>
  <c r="BD14" i="2"/>
  <c r="FC9" i="2"/>
  <c r="GS9" i="2" s="1"/>
  <c r="GQ9" i="2" s="1"/>
  <c r="DJ9" i="2"/>
  <c r="GO9" i="2" s="1"/>
  <c r="AB8" i="2"/>
  <c r="EJ9" i="2"/>
  <c r="DM10" i="2"/>
  <c r="DN10" i="2"/>
  <c r="HZ17" i="2"/>
  <c r="DX10" i="2"/>
  <c r="BD10" i="2"/>
  <c r="BI15" i="2"/>
  <c r="EJ7" i="2"/>
  <c r="BG7" i="2"/>
  <c r="DI16" i="2"/>
  <c r="GL16" i="2" s="1"/>
  <c r="DX12" i="2"/>
  <c r="FC15" i="2"/>
  <c r="GM15" i="2" s="1"/>
  <c r="EB12" i="2"/>
  <c r="HD12" i="2" s="1"/>
  <c r="EQ14" i="2"/>
  <c r="DN16" i="2"/>
  <c r="DO9" i="2"/>
  <c r="BI10" i="2"/>
  <c r="ID10" i="2"/>
  <c r="EQ13" i="2"/>
  <c r="DO16" i="2"/>
  <c r="DP11" i="2"/>
  <c r="DW11" i="2"/>
  <c r="AG7" i="2"/>
  <c r="AG8" i="2" s="1"/>
  <c r="DP9" i="2"/>
  <c r="DP16" i="2"/>
  <c r="BH7" i="2"/>
  <c r="BK7" i="2"/>
  <c r="DM9" i="2"/>
  <c r="DN9" i="2"/>
  <c r="ED9" i="2"/>
  <c r="HJ9" i="2" s="1"/>
  <c r="IA11" i="2"/>
  <c r="DS16" i="2"/>
  <c r="GU16" i="2" s="1"/>
  <c r="GU7" i="2" s="1"/>
  <c r="DW16" i="2"/>
  <c r="DW7" i="2" s="1"/>
  <c r="EM17" i="2"/>
  <c r="BD9" i="2"/>
  <c r="EC9" i="2"/>
  <c r="HG9" i="2" s="1"/>
  <c r="DW10" i="2"/>
  <c r="DY12" i="2"/>
  <c r="BI14" i="2"/>
  <c r="EJ13" i="2"/>
  <c r="FF9" i="2"/>
  <c r="GY9" i="2" s="1"/>
  <c r="GW9" i="2" s="1"/>
  <c r="EI10" i="2"/>
  <c r="FC12" i="2"/>
  <c r="GJ12" i="2" s="1"/>
  <c r="ER13" i="2"/>
  <c r="DI14" i="2"/>
  <c r="GL14" i="2" s="1"/>
  <c r="EG16" i="2"/>
  <c r="EC10" i="2"/>
  <c r="HG10" i="2" s="1"/>
  <c r="FI9" i="2"/>
  <c r="HE9" i="2" s="1"/>
  <c r="HC9" i="2" s="1"/>
  <c r="EN10" i="2"/>
  <c r="HS10" i="2" s="1"/>
  <c r="FI11" i="2"/>
  <c r="HE11" i="2" s="1"/>
  <c r="DK14" i="2"/>
  <c r="GR14" i="2" s="1"/>
  <c r="EB10" i="2"/>
  <c r="HD10" i="2" s="1"/>
  <c r="IB11" i="2"/>
  <c r="FI10" i="2"/>
  <c r="HK10" i="2" s="1"/>
  <c r="FL11" i="2"/>
  <c r="HT11" i="2" s="1"/>
  <c r="DT14" i="2"/>
  <c r="GX14" i="2" s="1"/>
  <c r="DM17" i="2"/>
  <c r="IC11" i="2"/>
  <c r="DU14" i="2"/>
  <c r="HA14" i="2" s="1"/>
  <c r="DN17" i="2"/>
  <c r="DO17" i="2"/>
  <c r="DI10" i="2"/>
  <c r="GL10" i="2" s="1"/>
  <c r="DJ10" i="2"/>
  <c r="GO10" i="2" s="1"/>
  <c r="W8" i="2"/>
  <c r="EO13" i="2"/>
  <c r="HV13" i="2" s="1"/>
  <c r="ES17" i="2"/>
  <c r="HZ11" i="2"/>
  <c r="DU11" i="2"/>
  <c r="HA11" i="2" s="1"/>
  <c r="BM7" i="2"/>
  <c r="ED12" i="2"/>
  <c r="HJ12" i="2" s="1"/>
  <c r="DU9" i="2"/>
  <c r="HA9" i="2" s="1"/>
  <c r="BI11" i="2"/>
  <c r="ED11" i="2"/>
  <c r="HJ11" i="2" s="1"/>
  <c r="BI12" i="2"/>
  <c r="EM12" i="2"/>
  <c r="HP12" i="2" s="1"/>
  <c r="DN13" i="2"/>
  <c r="DM14" i="2"/>
  <c r="DX15" i="2"/>
  <c r="IC16" i="2"/>
  <c r="AC17" i="2"/>
  <c r="FC14" i="2"/>
  <c r="GP14" i="2" s="1"/>
  <c r="HZ9" i="2"/>
  <c r="FF11" i="2"/>
  <c r="EE11" i="2"/>
  <c r="HM11" i="2" s="1"/>
  <c r="BJ7" i="2"/>
  <c r="EN12" i="2"/>
  <c r="HS12" i="2" s="1"/>
  <c r="DO13" i="2"/>
  <c r="DY15" i="2"/>
  <c r="BL7" i="2"/>
  <c r="AK8" i="2"/>
  <c r="DP13" i="2"/>
  <c r="IC17" i="2"/>
  <c r="FL15" i="2"/>
  <c r="HT15" i="2" s="1"/>
  <c r="HR15" i="2" s="1"/>
  <c r="FF14" i="2"/>
  <c r="HB14" i="2" s="1"/>
  <c r="EC12" i="2"/>
  <c r="HG12" i="2" s="1"/>
  <c r="EN11" i="2"/>
  <c r="HS11" i="2" s="1"/>
  <c r="DW14" i="2"/>
  <c r="EG15" i="2"/>
  <c r="EE9" i="2"/>
  <c r="HM9" i="2" s="1"/>
  <c r="ED10" i="2"/>
  <c r="HJ10" i="2" s="1"/>
  <c r="DH11" i="2"/>
  <c r="GI11" i="2" s="1"/>
  <c r="EQ11" i="2"/>
  <c r="DW13" i="2"/>
  <c r="DX14" i="2"/>
  <c r="EH15" i="2"/>
  <c r="BI16" i="2"/>
  <c r="EH16" i="2"/>
  <c r="EG17" i="2"/>
  <c r="EO11" i="2"/>
  <c r="HV11" i="2" s="1"/>
  <c r="EG9" i="2"/>
  <c r="DI11" i="2"/>
  <c r="GL11" i="2" s="1"/>
  <c r="DP12" i="2"/>
  <c r="DX13" i="2"/>
  <c r="IC14" i="2"/>
  <c r="EG14" i="2"/>
  <c r="EI15" i="2"/>
  <c r="EI16" i="2"/>
  <c r="EH17" i="2"/>
  <c r="DH9" i="2"/>
  <c r="GI9" i="2" s="1"/>
  <c r="EH9" i="2"/>
  <c r="EG10" i="2"/>
  <c r="DJ11" i="2"/>
  <c r="GO11" i="2" s="1"/>
  <c r="DS12" i="2"/>
  <c r="GU12" i="2" s="1"/>
  <c r="FF12" i="2"/>
  <c r="HB12" i="2" s="1"/>
  <c r="FF13" i="2"/>
  <c r="HB13" i="2" s="1"/>
  <c r="EH14" i="2"/>
  <c r="BI17" i="2"/>
  <c r="EI17" i="2"/>
  <c r="BE7" i="2"/>
  <c r="DI9" i="2"/>
  <c r="GL9" i="2" s="1"/>
  <c r="DH10" i="2"/>
  <c r="GI10" i="2" s="1"/>
  <c r="EH10" i="2"/>
  <c r="DK11" i="2"/>
  <c r="GR11" i="2" s="1"/>
  <c r="FI13" i="2"/>
  <c r="HE13" i="2" s="1"/>
  <c r="EI13" i="2"/>
  <c r="EM15" i="2"/>
  <c r="HP15" i="2" s="1"/>
  <c r="BD13" i="2"/>
  <c r="DJ13" i="2"/>
  <c r="GO13" i="2" s="1"/>
  <c r="DI13" i="2"/>
  <c r="GL13" i="2" s="1"/>
  <c r="FC13" i="2"/>
  <c r="IC13" i="2"/>
  <c r="DH13" i="2"/>
  <c r="GI13" i="2" s="1"/>
  <c r="IB13" i="2"/>
  <c r="IA13" i="2"/>
  <c r="HZ13" i="2"/>
  <c r="FF15" i="2"/>
  <c r="DU15" i="2"/>
  <c r="HA15" i="2" s="1"/>
  <c r="DT15" i="2"/>
  <c r="GX15" i="2" s="1"/>
  <c r="DS15" i="2"/>
  <c r="GU15" i="2" s="1"/>
  <c r="HZ15" i="2"/>
  <c r="IA15" i="2"/>
  <c r="T8" i="2"/>
  <c r="IS7" i="2"/>
  <c r="U8" i="2"/>
  <c r="ER9" i="2"/>
  <c r="FL9" i="2"/>
  <c r="ES9" i="2"/>
  <c r="EQ9" i="2"/>
  <c r="V8" i="2"/>
  <c r="BD12" i="2"/>
  <c r="DK12" i="2"/>
  <c r="GR12" i="2" s="1"/>
  <c r="ID12" i="2"/>
  <c r="IC12" i="2"/>
  <c r="IB12" i="2"/>
  <c r="IA12" i="2"/>
  <c r="HZ12" i="2"/>
  <c r="DJ12" i="2"/>
  <c r="DI12" i="2"/>
  <c r="DH12" i="2"/>
  <c r="GI12" i="2" s="1"/>
  <c r="IP7" i="2"/>
  <c r="DK13" i="2"/>
  <c r="GR13" i="2" s="1"/>
  <c r="EN9" i="2"/>
  <c r="HS9" i="2" s="1"/>
  <c r="EO9" i="2"/>
  <c r="HV9" i="2" s="1"/>
  <c r="EM9" i="2"/>
  <c r="HP9" i="2" s="1"/>
  <c r="IB15" i="2"/>
  <c r="GI16" i="2"/>
  <c r="ID13" i="2"/>
  <c r="IR7" i="2"/>
  <c r="DM15" i="2"/>
  <c r="DN15" i="2"/>
  <c r="DO15" i="2"/>
  <c r="DP15" i="2"/>
  <c r="ES11" i="2"/>
  <c r="ER11" i="2"/>
  <c r="EB15" i="2"/>
  <c r="HD15" i="2" s="1"/>
  <c r="FI15" i="2"/>
  <c r="EC15" i="2"/>
  <c r="HG15" i="2" s="1"/>
  <c r="R7" i="2"/>
  <c r="DX9" i="2"/>
  <c r="DW9" i="2"/>
  <c r="ED15" i="2"/>
  <c r="HJ15" i="2" s="1"/>
  <c r="X17" i="2"/>
  <c r="DU16" i="2"/>
  <c r="DT16" i="2"/>
  <c r="FC16" i="2"/>
  <c r="HZ16" i="2"/>
  <c r="EQ10" i="2"/>
  <c r="DX11" i="2"/>
  <c r="EJ12" i="2"/>
  <c r="IB14" i="2"/>
  <c r="EO15" i="2"/>
  <c r="HV15" i="2" s="1"/>
  <c r="EC16" i="2"/>
  <c r="FI16" i="2"/>
  <c r="ED17" i="2"/>
  <c r="FI17" i="2"/>
  <c r="EC17" i="2"/>
  <c r="FC17" i="2"/>
  <c r="DU13" i="2"/>
  <c r="HA13" i="2" s="1"/>
  <c r="FL10" i="2"/>
  <c r="FL12" i="2"/>
  <c r="ES12" i="2"/>
  <c r="ER12" i="2"/>
  <c r="EQ12" i="2"/>
  <c r="FI12" i="2"/>
  <c r="ID9" i="2"/>
  <c r="IQ7" i="2"/>
  <c r="IB9" i="2"/>
  <c r="IA9" i="2"/>
  <c r="IO7" i="2"/>
  <c r="IC9" i="2"/>
  <c r="IB10" i="2"/>
  <c r="HZ10" i="2"/>
  <c r="ER10" i="2"/>
  <c r="DO11" i="2"/>
  <c r="DN11" i="2"/>
  <c r="FI14" i="2"/>
  <c r="EJ14" i="2"/>
  <c r="DX16" i="2"/>
  <c r="FF16" i="2"/>
  <c r="EE16" i="2"/>
  <c r="EO17" i="2"/>
  <c r="EN17" i="2"/>
  <c r="EE17" i="2"/>
  <c r="DU10" i="2"/>
  <c r="HA10" i="2" s="1"/>
  <c r="DS10" i="2"/>
  <c r="GU10" i="2" s="1"/>
  <c r="IA10" i="2"/>
  <c r="FL14" i="2"/>
  <c r="DT13" i="2"/>
  <c r="GX13" i="2" s="1"/>
  <c r="DO12" i="2"/>
  <c r="DM12" i="2"/>
  <c r="ED13" i="2"/>
  <c r="HJ13" i="2" s="1"/>
  <c r="EC13" i="2"/>
  <c r="HG13" i="2" s="1"/>
  <c r="EE13" i="2"/>
  <c r="HM13" i="2" s="1"/>
  <c r="EB13" i="2"/>
  <c r="HD13" i="2" s="1"/>
  <c r="ED14" i="2"/>
  <c r="HJ14" i="2" s="1"/>
  <c r="EB14" i="2"/>
  <c r="HD14" i="2" s="1"/>
  <c r="EC14" i="2"/>
  <c r="HG14" i="2" s="1"/>
  <c r="ID16" i="2"/>
  <c r="IB16" i="2"/>
  <c r="IA16" i="2"/>
  <c r="BD16" i="2"/>
  <c r="DJ16" i="2"/>
  <c r="DK16" i="2"/>
  <c r="AH17" i="2"/>
  <c r="EO14" i="2"/>
  <c r="HV14" i="2" s="1"/>
  <c r="EN14" i="2"/>
  <c r="HS14" i="2" s="1"/>
  <c r="EM14" i="2"/>
  <c r="HP14" i="2" s="1"/>
  <c r="EE14" i="2"/>
  <c r="HM14" i="2" s="1"/>
  <c r="ER15" i="2"/>
  <c r="EQ15" i="2"/>
  <c r="ID11" i="2"/>
  <c r="EI12" i="2"/>
  <c r="EG12" i="2"/>
  <c r="HZ14" i="2"/>
  <c r="ID17" i="2"/>
  <c r="IB17" i="2"/>
  <c r="IA17" i="2"/>
  <c r="BD17" i="2"/>
  <c r="DJ17" i="2"/>
  <c r="DK17" i="2"/>
  <c r="DI17" i="2"/>
  <c r="DH17" i="2"/>
  <c r="DP14" i="2"/>
  <c r="DO14" i="2"/>
  <c r="DN14" i="2"/>
  <c r="IA14" i="2"/>
  <c r="EO16" i="2"/>
  <c r="EN16" i="2"/>
  <c r="EM16" i="2"/>
  <c r="EB16" i="2"/>
  <c r="DU17" i="2"/>
  <c r="HA17" i="2" s="1"/>
  <c r="DT17" i="2"/>
  <c r="GX17" i="2" s="1"/>
  <c r="EB11" i="2"/>
  <c r="HD11" i="2" s="1"/>
  <c r="FC11" i="2"/>
  <c r="EM13" i="2"/>
  <c r="HP13" i="2" s="1"/>
  <c r="DS9" i="2"/>
  <c r="GU9" i="2" s="1"/>
  <c r="DT10" i="2"/>
  <c r="GX10" i="2" s="1"/>
  <c r="IC10" i="2"/>
  <c r="EI11" i="2"/>
  <c r="EH11" i="2"/>
  <c r="EJ11" i="2"/>
  <c r="EG11" i="2"/>
  <c r="DN12" i="2"/>
  <c r="DH15" i="2"/>
  <c r="GI15" i="2" s="1"/>
  <c r="ID15" i="2"/>
  <c r="IC15" i="2"/>
  <c r="BD15" i="2"/>
  <c r="DK15" i="2"/>
  <c r="GR15" i="2" s="1"/>
  <c r="DJ15" i="2"/>
  <c r="GO15" i="2" s="1"/>
  <c r="DI15" i="2"/>
  <c r="GL15" i="2" s="1"/>
  <c r="ER16" i="2"/>
  <c r="FL16" i="2"/>
  <c r="ES16" i="2"/>
  <c r="EQ16" i="2"/>
  <c r="EQ7" i="2" s="1"/>
  <c r="DX17" i="2"/>
  <c r="FF17" i="2"/>
  <c r="ID14" i="2"/>
  <c r="ER17" i="2"/>
  <c r="FL17" i="2"/>
  <c r="BI9" i="2"/>
  <c r="FC10" i="2"/>
  <c r="FF10" i="2"/>
  <c r="DJ14" i="2"/>
  <c r="GO14" i="2" s="1"/>
  <c r="DH14" i="2"/>
  <c r="GI14" i="2" s="1"/>
  <c r="FL13" i="2"/>
  <c r="EH13" i="2"/>
  <c r="DP10" i="2"/>
  <c r="ES14" i="2"/>
  <c r="EM10" i="2"/>
  <c r="HP10" i="2" s="1"/>
  <c r="DS11" i="2"/>
  <c r="GU11" i="2" s="1"/>
  <c r="BK8" i="2" l="1"/>
  <c r="FE12" i="2"/>
  <c r="FD12" i="2" s="1"/>
  <c r="GZ12" i="2"/>
  <c r="GP15" i="2"/>
  <c r="GN15" i="2" s="1"/>
  <c r="GM9" i="2"/>
  <c r="GK9" i="2" s="1"/>
  <c r="GS15" i="2"/>
  <c r="GQ15" i="2" s="1"/>
  <c r="FE14" i="2"/>
  <c r="FD14" i="2" s="1"/>
  <c r="GJ9" i="2"/>
  <c r="GH9" i="2" s="1"/>
  <c r="GP12" i="2"/>
  <c r="GS12" i="2"/>
  <c r="GQ12" i="2" s="1"/>
  <c r="CB7" i="2"/>
  <c r="HK11" i="2"/>
  <c r="HI11" i="2" s="1"/>
  <c r="HW11" i="2"/>
  <c r="HU11" i="2" s="1"/>
  <c r="GP9" i="2"/>
  <c r="GN9" i="2" s="1"/>
  <c r="CS7" i="2"/>
  <c r="HH11" i="2"/>
  <c r="HF11" i="2" s="1"/>
  <c r="FB9" i="2"/>
  <c r="FA9" i="2" s="1"/>
  <c r="IC7" i="2"/>
  <c r="IA7" i="2"/>
  <c r="GJ15" i="2"/>
  <c r="GH15" i="2" s="1"/>
  <c r="ID7" i="2"/>
  <c r="DM7" i="2"/>
  <c r="BS7" i="2" s="1"/>
  <c r="K169" i="3" s="1"/>
  <c r="BZ7" i="2"/>
  <c r="BJ8" i="2"/>
  <c r="HN11" i="2"/>
  <c r="HL11" i="2" s="1"/>
  <c r="ES7" i="2"/>
  <c r="CP7" i="2" s="1"/>
  <c r="HB9" i="2"/>
  <c r="GZ9" i="2" s="1"/>
  <c r="DS7" i="2"/>
  <c r="BW7" i="2" s="1"/>
  <c r="EZ15" i="2"/>
  <c r="FH10" i="2"/>
  <c r="FG10" i="2" s="1"/>
  <c r="FB11" i="2"/>
  <c r="FA11" i="2" s="1"/>
  <c r="HN9" i="2"/>
  <c r="HL9" i="2" s="1"/>
  <c r="BM8" i="2"/>
  <c r="HN10" i="2"/>
  <c r="HL10" i="2" s="1"/>
  <c r="HR11" i="2"/>
  <c r="GV13" i="2"/>
  <c r="GT13" i="2" s="1"/>
  <c r="IB7" i="2"/>
  <c r="HH10" i="2"/>
  <c r="HF10" i="2" s="1"/>
  <c r="GY13" i="2"/>
  <c r="GW13" i="2" s="1"/>
  <c r="FB10" i="2"/>
  <c r="EH7" i="2"/>
  <c r="CH7" i="2" s="1"/>
  <c r="CV7" i="2"/>
  <c r="GM12" i="2"/>
  <c r="BD7" i="2"/>
  <c r="BF1" i="2" s="1"/>
  <c r="EZ14" i="2"/>
  <c r="FK11" i="2"/>
  <c r="FJ11" i="2" s="1"/>
  <c r="FH12" i="2"/>
  <c r="FG12" i="2" s="1"/>
  <c r="HK13" i="2"/>
  <c r="HI13" i="2" s="1"/>
  <c r="HH13" i="2"/>
  <c r="HF13" i="2" s="1"/>
  <c r="HN13" i="2"/>
  <c r="HL13" i="2" s="1"/>
  <c r="GY12" i="2"/>
  <c r="GW12" i="2" s="1"/>
  <c r="GZ14" i="2"/>
  <c r="HY11" i="2"/>
  <c r="HQ11" i="2"/>
  <c r="HO11" i="2" s="1"/>
  <c r="BI7" i="2"/>
  <c r="EG7" i="2"/>
  <c r="CG7" i="2" s="1"/>
  <c r="HE10" i="2"/>
  <c r="HC10" i="2" s="1"/>
  <c r="GV9" i="2"/>
  <c r="GT9" i="2" s="1"/>
  <c r="FK12" i="2"/>
  <c r="FJ12" i="2" s="1"/>
  <c r="HZ7" i="2"/>
  <c r="FH9" i="2"/>
  <c r="FG9" i="2" s="1"/>
  <c r="HI10" i="2"/>
  <c r="HK9" i="2"/>
  <c r="HI9" i="2" s="1"/>
  <c r="HH9" i="2"/>
  <c r="HF9" i="2" s="1"/>
  <c r="AD17" i="2"/>
  <c r="AC7" i="2"/>
  <c r="AC8" i="2" s="1"/>
  <c r="BL8" i="2"/>
  <c r="EI7" i="2"/>
  <c r="FE17" i="2"/>
  <c r="FD17" i="2" s="1"/>
  <c r="HY17" i="2"/>
  <c r="HY9" i="2"/>
  <c r="CJ7" i="2"/>
  <c r="DO7" i="2"/>
  <c r="BU7" i="2" s="1"/>
  <c r="L228" i="4" s="1"/>
  <c r="GJ14" i="2"/>
  <c r="GH14" i="2" s="1"/>
  <c r="HW15" i="2"/>
  <c r="HU15" i="2" s="1"/>
  <c r="DP7" i="2"/>
  <c r="BV7" i="2" s="1"/>
  <c r="L229" i="4" s="1"/>
  <c r="HQ15" i="2"/>
  <c r="HO15" i="2" s="1"/>
  <c r="GY14" i="2"/>
  <c r="GW14" i="2" s="1"/>
  <c r="GV12" i="2"/>
  <c r="GT12" i="2" s="1"/>
  <c r="GS14" i="2"/>
  <c r="GQ14" i="2" s="1"/>
  <c r="GM14" i="2"/>
  <c r="GK14" i="2" s="1"/>
  <c r="GV14" i="2"/>
  <c r="GT14" i="2" s="1"/>
  <c r="DN7" i="2"/>
  <c r="BT7" i="2" s="1"/>
  <c r="K170" i="3" s="1"/>
  <c r="HB11" i="2"/>
  <c r="GZ11" i="2" s="1"/>
  <c r="GY11" i="2"/>
  <c r="GW11" i="2" s="1"/>
  <c r="GV11" i="2"/>
  <c r="GT11" i="2" s="1"/>
  <c r="GH12" i="2"/>
  <c r="GM11" i="2"/>
  <c r="GK11" i="2" s="1"/>
  <c r="GP11" i="2"/>
  <c r="GN11" i="2" s="1"/>
  <c r="GJ11" i="2"/>
  <c r="GH11" i="2" s="1"/>
  <c r="EZ11" i="2"/>
  <c r="GS11" i="2"/>
  <c r="GQ11" i="2" s="1"/>
  <c r="HQ14" i="2"/>
  <c r="HO14" i="2" s="1"/>
  <c r="HW14" i="2"/>
  <c r="HU14" i="2" s="1"/>
  <c r="HT14" i="2"/>
  <c r="HR14" i="2" s="1"/>
  <c r="HK12" i="2"/>
  <c r="HI12" i="2" s="1"/>
  <c r="HH12" i="2"/>
  <c r="HF12" i="2" s="1"/>
  <c r="HE12" i="2"/>
  <c r="HC12" i="2" s="1"/>
  <c r="HN12" i="2"/>
  <c r="HL12" i="2" s="1"/>
  <c r="GX16" i="2"/>
  <c r="DT7" i="2"/>
  <c r="CW7" i="2"/>
  <c r="DI7" i="2"/>
  <c r="BP7" i="2" s="1"/>
  <c r="GL12" i="2"/>
  <c r="HY15" i="2"/>
  <c r="FK13" i="2"/>
  <c r="FJ13" i="2" s="1"/>
  <c r="HG16" i="2"/>
  <c r="CZ7" i="2"/>
  <c r="EC7" i="2"/>
  <c r="HQ17" i="2"/>
  <c r="HW17" i="2"/>
  <c r="HT17" i="2"/>
  <c r="FH11" i="2"/>
  <c r="FG11" i="2" s="1"/>
  <c r="HC11" i="2"/>
  <c r="DK7" i="2"/>
  <c r="BR7" i="2" s="1"/>
  <c r="HA16" i="2"/>
  <c r="CX7" i="2"/>
  <c r="DU7" i="2"/>
  <c r="EZ12" i="2"/>
  <c r="GO12" i="2"/>
  <c r="DJ7" i="2"/>
  <c r="BQ7" i="2" s="1"/>
  <c r="HT9" i="2"/>
  <c r="HR9" i="2" s="1"/>
  <c r="HQ9" i="2"/>
  <c r="HO9" i="2" s="1"/>
  <c r="HW9" i="2"/>
  <c r="HU9" i="2" s="1"/>
  <c r="EZ9" i="2"/>
  <c r="FE15" i="2"/>
  <c r="FD15" i="2" s="1"/>
  <c r="GJ10" i="2"/>
  <c r="GH10" i="2" s="1"/>
  <c r="EZ10" i="2"/>
  <c r="GS10" i="2"/>
  <c r="GQ10" i="2" s="1"/>
  <c r="GP10" i="2"/>
  <c r="GN10" i="2" s="1"/>
  <c r="GM10" i="2"/>
  <c r="GK10" i="2" s="1"/>
  <c r="CT7" i="2"/>
  <c r="GO16" i="2"/>
  <c r="GM16" i="2"/>
  <c r="GK16" i="2" s="1"/>
  <c r="GJ16" i="2"/>
  <c r="GH16" i="2" s="1"/>
  <c r="GS16" i="2"/>
  <c r="EZ16" i="2"/>
  <c r="GP16" i="2"/>
  <c r="FE10" i="2"/>
  <c r="FD10" i="2" s="1"/>
  <c r="HY12" i="2"/>
  <c r="FB15" i="2"/>
  <c r="HY10" i="2"/>
  <c r="FK9" i="2"/>
  <c r="FJ9" i="2" s="1"/>
  <c r="HY13" i="2"/>
  <c r="FE11" i="2"/>
  <c r="FD11" i="2" s="1"/>
  <c r="GY17" i="2"/>
  <c r="GW17" i="2" s="1"/>
  <c r="GV17" i="2"/>
  <c r="GT17" i="2" s="1"/>
  <c r="HB17" i="2"/>
  <c r="GZ17" i="2" s="1"/>
  <c r="HW12" i="2"/>
  <c r="HU12" i="2" s="1"/>
  <c r="HT12" i="2"/>
  <c r="HR12" i="2" s="1"/>
  <c r="HQ12" i="2"/>
  <c r="HO12" i="2" s="1"/>
  <c r="FK10" i="2"/>
  <c r="FJ10" i="2" s="1"/>
  <c r="HD16" i="2"/>
  <c r="CY7" i="2"/>
  <c r="EB7" i="2"/>
  <c r="FH14" i="2"/>
  <c r="FG14" i="2" s="1"/>
  <c r="HQ10" i="2"/>
  <c r="HO10" i="2" s="1"/>
  <c r="HW10" i="2"/>
  <c r="HU10" i="2" s="1"/>
  <c r="HT10" i="2"/>
  <c r="HR10" i="2" s="1"/>
  <c r="HN15" i="2"/>
  <c r="HL15" i="2" s="1"/>
  <c r="HK15" i="2"/>
  <c r="HI15" i="2" s="1"/>
  <c r="HH15" i="2"/>
  <c r="HF15" i="2" s="1"/>
  <c r="HE15" i="2"/>
  <c r="HC15" i="2" s="1"/>
  <c r="FC7" i="2"/>
  <c r="CN7" i="2"/>
  <c r="EM7" i="2"/>
  <c r="HP16" i="2"/>
  <c r="DC7" i="2"/>
  <c r="FK14" i="2"/>
  <c r="FJ14" i="2" s="1"/>
  <c r="GZ13" i="2"/>
  <c r="FH15" i="2"/>
  <c r="FG15" i="2" s="1"/>
  <c r="FE13" i="2"/>
  <c r="FD13" i="2" s="1"/>
  <c r="FB13" i="2"/>
  <c r="CR7" i="2"/>
  <c r="HS16" i="2"/>
  <c r="EN7" i="2"/>
  <c r="DD7" i="2"/>
  <c r="HY14" i="2"/>
  <c r="FH13" i="2"/>
  <c r="FG13" i="2" s="1"/>
  <c r="HC13" i="2"/>
  <c r="HW16" i="2"/>
  <c r="HT16" i="2"/>
  <c r="FL7" i="2"/>
  <c r="HQ16" i="2"/>
  <c r="HV16" i="2"/>
  <c r="EO7" i="2"/>
  <c r="DE7" i="2"/>
  <c r="HM16" i="2"/>
  <c r="EE7" i="2"/>
  <c r="DB7" i="2"/>
  <c r="GM17" i="2"/>
  <c r="GJ17" i="2"/>
  <c r="GS17" i="2"/>
  <c r="EZ17" i="2"/>
  <c r="GP17" i="2"/>
  <c r="GS13" i="2"/>
  <c r="GQ13" i="2" s="1"/>
  <c r="EZ13" i="2"/>
  <c r="GP13" i="2"/>
  <c r="GN13" i="2" s="1"/>
  <c r="GJ13" i="2"/>
  <c r="GM13" i="2"/>
  <c r="GK13" i="2" s="1"/>
  <c r="HT13" i="2"/>
  <c r="HR13" i="2" s="1"/>
  <c r="HQ13" i="2"/>
  <c r="HO13" i="2" s="1"/>
  <c r="HW13" i="2"/>
  <c r="HU13" i="2" s="1"/>
  <c r="ER7" i="2"/>
  <c r="GY16" i="2"/>
  <c r="HB16" i="2"/>
  <c r="FF7" i="2"/>
  <c r="GV16" i="2"/>
  <c r="FK15" i="2"/>
  <c r="FJ15" i="2" s="1"/>
  <c r="HB15" i="2"/>
  <c r="GZ15" i="2" s="1"/>
  <c r="GV15" i="2"/>
  <c r="GT15" i="2" s="1"/>
  <c r="GY15" i="2"/>
  <c r="GW15" i="2" s="1"/>
  <c r="FB14" i="2"/>
  <c r="DX7" i="2"/>
  <c r="HE17" i="2"/>
  <c r="HN17" i="2"/>
  <c r="HK17" i="2"/>
  <c r="HH17" i="2"/>
  <c r="GN14" i="2"/>
  <c r="GK15" i="2"/>
  <c r="AI17" i="2"/>
  <c r="AH7" i="2"/>
  <c r="AH8" i="2" s="1"/>
  <c r="ED7" i="2"/>
  <c r="DA7" i="2"/>
  <c r="HY16" i="2"/>
  <c r="Y17" i="2"/>
  <c r="X7" i="2"/>
  <c r="X8" i="2" s="1"/>
  <c r="GY10" i="2"/>
  <c r="GW10" i="2" s="1"/>
  <c r="GV10" i="2"/>
  <c r="GT10" i="2" s="1"/>
  <c r="HB10" i="2"/>
  <c r="GZ10" i="2" s="1"/>
  <c r="FE9" i="2"/>
  <c r="CU7" i="2"/>
  <c r="GR16" i="2"/>
  <c r="HE14" i="2"/>
  <c r="HC14" i="2" s="1"/>
  <c r="HN14" i="2"/>
  <c r="HL14" i="2" s="1"/>
  <c r="HK14" i="2"/>
  <c r="HI14" i="2" s="1"/>
  <c r="HH14" i="2"/>
  <c r="HF14" i="2" s="1"/>
  <c r="HE16" i="2"/>
  <c r="FI7" i="2"/>
  <c r="HK16" i="2"/>
  <c r="HH16" i="2"/>
  <c r="HN16" i="2"/>
  <c r="DH7" i="2"/>
  <c r="BO7" i="2" s="1"/>
  <c r="BG1" i="2" l="1"/>
  <c r="IJ10" i="2"/>
  <c r="HQ7" i="2"/>
  <c r="HW7" i="2"/>
  <c r="L226" i="4"/>
  <c r="HT7" i="2"/>
  <c r="FA10" i="2"/>
  <c r="EQ8" i="2"/>
  <c r="GY7" i="2"/>
  <c r="BI8" i="2"/>
  <c r="BH1" i="2"/>
  <c r="EG8" i="2"/>
  <c r="HY7" i="2"/>
  <c r="IC8" i="2" s="1"/>
  <c r="HE7" i="2"/>
  <c r="IG11" i="2"/>
  <c r="FB12" i="2"/>
  <c r="IG12" i="2" s="1"/>
  <c r="GQ16" i="2"/>
  <c r="IH11" i="2"/>
  <c r="K171" i="3"/>
  <c r="HN7" i="2"/>
  <c r="K172" i="3"/>
  <c r="GJ7" i="2"/>
  <c r="GP7" i="2"/>
  <c r="L227" i="4"/>
  <c r="EI8" i="2"/>
  <c r="CI7" i="2"/>
  <c r="AE17" i="2"/>
  <c r="AE7" i="2" s="1"/>
  <c r="AD7" i="2"/>
  <c r="AD8" i="2" s="1"/>
  <c r="EH8" i="2"/>
  <c r="EJ8" i="2"/>
  <c r="Z17" i="2"/>
  <c r="Z7" i="2" s="1"/>
  <c r="Y7" i="2"/>
  <c r="Y8" i="2" s="1"/>
  <c r="FB16" i="2"/>
  <c r="HO16" i="2"/>
  <c r="FK16" i="2"/>
  <c r="GW16" i="2"/>
  <c r="GW7" i="2" s="1"/>
  <c r="GX7" i="2"/>
  <c r="FE16" i="2"/>
  <c r="EM8" i="2"/>
  <c r="CK7" i="2"/>
  <c r="H159" i="3"/>
  <c r="I214" i="4"/>
  <c r="H157" i="3"/>
  <c r="I212" i="4"/>
  <c r="GV7" i="2"/>
  <c r="GT16" i="2"/>
  <c r="GT7" i="2" s="1"/>
  <c r="GU8" i="2" s="1"/>
  <c r="II11" i="2"/>
  <c r="GH13" i="2"/>
  <c r="GM7" i="2"/>
  <c r="GN12" i="2"/>
  <c r="FD9" i="2"/>
  <c r="EY9" i="2"/>
  <c r="IF9" i="2"/>
  <c r="IJ9" i="2"/>
  <c r="IG9" i="2"/>
  <c r="II9" i="2"/>
  <c r="IH9" i="2"/>
  <c r="CE7" i="2"/>
  <c r="ED8" i="2"/>
  <c r="IJ13" i="2"/>
  <c r="IH13" i="2"/>
  <c r="IG13" i="2"/>
  <c r="FA13" i="2"/>
  <c r="EY13" i="2"/>
  <c r="IF13" i="2"/>
  <c r="II13" i="2"/>
  <c r="CD7" i="2"/>
  <c r="EC8" i="2"/>
  <c r="HB7" i="2"/>
  <c r="EZ7" i="2"/>
  <c r="DU8" i="2"/>
  <c r="BY7" i="2"/>
  <c r="CA7" i="2"/>
  <c r="DX8" i="2"/>
  <c r="DY8" i="2"/>
  <c r="DW8" i="2"/>
  <c r="EE8" i="2"/>
  <c r="CF7" i="2"/>
  <c r="CC7" i="2"/>
  <c r="EB8" i="2"/>
  <c r="HF16" i="2"/>
  <c r="HH7" i="2"/>
  <c r="HL16" i="2"/>
  <c r="GZ16" i="2"/>
  <c r="GZ7" i="2" s="1"/>
  <c r="HA7" i="2"/>
  <c r="HK7" i="2"/>
  <c r="HI16" i="2"/>
  <c r="AJ17" i="2"/>
  <c r="AJ7" i="2" s="1"/>
  <c r="AI7" i="2"/>
  <c r="AI8" i="2" s="1"/>
  <c r="IH14" i="2"/>
  <c r="IF14" i="2"/>
  <c r="IJ14" i="2"/>
  <c r="II14" i="2"/>
  <c r="IG14" i="2"/>
  <c r="EY14" i="2"/>
  <c r="FA14" i="2"/>
  <c r="ER8" i="2"/>
  <c r="CO7" i="2"/>
  <c r="FH16" i="2"/>
  <c r="HC16" i="2"/>
  <c r="I215" i="4"/>
  <c r="H160" i="3"/>
  <c r="IG10" i="2"/>
  <c r="GS7" i="2"/>
  <c r="EO8" i="2"/>
  <c r="CM7" i="2"/>
  <c r="EN8" i="2"/>
  <c r="CL7" i="2"/>
  <c r="HS17" i="2"/>
  <c r="HR17" i="2" s="1"/>
  <c r="IH10" i="2"/>
  <c r="DS8" i="2"/>
  <c r="HU16" i="2"/>
  <c r="HR16" i="2"/>
  <c r="GK12" i="2"/>
  <c r="IF10" i="2"/>
  <c r="IJ11" i="2"/>
  <c r="H158" i="3"/>
  <c r="I213" i="4"/>
  <c r="II10" i="2"/>
  <c r="EY11" i="2"/>
  <c r="ES8" i="2"/>
  <c r="EY10" i="2"/>
  <c r="IF11" i="2"/>
  <c r="IF15" i="2"/>
  <c r="IJ15" i="2"/>
  <c r="II15" i="2"/>
  <c r="IH15" i="2"/>
  <c r="IG15" i="2"/>
  <c r="FA15" i="2"/>
  <c r="EY15" i="2"/>
  <c r="GN16" i="2"/>
  <c r="DT8" i="2"/>
  <c r="BX7" i="2"/>
  <c r="GY8" i="2" l="1"/>
  <c r="FA12" i="2"/>
  <c r="IH12" i="2"/>
  <c r="II12" i="2"/>
  <c r="IJ12" i="2"/>
  <c r="IA8" i="2"/>
  <c r="GX8" i="2"/>
  <c r="EY12" i="2"/>
  <c r="EX12" i="2" s="1"/>
  <c r="EW12" i="2" s="1"/>
  <c r="HZ8" i="2"/>
  <c r="ID8" i="2"/>
  <c r="IB8" i="2"/>
  <c r="IF12" i="2"/>
  <c r="IE15" i="2"/>
  <c r="IE10" i="2"/>
  <c r="AJ8" i="2"/>
  <c r="AE8" i="2"/>
  <c r="HS7" i="2"/>
  <c r="IE11" i="2"/>
  <c r="IE14" i="2"/>
  <c r="HV17" i="2"/>
  <c r="GO17" i="2"/>
  <c r="HB8" i="2"/>
  <c r="HJ17" i="2"/>
  <c r="FJ16" i="2"/>
  <c r="FG16" i="2"/>
  <c r="IJ16" i="2"/>
  <c r="IH16" i="2"/>
  <c r="II16" i="2"/>
  <c r="IG16" i="2"/>
  <c r="IF16" i="2"/>
  <c r="FA16" i="2"/>
  <c r="EY16" i="2"/>
  <c r="EX10" i="2"/>
  <c r="EW10" i="2" s="1"/>
  <c r="HA8" i="2"/>
  <c r="GV8" i="2"/>
  <c r="GI17" i="2"/>
  <c r="HD17" i="2"/>
  <c r="HP17" i="2"/>
  <c r="HR7" i="2"/>
  <c r="HT8" i="2" s="1"/>
  <c r="GL17" i="2"/>
  <c r="HM17" i="2"/>
  <c r="IE13" i="2"/>
  <c r="IE9" i="2"/>
  <c r="Z8" i="2"/>
  <c r="AA8" i="2"/>
  <c r="GR17" i="2"/>
  <c r="EX14" i="2"/>
  <c r="EW14" i="2" s="1"/>
  <c r="EX13" i="2"/>
  <c r="EW13" i="2" s="1"/>
  <c r="EX9" i="2"/>
  <c r="EW9" i="2" s="1"/>
  <c r="EX11" i="2"/>
  <c r="EW11" i="2" s="1"/>
  <c r="HG17" i="2"/>
  <c r="EX15" i="2"/>
  <c r="EW15" i="2" s="1"/>
  <c r="FD16" i="2"/>
  <c r="FD7" i="2" s="1"/>
  <c r="FF8" i="2" s="1"/>
  <c r="FE7" i="2"/>
  <c r="IE12" i="2" l="1"/>
  <c r="EV9" i="2"/>
  <c r="HS8" i="2"/>
  <c r="EV15" i="2"/>
  <c r="EV10" i="2"/>
  <c r="HI17" i="2"/>
  <c r="HI7" i="2" s="1"/>
  <c r="HK8" i="2" s="1"/>
  <c r="HJ7" i="2"/>
  <c r="EX16" i="2"/>
  <c r="EW16" i="2" s="1"/>
  <c r="EV11" i="2"/>
  <c r="FE8" i="2"/>
  <c r="IE16" i="2"/>
  <c r="GN17" i="2"/>
  <c r="GN7" i="2" s="1"/>
  <c r="GP8" i="2" s="1"/>
  <c r="GO7" i="2"/>
  <c r="HL17" i="2"/>
  <c r="HL7" i="2" s="1"/>
  <c r="HN8" i="2" s="1"/>
  <c r="HM7" i="2"/>
  <c r="EV13" i="2"/>
  <c r="GK17" i="2"/>
  <c r="GK7" i="2" s="1"/>
  <c r="GM8" i="2" s="1"/>
  <c r="GL7" i="2"/>
  <c r="EV12" i="2"/>
  <c r="HU17" i="2"/>
  <c r="HU7" i="2" s="1"/>
  <c r="HW8" i="2" s="1"/>
  <c r="HV7" i="2"/>
  <c r="HO17" i="2"/>
  <c r="HO7" i="2" s="1"/>
  <c r="HQ8" i="2" s="1"/>
  <c r="FK17" i="2"/>
  <c r="HP7" i="2"/>
  <c r="HF17" i="2"/>
  <c r="HF7" i="2" s="1"/>
  <c r="HH8" i="2" s="1"/>
  <c r="HG7" i="2"/>
  <c r="EV14" i="2"/>
  <c r="FH17" i="2"/>
  <c r="HC17" i="2"/>
  <c r="HC7" i="2" s="1"/>
  <c r="HE8" i="2" s="1"/>
  <c r="HD7" i="2"/>
  <c r="FB17" i="2"/>
  <c r="GH17" i="2"/>
  <c r="GH7" i="2" s="1"/>
  <c r="GJ8" i="2" s="1"/>
  <c r="GI7" i="2"/>
  <c r="GQ17" i="2"/>
  <c r="GQ7" i="2" s="1"/>
  <c r="GS8" i="2" s="1"/>
  <c r="GR7" i="2"/>
  <c r="HV8" i="2" l="1"/>
  <c r="HJ8" i="2"/>
  <c r="GO8" i="2"/>
  <c r="HP8" i="2"/>
  <c r="HG8" i="2"/>
  <c r="GL8" i="2"/>
  <c r="HD8" i="2"/>
  <c r="HM8" i="2"/>
  <c r="GI8" i="2"/>
  <c r="FG17" i="2"/>
  <c r="FG7" i="2" s="1"/>
  <c r="FH7" i="2"/>
  <c r="FJ17" i="2"/>
  <c r="FJ7" i="2" s="1"/>
  <c r="FK7" i="2"/>
  <c r="GR8" i="2"/>
  <c r="EV16" i="2"/>
  <c r="IJ17" i="2"/>
  <c r="IH17" i="2"/>
  <c r="II17" i="2"/>
  <c r="FA17" i="2"/>
  <c r="IG17" i="2"/>
  <c r="IF17" i="2"/>
  <c r="EY17" i="2"/>
  <c r="FB7" i="2"/>
  <c r="IE17" i="2" l="1"/>
  <c r="IU7" i="2"/>
  <c r="IV7" i="2"/>
  <c r="IT7" i="2"/>
  <c r="IX7" i="2"/>
  <c r="IW7" i="2"/>
  <c r="FA7" i="2"/>
  <c r="FB8" i="2" s="1"/>
  <c r="EX17" i="2"/>
  <c r="EW17" i="2" s="1"/>
  <c r="EY7" i="2"/>
  <c r="FK8" i="2"/>
  <c r="FI1" i="2"/>
  <c r="FL8" i="2"/>
  <c r="FH8" i="2"/>
  <c r="FE1" i="2"/>
  <c r="FI8" i="2"/>
  <c r="EX7" i="2" l="1"/>
  <c r="EV17" i="2"/>
  <c r="EY1" i="2"/>
  <c r="FC8" i="2"/>
  <c r="IW8" i="2"/>
  <c r="II7" i="2"/>
  <c r="IJ7" i="2"/>
  <c r="IX8" i="2"/>
  <c r="IT8" i="2"/>
  <c r="IF7" i="2"/>
  <c r="IH7" i="2"/>
  <c r="IV8" i="2"/>
  <c r="IU8" i="2"/>
  <c r="IG7" i="2"/>
  <c r="EX1" i="2" l="1"/>
  <c r="EZ1" i="2" s="1"/>
  <c r="EZ8" i="2"/>
  <c r="EW7" i="2"/>
  <c r="EY8" i="2"/>
  <c r="IE7" i="2"/>
  <c r="IJ8" i="2" s="1"/>
  <c r="FG1" i="2"/>
  <c r="EV7" i="2"/>
  <c r="FK1" i="2"/>
  <c r="IH8" i="2" l="1"/>
  <c r="IF8" i="2"/>
  <c r="FJ1" i="2"/>
  <c r="FF1" i="2"/>
  <c r="IG8" i="2"/>
  <c r="II8" i="2"/>
</calcChain>
</file>

<file path=xl/sharedStrings.xml><?xml version="1.0" encoding="utf-8"?>
<sst xmlns="http://schemas.openxmlformats.org/spreadsheetml/2006/main" count="2111" uniqueCount="945">
  <si>
    <t>Segment
Principal</t>
  </si>
  <si>
    <t>Sous-Segment</t>
  </si>
  <si>
    <t>Exemples</t>
  </si>
  <si>
    <t>Tous les Sous-Segments</t>
  </si>
  <si>
    <t>Bureaux</t>
  </si>
  <si>
    <t>Bureaux Tertiaire Privé (&gt;50 salariés)
(hors usines et logistique )</t>
  </si>
  <si>
    <t>Immeuble tertiaire privé, siège social, centre de services,etc …</t>
  </si>
  <si>
    <t>Crèches</t>
  </si>
  <si>
    <t>Logistique / Stockage</t>
  </si>
  <si>
    <t>Centres de stockage / Entrepôts / Plateformes logistiques
(&gt;50 salariés)</t>
  </si>
  <si>
    <t>Entrepôt, plateforme logistique, centre de distribution</t>
  </si>
  <si>
    <t>Haltes-garderies, jardins d’enfants (hors crèches)</t>
  </si>
  <si>
    <t>Usines &amp; Ateliers</t>
  </si>
  <si>
    <t>Usines 
(&gt;50 salariés)
(Hors Ateliers industriels)</t>
  </si>
  <si>
    <t>Usine agroalimentaire, site métallurgique, usine chimique, usine automobile</t>
  </si>
  <si>
    <t>Protection Maternelle et Infantile (PMI - sites autonomes)</t>
  </si>
  <si>
    <t>Ateliers industriels / de maintenance (&gt;50 personnes)</t>
  </si>
  <si>
    <t>Atelier de maintenance, atelier technique, atelier industriel</t>
  </si>
  <si>
    <t>Écoles maternelles</t>
  </si>
  <si>
    <t>Administrations / services publics</t>
  </si>
  <si>
    <t>Bureaux administratifs secondaires non ERP &gt;50 salariés</t>
  </si>
  <si>
    <t>sites de gestion interne &gt;50 salariés, directions support sans accueil, back-offices administratifs de l’État, services techniques / RH / finances de collectivités, annexes administratives d’universités ou de rectorats, back-offices CPAM, CARSAT, ARS, MSA, CROUS, bâtiments administratifs hospitaliers séparés des zones patient/public</t>
  </si>
  <si>
    <t>Écoles primaires</t>
  </si>
  <si>
    <t>Mairies / hôtels de ville</t>
  </si>
  <si>
    <t>Mairie, hôtel de ville</t>
  </si>
  <si>
    <t>Collèges
(vestiaires EPS inclus)</t>
  </si>
  <si>
    <t xml:space="preserve">Hôtels du département
Hôtels de région 
&amp; Services administratifs territoriaux </t>
  </si>
  <si>
    <t>Conseil départemental ; hôtel de région ; siège administratif territorial central</t>
  </si>
  <si>
    <t>Lycées
(vestiaires EPS inclus)</t>
  </si>
  <si>
    <t>Internats scolaires</t>
  </si>
  <si>
    <t>Universités</t>
  </si>
  <si>
    <t>Commerce</t>
  </si>
  <si>
    <t>Centres commerciaux / Malls</t>
  </si>
  <si>
    <t>Centre commercial, mall, galerie marchande gérée comme entité, retail park couvert avec sanitaires communs</t>
  </si>
  <si>
    <t>Grandes écoles</t>
  </si>
  <si>
    <t>Marchés couverts</t>
  </si>
  <si>
    <t>Marché couvert</t>
  </si>
  <si>
    <t>Résidences étudiantes et dortoirs</t>
  </si>
  <si>
    <t>Centres de formation / CFA</t>
  </si>
  <si>
    <t xml:space="preserve">Agences emploi / Insertion / Orientation professionnelle 
</t>
  </si>
  <si>
    <t>Gymnases / salles multisports
(hors scolaire, mais gymnase municipaux inclus)</t>
  </si>
  <si>
    <t>Salles de fitness / dojos</t>
  </si>
  <si>
    <t>Patinoires couvertes</t>
  </si>
  <si>
    <t>Piscines couvertes</t>
  </si>
  <si>
    <t>Centres de thalassothérapie / balnéothérapie / grands spas ouverts au public</t>
  </si>
  <si>
    <t>Établissements thermaux</t>
  </si>
  <si>
    <t>Terrains de sport
(Hors scolaire, sans tribune)</t>
  </si>
  <si>
    <t>Stades avec tribunes
(Hors grands stades, hors terrains sport)</t>
  </si>
  <si>
    <t xml:space="preserve">Grands stades avec tribunes
(Type football/rugby) </t>
  </si>
  <si>
    <t>Hippodromes, Centres équestres &amp; Manèges couverts</t>
  </si>
  <si>
    <t>Piscines extérieures 
(Hors campings, hôtels, résidences et établissement avec bassin intérieur)</t>
  </si>
  <si>
    <t>Bases nautiques / centres nautiques avec vestiaires-douches</t>
  </si>
  <si>
    <t>Bases de loisirs avec plages, douches et sanitaires</t>
  </si>
  <si>
    <t>Blocs sanitaires de plage / front de mer</t>
  </si>
  <si>
    <t>Centres de loisirs sans hébergement</t>
  </si>
  <si>
    <t>Parcs d’attractions / Parcs à thèmes fixes</t>
  </si>
  <si>
    <t>Parcs zoologiques / Parcs animaliers</t>
  </si>
  <si>
    <t>Parcs aquatiques</t>
  </si>
  <si>
    <t>Aquariums</t>
  </si>
  <si>
    <t>Casinos</t>
  </si>
  <si>
    <t>Salles de jeux / Bowlings / Billards</t>
  </si>
  <si>
    <t>Discothèques / Salles de danse</t>
  </si>
  <si>
    <t>Hôpitaux universitaires / CHU</t>
  </si>
  <si>
    <t>Hôpitaux publics 
(Hors CHU, Universitaire, Militaire, Carcéral)</t>
  </si>
  <si>
    <t>Hôpitaux privés</t>
  </si>
  <si>
    <t>Cliniques</t>
  </si>
  <si>
    <t>Hôpitaux d’instruction des armées et centres médicaux recevant du public</t>
  </si>
  <si>
    <t>Unités hospitalières sécurisées en milieu carcéral</t>
  </si>
  <si>
    <t>Centres de psychiatrie</t>
  </si>
  <si>
    <t>Centres de rééducation</t>
  </si>
  <si>
    <t>Maternités</t>
  </si>
  <si>
    <t>Établissements Médico-éducatifs</t>
  </si>
  <si>
    <t>Centres de santé / Centres médicaux</t>
  </si>
  <si>
    <t>Maisons de santé</t>
  </si>
  <si>
    <t>Cabinets Dentaires</t>
  </si>
  <si>
    <t>Foyers pour personnes handicapées</t>
  </si>
  <si>
    <t>MDPH
Maisons de l’autonomie
Guichets handicap</t>
  </si>
  <si>
    <t>EHPAD</t>
  </si>
  <si>
    <t>USLD</t>
  </si>
  <si>
    <t>Résidences autonomie
Foyers-logements
(Public)</t>
  </si>
  <si>
    <t>Résidences services seniors
(Privé)</t>
  </si>
  <si>
    <t>Cinémas</t>
  </si>
  <si>
    <t>Théâtres</t>
  </si>
  <si>
    <t>Musées</t>
  </si>
  <si>
    <t>Salles de spectacle / Auditoriums</t>
  </si>
  <si>
    <t>Salles de conférence / Réunion</t>
  </si>
  <si>
    <t>Salles polyvalentes / Salles des fêtes</t>
  </si>
  <si>
    <t>Bibliothèques / Médiathèques</t>
  </si>
  <si>
    <t>Centres de Documentation 
et Consultation d’archives autonomes</t>
  </si>
  <si>
    <t>Foires / Salons</t>
  </si>
  <si>
    <t>Halls d’exposition</t>
  </si>
  <si>
    <t>Chapiteaux / Tentes / Structures</t>
  </si>
  <si>
    <t>Structures gonflables</t>
  </si>
  <si>
    <t>Offices de tourisme
(Sites principaux autonomes uniquement)</t>
  </si>
  <si>
    <t>Restaurants
(Hors établissements altitude, flottant, armée)</t>
  </si>
  <si>
    <t>Cafés / bars / brasseries</t>
  </si>
  <si>
    <t>Fast-food / Cafétérias / Food courts</t>
  </si>
  <si>
    <t>Établissements flottants</t>
  </si>
  <si>
    <t>Centres commerciaux / Malls
(dotés de sanitaires collectifs clients)</t>
  </si>
  <si>
    <t>Hyper-Supermarchés 
(dotés de sanitaires collectifs clients)</t>
  </si>
  <si>
    <t>Garages / Ateliers de réparation automobile (&gt;10 personnes) recevant du public</t>
  </si>
  <si>
    <t>Hôtels 
(hors autres hébérgements touristiques)</t>
  </si>
  <si>
    <t>Villages de vacances / Clubs vacances / Centres de vacances familiaux</t>
  </si>
  <si>
    <t>Résidences de tourisme</t>
  </si>
  <si>
    <t>Auberges de jeunesse</t>
  </si>
  <si>
    <t>Pensions de famille</t>
  </si>
  <si>
    <t>Hôtels-restaurants d’altitude</t>
  </si>
  <si>
    <t>Refuges de montagne</t>
  </si>
  <si>
    <t>Campings</t>
  </si>
  <si>
    <t>Aires d’accueil des gens du voyage</t>
  </si>
  <si>
    <t>Centres d’hébergement d’urgence / accueils de nuit</t>
  </si>
  <si>
    <t>Accueils de jour / haltes de jour</t>
  </si>
  <si>
    <t>CHRS / Centres d’hébergement et de réinsertion sociale</t>
  </si>
  <si>
    <t>CADA / HUDA / CAES / Centres d’accueil pour demandeurs d’asile</t>
  </si>
  <si>
    <t>Foyers de jeunes travailleurs / Résidences sociales / Foyers de travailleurs migrants</t>
  </si>
  <si>
    <t>Maisons du département / Maisons de la région / Antennes territoriales</t>
  </si>
  <si>
    <t>Préfectures / services administratifs</t>
  </si>
  <si>
    <t>Sièges d’intercommunalité 
(hors France Services autonomes)</t>
  </si>
  <si>
    <t>Rectorats / DSDEN</t>
  </si>
  <si>
    <t>Maisons France Services / Guichets publics autonomes ou dédiés</t>
  </si>
  <si>
    <t>Centres des finances publiques 
avec guichet</t>
  </si>
  <si>
    <t xml:space="preserve">CCAS / CIAS et guichets sociaux locaux autonomes </t>
  </si>
  <si>
    <t>Points d’accueil numérique 
dédiés / autonomes</t>
  </si>
  <si>
    <t>CAF / Accueils Caf autonomes</t>
  </si>
  <si>
    <t>Églises, cathédrales, basiliques et chapelles ouvertes au public</t>
  </si>
  <si>
    <t>Monastères, abbayes et couvents ouverts au public</t>
  </si>
  <si>
    <t>Temples protestants, évangéliques et salles de culte assimilées</t>
  </si>
  <si>
    <t>Mosquées et salles de prière musulmanes</t>
  </si>
  <si>
    <t>Synagogues et oratoires juifs ouverts au public</t>
  </si>
  <si>
    <t>Temples bouddhistes, hindous et autres lieux de culte non abrahamiques ouverts au public</t>
  </si>
  <si>
    <t>Salles du Royaume, centres cultuels pluriconfessionnels et lieux de culte polyvalents</t>
  </si>
  <si>
    <t>Locaux associatifs recevant du public (dotés de sanitaires)</t>
  </si>
  <si>
    <t>Aires de service - Autoroutes
(Hors Aires de repos)</t>
  </si>
  <si>
    <t>Aires de repos - Autoroutes
(Hors Aires de service)</t>
  </si>
  <si>
    <t>Parcs de stationnement couverts (dotés de sanitaires)</t>
  </si>
  <si>
    <t>Aéroports / aérogares
(&gt;1 000 passagers/an)</t>
  </si>
  <si>
    <t>Gares ferroviaires et stations
(dotés de sanitaires)</t>
  </si>
  <si>
    <t>Ports de plaisance / capitaineries</t>
  </si>
  <si>
    <t>Terminaux maritimes / fluviaux</t>
  </si>
  <si>
    <t>Aéronefs commerciaux</t>
  </si>
  <si>
    <t>Rames ferroviaires voyageurs</t>
  </si>
  <si>
    <t xml:space="preserve">Ferries et navires à passagers </t>
  </si>
  <si>
    <t>Autocars
(dotés de sanitaires collectifs)</t>
  </si>
  <si>
    <t>Locaux de sûreté, garde à vue et zones opérationnelles</t>
  </si>
  <si>
    <t>Postes de proximité et antennes avec accueil public</t>
  </si>
  <si>
    <t>Salles de réunion, de prévention ou de conférence ouvertes au public</t>
  </si>
  <si>
    <t>Unités d'hébergement des militaires &amp; réservistes</t>
  </si>
  <si>
    <t>Centres de recrutement et bureaux d’information</t>
  </si>
  <si>
    <t>Restaurants ou équipements sportifs ouverts au public sur emprise militaire</t>
  </si>
  <si>
    <t>Salles de conférence, auditoriums et espaces événementiels ouverts au public</t>
  </si>
  <si>
    <t>Maisons d’arrêt</t>
  </si>
  <si>
    <t>Centres de détention</t>
  </si>
  <si>
    <t>Maisons centrales</t>
  </si>
  <si>
    <t>Centres pénitentiaires</t>
  </si>
  <si>
    <t>Centres de semi-liberté</t>
  </si>
  <si>
    <t>Centres éducatifs fermés</t>
  </si>
  <si>
    <t>Centres pour peines aménagées
(absorbés par autres centres carcéraux)</t>
  </si>
  <si>
    <t>Palais de justice et bâtiments judiciaires multi-usages</t>
  </si>
  <si>
    <t>Maisons de justice et du droit</t>
  </si>
  <si>
    <t>Tribunaux de commerce autonomes</t>
  </si>
  <si>
    <t>Conseils de prud’hommes autonomes</t>
  </si>
  <si>
    <t>Toilettes publiques (sur la voie publique)</t>
  </si>
  <si>
    <t>Bains-douches municipaux / douches publiques fixes</t>
  </si>
  <si>
    <t xml:space="preserve">Cimetières 
(dotés de sanitaires collectifs) </t>
  </si>
  <si>
    <t>Chambres funéraires / funérariums</t>
  </si>
  <si>
    <t>Crématoriums</t>
  </si>
  <si>
    <t>Classement ERP</t>
  </si>
  <si>
    <t>Comptage</t>
  </si>
  <si>
    <t>2015-20</t>
  </si>
  <si>
    <t>2020-25</t>
  </si>
  <si>
    <t>2025-30</t>
  </si>
  <si>
    <t>Argu Evolution</t>
  </si>
  <si>
    <t>Detail Capacité par Public</t>
  </si>
  <si>
    <t>Detail Dimensionnement</t>
  </si>
  <si>
    <t>Volume Pièces</t>
  </si>
  <si>
    <t>Mix Type  Pièces</t>
  </si>
  <si>
    <t>Durée Vie - Type  Pièces</t>
  </si>
  <si>
    <t>Vol Lav 25-30</t>
  </si>
  <si>
    <t>Vol Douches 25-30</t>
  </si>
  <si>
    <t>Vol Urinoirs 25-30</t>
  </si>
  <si>
    <t>Vol WC 25-30</t>
  </si>
  <si>
    <t>33-36%</t>
  </si>
  <si>
    <t>17-19%</t>
  </si>
  <si>
    <t>79-81%</t>
  </si>
  <si>
    <t>Vtes Réno - Neuf</t>
  </si>
  <si>
    <t>Fiabilité - Hypothèses</t>
  </si>
  <si>
    <t>Potentiel-Projets-Dynamisme-Menaces</t>
  </si>
  <si>
    <t>Réno-Neuf</t>
  </si>
  <si>
    <t>Niveau de Confort - Global</t>
  </si>
  <si>
    <t>Niveau de Confort - Type Pdt</t>
  </si>
  <si>
    <t>Drivers - Tendances -Niveau de Confort</t>
  </si>
  <si>
    <t xml:space="preserve"> Exemples</t>
  </si>
  <si>
    <t>Fiabilité</t>
  </si>
  <si>
    <t>2025-2030</t>
  </si>
  <si>
    <t xml:space="preserve"> Nombre Pièces - Robinetterie collectivité - Etablissements Recevant du Public - IMPERATIVEMENT dotés de sanitaires</t>
  </si>
  <si>
    <t>Mix 2025</t>
  </si>
  <si>
    <t>Mix 2030</t>
  </si>
  <si>
    <t>Durée Vie réelle : Nbre Années effectives de vie produit avant remplacement</t>
  </si>
  <si>
    <t xml:space="preserve">    Volumes 2025</t>
  </si>
  <si>
    <t>Volumes 2030</t>
  </si>
  <si>
    <t>Volumes 2025</t>
  </si>
  <si>
    <t xml:space="preserve">       Mix 2030</t>
  </si>
  <si>
    <t>Ventes 2026-2030</t>
  </si>
  <si>
    <t xml:space="preserve">       Dynamisme Ventes 2026-2030</t>
  </si>
  <si>
    <t>Parc 2025</t>
  </si>
  <si>
    <t xml:space="preserve">           Niveau</t>
  </si>
  <si>
    <t>Nbre Etablissements</t>
  </si>
  <si>
    <t xml:space="preserve">     par Etablissement</t>
  </si>
  <si>
    <t>Total 2025</t>
  </si>
  <si>
    <t>Total 2030</t>
  </si>
  <si>
    <t xml:space="preserve"> Lavabo</t>
  </si>
  <si>
    <t xml:space="preserve"> Douches</t>
  </si>
  <si>
    <t>Urinoirs - Chasse …</t>
  </si>
  <si>
    <t>WC - Chasse …</t>
  </si>
  <si>
    <t>Lavabo</t>
  </si>
  <si>
    <t>Douches</t>
  </si>
  <si>
    <t xml:space="preserve">          Lavabo</t>
  </si>
  <si>
    <t xml:space="preserve">      Tous produits</t>
  </si>
  <si>
    <t>Lavabos</t>
  </si>
  <si>
    <t>Urinoirs</t>
  </si>
  <si>
    <t>WC</t>
  </si>
  <si>
    <t xml:space="preserve">Fiabilité </t>
  </si>
  <si>
    <t>Hypothèses Rénovation</t>
  </si>
  <si>
    <t xml:space="preserve">      Global</t>
  </si>
  <si>
    <t xml:space="preserve"> Renovation</t>
  </si>
  <si>
    <t xml:space="preserve">  Neuf brut</t>
  </si>
  <si>
    <t>Lavabos - Mitigeurs</t>
  </si>
  <si>
    <t>Lavabos - Tempo. méca</t>
  </si>
  <si>
    <t>Lavabos - Tempo. électro</t>
  </si>
  <si>
    <t>Lavabos - Autres</t>
  </si>
  <si>
    <t>Douches - Mitigeurs</t>
  </si>
  <si>
    <t>Douches - Tempo. méca</t>
  </si>
  <si>
    <t>Douches - Tempo. électro</t>
  </si>
  <si>
    <t>Urinoirs - à Réservoir</t>
  </si>
  <si>
    <t>Urinoirs - Directe méca.</t>
  </si>
  <si>
    <t>Urinoirs - Directe électro indiv.</t>
  </si>
  <si>
    <t>Urinoirs - Directe électro collect.</t>
  </si>
  <si>
    <t>WC - à Réservoir</t>
  </si>
  <si>
    <t>WC - Directe méca.</t>
  </si>
  <si>
    <t>WC - Directe électro</t>
  </si>
  <si>
    <t>Volumes - Toutes Pièces</t>
  </si>
  <si>
    <t xml:space="preserve">       Fiabilité</t>
  </si>
  <si>
    <t xml:space="preserve"> Incertitude</t>
  </si>
  <si>
    <t xml:space="preserve">      Fiabilité</t>
  </si>
  <si>
    <t>ID</t>
  </si>
  <si>
    <t>Catégorie chapeau</t>
  </si>
  <si>
    <t>Type ERP principal</t>
  </si>
  <si>
    <t>Type de classement</t>
  </si>
  <si>
    <t>ERP
Hors ERP
Mixte</t>
  </si>
  <si>
    <t>Accueil Public : oui/non
variable</t>
  </si>
  <si>
    <t>Notes de classement</t>
  </si>
  <si>
    <t>Présence de sommeil
(oui-non
variable)</t>
  </si>
  <si>
    <t>Espaces sanitaires collectifs
(WC et/ou douche)</t>
  </si>
  <si>
    <t>Unité de compte retenue</t>
  </si>
  <si>
    <t>Nature de la donnée</t>
  </si>
  <si>
    <t>Niveau de fiabilité</t>
  </si>
  <si>
    <t>Sous-catégorie incluse dans …</t>
  </si>
  <si>
    <t>Inclure dans 
Total France (1/0)</t>
  </si>
  <si>
    <t>Surface moyenne 2026
(m²/étab.)</t>
  </si>
  <si>
    <t>Justification Taille Parc 
&amp; Evolution-Variation
2026-2030</t>
  </si>
  <si>
    <t>Calculs &amp; Sources - Taille Parc 
&amp; Evolution-Variation
2026-2030</t>
  </si>
  <si>
    <t>Sources (URL)</t>
  </si>
  <si>
    <t xml:space="preserve">Capacité instantanée
Moyenne 2026 
TOTAL
</t>
  </si>
  <si>
    <t xml:space="preserve">Capacité instantanée
Moyenne 2026 
Usagers Principaux
</t>
  </si>
  <si>
    <t xml:space="preserve">Capacité instantanée
Moyenne 2026 
Staff
</t>
  </si>
  <si>
    <t xml:space="preserve">Capacité instantanée
Moyenne 2026 
Autre Public
</t>
  </si>
  <si>
    <t>Dimensionnement sanitaire
retenu par Etablissement
Sanitaires collectifs &gt;5 pers.
Sanitaires individuels uniquement pour 
Univers Carcéral, Santé, EHPAD-USLD</t>
  </si>
  <si>
    <t>Argumentaire détaillé
(Dimensionnement unitaire + Hypothèse d'usage)</t>
  </si>
  <si>
    <t>Pondération terrain / Hypothèse d’usage</t>
  </si>
  <si>
    <t>Sources de dimensionnement
(URL / références)</t>
  </si>
  <si>
    <t>TOTAL Pièces</t>
  </si>
  <si>
    <t>TOTAL Lavabos</t>
  </si>
  <si>
    <t>Mitigeurs</t>
  </si>
  <si>
    <t>Tempo. Méca</t>
  </si>
  <si>
    <t>Tempo. Electro</t>
  </si>
  <si>
    <t>Autres</t>
  </si>
  <si>
    <t>à Réservoir</t>
  </si>
  <si>
    <t>Directe méca.</t>
  </si>
  <si>
    <t>Directe electro indiv</t>
  </si>
  <si>
    <t>Directe electro collect.</t>
  </si>
  <si>
    <t>Directe mécanique</t>
  </si>
  <si>
    <t>Directe electro</t>
  </si>
  <si>
    <t>Justification
Durée de Vie réelle</t>
  </si>
  <si>
    <t>Justification
Mix Lavabos
2025</t>
  </si>
  <si>
    <t xml:space="preserve">Évolution 
Lavabos
2025 → 2030 </t>
  </si>
  <si>
    <t>Justification
Mix Douches 
2025</t>
  </si>
  <si>
    <t xml:space="preserve">Évolution 
Douches
2025 → 2030 </t>
  </si>
  <si>
    <t>Justification 
Mix Urinoirs 
2025</t>
  </si>
  <si>
    <t xml:space="preserve">Évolution 
Urinoirs
2025 → 2030 </t>
  </si>
  <si>
    <t>Justification 
Mix WC 
2025</t>
  </si>
  <si>
    <t xml:space="preserve">Évolution 
WC
2025→2030 </t>
  </si>
  <si>
    <t>Split Rénovation %</t>
  </si>
  <si>
    <t>Split Neuf %</t>
  </si>
  <si>
    <t>Total</t>
  </si>
  <si>
    <t>Rénovation</t>
  </si>
  <si>
    <t>Neuf brut</t>
  </si>
  <si>
    <t>Split %
Rénovation vs. Neuf</t>
  </si>
  <si>
    <t>Hypothèse % 
Parc  2025 rénové</t>
  </si>
  <si>
    <t>Hypothèse % 
Réalisat° Travaux Réno</t>
  </si>
  <si>
    <t>Justification
% Réalisation</t>
  </si>
  <si>
    <t xml:space="preserve">Score Global
(sur 5) </t>
  </si>
  <si>
    <t>Classement Global
sur 147 sous-segm.</t>
  </si>
  <si>
    <t xml:space="preserve">Score Renovation
(sur 5) </t>
  </si>
  <si>
    <t>Classement sur 103 
Sous-Segments</t>
  </si>
  <si>
    <t xml:space="preserve">Score Neuf brut
 (sur 5) </t>
  </si>
  <si>
    <t>Rénovation
Potentiel 
2026-2030</t>
  </si>
  <si>
    <t>Neuf
Potentiel 
2026-2030</t>
  </si>
  <si>
    <t>Rénovation
Projets Phares
Programmes &amp; Exemples
2026-2030</t>
  </si>
  <si>
    <t>Neuf
Projets Phares
Programmes &amp; Exemples
2026-2030</t>
  </si>
  <si>
    <t>Rénovation
Dynamique &amp; Menaces
2026-2030</t>
  </si>
  <si>
    <t>Neuf
Dynamique &amp; Menaces
2026-2030</t>
  </si>
  <si>
    <t>Neuf &amp; Rénovation
Ventes - Dynamique &amp; Menaces
Sources &amp; URL
2026-2030</t>
  </si>
  <si>
    <t>Total Volumes 
Parc 
2025</t>
  </si>
  <si>
    <t>Entrée</t>
  </si>
  <si>
    <t>Basique</t>
  </si>
  <si>
    <t>Moyen</t>
  </si>
  <si>
    <t>Premium</t>
  </si>
  <si>
    <t>Luxe</t>
  </si>
  <si>
    <t>Total Volumes 
Ventes
2026-2030</t>
  </si>
  <si>
    <t>Appréciation</t>
  </si>
  <si>
    <t>Segmentation par Niveau de Confort
Commentaires</t>
  </si>
  <si>
    <t>Parc</t>
  </si>
  <si>
    <t>Ventes
2026-2030</t>
  </si>
  <si>
    <t>Drivers 
Parc existant</t>
  </si>
  <si>
    <t>Tendances 
Ventes 2026-2030</t>
  </si>
  <si>
    <t>Drivers 
Ventes 2026-2030</t>
  </si>
  <si>
    <t>-</t>
  </si>
  <si>
    <t>Total additionne
lignes = 1</t>
  </si>
  <si>
    <t>Moyenne pondérée / total France</t>
  </si>
  <si>
    <t>Synthèse pondérée France : sanitaires collectifs &gt;5 pers., hors individuels sauf EHPAD/USLD.</t>
  </si>
  <si>
    <t>Méthode : partir d’1 minimum sanitaire réaliste, ajusté selon taille, fréquentat° probable, puis appliquer 1 moyenne pondérée terrain (éviter qu’1 cas extrême biaise le sous-segment). Enfin, correct° selon intensité d’usage : passage court, usage quotidien, activité salissante, sport, soins, etc.</t>
  </si>
  <si>
    <t>Références réglementaires, guides sectoriels et hypothèses de programmation utilisés pour le programme sanitaire unitaire.</t>
  </si>
  <si>
    <t>La durée de vie réelle dépend surtout de l’usage, de la maintenance, du vandalisme et du mode de rénovation, plus que de la durée théorique fabricant. Plus courte dans les sites à fort trafic ou à fortes contraintes d’hygiène, plus longue dans les environnements plus calmes. Les équipements mécaniques robustes tiennent souvent bien dans les usages intensifs, tandis que les solutions électroniques peuvent être renouvelées plus tôt pour raisons de capteurs, batteries, électrovannes ou modernisation. Part importante des remplacements se fait par lots ou lors de rénovations, pas seulement à la panne.</t>
  </si>
  <si>
    <t>La temporisation mécanique reste structurante dans les parcs intensifs ; la bascule 2025→2030 se fait surtout au profit de l'électronique sur les rénovations lourdes et les bâtiments tertiaires/publics.</t>
  </si>
  <si>
    <t>Dominant, le mitigeur recule, à chaque rénovation prévue et en neuf. Le tempo méca. résiste bien (vs. électro=&gt; budget, installat°, entretien), mais électronique remplace en grande majorité le mitigeur (à nuancer en fonction du type d'ERP).</t>
  </si>
  <si>
    <t xml:space="preserve">Parc dominé par le tempo. mécanique et distance en nombre les mitigeurs. Electronique 5 à 6 fois moins représenté (que mécanique) =&gt; usage plus long, détection moins fiable que lavabo, moins de confort thermique potentiel. </t>
  </si>
  <si>
    <t>Hausse 'électronique plus graduelle (qu'en lavabo) et variable selon ERP (exemple : plus forte sur tertiaire, commerce, que sur univers carcéral).</t>
  </si>
  <si>
    <t>Parc dominé par tempo méca : robustesse, simplicité, adaptation aux usages intensifs. Electronique progresse mais reste minoritaire, freinée par contraintes maintenance/coût.</t>
  </si>
  <si>
    <t>Part temporisé électro. augmente légèrement =&gt; enjeux hygiène sans contact + maîtrise de conso. eau. Mécanique recule légèrement mais reste majoritaire =&gt; fiabilité en usage intensif.</t>
  </si>
  <si>
    <t>Parc WC repose surtout sur systèmes gravitaires, mécaniques, robustes, économiques, faciles à maintenir. Electronique secondaire mais présent dans lieux premium ou à forte exigence sanitaire.</t>
  </si>
  <si>
    <t>Electronique gagne du terrain, surtout sur ERP récents-rénovés =&gt; exigences hygiène + automatisation =&gt; Progression faible : solutions méca conservent avantage coût/fiabilité.</t>
  </si>
  <si>
    <t>Agrégat Pondéré</t>
  </si>
  <si>
    <t>Taux moyen pondéré France de matérialisation des travaux sur 2026-2030.</t>
  </si>
  <si>
    <t>La rénovation domine et reste plus résiliente que le neuf, dépendant moins de créations nettes d’établissements que de cycles de remplacement incompressibles, de remises à niveau d’hygiène/usage et de travaux diffus sur un parc installé très vaste et largement assujetti à des cycles de remplacement / mise à niveau. Sous-segments phares =&gt; Restaurants, EHPAD, Bureaux &gt;50 pers., Écoles primaires, Gymnases, Salles multisports et Mairies.</t>
  </si>
  <si>
    <t>Neuf plus sélectif, dépendant des cycles économiques, porté par créations d’établissements + programmes publics-privés (santé, sport, France services, industrie, carcéral, aéroports). Rythme plus volatil, concentré sur  projets structurants. Sous-segments phares en neuf =&gt; Bureaux, EHPAD, Hôtels, Enseignement supérieur, Santé, Equipements sportifs.</t>
  </si>
  <si>
    <t>Fonds vert / EduRénov ; Modernisation Hôpitaux (Ségur phase 2), Plan CNSA (réhab. EHPAD ; Normes accessibilité (Ad’AP)), Réno 5000 équipements sportifs (JO héritage) ; Loi de Programmation Militaire ; Transformation tertiaire ESG, France services.</t>
  </si>
  <si>
    <t>Prison : plan 15 000 places, Grands projets touristiques (resorts, parcs), Nouveaux hôpitaux + CHU (reconstructions), Cliniques privées + Pôles santé, Maisons de santé pluriprofessionnelles, Campus universitaires, Learning centers, Nouveaux terminaux aéroport, Logistique, entrepôts.</t>
  </si>
  <si>
    <t>Soutenue par décret Éco Énergie Tertiaire (EET) + Age avancé du parc + Logiques d’interventions par lots (sanitaires dans projets + larges : énergie, accessibilité, mise normes). Socle Investissements publics stable + Obligations réglementaires progressives =&gt; Marché résilient, diffus, peu dépendant de cycles économiques courts</t>
  </si>
  <si>
    <t>Dynamique positive, concentrée sur filières motrices (santé, enseignement sup, segments tertiaires). Forte dépendance : arbitrage budget public, décision invest. privé. Sensible =&gt; cycles éco, condit° financement, délais réalisat°. Ecart fréquent intentions vs. livraisons réelles =&gt; croissance + volatile - homogène, ciblée géographiquement</t>
  </si>
  <si>
    <t>https://www.ecologie.gouv.fr/eco-energie-tertiaire-eet
https://www.info.gouv.fr/actualite/segur-de-la-sante-de-nouveaux-investissements-pour-l-hopital
https://www.cnsa.fr/budget-et-financement/financement-des-esms/investissement-immobilier
https://www.agencedusport.fr/plan-5000-equipements-generation-2024
https://www.france-services.gouv.fr/actualites/labellisation-nouvelles-maisons-france-services
https://www.justice.gouv.fr/plan-15-000-places-prison
https://www.defense.gouv.fr/ministere/politique-defense/loi-programmation-militaire-2024-2030
https://www.economie.gouv.fr/cedef/reindustrialisation-informations
https://presse.groupeadp.fr/proposition-cre2027-2034/
https://www.garesetconnexions.sncf/fr/qui-sommes-nous/notre-modele-economique</t>
  </si>
  <si>
    <t>Bonne</t>
  </si>
  <si>
    <t>±4 pts</t>
  </si>
  <si>
    <t>±5 pts</t>
  </si>
  <si>
    <t>Agrégation volume × mix par sous-segment ; les gros gisements (bureaux, écoles, santé, sport, hôtels, transports) pèsent davantage dans le total que les niches.</t>
  </si>
  <si>
    <t>Total France pondéré par volumes 2025 et ventes 2026-2030 ; forte fréquentation tire le standard, image/privé tire premium, contrainte sanitaire renforce surtout le milieu de gamme technique.</t>
  </si>
  <si>
    <t>Agrégation volume × ventes 2026-2030 ; le neuf et les rénovations lourdes tirent le mix vers l’moyen/premium, mais la rénovation majoritaire garde un centre de gravité basique/moyen.</t>
  </si>
  <si>
    <t>TOTAL</t>
  </si>
  <si>
    <t>TERITAIRE
(ci-dessous)</t>
  </si>
  <si>
    <t>Evolution moyenne anuelle =&gt;</t>
  </si>
  <si>
    <t>0 = sous-catég.</t>
  </si>
  <si>
    <t>Variat° Annuelle en % =&gt;</t>
  </si>
  <si>
    <t>&lt;= Split en % =&gt;</t>
  </si>
  <si>
    <t>Split en % =&gt;</t>
  </si>
  <si>
    <t>Evolutions en Pts =&gt;</t>
  </si>
  <si>
    <t>Tertiaire &amp; Industriel</t>
  </si>
  <si>
    <t>W ou hors ERP</t>
  </si>
  <si>
    <t>Hors ERP dominant / ERP ponctuel selon accueil</t>
  </si>
  <si>
    <t>mixte</t>
  </si>
  <si>
    <t>non</t>
  </si>
  <si>
    <t>On compte uniquement les bureaux autonomes recevant des salariés sur site, avec sanitaires dédiés ou mutualisés sur place. Ne compter que les bureaux tertiaires privés classiques et ceux intégrés à des sites logistiques (hors usines), de plus de 50 personnes.</t>
  </si>
  <si>
    <t>Immeuble tertiaire privé, siège social, centre de services, bureau de site logistique</t>
  </si>
  <si>
    <t>oui</t>
  </si>
  <si>
    <t>Site
Etablissement principal</t>
  </si>
  <si>
    <t>proxy emploi / établissements 50+</t>
  </si>
  <si>
    <t>Moyenne</t>
  </si>
  <si>
    <t>Petit rebond 2021-2024 lié à la reprise de l’emploi et à la logistique/tertiaire encore dynamiques ; puis plateau et érosion légère à partir de 2026 avec la rationalisat° immobilière, sans crash du parc.</t>
  </si>
  <si>
    <t>Insee Flores 2024 établissements de 50 salariés ou plus ; proxy marché bureaux tertiaires privés.</t>
  </si>
  <si>
    <t>https://www.insee.fr/fr/statistiques/8266010
https://www.insee.fr/fr/statistiques/2012766
https://www.insee.fr/fr/statistiques/2496914</t>
  </si>
  <si>
    <t>Bureaux privés &gt;50 salariés : sanitaires salariés par noyaux d'étage, hors public.</t>
  </si>
  <si>
    <t>Capacité type ≈ 225 usagers principaux + 25 staff + 0 autre public. Occupation tertiaire stable sur journée, visiteurs faibles/non structurants. Dimensionnement unitaire retenu : cabinets et lavabos séparés selon effectif maximal simultané, pas de douche sauf usages spécifiques. Hypothèse d'usage : capacité simultanée moyenne 2026, répartition par flux réels, arrondie par blocs fonctionnels et exclusion des sanitaires strictement privatifs sauf cas explicitement collectifs.</t>
  </si>
  <si>
    <t>Profil grand, capacité moyenne ≈ 250 personnes. Moyenne pondérée terrain : parc majoritairement petits/moyens sites, grands sites intégrés sans surpondération ; usage 2025 modérée, majoritairement courte.</t>
  </si>
  <si>
    <t>ERP/accessibilité sanitaires publics : https://www.legifrance.gouv.fr/loda/article_lc/LEGIARTI000034485966/ ; Code du travail sanitaires salariés : https://www.legifrance.gouv.fr/codes/id/LEGISCTA000018531984 ; INRS : https://www.inrs.fr/publications/juridique/focus-juridiques/focus-sanitaires-toilettes.html</t>
  </si>
  <si>
    <t>Usage salarié prévisible, faible vandalisme, entretien régulier et rénovation par bail/aménagement; peu d'humidité. Durées longues, supérieures aux ERP publics ouverts. Qualité d’eau parfois défavorable, maintenance surtout corrective avec arbitrage budgétaire selon entreprise.</t>
  </si>
  <si>
    <t>Dans les bureaux, le mitigeur reste encore très présent dans le parc existant, mais l’électronique a gagné du terrain dans les rénovations tertiaires ; le temporisé mécanique est plus minoritaire que dans l’enseignement ou le sport. Ajustement ciblé 2025 : légère baisse du mitigeur et/ou légère hausse de l’électronique pour mieux refléter la modernisation déjà visible sur les rénovations de sanitaires communs.</t>
  </si>
  <si>
    <t>2025-2030 : progression de tempo electronique (+5,0%), surtout lors des renov. lourdes/neuf ; recul de mitigeur manuel (-5,0%) mais maintien d un socle robuste pour les remplacements partiels.</t>
  </si>
  <si>
    <t>Bureaux Tertiaire Privé (&gt;50 salariés) (hors usines et logistique ) : parc 2025 domine par mitigeur (50%), avec tempo mecanique en appoint. Le choix reflete usage salarie de jour, maintenance planifiee et contraintes Code du travail ; sanitaires salaries, cout global, robustesse et sobriete eau.</t>
  </si>
  <si>
    <t>2025-2030 : progression de tempo electronique (+3,0%), surtout lors des renov. lourdes/neuf ; recul de mitigeur (-6,0%) mais maintien d un socle robuste pour les remplacements partiels.</t>
  </si>
  <si>
    <t>Bureaux Tertiaire Privé (&gt;50 salariés) (hors usines et logistique ) : parc 2025 domine par directe mecanique (50%), avec directe electronique collective en appoint. Le choix reflete usage salarie de jour, maintenance planifiee et contraintes Code du travail ; sanitaires salaries, cout global, robustesse et sobriete eau.</t>
  </si>
  <si>
    <t>2025-2030 : progression de directe electronique indiv. (+3,0%), surtout lors des renov. lourdes/neuf ; recul de a reservoir (-2,0%) mais maintien d un socle robuste pour les remplacements partiels.</t>
  </si>
  <si>
    <t>Bureaux Tertiaire Privé (&gt;50 salariés) (hors usines et logistique ) : parc 2025 domine par reservoir (55%), avec chasse directe mecanique en appoint. Le choix reflete usage salarie de jour, maintenance planifiee et contraintes Code du travail ; sanitaires salaries, cout global, robustesse et sobriete eau.</t>
  </si>
  <si>
    <t>2025-2030 : progression de chasse directe electronique (+5,0%), surtout lors des renov. lourdes/neuf ; recul de reservoir (-8,0%) mais maintien d un socle robuste pour les remplacements partiels.</t>
  </si>
  <si>
    <t>Moyenne à Bonne</t>
  </si>
  <si>
    <t>80,4% retenu : besoins transformes en travaux selon usage salarie de jour, maintenance planifiee et contraintes Code du travail. Le phasage budgetaire, les fermetures partielles et la maintenance courante limitent la conversion totale.</t>
  </si>
  <si>
    <t>Potentiel renovation : tire par sanitaires salaries, cout global, robustesse et sobriete eau. Les remplacements sont plutot par lots, avec arbitrage entre urgence sanitaire, budget et capacite a intervenir en site occupe.</t>
  </si>
  <si>
    <t>Potentiel neuf : limite pour bureaux tertiaire privé (&gt;50 salariés) (hors usines et logistique ), surtout via extensions, reconstructions ou projets locaux. Le neuf reste contraint par foncier, budgets et delais de mise en service.</t>
  </si>
  <si>
    <t>Projets phares renovation : reprise de blocs sanitaires, accessibilite, ventilation, economie d eau, remplacement des pieces usees et adaptation aux pics de frequentation propres au sous-segment.</t>
  </si>
  <si>
    <t>Projets phares neuf : creations ou reconstructions selectives, integration de sanitaires plus sobres, robustes et faciles a maintenir des la conception.</t>
  </si>
  <si>
    <t>Dynamique renovation 2026-2030 : moderee, car l usure et l hygiene rendent les interventions recurrentes. Menaces : arbitrages d investissement, travaux en exploitation et cout de maintenance.</t>
  </si>
  <si>
    <t>Dynamique neuf 2026-2030 : faible a moderee, dependante des projets immobiliers, de la demographie locale et des budgets de maitrise d ouvrage.</t>
  </si>
  <si>
    <t>Parc existant centre sur le niveau mid, avec ventes 2026-2030 legerement plus qualitatives. Bureaux Tertiaire Privé (&gt;50 salariés) (hors usines et logistique ) : usage salarie de jour, maintenance planifiee et contraintes Code du travail; le mix reste guide par sanitaires salaries, cout global, robustesse et sobriete eau.</t>
  </si>
  <si>
    <t>Parc existant : sanitaires salaries, cout global, robustesse et sobriete eau; usage salarie de jour, maintenance planifiee et contraintes Code du travail. La montee en confort reste proportionnee au budget et au rythme de renovation.</t>
  </si>
  <si>
    <t>image client =&gt; premiumisation ciblee</t>
  </si>
  <si>
    <t>Bureaux Tertiaire Privé (&gt;50 salariés) (hors usines et logistique ) : ventes 2026-2030 en leger glissement vers moyen/premium lorsque le neuf ou les renov. lourdes interviennent. Le centre de gravite reste toutefois module par sanitaires salaries, cout global, robustesse et sobriete eau et par la part dominante de travaux sur parc existant.</t>
  </si>
  <si>
    <t>Sous-ensemble distingué de l'ancienne ligne 'Bureaux (&gt;50 personnes, tertiaire privé + logistique hors usines)'. Ventilation proxy pour isoler la logistique.</t>
  </si>
  <si>
    <t>proxy de ventilation d'une ligne existante (somme conservée)</t>
  </si>
  <si>
    <t>Ancienne ligne : Bureaux (&gt;50 personnes, tertiaire privé + logistique hors usines)</t>
  </si>
  <si>
    <t>Estimation calée sur parc national d'entrepôts / plateformes logistiques de grande taille, ramenée aux sites de + 50 personnes. Hausse portée par grands EPL, e-commerce et concentration des flux.</t>
  </si>
  <si>
    <t>SDES entrepôts et plateformes logistiques 2023-2024 ; Insee Flores 2024 ; proxy exploitants logistiques.</t>
  </si>
  <si>
    <t>Référence code travail - Bureaux &gt;50 pers. : cabinets/urinoirs par sexe + lavabos. Vestiaires et sanitaires salariés, douches selon postes salissants, horaires postés et maintenance.</t>
  </si>
  <si>
    <t>Capacité type ≈ 145 salariés/usagers principaux + 17 staff support + 8 visiteurs/prestataires. Application prioritaire du Code du travail : 1 lavabo/10 travailleurs, 1 WC + 1 urinoir/20 hommes, 2 WC/20 femmes, avec douches dès que les postes sont salissants ; arrondis par noyaux sanitaires/vestiaires. Calibrage selon capacité simultanée, répartition de flux et organisation réelle du site.</t>
  </si>
  <si>
    <t>Profil moyen, capacité moyenne ≈ 170 personnes. Moyenne pondérée terrain : parc majoritairement petits/moyens sites, grands sites intégrés sans surpondération ; usage 2025 modérée, majoritairement courte.</t>
  </si>
  <si>
    <t>Code du travail, art. R4228-1 à R4228-10 (installations sanitaires, vestiaires, lavabos, douches, WC) : https://www.legifrance.gouv.fr/codes/section_lc/LEGITEXT000006072050/LEGISCTA000018489205/ ; https://code.travail.gouv.fr/code-du-travail/r4228-10</t>
  </si>
  <si>
    <t>Usage soutenu, parfois salissant, avec vestiaires et douches davantage sollicités. Les durées réelles restent correctes grâce à une maintenance technique présente, mais l'intensité et l'environnement raccourcissent les douches et les organes exposés. Les renouvellements se font souvent par vestiaires ou batteries sanitaires pendant des arrêts programmés. Industrie / logistique / vestiaires salariés : Usage posté, vestiaires et sanitaires salariés sollicités, qualité d’eau parfois défavorable, maintenance surtout corrective avec arbitrage budgétaire industriel.</t>
  </si>
  <si>
    <t>Parc 2025 domine par tempo mecanique (60%+). Mitigeur manuel en appoint et éléctronique à même ordre de grandeur. Le choix reflete usage salarie, maintenance planifiee et contraintes Code du travail ; sanitaires salaries, cout global, robustesse et sobriete eau.</t>
  </si>
  <si>
    <t>Dans les bureaux, la projection 2030 privilégie la montée de l’électronique sur les rénovations tertiaires ; le temporisé mécanique reste secondaire et le mitigeur recule surtout dans les immeubles neufs ou rénovés.</t>
  </si>
  <si>
    <t>Entrepôts/logistique : douches de vestiaires salariés, mix tertiaire-logistique avec mitigeur dominant et temporisé mécanique significatif.</t>
  </si>
  <si>
    <t>Évolution modérée vers temporisé/électronique lors de rénovations, sous contrainte robustesse, maintenance et économie d’eau.</t>
  </si>
  <si>
    <t>Les urinoirs automatiques sont désormais courants dans l’immobilier tertiaire récent, sans avoir complètement remplacé le parc mécanique/direct existant.</t>
  </si>
  <si>
    <t>Projection prudente : recul des systèmes les plus anciens et progression graduelle de l’automatique.</t>
  </si>
  <si>
    <t>Le réservoir reste légèrement majoritaire dans le stock, mais la chasse directe et l’électronique sont déjà bien représentées dans les immeubles récents.</t>
  </si>
  <si>
    <t>Dans les bureaux, la progression va surtout du réservoir vers l’électronique dans les opérations tertiaires lourdes ; le direct simple reste intermédiaire.</t>
  </si>
  <si>
    <t>82,9% retenu : EET, ESG et repositionnement d’actifs rendent la réno concrète, mais la vacance et les arbitrages immobiliers étalent les travaux.</t>
  </si>
  <si>
    <t>Potentiel rénovation élevé : très soutenu par le décret tertiaire, le repositionnement ESG et le besoin d’améliorer l’expérience salariés. Les lavabos et les WC portent l’essentiel des volumes, avec un poids secondaire des équipements spécialisés. En rénovation, le marché reste orienté vers des gammes fiables, disponibles et rapides à poser afin de limiter l’arrêt d’exploitation.</t>
  </si>
  <si>
    <t>Potentiel neuf moyen à soutenu : le neuf existe surtout sur des immeubles prime, campus et programmes mixtes, mais le marché reste très sélectif. Le neuf est réel mais secondaire.</t>
  </si>
  <si>
    <t>Projets phares réno : sanitaires salariés/visiteurs, douches vélo, parties communes, repositionnement d’immeubles anciens ou secondaires.</t>
  </si>
  <si>
    <t>Projets phares neuf : immeubles prime, campus tertiaires, bureaux intégrés à des opérations mixtes ou logistiques.</t>
  </si>
  <si>
    <t>Dynamique réno 2026-2030 : élevée et plus lisible que le neuf ; le remplacement sanitaire accompagne souvent la montée en qualité des immeubles.</t>
  </si>
  <si>
    <t>Dynamique neuf 2026-2030 : modérée, avec polarisation sur les meilleurs actifs et un écart important entre autorisations et chantiers. Le marché est polarisé entre prime et seconde main, ce qui renforce encore le poids de la rénovation.</t>
  </si>
  <si>
    <t>Parc existant surtout intermédiaire. Les ventes se décalent légèrement vers intermédiaire, sous l’effet combiné de l’hygiène, de l’image et des rénovations lourdes. Le neuf est un peu plus qualitatif que la rénovation, sans renverser le centre de gravité du mix. Bureaux tertiaires : le parc existant reste largement standard/intermédiaire, mais le tertiaire rénové et les sièges cherchent plus de qualité perçue, d’image et d’hygiène.</t>
  </si>
  <si>
    <t>Bureaux tertiaires : le parc existant reste largement standard/intermédiaire, mais le tertiaire rénové et les sièges cherchent plus de qualité perçue, d’image et d’hygiène.</t>
  </si>
  <si>
    <t>image + privé ⇒ premium/luxe ↑ ; contrainte sanitaire ⇒ standard/intermédiaire technique ↑ ; poids du neuf significatif ⇒ premiumisation des ventes &gt; parc</t>
  </si>
  <si>
    <t>Centres de stockage / entrepôts / plateformes logistiques (&gt;50 personnes) : tertiaire privé majoritairement standard, avec premium concentré sur sièges, campus et immeubles récents. Ventes 2026-2030 : glissement vers davantage de moyen / premium, surtout sur lavabo (+14,6 pts sur premium+luxe), WC (+12,4 pts sur premium+luxe), urinoir (+9,7 pts sur premium+luxe). La rénovation reste majoritaire (70% des ventes, contre 30% en neuf) ; le neuf tire le mix vers le haut sans renverser le centre de gravité. L’écart de niveau de confort entre neuf et rénovation est net.</t>
  </si>
  <si>
    <t>Hors ERP</t>
  </si>
  <si>
    <t>hors ERP</t>
  </si>
  <si>
    <t>Tout type d’usine de plus de 50 personnes, avec sanitaires dédiés ou mutualisés sur place. Hors bureaux autonomes et hors entrepôts / logistique sans fabrication.</t>
  </si>
  <si>
    <t>proxy emploi / établissements industriels 50+</t>
  </si>
  <si>
    <t>Série revue à partir du socle d'étab. industriels + 50 salariés, retranchant ateliers / maintenance (isoler les usines). Baisse jusqu'à 2020, puis stabilisation et légère reprise avec la réindustrialisation récente.</t>
  </si>
  <si>
    <t>Insee Flores 2024 ; Insee Focus 2024 sur les établissements manufacturiers ; Baromètre industriel de l'État 2024.</t>
  </si>
  <si>
    <t>https://www.insee.fr/fr/statistiques/8266010
https://www.insee.fr/fr/statistiques/2012766
https://www.insee.fr/fr/statistiques/8673351</t>
  </si>
  <si>
    <t>Usine &gt;50 salariés : sanitaires/vestiaires salariés + douches si travaux salissants.</t>
  </si>
  <si>
    <t>Capacité type ≈ 225 usagers principaux + 20 staff + 5 autre public. Équipes de production et maintenance, visiteurs/prestataires minoritaires. Dimensionnement unitaire retenu : blocs par vestiaires/ateliers, douches collectives quand l'activité le justifie. Hypothèse d'usage : capacité simultanée moyenne 2026, répartition par flux réels, arrondie par blocs fonctionnels et exclusion des sanitaires strictement privatifs sauf cas explicitement collectifs.</t>
  </si>
  <si>
    <t>Usage soutenu, salissures industrielles, avec vestiaires, douches davantage sollicités. Durées réelles restent correctes grâce à une maintenance technique présente, mais intensité et environnement raccourcissent les douches. Maintenance technique disponible mais contraintes de production. Renouvellements souvent par vestiaires ou batteries sanitaires pendant arrêts programmés. Industrie / vestiaires salariés : Usage posté, vestiaires et sanitaires salariés sollicités, qualité d’eau parfois défavorable, maintenance surtout corrective avec arbitrage budgétaire industriel. Proche logistique, avantage aux mécaniques robustes.</t>
  </si>
  <si>
    <t>Usines (&gt;50 salariés) (Hors Ateliers industriels) : parc 2025 domine par tempo mecanique (50%), avec mitigeur manuel en appoint. Le choix reflete usage salarie de jour, maintenance planifiee et contraintes Code du travail ; sanitaires salaries, cout global, robustesse et sobriete eau.</t>
  </si>
  <si>
    <t>Usines (&gt;50 salariés) (Hors Ateliers industriels) : parc 2025 domine par mitigeur (50%), avec tempo mecanique en appoint. Le choix reflete usage salarie de jour, maintenance planifiee et contraintes Code du travail ; sanitaires salaries, cout global, robustesse et sobriete eau.</t>
  </si>
  <si>
    <t>Usines (&gt;50 salariés) (Hors Ateliers industriels) : parc 2025 domine par directe mecanique (50%), avec directe electronique collective en appoint. Le choix reflete usage salarie de jour, maintenance planifiee et contraintes Code du travail ; sanitaires salaries, cout global, robustesse et sobriete eau.</t>
  </si>
  <si>
    <t>Usines (&gt;50 salariés) (Hors Ateliers industriels) : parc 2025 domine par reservoir (55%), avec chasse directe mecanique en appoint. Le choix reflete usage salarie de jour, maintenance planifiee et contraintes Code du travail ; sanitaires salaries, cout global, robustesse et sobriete eau.</t>
  </si>
  <si>
    <t>Potentiel neuf : limite pour usines (&gt;50 salariés) (hors ateliers industriels), surtout via extensions, reconstructions ou projets locaux. Le neuf reste contraint par foncier, budgets et delais de mise en service.</t>
  </si>
  <si>
    <t>Parc existant centre sur le niveau mid, avec ventes 2026-2030 legerement plus qualitatives. Usines (&gt;50 salariés) (Hors Ateliers industriels) : usage salarie de jour, maintenance planifiee et contraintes Code du travail; le mix reste guide par sanitaires salaries, cout global, robustesse et sobriete eau.</t>
  </si>
  <si>
    <t>Usines (&gt;50 salariés) (Hors Ateliers industriels) : ventes 2026-2030 en leger glissement vers moyen/premium lorsque le neuf ou les renov. lourdes interviennent. Le centre de gravite reste toutefois module par sanitaires salaries, cout global, robustesse et sobriete eau et par la part dominante de travaux sur parc existant.</t>
  </si>
  <si>
    <t>Sous-ensemble distingué de l'ancienne ligne 'Usines (&gt;50 personnes)'. Ventilation proxy pour isoler les ateliers et centres de maintenance.</t>
  </si>
  <si>
    <t>Ancienne ligne : Usines (&gt;50 personnes)</t>
  </si>
  <si>
    <t>Tendance baissière historique, stabilisation récente (besoins de maintenance et à quelques relocalisations industrielles). Incertitude  plus forte que pour les usines ou la logistique.</t>
  </si>
  <si>
    <t>Insee Flores 2024 ; Insee Focus 2024 sur l'industrie manufacturière ; proxy maintenance industrielle.</t>
  </si>
  <si>
    <t>Usine &gt;50 pers. : base code du travail + douches collectives d'atelier/vestiaires ; pas de sanitaires individuels.</t>
  </si>
  <si>
    <t>Capacité type ≈ 119 salariés/usagers principaux + 14 staff support + 7 prestataires/intérimaires. Application prioritaire du Code du travail : 1 lavabo/10 travailleurs, 1 WC + 1 urinoir/20 hommes, 2 WC/20 femmes, avec douches dès que les postes sont salissants ; arrondis par noyaux sanitaires/vestiaires. Calibrage selon capacité simultanée, répartition de flux et organisation réelle du site.</t>
  </si>
  <si>
    <t>Profil moyen, capacité moyenne ≈ 140 personnes. Moyenne pondérée terrain : parc majoritairement petits/moyens sites, grands sites intégrés sans surpondération ; usage 2025 modérée, majoritairement courte.</t>
  </si>
  <si>
    <t>Usage diffus, entretien régulier et qualité de finition plus élevée que dans les ERP de transit. Les durées de vie sont donc au-dessus de la moyenne. L'électronique reste plus courte si elle existe, surtout hors contrats de maintenance dédiés. Le remplacement se fait souvent par chambre ou par lot lors des rénovations d'étage. Hôtellerie / hébergement marchand : Usage plus résidentiel, faible vandalisme mais attente client élevée. renouvellement souvent par programme de rénovation chambre / salle de bains plus que par panne seule.</t>
  </si>
  <si>
    <t>Dans l’industrie, le parc commun privilégie la robustesse : temporisé mécanique dominant, avec une part d’équipements spécifiques/industriels classés en 'autres'.</t>
  </si>
  <si>
    <t>En industrie, la bascule reste limitée : le mitigeur baisse un peu, l’électronique progresse surtout dans les sanitaires d’accueil/tertiaires, mais le socle mécanique demeure robuste sur site.</t>
  </si>
  <si>
    <t>Les douches de vestiaires sont très majoritairement temporisées mécaniques sur le parc existant.</t>
  </si>
  <si>
    <t>Les douches d’usine progressent modérément vers l’électronique, mais le parc reste surtout robuste et mécanique.</t>
  </si>
  <si>
    <t>Les urinoirs restent surtout mécaniques ou collectifs anciens ; l’automatique est minoritaire.</t>
  </si>
  <si>
    <t>Le direct mécanique reste fort ; la baisse des réservoirs profite d’abord au mécanique robuste, l’automatique progressant plus lentement.</t>
  </si>
  <si>
    <t>La chasse directe est déjà très présente dans les blocs industriels à fort passage, même si le réservoir reste important dans le parc ancien.</t>
  </si>
  <si>
    <t>Le direct progresse pour robustesse, mais le parc existant conserve une forte inertie et le réservoir reste encore important.</t>
  </si>
  <si>
    <t>86,2% retenu : les sanitaires et vestiaires sont souvent repris lors de travaux sécurité/process, mais le phasage industriel limite une matérialisation totale.</t>
  </si>
  <si>
    <t>Potentiel rénovation élevé : vestiaires, douches, sanitaires et bâtiments sociaux doivent suivre les exigences de sécurité, d’hygiène et de recrutement. Les volumes se concentrent surtout sur lavabos et wc. En rénovation, les maîtres d’ouvrage privilégient des références robustes, vite posées et faciles à maintenir dans des ambiances humides.</t>
  </si>
  <si>
    <t>Potentiel neuf faible : soutenu par la réindustrialisation, la décarbonation et certains investissements France 2030/Choose France, mais très concentré par filière et par site. Le neuf est quasi nul dans le modèle et renvoie surtout à des reconstructions ou remplacements de sites.</t>
  </si>
  <si>
    <t>Projets phares réno : vestiaires, douches, sanitaires salariés, bases vie, bâtiments sociaux et modernisation d’ateliers existants.</t>
  </si>
  <si>
    <t>Projets phares neuf : nouvelles usines, extensions de capacité, ateliers, bâtiments salariés et bases vie liées à la décarbonation ou à la relocalisation.</t>
  </si>
  <si>
    <t>Dynamique réno 2026-2030 : soutenue, car elle accompagne la modernisation des sites existants et l’amélioration des conditions de travail.</t>
  </si>
  <si>
    <t>Dynamique neuf 2026-2030 : réelle mais très polarisée ; les grands projets tirent le marché, tandis que beaucoup d’intentions ne passent pas toutes en chantiers dans les mêmes délais.</t>
  </si>
  <si>
    <t>Parc existant surtout standard. Les ventes restent proches du parc, centré sur standard, car le trafic et la robustesse maintiennent un cahier des charges très fonctionnel. La rénovation restant majoritaire, le mix de ventes reste proche du parc et monte surtout d’un cran sur les opérations lourdes. Sites industriels : le sanitaire suit d’abord la logique d’exploitation, d’entretien et de robustesse ; l’image pèse peu hors bâtiments administratifs.</t>
  </si>
  <si>
    <t>Sites industriels : le sanitaire suit d’abord la logique d’exploitation, d’entretien et de robustesse ; l’image pèse peu hors bâtiments administratifs.</t>
  </si>
  <si>
    <t>forte fréquentation ⇒ standard ↑, premium/luxe ↓ ; rénovation dominante ⇒ progression graduelle</t>
  </si>
  <si>
    <t>Usines (&gt;50 personnes) : sanitaires d’usine exposés aux usages intensifs et à une logique strictement fonctionnelle. Ventes 2026-2030 : glissement vers davantage de moyen / premium. La rénovation reste majoritaire (81% des ventes, contre 19% en neuf) ; le neuf tire le mix vers le haut sans renverser le centre de gravité. L’écart de niveau de confort entre neuf et rénovation reste perceptible.</t>
  </si>
  <si>
    <t>Culte, Vie civique &amp; Services publics</t>
  </si>
  <si>
    <t>W</t>
  </si>
  <si>
    <t>ERP</t>
  </si>
  <si>
    <t>Administrations recevant du public.</t>
  </si>
  <si>
    <t>série publique directe</t>
  </si>
  <si>
    <t>Elevé</t>
  </si>
  <si>
    <t>Recompte par sites administratifs municipaux. Base = nbre communes (DGCL/Insee) ; supplément = subdivisions communales officiellement dotées d’annexe de mairie (communes associées, communes déléguées, arrondissements municipaux).</t>
  </si>
  <si>
    <t>nombre de communes = proxy du nombre de mairies principales. Dynamique projetée 2027-2030: baisse très lente. Fiabilité: bonne.</t>
  </si>
  <si>
    <t>https://www.vie-publique.fr/en-bref/298350-collectivites-34-875-communes-au-1er-janvier-2025</t>
  </si>
  <si>
    <t>Mairie/hôtel de ville : bloc public/état civil + sanitaires agents.</t>
  </si>
  <si>
    <t>Capacité type ≈ 25 usagers principaux + 12 staff + 3 autre public. Accueil administratif de proximité, salles de réunion et élus/agents. Dimensionnement unitaire retenu : 1 bloc public accessible + sanitaires personnel, ajustés par taille de commune. Hypothèse d'usage : capacité simultanée moyenne 2026, répartition par flux réels, arrondie par blocs fonctionnels et exclusion des sanitaires strictement privatifs sauf cas explicitement collectifs.</t>
  </si>
  <si>
    <t>Profil petit, capacité moyenne ≈ 40 personnes. Moyenne pondérée terrain : parc majoritairement petits/moyens sites, grands sites intégrés sans surpondération ; usage 2025 forte à très forte.</t>
  </si>
  <si>
    <t>Accueil public régulier mais flux modéré, cérémonies ponctuelles et faible humidité; maintenance patrimoniale municipale. Long, proche préfecture mais trafic moindre. Usage public régulier globalement respectueux, avec maintenance patrimoniale classique. Temporisés mécaniques gardent un léger avantage de durée réelle. Electronique reste plus courte si la maintenance n'est pas contractualisée. Remplacements se font plutôt par bâtiment ou par noyau sanitaire lors de travaux programmés. Usage tertiaire moyen, faible vandalisme, rénovations par lots tirées par l’accessibilité et la trajectoire Éco Énergie Tertiaire.</t>
  </si>
  <si>
    <t>Dans les mairies, préfectures et grands bâtiments administratifs, le parc existant reste équilibré entre mitigeur et solutions plus ERP ; l’électronique est déjà bien présente sur les rénovations. Le choix reflete accueil public de jour, flux moderes et renov. liees aux rogrammes patrimoniaux ; accessibilite, image institutionnelle et maintenance sobre.</t>
  </si>
  <si>
    <t>Sans objet.</t>
  </si>
  <si>
    <t>Mairies / hôtels de ville : parc 2025 domine par directe mecanique (50%), avec directe electronique collective en appoint. Le choix reflete accueil public de jour, flux moderes et renov. liees aux programmes patrimoniaux ; accessibilite, image institutionnelle et maintenance sobre.</t>
  </si>
  <si>
    <t>Mairies / hôtels de ville : parc 2025 domine par reservoir (55%), avec chasse directe mecanique en appoint. Le choix reflete accueil public de jour, flux moderes et renov. liees aux programmes patrimoniaux ; accessibilite, image institutionnelle et maintenance sobre.</t>
  </si>
  <si>
    <t>77,4% retenu : besoins transformes en travaux selon accueil public de jour, flux moderes et renov. liees aux programmes patrimoniaux. Le phasage budgetaire, les fermetures partielles et la maintenance courante limitent la conversion totale.</t>
  </si>
  <si>
    <t>Potentiel renovation : tire par accessibilite, image institutionnelle et maintenance sobre. Les remplacements sont plutot par lots, avec arbitrage entre urgence sanitaire, budget et capacite a intervenir en site occupe.</t>
  </si>
  <si>
    <t>Potentiel neuf : limite pour mairies / hôtels de ville, surtout via extensions, reconstructions ou projets locaux. Le neuf reste contraint par foncier, budgets et delais de mise en service.</t>
  </si>
  <si>
    <t>Parc existant centre sur le niveau mid, avec ventes 2026-2030 legerement plus qualitatives. Mairies / hôtels de ville : accueil public de jour, flux moderes et renov. liees aux programmes patrimoniaux; le mix reste guide par accessibilite, image institutionnelle et maintenance sobre.</t>
  </si>
  <si>
    <t>Parc existant : accessibilite, image institutionnelle et maintenance sobre; accueil public de jour, flux moderes et renov. liees aux programmes patrimoniaux. La montee en confort reste proportionnee au budget et au rythme de renovation.</t>
  </si>
  <si>
    <t>Mairies / hôtels de ville : ventes 2026-2030 en leger glissement vers moyen/premium lorsque le neuf ou les renov. lourdes interviennent. Le centre de gravite reste toutefois module par accessibilite, image institutionnelle et maintenance sobre et par la part dominante de travaux sur parc existant.</t>
  </si>
  <si>
    <t>Hors ERP dominant / personnel uniquement</t>
  </si>
  <si>
    <t>Sites de gestion interne &gt;50 salariés, directions support sans accueil, back-offices administratifs de l’État, services techniques / RH / finances de collectivités, annexes administratives d’universités ou de rectorats, back-offices CPAM, CARSAT, ARS, MSA, CROUS, bâtiments administratifs hospitaliers séparés des zones patient/public</t>
  </si>
  <si>
    <t>Stock résiduel hors sous-segments déjà comptés dans le modèle : mairies, hôtels département/région … Érosion légère post-2025 liée à la rationalisation immobilière publique, au télétravail et aux regroupements de sites.</t>
  </si>
  <si>
    <t>Besoin back-office reste structurel compte tenu du volume d’agents publics et d’établissements employeurs publics. Nombre sites secondaires décroît légèrement =&gt; réduction ciblée de surfaces bureaux de l’État, mutualisation et fermeture/regroupement sites internes.</t>
  </si>
  <si>
    <t>https://www.insee.fr/fr/metadonnees/source/serie/s1042 ; https://www.insee.fr/fr/statistiques/8956736?geo=FRANCE-1 ; https://www.fonction-publique.gouv.fr/toutes-les-publications/rapport-annuel-sur-letat-de-la-fonction-publique-edition-2024 ; https://presse.economie.gouv.fr/bilan-2023-et-perspectives-2024-de-limmobilier-de-letat-un-parc-mieux-valorise-plus-sobre-et-plus-durable/</t>
  </si>
  <si>
    <t>Bureaux administratifs non ERP : sanitaires salariés par noyaux, visiteurs négligeables.</t>
  </si>
  <si>
    <t>Capacité type ≈ 150 usagers principaux + 17 staff + 3 autre public. Occupation de bureaux sans accueil public structurant. Dimensionnement unitaire retenu : cabinets/lavabos séparés selon effectif simultané et Code du travail. Hypothèse d'usage : capacité simultanée moyenne 2026, répartition par flux réels, arrondie par blocs fonctionnels et exclusion des sanitaires strictement privatifs sauf cas explicitement collectifs.</t>
  </si>
  <si>
    <t>Usage principalement salariés, peu de public et faible vandalisme; nettoyage régulier. Proche tertiaire privé, légèrement contraint par cycles budgétaires publics. Repères durées: lavabos 13/13/10 ans (mit./méca/élec.), douches 12/11/9, urinoirs 11/13/9/11, WC 14/14/10.</t>
  </si>
  <si>
    <t>Bureaux administratifs secondaires non ERP &gt;50 salariés : parc 2025 domine par tempo mecanique (55%), avec mitigeur manuel en appoint. Le choix reflete accueil public de jour, flux moderes et renov. liees aux programmes patrimoniaux ; accessibilite, image institutionnelle et maintenance sobre.</t>
  </si>
  <si>
    <t>2025-2030 : progression de tempo electronique (+3,0%), surtout lors des renov. lourdes/neuf ; recul de mitigeur manuel (-2,0%) mais maintien d un socle robuste pour les remplacements partiels.</t>
  </si>
  <si>
    <t>Bureaux administratifs secondaires non ERP &gt;50 salariés : parc 2025 domine par directe mecanique (45%), avec directe electronique indiv. en appoint. Le choix reflete accueil public de jour, flux moderes et renov. liees aux programmes patrimoniaux ; accessibilite, image institutionnelle et maintenance sobre.</t>
  </si>
  <si>
    <t>Bureaux administratifs secondaires non ERP &gt;50 salariés : parc 2025 domine par chasse directe mecanique (50%), avec reservoir en appoint. Le choix reflete accueil public de jour, flux moderes et renov. liees aux programmes patrimoniaux ; accessibilite, image institutionnelle et maintenance sobre.</t>
  </si>
  <si>
    <t>2025-2030 : progression de chasse directe electronique (+10,0%), surtout lors des renov. lourdes/neuf ; recul de reservoir (-10,0%) mais maintien d un socle robuste pour les remplacements partiels.</t>
  </si>
  <si>
    <t>77,6% retenu : besoins transformes en travaux selon accueil public de jour, flux moderes et renov. liees aux programmes patrimoniaux. Le phasage budgetaire, les fermetures partielles et la maintenance courante limitent la conversion totale.</t>
  </si>
  <si>
    <t>Potentiel neuf : limite pour bureaux administratifs secondaires non erp &gt;50 salariés, surtout via extensions, reconstructions ou projets locaux. Le neuf reste contraint par foncier, budgets et delais de mise en service.</t>
  </si>
  <si>
    <t>Parc existant centre sur le niveau mid, avec ventes 2026-2030 legerement plus qualitatives. Bureaux administratifs secondaires non ERP &gt;50 salariés : accueil public de jour, flux moderes et renov. liees aux programmes patrimoniaux; le mix reste guide par accessibilite, image institutionnelle et maintenance sobre.</t>
  </si>
  <si>
    <t>Bureaux administratifs secondaires non ERP &gt;50 salariés : ventes 2026-2030 en leger glissement vers moyen/premium lorsque le neuf ou les renov. lourdes interviennent. Le centre de gravite reste toutefois module par accessibilite, image institutionnelle et maintenance sobre et par la part dominante de travaux sur parc existant.</t>
  </si>
  <si>
    <t>ERP / variable</t>
  </si>
  <si>
    <t>Site / établissement principal</t>
  </si>
  <si>
    <t>ajout qualitatif – à quantifier avant intégration</t>
  </si>
  <si>
    <t>Élevé</t>
  </si>
  <si>
    <t>Ancrage sur 101 départements et 26 puis 18 régions ; supplément multi-sites fondé sur organisations territoriales officiellement affichées par Régions. Anciens doublons sites régionaux désormais traités plus restrictivement.</t>
  </si>
  <si>
    <t>Pour salariés, présence sanitaires universelle (code du travail) ; pour public, non-systématique. 2026-30 =&gt; Quelques sites centraux multiples subsistent , mais moins qu’avant la fusion régions.</t>
  </si>
  <si>
    <t>https://www.collectivites-locales.gouv.fr/bis-ndeg195-les-structures-territoriales-au-1er-janvier-2025
https://www.insee.fr/fr/statistiques/5039877?sommaire=5040030
https://www.insee.fr/fr/metadonnees/definition/c2297
https://www.collectivites-locales.gouv.fr/connaitre-les-acteurs-et-les-institutions/structures-territoriales/les-communes/le-territoire-communal/la-creation-dune-commune-nouvelle
https://codegeo.fr/
https://www.legifrance.gouv.fr/codes/section_lc/LEGITEXT000006072050/LEGISCTA000018489205/</t>
  </si>
  <si>
    <t>Hôtel département/région : bloc public/assemblée + sanitaires agents par étages.</t>
  </si>
  <si>
    <t>Capacité type ≈ 240 usagers principaux + 85 staff + 25 autre public. Accueil institutionnel, réunions, élus, agents et visiteurs. Dimensionnement unitaire retenu : batteries public/assemblée + noyaux salariés, PMR par niveaux ouverts. Hypothèse d'usage : capacité simultanée moyenne 2026, répartition par flux réels, arrondie par blocs fonctionnels et exclusion des sanitaires strictement privatifs sauf cas explicitement collectifs.</t>
  </si>
  <si>
    <t>Profil grand, capacité moyenne ≈ 350 personnes. Moyenne pondérée terrain : parc majoritairement petits/moyens sites, grands sites intégrés sans surpondération ; usage 2025 forte à très forte.</t>
  </si>
  <si>
    <t>Guichets territoriaux, flux sociaux/modérés, maintenance publique externalisée; faible humidité. Proche France Services, plus long si site récent et fréquentation faible. Repères durées: lavabos 13/14/10 ans (mit./méca/élec.), douches 12/11/9, urinoirs 11/13/9/11, WC 14/14/10.</t>
  </si>
  <si>
    <t>Hôtels du département Hôtels de région &amp; Services administratifs territoriaux : parc 2025 domine par tempo mecanique (50%), avec mitigeur manuel en appoint. Le choix reflete accueil public de jour, flux moderes et renov. liees aux programmes patrimoniaux ; accessibilite, image institutionnelle et maintenance sobre.</t>
  </si>
  <si>
    <t>Hôtels du département Hôtels de région &amp; Services administratifs territoriaux : parc 2025 domine par directe mecanique (50%), avec directe electronique collective en appoint. Le choix reflete accueil public de jour, flux moderes et renov. liees aux programmes patrimoniaux ; accessibilite, image institutionnelle et maintenance sobre.</t>
  </si>
  <si>
    <t>Hôtels du département Hôtels de région &amp; Services administratifs territoriaux : parc 2025 domine par reservoir (55%), avec chasse directe mecanique en appoint. Le choix reflete accueil public de jour, flux moderes et renov. liees aux programmes patrimoniaux ; accessibilite, image institutionnelle et maintenance sobre.</t>
  </si>
  <si>
    <t>Potentiel neuf : limite pour hôtels du département hôtels de région &amp; services administratifs territoriaux, surtout via extensions, reconstructions ou projets locaux. Le neuf reste contraint par foncier, budgets et delais de mise en service.</t>
  </si>
  <si>
    <t>Parc existant centre sur le niveau mid, avec ventes 2026-2030 legerement plus qualitatives. Hôtels du département Hôtels de région &amp; Services administratifs territoriaux : accueil public de jour, flux moderes et renov. liees aux programmes patrimoniaux; le mix reste guide par accessibilite, image institutionnelle et maintenance sobre.</t>
  </si>
  <si>
    <t>Hôtels du département Hôtels de région &amp; Services administratifs territoriaux : ventes 2026-2030 en leger glissement vers moyen/premium lorsque le neuf ou les renov. lourdes interviennent. Le centre de gravite reste toutefois module par accessibilite, image institutionnelle et maintenance sobre et par la part dominante de travaux sur parc existant.</t>
  </si>
  <si>
    <t>Commerce, Restauration &amp; Loisirs</t>
  </si>
  <si>
    <t>M</t>
  </si>
  <si>
    <t>Centres commerciaux et grands magasins.</t>
  </si>
  <si>
    <t>proxy public / estimation encadrée</t>
  </si>
  <si>
    <t>Le stock national évolue peu ; la série est volontairement prudente et cohérente avec un parc mature.</t>
  </si>
  <si>
    <t>Ancrage sur le parc CNCC/FACT de l'ordre de 835 centres commerciaux, puis filtre sanitaire clients très élevé. Fiabilité: bonne.</t>
  </si>
  <si>
    <t>https://www.lesacteursducommerce.com/wp-content/uploads/2022/08/29012021_CP_Le-CNCC-prend-acte-regrette-lannonce-pour-le-moins-surprenante-du-PM.pdf ; https://www.fcd.fr/le-secteur/ ; https://www.insee.fr/fr/statistiques/8610258?geo=FE-1
https://www.insee.fr/fr/metadonnees/source/serie/s1161</t>
  </si>
  <si>
    <t>Centre commercial : batteries clients par mail/étage + sanitaires personnel/commerçants.</t>
  </si>
  <si>
    <t>Capacité type ≈ 2870 usagers principaux + 450 staff + 180 autre public. Flux élevé mais réparti par zones, restauration et événements créant des pointes. Dimensionnement unitaire retenu : batteries multi-cabines aux pôles de flux et blocs staff/locataires, PMR par niveau. Hypothèse d'usage : capacité simultanée moyenne 2026, répartition par flux réels, arrondie par blocs fonctionnels et exclusion des sanitaires strictement privatifs sauf cas explicitement collectifs.</t>
  </si>
  <si>
    <t>Profil très grand, capacité moyenne ≈ 3500 personnes. Moyenne pondérée terrain : parc majoritairement petits/moyens sites, grands sites intégrés sans surpondération ; usage 2025 modérée à forte par pics.</t>
  </si>
  <si>
    <t>Trafic client élevé, usage anonyme, nettoyage multi-passage et pics week-end; maintenance professionnelle mais sollicitations fortes. Entre aéroport et hypermarché, électronique prudent. Pics fréquentation, peu d'appropriation des lieux et vandalisme non nul. Disponibilité immédiate requise, vandalisme et coûts d’exploitation élevés. La temporisation mécanique et la chasse directe sont favorisées.</t>
  </si>
  <si>
    <t>Centres commerciaux / Malls (dotés de sanitaires collectifs clients) : parc 2025 domine par tempo mecanique (55%), avec mitigeur manuel en appoint. Le choix reflete rotation clients/personnel, pics repas ou achats et pression sur image de marque ; experience client, debit de nettoyage, economie d eau et cout d exploitation.</t>
  </si>
  <si>
    <t>2025-2030 : progression de tempo electronique (+4,0%), surtout lors des renov. lourdes/neuf ; recul de mitigeur manuel (-4,0%) mais maintien d un socle robuste pour les remplacements partiels.</t>
  </si>
  <si>
    <t>Centres commerciaux / Malls (dotés de sanitaires collectifs clients) : parc 2025 domine par mitigeur (45%), avec tempo mecanique en appoint. Le choix reflete rotation clients/personnel, pics repas ou achats et pression sur image de marque ; experience client, debit de nettoyage, economie d eau et cout d exploitation.</t>
  </si>
  <si>
    <t>2025-2030 : progression de tempo electronique (+3,0%), surtout lors des renov. lourdes/neuf ; recul de mitigeur (-5,0%) mais maintien d un socle robuste pour les remplacements partiels.</t>
  </si>
  <si>
    <t>Centres commerciaux / Malls (dotés de sanitaires collectifs clients) : parc 2025 domine par directe mecanique (55%), avec directe electronique collective en appoint. Le choix reflete rotation clients/personnel, pics repas ou achats et pression sur image de marque ; experience client, debit de nettoyage, economie d eau et cout d exploitation.</t>
  </si>
  <si>
    <t>Centres commerciaux / Malls (dotés de sanitaires collectifs clients) : parc 2025 domine par reservoir (50%), avec chasse directe mecanique en appoint. Le choix reflete rotation clients/personnel, pics repas ou achats et pression sur image de marque ; experience client, debit de nettoyage, economie d eau et cout d exploitation.</t>
  </si>
  <si>
    <t>2025-2030 : progression de chasse directe mecanique (+5,0%), surtout lors des renov. lourdes/neuf ; recul de reservoir (-10,0%) mais maintien d un socle robuste pour les remplacements partiels.</t>
  </si>
  <si>
    <t>81,2% retenu : besoins transformes en travaux selon rotation clients/personnel, pics repas ou achats et pression sur image de marque. Le phasage budgetaire, les fermetures partielles et la maintenance courante limitent la conversion totale.</t>
  </si>
  <si>
    <t>Potentiel renovation : tire par experience client, debit de nettoyage, economie d eau et cout d exploitation. Les remplacements sont plutot par lots, avec arbitrage entre urgence sanitaire, budget et capacite a intervenir en site occupe.</t>
  </si>
  <si>
    <t>Potentiel neuf : plus visible pour centres commerciaux / malls (dotés de sanitaires collectifs clients), surtout via extensions, reconstructions ou projets locaux. Le neuf reste contraint par foncier, budgets et delais de mise en service.</t>
  </si>
  <si>
    <t>Dynamique renovation 2026-2030 : forte, car l usure et l hygiene rendent les interventions recurrentes. Menaces : arbitrages d investissement, travaux en exploitation et cout de maintenance.</t>
  </si>
  <si>
    <t>Parc existant centre sur le niveau upscale, avec ventes 2026-2030 legerement plus qualitatives. Centres commerciaux / Malls (dotés de sanitaires collectifs clients) : rotation clients/personnel, pics repas ou achats et pression sur image de marque; le mix reste guide par experience client, debit de nettoyage, economie d eau et cout d exploitation.</t>
  </si>
  <si>
    <t>Parc existant : experience client, debit de nettoyage, economie d eau et cout d exploitation; rotation clients/personnel, pics repas ou achats et pression sur image de marque. La montee en confort reste proportionnee au budget et au rythme de renovation.</t>
  </si>
  <si>
    <t>forte frequentation =&gt; standard robuste ; image client =&gt; premiumisation ciblee</t>
  </si>
  <si>
    <t>Centres commerciaux / Malls (dotés de sanitaires collectifs clients) : ventes 2026-2030 en leger glissement vers moyen/premium lorsque le neuf ou les renov. lourdes interviennent. Le centre de gravite reste toutefois module par experience client, debit de nettoyage, economie d eau et cout d exploitation et par la part dominante de travaux sur parc existant.</t>
  </si>
  <si>
    <t>Vente au détail sous halle / couvert.</t>
  </si>
  <si>
    <t>Faute de série nationale homogène publiée annuellement pour cette sous-catégorie, le proxy est lissé ; la faible variation reflète une prudence méthodologique.</t>
  </si>
  <si>
    <t>proxy équipements commerciaux communaux. Dynamique projetée 2027-2030: stable. Fiabilité: moyenne.</t>
  </si>
  <si>
    <t>https://www.insee.fr/fr/metadonnees/source/serie/s1161</t>
  </si>
  <si>
    <t>Marché couvert : bloc public central + commerçants.</t>
  </si>
  <si>
    <t>Capacité type ≈ 312 usagers principaux + 60 staff + 28 prestataires/livreurs. Le programme sanitaire est construit par blocs fonctionnels plausibles (public, personnel, exploitation/hébergement selon le cas) et non par simple ratio national moyen. Calibrage selon capacité simultanée, répartition de flux et organisation réelle du site.</t>
  </si>
  <si>
    <t>Profil grand, capacité moyenne ≈ 400 personnes. Moyenne pondérée terrain : parc majoritairement petits/moyens sites, grands sites intégrés sans surpondération ; usage 2025 modérée à forte par pics.</t>
  </si>
  <si>
    <t>Code du travail (sanitaires et vestiaires staff) + programmation ERP/usages d'exploitation ; source de comptage propre à la ligne en col. AP.</t>
  </si>
  <si>
    <t>Ouverture par plages, salissures alimentaires, humidité de nettoyage et maintenance parfois municipale. Plus court que commerce classique, surtout réservoirs, lavabos et électroniques. Usage quotidien mais mieux maîtrisé, faible vandalisme et maintenance planifiée. Cela allonge toutes les durées et réduit les écarts. Le temporisé mécanique n'est plus vraiment derrière le mitigeur et l'électronique est soutenue lorsque l'alimentation et la maintenance sont stabilisées. Faible vandalisme, rénovations par lots.</t>
  </si>
  <si>
    <t>Le parc des marchés couverts reste assez hétérogène : mitigeurs et temporisés mécaniques coexistent largement, avec une électronique encore minoritaire.</t>
  </si>
  <si>
    <t>Les sites commerciaux/loisirs intensifs montent plus franchement en électronique d’ici 2030, avec maintien d’un socle temporisé mécanique pour la robustesse et la simplicité.</t>
  </si>
  <si>
    <t>Le parc d’urinoirs reste mixte entre solutions classiques et quelques collectifs anciens.</t>
  </si>
  <si>
    <t>Les sites commerciaux et de loisirs font davantage progresser l’automatique d’ici 2030, tout en gardant une part mécanique.</t>
  </si>
  <si>
    <t>Les réservoirs restent majoritaires sur ce parc souvent ancien, la chasse directe progressant par modernisation des blocs.</t>
  </si>
  <si>
    <t>Les sites commerciaux/loisirs intensifs font monter plus vite la chasse directe et l’électronique ; le réservoir recule nettement mais ne disparaît pas.</t>
  </si>
  <si>
    <t>85,1% retenu : part des besoins réellement transformée en travaux sur 2026-2030 après prise en compte des budgets, du phasage et des arbitrages locaux.</t>
  </si>
  <si>
    <t>Potentiel rénovation élevé : modernisation des parties communes, sanitaires visiteurs, repositionnement d’actifs et amélioration ESG. Les volumes restent d’abord tirés par les WC et les lavabos, plus que par les postes spécialisés. En rénovation, le marché reste orienté vers des gammes fiables, disponibles et rapides à poser afin de limiter l’arrêt d’exploitation.</t>
  </si>
  <si>
    <t>Potentiel neuf moyen : peu de grands centres neufs, davantage d’extensions/requalifications et de retail parks. Le neuf est significatif mais encore nettement inférieur à la rénovation.</t>
  </si>
  <si>
    <t>Projets phares réno : sanitaires visiteurs, parties communes, food court, repositionnement de centres et marchés couverts.</t>
  </si>
  <si>
    <t>Projets phares neuf : retail parks, extensions ciblées, marchés couverts reconstruits, programmes mixtes commerce/loisirs.</t>
  </si>
  <si>
    <t>Dynamique réno 2026-2030 : élevée, car la valeur des actifs se joue surtout dans la remise à niveau et la fréquentation.</t>
  </si>
  <si>
    <t>Dynamique neuf 2026-2030 : modérée ; la création pure est limitée, le marché privilégiant la requalification. Les programmes sortent plus facilement quand ils sont intégrés à une requalification urbaine plus large.</t>
  </si>
  <si>
    <t>Moyenne+</t>
  </si>
  <si>
    <t>Marchés couverts : parc majoritairement public, souvent ancien, avec priorité au robuste, au simple et au nettoyable ; basique et moyen dominent clairement. Ventes 2026-2030 : progression surtout du moyen et un peu du premium sur les zones rénovées, liée aux programmes de requalification commerciale et touristique, mais sans rupture du centre de gravité.</t>
  </si>
  <si>
    <t>Marchés couverts : équipements utilitaires, budgets locaux et rénovations surtout portées par remise à niveau technique plutôt que par recherche de standing.</t>
  </si>
  <si>
    <t>poids du neuf significatif ⇒ premiumisation des ventes &gt; parc</t>
  </si>
  <si>
    <t>PARC TERTIAIRE vs. TOTAL</t>
  </si>
  <si>
    <t>Libellé</t>
  </si>
  <si>
    <t>TERTIAIRE</t>
  </si>
  <si>
    <t>Cela traduit un niveau d’équipement sanitaire moyen par établissement nettement supérieur à la moyenne des autres segments.</t>
  </si>
  <si>
    <t>AUTRES SEGMENTS</t>
  </si>
  <si>
    <t>La taille moyenne des bâtiments tertiaires</t>
  </si>
  <si>
    <t>Une Capacité instantanée moyenne élevée</t>
  </si>
  <si>
    <t>Le dimensionnement sanitaire basé sur les effectifs salariés</t>
  </si>
  <si>
    <t>Une logique de confort et de continuité d’usage (supérieure à la moyenne ERP France) =&gt; Participe aux “bonnes conditions de travail” et à l’hygiène des salariés</t>
  </si>
  <si>
    <t>En synthèse : la surpondération du tertiaire en robinets lavabo ne vient pas seulement de la taille des établissements, mais du cumul surface + effectifs salariés + sites multi-zones + séparation des usages + accueil public + continuité d’usage.</t>
  </si>
  <si>
    <t>Constats - Mix technologique PARC Robinets Lavabo - 2025</t>
  </si>
  <si>
    <t>Constats - Mix technologique PARC Robinets Lavabo - 2030</t>
  </si>
  <si>
    <t>=&gt; Tertiaire apparaît donc comme un segment plus favorable aux technologies à plus forte valeur ajoutée.</t>
  </si>
  <si>
    <t>AUTRE SEGMENTS</t>
  </si>
  <si>
    <t>Logiques qui expliquent la meilleure adoption de l’électronique sur Périmètre Tertiaire</t>
  </si>
  <si>
    <t>Hygiène : levier fort</t>
  </si>
  <si>
    <t>Les robinets électroniques limitent le contact avec la robinetterie (vs. poussoir et mitigeur - antécédents COVID)</t>
  </si>
  <si>
    <t>Sujet particulièrement pertinent dans les sanitaires partagés : bureaux, administrations, centres commerciaux, marchés couverts, hôtels de ville.</t>
  </si>
  <si>
    <t>Plus fort dans périmètre Tertiaire que dans beaucoup de petits ERP, car les usages sont plus collectifs, réguliers et visibles.</t>
  </si>
  <si>
    <t>Confort et continuité d’usage : levier fort mais indirect</t>
  </si>
  <si>
    <t>L’électronique améliore la perception d’usage : déclenchement automatique, débit maîtrisé, arrêt automatique.</t>
  </si>
  <si>
    <t>Elle réduit les oublis de fermeture et les usages inadaptés (vs. mitigeurs).</t>
  </si>
  <si>
    <t>Dans des sites multi-zones ou multi-étages, elle contribue à une exploitation plus fluide des sanitaires.</t>
  </si>
  <si>
    <t>Image du site : levier fort dans une partie du périmètre</t>
  </si>
  <si>
    <t>L’électronique est perçue comme plus moderne, plus propre, plus “premium”.</t>
  </si>
  <si>
    <t>Le sanitaire est un espace visible, associé au standing du bâtiment.</t>
  </si>
  <si>
    <t>Très pertinent pour : centres commerciaux, sièges, bureaux privés, mairies, hôtels de ville, services administratifs.</t>
  </si>
  <si>
    <t>Moins structurant dans les entrepôts, ateliers ou usines, où la priorité reste davantage la robustesse et le coût d’usage.</t>
  </si>
  <si>
    <t>Budget / capacité d’investissement : levier moyen à fort</t>
  </si>
  <si>
    <t>Les grands sites tertiaires ont plus souvent des budgets de maintenance, rénovation ou facility management structurés.</t>
  </si>
  <si>
    <t xml:space="preserve">La décision peut se faire en coût global : prix d’achat plus élevé, mais économies d’eau, réduction des gaspillages, meilleure maîtrise des usages. Arbitrage avec le poussoir ? </t>
  </si>
  <si>
    <t>Surtout quand les budgets sont fragmentés ou très contraints, les autres segments peuvent être plus orientés vers le remplacement “à l’identique”.</t>
  </si>
  <si>
    <t>Pics d’usage et usage intensif : levier ciblé - à ne pas généraliser à tout le tertiaire</t>
  </si>
  <si>
    <t>Fort pour : centres commerciaux, marchés couverts, administrations à guichets, grands sites avec flux visiteurs.</t>
  </si>
  <si>
    <t>Plus modéré pour : bureaux, entrepôts, usines, où l’usage est surtout régulier et lié aux salariés.</t>
  </si>
  <si>
    <t>L’électronique répond moins à un “pic extrême” qu’à une logique d’usage répété, collectif et quotidien.</t>
  </si>
  <si>
    <t>Facilité d’entretien : levier ambivalent</t>
  </si>
  <si>
    <t>L’électronique est plus facilement adoptée quand le site dispose d’une maintenance organisée ou d’un contrat multi-sites.</t>
  </si>
  <si>
    <t>Point favorable : moins de manipulation, moins d’eau stagnante sur les plans vasques, arrêt automatique, maîtrise du débit.</t>
  </si>
  <si>
    <t>Point de vigilance : piles, cellules, réglages, alimentation, maintenance plus technique.</t>
  </si>
  <si>
    <t>Vandalisme : levier variable</t>
  </si>
  <si>
    <t>Dans les bureaux privés et sites internes, le vandalisme est moins structurant.</t>
  </si>
  <si>
    <t>Dans les centres commerciaux, marchés couverts, bâtiments publics ou sanitaires accessibles au public, il devient plus important.</t>
  </si>
  <si>
    <t>L’électronique peut aussi répondre au vandalisme si les produits sont encastrés, renforcés, mais ce n’est pas toujours l’option la plus évidente.</t>
  </si>
  <si>
    <t>Le temporisé mécanique reste très compétitif, voire privilégié dans les environnements exposés, car il est perçu comme robuste et simple.</t>
  </si>
  <si>
    <t>Maturité produit : levier important</t>
  </si>
  <si>
    <t>L’électronique lavabo n’est plus une technologie “niche”.</t>
  </si>
  <si>
    <t>Elle est mieux acceptée par les prescripteurs, installateurs et exploitants.</t>
  </si>
  <si>
    <t>Mais la base installée se renouvelle lentement : la progression du parc reste donc graduelle.</t>
  </si>
  <si>
    <t>Réceptivité aux solutions à valeur ajoutée : levier fort</t>
  </si>
  <si>
    <t>Le tertiaire est plus sensible aux arguments combinés : hygiène + image + économies d’eau + confort + pilotage de maintenance.</t>
  </si>
  <si>
    <t>Les autres segments restent au global plus souvent centrés sur : prix, robustesse, simplicité, remplacement à l’identique.</t>
  </si>
  <si>
    <t>Données sources des camemberts (valeurs calculées à partir des colonnes visibles du DATA)</t>
  </si>
  <si>
    <t>Nombre d’Etablissements 2025</t>
  </si>
  <si>
    <t>Nombre Robinets Lavabo 2025</t>
  </si>
  <si>
    <t>Mix Techno. Robinets Lavabo 2025 – TERTIAIRE</t>
  </si>
  <si>
    <t>Mix Techno. Robinets Lavabo 2025 – AUTRES SEGMENTS</t>
  </si>
  <si>
    <t>Niveau de Gammes 2025 – TERTIAIRE</t>
  </si>
  <si>
    <t>Valeur</t>
  </si>
  <si>
    <t>1</t>
  </si>
  <si>
    <t>2</t>
  </si>
  <si>
    <t>Niveau de Gammes 2025 – AUTRES SEGMENTS</t>
  </si>
  <si>
    <t>Nombre d’Etablissements 2030</t>
  </si>
  <si>
    <t>Nombre Robinets Lavabo 2030</t>
  </si>
  <si>
    <t>Mix Techno. Robinets Lavabo 2030 – TERTIAIRE</t>
  </si>
  <si>
    <t>Mix Techno. Robinets Lavabo 2030 – AUTRES SEGMENTS</t>
  </si>
  <si>
    <t>Cartouche Niveau de Gammes</t>
  </si>
  <si>
    <t>Couleur</t>
  </si>
  <si>
    <t>DETAIL PARC TERTIAIRE</t>
  </si>
  <si>
    <t>Camemberts Excel avec labels en %. Les camemberts sous-segments affichent l’ID dans le graphique ; les cartouches ci-dessous donnent les libellés et les couleurs. Mix/Gammes utilisent les colonnes BO:BV et IO:IS, avec comparaison TERTIAIRE / AUTRES SEGMENTS.</t>
  </si>
  <si>
    <t>Cartouche sous-segments TERTIAIRE</t>
  </si>
  <si>
    <t>Cartouche Mix Techno. Robinets Lavabo</t>
  </si>
  <si>
    <t>Segment principal</t>
  </si>
  <si>
    <t>Sous-segment</t>
  </si>
  <si>
    <t>Bureaux Tertiaire Privé (&gt;50 salariés) (hors usines et logistique )</t>
  </si>
  <si>
    <t>Centres de stockage / Entrepôts / Plateformes logistiques (&gt;50 salariés)</t>
  </si>
  <si>
    <t>Usines  (&gt;50 salariés) (Hors Ateliers industriels)</t>
  </si>
  <si>
    <t>Hôtels du département Hôtels de région  &amp; Services administratifs territoriaux</t>
  </si>
  <si>
    <t>Centres commerciaux / Malls (dotés de sanitaires collectifs clients)</t>
  </si>
  <si>
    <t>ANALYSE PAR SOUS-SEGMENT 2025</t>
  </si>
  <si>
    <t>2030</t>
  </si>
  <si>
    <t>Nombre d’Etablissements 2025 – sous-segments TERTIAIRE</t>
  </si>
  <si>
    <t>Nombre Robinets Lavabo 2025 – sous-segments TERTIAIRE</t>
  </si>
  <si>
    <t>3</t>
  </si>
  <si>
    <t>4</t>
  </si>
  <si>
    <t>5</t>
  </si>
  <si>
    <t>6</t>
  </si>
  <si>
    <t>7</t>
  </si>
  <si>
    <t>8</t>
  </si>
  <si>
    <t>9</t>
  </si>
  <si>
    <t>Nombre d’Etablissements 2030 – sous-segments TERTIAIRE</t>
  </si>
  <si>
    <t>Nombre Robinets Lavabo 2030 – sous-segments TERTIAIRE</t>
  </si>
  <si>
    <t>Camemberts Excel avec labels en %. AUTRES SEGMENTS = TOTAL - TERTIAIRE. Mix Techno. Robinets Lavabo : colonnes BO:BV. Niveau de Gammes : colonnes IO:IS. Seules les colonnes apparentes de DATA - ANALYSE - TERTIAIRE sont utilisées.</t>
  </si>
  <si>
    <t>Cartouche segments</t>
  </si>
  <si>
    <t>Segment</t>
  </si>
  <si>
    <t>Le tertiaire est plus développé sur le temporisé électronique : 16 % vs 9 %.</t>
  </si>
  <si>
    <t>Le tertiaire reste plus orienté vers les mitigeurs : 41 % vs 30 % pour les autres segments.</t>
  </si>
  <si>
    <t>À l’inverse, les autres segments (au global) restent beaucoup plus concentrés sur le temporisé mécanique : 55 % vs 38 % dans le tertiaire.</t>
  </si>
  <si>
    <t>En 2030, le tertiaire conserve une part plus élevée de mitigeurs : 36 % vs 26 %.</t>
  </si>
  <si>
    <t>Les autres segments restent dominés par le temporisé mécanique : 56 %, contre 39 % dans le tertiaire.</t>
  </si>
  <si>
    <t>1. Le tertiaire a été pensé comme un “bureau confortable”, pas comme un sanitaire public</t>
  </si>
  <si>
    <t>2. Le temporisé vient historiquement des lieux publics et collectivités</t>
  </si>
  <si>
    <t>3. Les architectes ont tiré le tertiaire vers le mitigeur</t>
  </si>
  <si>
    <t>4. Les bureaux d’études ont arbitré autrement l’économie d’eau</t>
  </si>
  <si>
    <t>5. Les gestionnaires d’immeubles ont privilégié l’acceptabilité utilisateur</t>
  </si>
  <si>
    <t>6. La notion de collectif est différente</t>
  </si>
  <si>
    <t>7. Les fabricants ont structuré deux imaginaires de marché</t>
  </si>
  <si>
    <t>Synthèse</t>
  </si>
  <si>
    <t>8. Pourquoi le temporisé est en retrait dans le Parc Tertiare</t>
  </si>
  <si>
    <t>Etablissements vs. Volume due robinets sur le Parc - Cette situation s’explique principalement par :</t>
  </si>
  <si>
    <r>
      <t>Le tertiaire représente environ</t>
    </r>
    <r>
      <rPr>
        <b/>
        <sz val="11"/>
        <color theme="1"/>
        <rFont val="Calibri"/>
        <family val="2"/>
      </rPr>
      <t xml:space="preserve"> 15%</t>
    </r>
    <r>
      <rPr>
        <sz val="11"/>
        <color theme="1"/>
        <rFont val="Calibri"/>
      </rPr>
      <t xml:space="preserve"> des </t>
    </r>
    <r>
      <rPr>
        <b/>
        <sz val="11"/>
        <color theme="1"/>
        <rFont val="Calibri"/>
        <family val="2"/>
      </rPr>
      <t>établissements</t>
    </r>
    <r>
      <rPr>
        <sz val="11"/>
        <color theme="1"/>
        <rFont val="Calibri"/>
      </rPr>
      <t xml:space="preserve">, mais près de </t>
    </r>
    <r>
      <rPr>
        <b/>
        <sz val="11"/>
        <color theme="1"/>
        <rFont val="Calibri"/>
        <family val="2"/>
      </rPr>
      <t>21%</t>
    </r>
    <r>
      <rPr>
        <sz val="11"/>
        <color theme="1"/>
        <rFont val="Calibri"/>
      </rPr>
      <t xml:space="preserve"> du </t>
    </r>
    <r>
      <rPr>
        <b/>
        <sz val="11"/>
        <color theme="1"/>
        <rFont val="Calibri"/>
        <family val="2"/>
      </rPr>
      <t>parc installé</t>
    </r>
    <r>
      <rPr>
        <sz val="11"/>
        <color theme="1"/>
        <rFont val="Calibri"/>
      </rPr>
      <t xml:space="preserve"> de robinets lavabo.</t>
    </r>
  </si>
  <si>
    <r>
      <rPr>
        <b/>
        <sz val="11"/>
        <color theme="1"/>
        <rFont val="Calibri"/>
        <family val="2"/>
      </rPr>
      <t>Intensité d'équipements</t>
    </r>
    <r>
      <rPr>
        <sz val="11"/>
        <color theme="1"/>
        <rFont val="Calibri"/>
        <family val="2"/>
      </rPr>
      <t xml:space="preserve"> : Ratio </t>
    </r>
    <r>
      <rPr>
        <b/>
        <sz val="11"/>
        <color theme="1"/>
        <rFont val="Calibri"/>
        <family val="2"/>
      </rPr>
      <t>tertiaire</t>
    </r>
    <r>
      <rPr>
        <sz val="11"/>
        <color theme="1"/>
        <rFont val="Calibri"/>
        <family val="2"/>
      </rPr>
      <t xml:space="preserve"> environ </t>
    </r>
    <r>
      <rPr>
        <b/>
        <sz val="11"/>
        <color theme="1"/>
        <rFont val="Calibri"/>
        <family val="2"/>
      </rPr>
      <t>1,5x supérieur</t>
    </r>
    <r>
      <rPr>
        <sz val="11"/>
        <color theme="1"/>
        <rFont val="Calibri"/>
        <family val="2"/>
      </rPr>
      <t xml:space="preserve"> aux autres segments =&gt; environ +50 % de robinets lavabo par établissement (Tertiaire : 21 / 15 = indice 1,40 vs. autres segments : 79 / 85 = indice 0,93)</t>
    </r>
  </si>
  <si>
    <r>
      <t>Bureaux (&gt;50 salariés) =&gt; Surface moyenne de</t>
    </r>
    <r>
      <rPr>
        <b/>
        <sz val="11"/>
        <color theme="1"/>
        <rFont val="Calibri"/>
        <family val="2"/>
      </rPr>
      <t xml:space="preserve"> 4200 m²/étab</t>
    </r>
    <r>
      <rPr>
        <sz val="11"/>
        <color theme="1"/>
        <rFont val="Calibri"/>
        <family val="2"/>
      </rPr>
      <t xml:space="preserve">. (soit </t>
    </r>
    <r>
      <rPr>
        <b/>
        <sz val="11"/>
        <color theme="1"/>
        <rFont val="Calibri"/>
        <family val="2"/>
      </rPr>
      <t>70%</t>
    </r>
    <r>
      <rPr>
        <sz val="11"/>
        <color theme="1"/>
        <rFont val="Calibri"/>
        <family val="2"/>
      </rPr>
      <t xml:space="preserve"> supérieur à la moyenne moyenne des autres segments à</t>
    </r>
    <r>
      <rPr>
        <b/>
        <sz val="11"/>
        <color theme="1"/>
        <rFont val="Calibri"/>
        <family val="2"/>
      </rPr>
      <t xml:space="preserve"> 2460 m²/étab.</t>
    </r>
    <r>
      <rPr>
        <sz val="11"/>
        <color theme="1"/>
        <rFont val="Calibri"/>
        <family val="2"/>
      </rPr>
      <t>)</t>
    </r>
  </si>
  <si>
    <r>
      <t xml:space="preserve">Site tertiaire multi-zones ou multi-niveaux =&gt; On ne dimensionne pas seulement “un bloc sanitaire central” : il faut souvent des sanitaires par </t>
    </r>
    <r>
      <rPr>
        <b/>
        <sz val="11"/>
        <color theme="1"/>
        <rFont val="Calibri"/>
        <family val="2"/>
      </rPr>
      <t>étage</t>
    </r>
    <r>
      <rPr>
        <sz val="11"/>
        <color theme="1"/>
        <rFont val="Calibri"/>
        <family val="2"/>
      </rPr>
      <t xml:space="preserve">, par </t>
    </r>
    <r>
      <rPr>
        <b/>
        <sz val="11"/>
        <color theme="1"/>
        <rFont val="Calibri"/>
        <family val="2"/>
      </rPr>
      <t>zone</t>
    </r>
    <r>
      <rPr>
        <sz val="11"/>
        <color theme="1"/>
        <rFont val="Calibri"/>
        <family val="2"/>
      </rPr>
      <t xml:space="preserve">, pour le </t>
    </r>
    <r>
      <rPr>
        <b/>
        <sz val="11"/>
        <color theme="1"/>
        <rFont val="Calibri"/>
        <family val="2"/>
      </rPr>
      <t>personnel</t>
    </r>
    <r>
      <rPr>
        <sz val="11"/>
        <color theme="1"/>
        <rFont val="Calibri"/>
        <family val="2"/>
      </rPr>
      <t xml:space="preserve">, pour le </t>
    </r>
    <r>
      <rPr>
        <b/>
        <sz val="11"/>
        <color theme="1"/>
        <rFont val="Calibri"/>
        <family val="2"/>
      </rPr>
      <t>public</t>
    </r>
    <r>
      <rPr>
        <sz val="11"/>
        <color theme="1"/>
        <rFont val="Calibri"/>
        <family val="2"/>
      </rPr>
      <t xml:space="preserve">, parfois pour les </t>
    </r>
    <r>
      <rPr>
        <b/>
        <sz val="11"/>
        <color theme="1"/>
        <rFont val="Calibri"/>
        <family val="2"/>
      </rPr>
      <t>clients</t>
    </r>
    <r>
      <rPr>
        <sz val="11"/>
        <color theme="1"/>
        <rFont val="Calibri"/>
        <family val="2"/>
      </rPr>
      <t xml:space="preserve"> ou </t>
    </r>
    <r>
      <rPr>
        <b/>
        <sz val="11"/>
        <color theme="1"/>
        <rFont val="Calibri"/>
        <family val="2"/>
      </rPr>
      <t>visiteurs</t>
    </r>
    <r>
      <rPr>
        <sz val="11"/>
        <color theme="1"/>
        <rFont val="Calibri"/>
        <family val="2"/>
      </rPr>
      <t>.</t>
    </r>
  </si>
  <si>
    <r>
      <t xml:space="preserve">      =&gt;  Immeubles de bureaux souvent </t>
    </r>
    <r>
      <rPr>
        <b/>
        <sz val="11"/>
        <color theme="1"/>
        <rFont val="Calibri"/>
        <family val="2"/>
      </rPr>
      <t>multi-étages</t>
    </r>
    <r>
      <rPr>
        <sz val="11"/>
        <color theme="1"/>
        <rFont val="Calibri"/>
        <family val="2"/>
      </rPr>
      <t xml:space="preserve"> / </t>
    </r>
    <r>
      <rPr>
        <b/>
        <sz val="11"/>
        <color theme="1"/>
        <rFont val="Calibri"/>
        <family val="2"/>
      </rPr>
      <t>Plateaux</t>
    </r>
    <r>
      <rPr>
        <sz val="11"/>
        <color theme="1"/>
        <rFont val="Calibri"/>
        <family val="2"/>
      </rPr>
      <t xml:space="preserve"> de bureaux importants / Présence de plusieurs </t>
    </r>
    <r>
      <rPr>
        <b/>
        <sz val="11"/>
        <color theme="1"/>
        <rFont val="Calibri"/>
        <family val="2"/>
      </rPr>
      <t>noyaux sanitaires</t>
    </r>
    <r>
      <rPr>
        <sz val="11"/>
        <color theme="1"/>
        <rFont val="Calibri"/>
        <family val="2"/>
      </rPr>
      <t xml:space="preserve"> par bâtiment / Tendance à </t>
    </r>
    <r>
      <rPr>
        <b/>
        <sz val="11"/>
        <color theme="1"/>
        <rFont val="Calibri"/>
        <family val="2"/>
      </rPr>
      <t>optimisation du nombre de m² par salarié</t>
    </r>
    <r>
      <rPr>
        <sz val="11"/>
        <color theme="1"/>
        <rFont val="Calibri"/>
        <family val="2"/>
      </rPr>
      <t xml:space="preserve"> (contribue de facto à + de sanitaire par m²)</t>
    </r>
  </si>
  <si>
    <r>
      <t xml:space="preserve">Elevée pour les Bureaux (&gt;50) =&gt; </t>
    </r>
    <r>
      <rPr>
        <b/>
        <sz val="11"/>
        <color theme="1"/>
        <rFont val="Calibri"/>
        <family val="2"/>
      </rPr>
      <t>250 salariés</t>
    </r>
    <r>
      <rPr>
        <sz val="11"/>
        <color theme="1"/>
        <rFont val="Calibri"/>
        <family val="2"/>
      </rPr>
      <t xml:space="preserve"> en moyenne par établissement (moyenne moyenne des autres segments - France = </t>
    </r>
    <r>
      <rPr>
        <b/>
        <sz val="11"/>
        <color theme="1"/>
        <rFont val="Calibri"/>
        <family val="2"/>
      </rPr>
      <t>154 pers</t>
    </r>
    <r>
      <rPr>
        <sz val="11"/>
        <color theme="1"/>
        <rFont val="Calibri"/>
        <family val="2"/>
      </rPr>
      <t>. par établissement)</t>
    </r>
  </si>
  <si>
    <r>
      <t xml:space="preserve">Lieux de travail (Bureaux - Administartions) =&gt; Logique de demande sanitaire </t>
    </r>
    <r>
      <rPr>
        <b/>
        <sz val="11"/>
        <color theme="1"/>
        <rFont val="Calibri"/>
        <family val="2"/>
      </rPr>
      <t>quotidienne</t>
    </r>
    <r>
      <rPr>
        <sz val="11"/>
        <color theme="1"/>
        <rFont val="Calibri"/>
        <family val="2"/>
      </rPr>
      <t xml:space="preserve">, </t>
    </r>
    <r>
      <rPr>
        <b/>
        <sz val="11"/>
        <color theme="1"/>
        <rFont val="Calibri"/>
        <family val="2"/>
      </rPr>
      <t>prévisible</t>
    </r>
    <r>
      <rPr>
        <sz val="11"/>
        <color theme="1"/>
        <rFont val="Calibri"/>
        <family val="2"/>
      </rPr>
      <t xml:space="preserve"> et </t>
    </r>
    <r>
      <rPr>
        <b/>
        <sz val="11"/>
        <color theme="1"/>
        <rFont val="Calibri"/>
        <family val="2"/>
      </rPr>
      <t>répétée</t>
    </r>
    <r>
      <rPr>
        <sz val="11"/>
        <color theme="1"/>
        <rFont val="Calibri"/>
        <family val="2"/>
      </rPr>
      <t>.</t>
    </r>
  </si>
  <si>
    <r>
      <t xml:space="preserve">Centres commerciaux (ERP type M) : Logique de </t>
    </r>
    <r>
      <rPr>
        <b/>
        <sz val="11"/>
        <color theme="1"/>
        <rFont val="Calibri"/>
        <family val="2"/>
      </rPr>
      <t>pics</t>
    </r>
    <r>
      <rPr>
        <sz val="11"/>
        <color theme="1"/>
        <rFont val="Calibri"/>
        <family val="2"/>
      </rPr>
      <t xml:space="preserve"> de fréquentation =&gt; Effectif théorique du public de </t>
    </r>
    <r>
      <rPr>
        <b/>
        <sz val="11"/>
        <color theme="1"/>
        <rFont val="Calibri"/>
        <family val="2"/>
      </rPr>
      <t>1 personne pour 3 à 5 m²</t>
    </r>
  </si>
  <si>
    <r>
      <t xml:space="preserve">INRS rappelle que l’employeur doit mettre à disposition les moyens d’assurer la </t>
    </r>
    <r>
      <rPr>
        <b/>
        <sz val="11"/>
        <color theme="1"/>
        <rFont val="Calibri"/>
        <family val="2"/>
      </rPr>
      <t>propreté individuelle</t>
    </r>
    <r>
      <rPr>
        <sz val="11"/>
        <color theme="1"/>
        <rFont val="Calibri"/>
        <family val="2"/>
      </rPr>
      <t xml:space="preserve"> et de </t>
    </r>
    <r>
      <rPr>
        <b/>
        <sz val="11"/>
        <color theme="1"/>
        <rFont val="Calibri"/>
        <family val="2"/>
      </rPr>
      <t>bonnes conditions de travail</t>
    </r>
    <r>
      <rPr>
        <sz val="11"/>
        <color theme="1"/>
        <rFont val="Calibri"/>
        <family val="2"/>
      </rPr>
      <t>.</t>
    </r>
  </si>
  <si>
    <r>
      <t xml:space="preserve">Répartition des sanitaires par </t>
    </r>
    <r>
      <rPr>
        <b/>
        <sz val="11"/>
        <color theme="1"/>
        <rFont val="Calibri"/>
        <family val="2"/>
      </rPr>
      <t>étage</t>
    </r>
  </si>
  <si>
    <r>
      <t xml:space="preserve">Séparation </t>
    </r>
    <r>
      <rPr>
        <b/>
        <sz val="11"/>
        <color theme="1"/>
        <rFont val="Calibri"/>
        <family val="2"/>
      </rPr>
      <t>hommes / femmes</t>
    </r>
    <r>
      <rPr>
        <sz val="11"/>
        <color theme="1"/>
        <rFont val="Calibri"/>
        <family val="2"/>
      </rPr>
      <t xml:space="preserve"> (+ prononcée sur ce périmètre tertiaire que l'ensemble des ERP). Réalité bâtimentaire conduit souvent à créer des blocs sanitaires séparés =&gt; donc </t>
    </r>
    <r>
      <rPr>
        <b/>
        <sz val="11"/>
        <color theme="1"/>
        <rFont val="Calibri"/>
        <family val="2"/>
      </rPr>
      <t>duplication</t>
    </r>
    <r>
      <rPr>
        <sz val="11"/>
        <color theme="1"/>
        <rFont val="Calibri"/>
        <family val="2"/>
      </rPr>
      <t xml:space="preserve"> des </t>
    </r>
    <r>
      <rPr>
        <b/>
        <sz val="11"/>
        <color theme="1"/>
        <rFont val="Calibri"/>
        <family val="2"/>
      </rPr>
      <t xml:space="preserve">points d’eau </t>
    </r>
    <r>
      <rPr>
        <sz val="11"/>
        <color theme="1"/>
        <rFont val="Calibri"/>
        <family val="2"/>
      </rPr>
      <t>dans chaque bloc.</t>
    </r>
  </si>
  <si>
    <r>
      <t xml:space="preserve">Maintien d’une </t>
    </r>
    <r>
      <rPr>
        <b/>
        <sz val="11"/>
        <color theme="1"/>
        <rFont val="Calibri"/>
        <family val="2"/>
      </rPr>
      <t>proximité</t>
    </r>
    <r>
      <rPr>
        <sz val="11"/>
        <color theme="1"/>
        <rFont val="Calibri"/>
        <family val="2"/>
      </rPr>
      <t xml:space="preserve"> des équipements avec les espaces de travail</t>
    </r>
  </si>
  <si>
    <r>
      <t xml:space="preserve">Logique de </t>
    </r>
    <r>
      <rPr>
        <b/>
        <sz val="11"/>
        <color theme="1"/>
        <rFont val="Calibri"/>
        <family val="2"/>
      </rPr>
      <t>continuité</t>
    </r>
    <r>
      <rPr>
        <sz val="11"/>
        <color theme="1"/>
        <rFont val="Calibri"/>
        <family val="2"/>
      </rPr>
      <t xml:space="preserve"> d’usage =&gt; Capacité à </t>
    </r>
    <r>
      <rPr>
        <b/>
        <sz val="11"/>
        <color theme="1"/>
        <rFont val="Calibri"/>
        <family val="2"/>
      </rPr>
      <t xml:space="preserve">maintenir un service </t>
    </r>
    <r>
      <rPr>
        <sz val="11"/>
        <color theme="1"/>
        <rFont val="Calibri"/>
        <family val="2"/>
      </rPr>
      <t>en cas de maintenance, panne ou affluence (+ structurante que dans beaucoup de petits ERP, mais pas nécessairement supérieure aux ERP très intensifs)</t>
    </r>
  </si>
  <si>
    <t>ANALYSE PAR SOUS-SEGMENT - PARC 2025</t>
  </si>
  <si>
    <t>Une concentration des volumes sur les grands sites tertiaires</t>
  </si>
  <si>
    <r>
      <t xml:space="preserve">Les </t>
    </r>
    <r>
      <rPr>
        <b/>
        <sz val="11"/>
        <color theme="1"/>
        <rFont val="Calibri"/>
        <family val="2"/>
      </rPr>
      <t>Bureaux Tertiaire Privé &gt;50 salariés</t>
    </r>
    <r>
      <rPr>
        <sz val="11"/>
        <color theme="1"/>
        <rFont val="Calibri"/>
        <family val="2"/>
      </rPr>
      <t xml:space="preserve"> représentent </t>
    </r>
    <r>
      <rPr>
        <b/>
        <sz val="11"/>
        <color theme="1"/>
        <rFont val="Calibri"/>
        <family val="2"/>
      </rPr>
      <t>30 % des établissements</t>
    </r>
    <r>
      <rPr>
        <sz val="11"/>
        <color theme="1"/>
        <rFont val="Calibri"/>
        <family val="2"/>
      </rPr>
      <t xml:space="preserve">, mais </t>
    </r>
    <r>
      <rPr>
        <b/>
        <sz val="11"/>
        <color theme="1"/>
        <rFont val="Calibri"/>
        <family val="2"/>
      </rPr>
      <t>47 % des robinets lavabo</t>
    </r>
    <r>
      <rPr>
        <sz val="11"/>
        <color theme="1"/>
        <rFont val="Calibri"/>
        <family val="2"/>
      </rPr>
      <t>.</t>
    </r>
  </si>
  <si>
    <r>
      <t xml:space="preserve">Le segment est donc très surpondéré en équipements : </t>
    </r>
    <r>
      <rPr>
        <b/>
        <sz val="11"/>
        <color theme="1"/>
        <rFont val="Calibri"/>
        <family val="2"/>
      </rPr>
      <t>+17 points</t>
    </r>
    <r>
      <rPr>
        <sz val="11"/>
        <color theme="1"/>
        <rFont val="Calibri"/>
        <family val="2"/>
      </rPr>
      <t xml:space="preserve"> vs son poids en établissements.</t>
    </r>
  </si>
  <si>
    <r>
      <t xml:space="preserve">Ratio d’intensité : </t>
    </r>
    <r>
      <rPr>
        <b/>
        <sz val="11"/>
        <color theme="1"/>
        <rFont val="Calibri"/>
        <family val="2"/>
      </rPr>
      <t>47 / 30 = indice 1,57</t>
    </r>
    <r>
      <rPr>
        <sz val="11"/>
        <color theme="1"/>
        <rFont val="Calibri"/>
        <family val="2"/>
      </rPr>
      <t xml:space="preserve">, soit environ </t>
    </r>
    <r>
      <rPr>
        <b/>
        <sz val="11"/>
        <color theme="1"/>
        <rFont val="Calibri"/>
        <family val="2"/>
      </rPr>
      <t>+57 % de robinets par établissement</t>
    </r>
    <r>
      <rPr>
        <sz val="11"/>
        <color theme="1"/>
        <rFont val="Calibri"/>
        <family val="2"/>
      </rPr>
      <t xml:space="preserve"> vs la moyenne tertiaire.</t>
    </r>
  </si>
  <si>
    <t>Un effet similaire sur les usines &gt;50 salariés</t>
  </si>
  <si>
    <r>
      <t xml:space="preserve">Les </t>
    </r>
    <r>
      <rPr>
        <b/>
        <sz val="11"/>
        <color theme="1"/>
        <rFont val="Calibri"/>
        <family val="2"/>
      </rPr>
      <t>Usines &gt;50 salariés hors ateliers industriels</t>
    </r>
    <r>
      <rPr>
        <sz val="11"/>
        <color theme="1"/>
        <rFont val="Calibri"/>
        <family val="2"/>
      </rPr>
      <t xml:space="preserve"> représentent </t>
    </r>
    <r>
      <rPr>
        <b/>
        <sz val="11"/>
        <color theme="1"/>
        <rFont val="Calibri"/>
        <family val="2"/>
      </rPr>
      <t>9 % des établissements</t>
    </r>
    <r>
      <rPr>
        <sz val="11"/>
        <color theme="1"/>
        <rFont val="Calibri"/>
        <family val="2"/>
      </rPr>
      <t xml:space="preserve">, mais </t>
    </r>
    <r>
      <rPr>
        <b/>
        <sz val="11"/>
        <color theme="1"/>
        <rFont val="Calibri"/>
        <family val="2"/>
      </rPr>
      <t>17 % des volumes de robinets lavabo</t>
    </r>
    <r>
      <rPr>
        <sz val="11"/>
        <color theme="1"/>
        <rFont val="Calibri"/>
        <family val="2"/>
      </rPr>
      <t>.</t>
    </r>
  </si>
  <si>
    <r>
      <t xml:space="preserve">Le segment est également surpondéré : </t>
    </r>
    <r>
      <rPr>
        <b/>
        <sz val="11"/>
        <color theme="1"/>
        <rFont val="Calibri"/>
        <family val="2"/>
      </rPr>
      <t>+8 points</t>
    </r>
    <r>
      <rPr>
        <sz val="11"/>
        <color theme="1"/>
        <rFont val="Calibri"/>
        <family val="2"/>
      </rPr>
      <t>.</t>
    </r>
  </si>
  <si>
    <r>
      <t xml:space="preserve">Ratio d’intensité : </t>
    </r>
    <r>
      <rPr>
        <b/>
        <sz val="11"/>
        <color theme="1"/>
        <rFont val="Calibri"/>
        <family val="2"/>
      </rPr>
      <t>17 / 9 = indice 1,89</t>
    </r>
    <r>
      <rPr>
        <sz val="11"/>
        <color theme="1"/>
        <rFont val="Calibri"/>
        <family val="2"/>
      </rPr>
      <t xml:space="preserve">, soit près de </t>
    </r>
    <r>
      <rPr>
        <b/>
        <sz val="11"/>
        <color theme="1"/>
        <rFont val="Calibri"/>
        <family val="2"/>
      </rPr>
      <t>2x plus de robinets par établissement</t>
    </r>
    <r>
      <rPr>
        <sz val="11"/>
        <color theme="1"/>
        <rFont val="Calibri"/>
        <family val="2"/>
      </rPr>
      <t xml:space="preserve"> que la moyenne tertiaire.</t>
    </r>
  </si>
  <si>
    <t>Des administrations locales nombreuses, mais moins équipées par site</t>
  </si>
  <si>
    <r>
      <t xml:space="preserve">Les </t>
    </r>
    <r>
      <rPr>
        <b/>
        <sz val="11"/>
        <color theme="1"/>
        <rFont val="Calibri"/>
        <family val="2"/>
      </rPr>
      <t>Mairies / hôtels de ville</t>
    </r>
    <r>
      <rPr>
        <sz val="11"/>
        <color theme="1"/>
        <rFont val="Calibri"/>
        <family val="2"/>
      </rPr>
      <t xml:space="preserve"> représentent </t>
    </r>
    <r>
      <rPr>
        <b/>
        <sz val="11"/>
        <color theme="1"/>
        <rFont val="Calibri"/>
        <family val="2"/>
      </rPr>
      <t>40 % des établissements</t>
    </r>
    <r>
      <rPr>
        <sz val="11"/>
        <color theme="1"/>
        <rFont val="Calibri"/>
        <family val="2"/>
      </rPr>
      <t xml:space="preserve">, mais seulement </t>
    </r>
    <r>
      <rPr>
        <b/>
        <sz val="11"/>
        <color theme="1"/>
        <rFont val="Calibri"/>
        <family val="2"/>
      </rPr>
      <t>9 % des volumes de robinets lavabo</t>
    </r>
    <r>
      <rPr>
        <sz val="11"/>
        <color theme="1"/>
        <rFont val="Calibri"/>
        <family val="2"/>
      </rPr>
      <t>.</t>
    </r>
  </si>
  <si>
    <r>
      <t xml:space="preserve">Le segment est donc fortement sous-pondéré en volume : </t>
    </r>
    <r>
      <rPr>
        <b/>
        <sz val="11"/>
        <color theme="1"/>
        <rFont val="Calibri"/>
        <family val="2"/>
      </rPr>
      <t>-31 points</t>
    </r>
    <r>
      <rPr>
        <sz val="11"/>
        <color theme="1"/>
        <rFont val="Calibri"/>
        <family val="2"/>
      </rPr>
      <t>.</t>
    </r>
  </si>
  <si>
    <r>
      <t xml:space="preserve">Ratio d’intensité : </t>
    </r>
    <r>
      <rPr>
        <b/>
        <sz val="11"/>
        <color theme="1"/>
        <rFont val="Calibri"/>
        <family val="2"/>
      </rPr>
      <t>9 / 40 = indice 0,23</t>
    </r>
    <r>
      <rPr>
        <sz val="11"/>
        <color theme="1"/>
        <rFont val="Calibri"/>
        <family val="2"/>
      </rPr>
      <t>, soit un niveau d’équipement par établissement très inférieur à la moyenne tertiaire.</t>
    </r>
  </si>
  <si>
    <t>Des segments relativement équilibrés</t>
  </si>
  <si>
    <r>
      <t xml:space="preserve">Les </t>
    </r>
    <r>
      <rPr>
        <b/>
        <sz val="11"/>
        <color theme="1"/>
        <rFont val="Calibri"/>
        <family val="2"/>
      </rPr>
      <t>ateliers industriels / maintenance</t>
    </r>
    <r>
      <rPr>
        <sz val="11"/>
        <color theme="1"/>
        <rFont val="Calibri"/>
        <family val="2"/>
      </rPr>
      <t xml:space="preserve"> pèsent </t>
    </r>
    <r>
      <rPr>
        <b/>
        <sz val="11"/>
        <color theme="1"/>
        <rFont val="Calibri"/>
        <family val="2"/>
      </rPr>
      <t>5 % des établissements</t>
    </r>
    <r>
      <rPr>
        <sz val="11"/>
        <color theme="1"/>
        <rFont val="Calibri"/>
        <family val="2"/>
      </rPr>
      <t xml:space="preserve"> et </t>
    </r>
    <r>
      <rPr>
        <b/>
        <sz val="11"/>
        <color theme="1"/>
        <rFont val="Calibri"/>
        <family val="2"/>
      </rPr>
      <t>5 % des volumes</t>
    </r>
    <r>
      <rPr>
        <sz val="11"/>
        <color theme="1"/>
        <rFont val="Calibri"/>
        <family val="2"/>
      </rPr>
      <t xml:space="preserve"> : contribution équilibrée, proche de la moyenne tertiaire.</t>
    </r>
  </si>
  <si>
    <t>Des petits segments à forte intensité potentielle</t>
  </si>
  <si>
    <r>
      <t xml:space="preserve">Les </t>
    </r>
    <r>
      <rPr>
        <b/>
        <sz val="11"/>
        <color theme="1"/>
        <rFont val="Calibri"/>
        <family val="2"/>
      </rPr>
      <t>centres commerciaux / malls</t>
    </r>
    <r>
      <rPr>
        <sz val="11"/>
        <color theme="1"/>
        <rFont val="Calibri"/>
        <family val="2"/>
      </rPr>
      <t xml:space="preserve"> représentent seulement </t>
    </r>
    <r>
      <rPr>
        <b/>
        <sz val="11"/>
        <color theme="1"/>
        <rFont val="Calibri"/>
        <family val="2"/>
      </rPr>
      <t>1 % des établissements</t>
    </r>
    <r>
      <rPr>
        <sz val="11"/>
        <color theme="1"/>
        <rFont val="Calibri"/>
        <family val="2"/>
      </rPr>
      <t xml:space="preserve">, mais </t>
    </r>
    <r>
      <rPr>
        <b/>
        <sz val="11"/>
        <color theme="1"/>
        <rFont val="Calibri"/>
        <family val="2"/>
      </rPr>
      <t>5 % des volumes de robinets lavabo</t>
    </r>
    <r>
      <rPr>
        <sz val="11"/>
        <color theme="1"/>
        <rFont val="Calibri"/>
        <family val="2"/>
      </rPr>
      <t>.</t>
    </r>
  </si>
  <si>
    <r>
      <t xml:space="preserve">Ratio d’intensité : </t>
    </r>
    <r>
      <rPr>
        <b/>
        <sz val="11"/>
        <color theme="1"/>
        <rFont val="Calibri"/>
        <family val="2"/>
      </rPr>
      <t>5 / 1 = indice 5,0</t>
    </r>
    <r>
      <rPr>
        <sz val="11"/>
        <color theme="1"/>
        <rFont val="Calibri"/>
        <family val="2"/>
      </rPr>
      <t>, à interpréter avec prudence car la base d’établissements est faible.</t>
    </r>
  </si>
  <si>
    <r>
      <t xml:space="preserve">Le segment est très </t>
    </r>
    <r>
      <rPr>
        <b/>
        <sz val="11"/>
        <color theme="1"/>
        <rFont val="Calibri"/>
        <family val="2"/>
      </rPr>
      <t>surpondéré</t>
    </r>
    <r>
      <rPr>
        <sz val="11"/>
        <color theme="1"/>
        <rFont val="Calibri"/>
        <family val="2"/>
      </rPr>
      <t xml:space="preserve"> malgré une faible base d’établissements.</t>
    </r>
  </si>
  <si>
    <r>
      <t xml:space="preserve">TOTAL
</t>
    </r>
    <r>
      <rPr>
        <b/>
        <sz val="9"/>
        <color rgb="FF000000"/>
        <rFont val="Calibri"/>
        <family val="2"/>
      </rPr>
      <t>(Etablissements dotés de sanitaires)</t>
    </r>
  </si>
  <si>
    <r>
      <t>La sensibilité à l’</t>
    </r>
    <r>
      <rPr>
        <b/>
        <sz val="11"/>
        <color theme="1"/>
        <rFont val="Calibri"/>
      </rPr>
      <t>économie d’eau</t>
    </r>
    <r>
      <rPr>
        <sz val="11"/>
        <color theme="1"/>
        <rFont val="Calibri"/>
      </rPr>
      <t xml:space="preserve"> est plutôt </t>
    </r>
    <r>
      <rPr>
        <b/>
        <sz val="11"/>
        <color theme="1"/>
        <rFont val="Calibri"/>
      </rPr>
      <t>moyenne à forte</t>
    </r>
    <r>
      <rPr>
        <sz val="11"/>
        <color theme="1"/>
        <rFont val="Calibri"/>
      </rPr>
      <t xml:space="preserve"> :</t>
    </r>
  </si>
  <si>
    <t>Implication marketing / produit :</t>
  </si>
  <si>
    <r>
      <t xml:space="preserve">Le levier produit le plus pertinent n’est pas seulement “remplacer par de l’électronique”, mais proposer une </t>
    </r>
    <r>
      <rPr>
        <b/>
        <sz val="11"/>
        <color theme="1"/>
        <rFont val="Calibri"/>
        <family val="2"/>
      </rPr>
      <t>solution qui garde les codes du bureau</t>
    </r>
    <r>
      <rPr>
        <sz val="11"/>
        <color theme="1"/>
        <rFont val="Calibri"/>
        <family val="2"/>
      </rPr>
      <t xml:space="preserve"> :</t>
    </r>
  </si>
  <si>
    <r>
      <t xml:space="preserve">L’électronique peut progresser si elle est présentée comme une solution </t>
    </r>
    <r>
      <rPr>
        <b/>
        <sz val="11"/>
        <color theme="1"/>
        <rFont val="Calibri"/>
        <family val="2"/>
      </rPr>
      <t>industrielle</t>
    </r>
    <r>
      <rPr>
        <sz val="11"/>
        <color theme="1"/>
        <rFont val="Calibri"/>
        <family val="2"/>
      </rPr>
      <t>, pas comme une solution premium :</t>
    </r>
  </si>
  <si>
    <r>
      <t>La sensibilité à l’</t>
    </r>
    <r>
      <rPr>
        <b/>
        <sz val="11"/>
        <color theme="1"/>
        <rFont val="Calibri"/>
        <family val="2"/>
      </rPr>
      <t>économie d’eau</t>
    </r>
    <r>
      <rPr>
        <sz val="11"/>
        <color theme="1"/>
        <rFont val="Calibri"/>
        <family val="2"/>
      </rPr>
      <t xml:space="preserve"> est </t>
    </r>
    <r>
      <rPr>
        <b/>
        <sz val="11"/>
        <color theme="1"/>
        <rFont val="Calibri"/>
        <family val="2"/>
      </rPr>
      <t>variable</t>
    </r>
    <r>
      <rPr>
        <sz val="11"/>
        <color theme="1"/>
        <rFont val="Calibri"/>
        <family val="2"/>
      </rPr>
      <t xml:space="preserve"> :</t>
    </r>
  </si>
  <si>
    <t>Bureaux privés et bureaux administratifs secondaires — confort salarié, image bâtiment, rénovation qualitative - (1 + 6)</t>
  </si>
  <si>
    <r>
      <t xml:space="preserve">Le remplacement des </t>
    </r>
    <r>
      <rPr>
        <b/>
        <sz val="11"/>
        <color theme="1"/>
        <rFont val="Calibri"/>
        <family val="2"/>
      </rPr>
      <t>mitigeurs existants</t>
    </r>
    <r>
      <rPr>
        <sz val="11"/>
        <color theme="1"/>
        <rFont val="Calibri"/>
        <family val="2"/>
      </rPr>
      <t xml:space="preserve"> peut être déclenché par :</t>
    </r>
  </si>
  <si>
    <r>
      <t>La sensibilité à l’</t>
    </r>
    <r>
      <rPr>
        <b/>
        <sz val="11"/>
        <color theme="1"/>
        <rFont val="Calibri"/>
        <family val="2"/>
      </rPr>
      <t>économie d’eau</t>
    </r>
    <r>
      <rPr>
        <sz val="11"/>
        <color theme="1"/>
        <rFont val="Calibri"/>
        <family val="2"/>
      </rPr>
      <t xml:space="preserve"> est plutôt </t>
    </r>
    <r>
      <rPr>
        <b/>
        <sz val="11"/>
        <color theme="1"/>
        <rFont val="Calibri"/>
        <family val="2"/>
      </rPr>
      <t>forte sur le principe</t>
    </r>
    <r>
      <rPr>
        <sz val="11"/>
        <color theme="1"/>
        <rFont val="Calibri"/>
        <family val="2"/>
      </rPr>
      <t>, mais dépendante du budget :</t>
    </r>
  </si>
  <si>
    <t>Administrations, mairies et services publics territoriaux - sobriété budgétaire, exemplarité publique, accueil usager - (5 + 7)</t>
  </si>
  <si>
    <r>
      <t xml:space="preserve">Le </t>
    </r>
    <r>
      <rPr>
        <b/>
        <sz val="11"/>
        <color theme="1"/>
        <rFont val="Calibri"/>
        <family val="2"/>
      </rPr>
      <t>temporisé mécanique</t>
    </r>
    <r>
      <rPr>
        <sz val="11"/>
        <color theme="1"/>
        <rFont val="Calibri"/>
        <family val="2"/>
      </rPr>
      <t xml:space="preserve"> reste néanmoins très solide :</t>
    </r>
  </si>
  <si>
    <r>
      <t xml:space="preserve">Le remplacement des </t>
    </r>
    <r>
      <rPr>
        <b/>
        <sz val="11"/>
        <color theme="1"/>
        <rFont val="Calibri"/>
        <family val="2"/>
      </rPr>
      <t>mitigeurs existants</t>
    </r>
    <r>
      <rPr>
        <sz val="11"/>
        <color theme="1"/>
        <rFont val="Calibri"/>
        <family val="2"/>
      </rPr>
      <t xml:space="preserve"> est plus facile à justifier que dans l’industrie :</t>
    </r>
  </si>
  <si>
    <t>Pour les marchés couverts, la logique est plus “terrain” :</t>
  </si>
  <si>
    <t>VENTES 2026-2030 – NEUF / RÉNOVATION</t>
  </si>
  <si>
    <t>Camemberts en % de ventes : poids du Tertiaire vs. Autres segments, par famille produit et dynamique Total / Rénovation / Neuf brut</t>
  </si>
  <si>
    <t>Logistique, usines et ateliers - robustesse, coût d’exploitation, usage salarié intensif mais peu statutaire - (2 + 3 + 4)</t>
  </si>
  <si>
    <t>MIX TECHNOLOGIQUE ROBINETS LAVABO</t>
  </si>
  <si>
    <t>Hôtels du département Hôtels de région &amp; Services admin. territoriaux</t>
  </si>
  <si>
    <r>
      <t>Centres de stockage / Entrepôts / Plateformes logistiques</t>
    </r>
    <r>
      <rPr>
        <sz val="9"/>
        <color theme="1"/>
        <rFont val="Calibri"/>
        <family val="2"/>
      </rPr>
      <t xml:space="preserve"> (&gt;50 salariés)</t>
    </r>
  </si>
  <si>
    <t>=&gt; Parc tertiaire plus diversifié technologiquement, avec davantage de solutions liées au confort, à l’hygiène, à l’économie d’eau.</t>
  </si>
  <si>
    <r>
      <t xml:space="preserve">Le parc tertiaire 2025 présente une forte </t>
    </r>
    <r>
      <rPr>
        <b/>
        <sz val="11"/>
        <color theme="1"/>
        <rFont val="Calibri"/>
        <family val="2"/>
      </rPr>
      <t>dissociation</t>
    </r>
    <r>
      <rPr>
        <sz val="11"/>
        <color theme="1"/>
        <rFont val="Calibri"/>
        <family val="2"/>
      </rPr>
      <t xml:space="preserve"> entre le </t>
    </r>
    <r>
      <rPr>
        <b/>
        <sz val="11"/>
        <color theme="1"/>
        <rFont val="Calibri"/>
        <family val="2"/>
      </rPr>
      <t>poids</t>
    </r>
    <r>
      <rPr>
        <sz val="11"/>
        <color theme="1"/>
        <rFont val="Calibri"/>
        <family val="2"/>
      </rPr>
      <t xml:space="preserve"> en </t>
    </r>
    <r>
      <rPr>
        <b/>
        <sz val="11"/>
        <color theme="1"/>
        <rFont val="Calibri"/>
        <family val="2"/>
      </rPr>
      <t>nombre d’établissements</t>
    </r>
    <r>
      <rPr>
        <sz val="11"/>
        <color theme="1"/>
        <rFont val="Calibri"/>
        <family val="2"/>
      </rPr>
      <t xml:space="preserve"> et le </t>
    </r>
    <r>
      <rPr>
        <b/>
        <sz val="11"/>
        <color theme="1"/>
        <rFont val="Calibri"/>
        <family val="2"/>
      </rPr>
      <t>poids</t>
    </r>
    <r>
      <rPr>
        <sz val="11"/>
        <color theme="1"/>
        <rFont val="Calibri"/>
        <family val="2"/>
      </rPr>
      <t xml:space="preserve"> en </t>
    </r>
    <r>
      <rPr>
        <b/>
        <sz val="11"/>
        <color theme="1"/>
        <rFont val="Calibri"/>
        <family val="2"/>
      </rPr>
      <t>volume de robinets lavabo</t>
    </r>
    <r>
      <rPr>
        <sz val="11"/>
        <color theme="1"/>
        <rFont val="Calibri"/>
        <family val="2"/>
      </rPr>
      <t xml:space="preserve"> </t>
    </r>
  </si>
  <si>
    <t>selon les sous-segments. Cette situation s’explique principalement par :</t>
  </si>
  <si>
    <r>
      <t xml:space="preserve">Cela traduit une densité sanitaire élevée liée aux </t>
    </r>
    <r>
      <rPr>
        <b/>
        <sz val="11"/>
        <color theme="1"/>
        <rFont val="Calibri"/>
        <family val="2"/>
      </rPr>
      <t>surfaces</t>
    </r>
    <r>
      <rPr>
        <sz val="11"/>
        <color theme="1"/>
        <rFont val="Calibri"/>
        <family val="2"/>
      </rPr>
      <t xml:space="preserve"> de bureaux, aux </t>
    </r>
    <r>
      <rPr>
        <b/>
        <sz val="11"/>
        <color theme="1"/>
        <rFont val="Calibri"/>
        <family val="2"/>
      </rPr>
      <t>effectifs</t>
    </r>
    <r>
      <rPr>
        <sz val="11"/>
        <color theme="1"/>
        <rFont val="Calibri"/>
        <family val="2"/>
      </rPr>
      <t xml:space="preserve"> salariés, aux plateaux </t>
    </r>
    <r>
      <rPr>
        <b/>
        <sz val="11"/>
        <color theme="1"/>
        <rFont val="Calibri"/>
        <family val="2"/>
      </rPr>
      <t>multi-zones</t>
    </r>
    <r>
      <rPr>
        <sz val="11"/>
        <color theme="1"/>
        <rFont val="Calibri"/>
        <family val="2"/>
      </rPr>
      <t xml:space="preserve"> / </t>
    </r>
    <r>
      <rPr>
        <b/>
        <sz val="11"/>
        <color theme="1"/>
        <rFont val="Calibri"/>
        <family val="2"/>
      </rPr>
      <t>multi-étages</t>
    </r>
  </si>
  <si>
    <r>
      <t xml:space="preserve">Cela s’explique par des sites de grande taille, avec </t>
    </r>
    <r>
      <rPr>
        <b/>
        <sz val="11"/>
        <color theme="1"/>
        <rFont val="Calibri"/>
        <family val="2"/>
      </rPr>
      <t>effectifs simultanés</t>
    </r>
    <r>
      <rPr>
        <sz val="11"/>
        <color theme="1"/>
        <rFont val="Calibri"/>
        <family val="2"/>
      </rPr>
      <t xml:space="preserve"> importants, zones de production,</t>
    </r>
    <r>
      <rPr>
        <b/>
        <sz val="11"/>
        <color theme="1"/>
        <rFont val="Calibri"/>
        <family val="2"/>
      </rPr>
      <t xml:space="preserve"> vestiaires / sanitaires</t>
    </r>
  </si>
  <si>
    <r>
      <t>salariés, bâtiments annexes et contraintes d’</t>
    </r>
    <r>
      <rPr>
        <b/>
        <sz val="11"/>
        <color theme="1"/>
        <rFont val="Calibri"/>
        <family val="2"/>
      </rPr>
      <t>hygiène liées à l’environnement de travail</t>
    </r>
    <r>
      <rPr>
        <sz val="11"/>
        <color theme="1"/>
        <rFont val="Calibri"/>
        <family val="2"/>
      </rPr>
      <t>.</t>
    </r>
  </si>
  <si>
    <r>
      <t xml:space="preserve">Cela traduit une base composée de nombreux </t>
    </r>
    <r>
      <rPr>
        <b/>
        <sz val="11"/>
        <color theme="1"/>
        <rFont val="Calibri"/>
        <family val="2"/>
      </rPr>
      <t>sites de petite ou moyenne taille</t>
    </r>
    <r>
      <rPr>
        <sz val="11"/>
        <color theme="1"/>
        <rFont val="Calibri"/>
        <family val="2"/>
      </rPr>
      <t xml:space="preserve">, souvent avec </t>
    </r>
    <r>
      <rPr>
        <b/>
        <sz val="11"/>
        <color theme="1"/>
        <rFont val="Calibri"/>
        <family val="2"/>
      </rPr>
      <t>surfaces limitées</t>
    </r>
    <r>
      <rPr>
        <sz val="11"/>
        <color theme="1"/>
        <rFont val="Calibri"/>
        <family val="2"/>
      </rPr>
      <t>,</t>
    </r>
  </si>
  <si>
    <t xml:space="preserve"> mais des densités humaines souvent plus faibles que les bureaux.</t>
  </si>
  <si>
    <r>
      <t xml:space="preserve"> effectifs </t>
    </r>
    <r>
      <rPr>
        <b/>
        <sz val="11"/>
        <color theme="1"/>
        <rFont val="Calibri"/>
        <family val="2"/>
      </rPr>
      <t>salariés réduits</t>
    </r>
    <r>
      <rPr>
        <sz val="11"/>
        <color theme="1"/>
        <rFont val="Calibri"/>
        <family val="2"/>
      </rPr>
      <t xml:space="preserve"> et capacité d’</t>
    </r>
    <r>
      <rPr>
        <b/>
        <sz val="11"/>
        <color theme="1"/>
        <rFont val="Calibri"/>
        <family val="2"/>
      </rPr>
      <t>accueil public plus faible</t>
    </r>
    <r>
      <rPr>
        <sz val="11"/>
        <color theme="1"/>
        <rFont val="Calibri"/>
        <family val="2"/>
      </rPr>
      <t xml:space="preserve"> que les grands bureaux, usines ou centres commerciaux.</t>
    </r>
  </si>
  <si>
    <r>
      <t xml:space="preserve"> et à la </t>
    </r>
    <r>
      <rPr>
        <b/>
        <sz val="11"/>
        <color theme="1"/>
        <rFont val="Calibri"/>
        <family val="2"/>
      </rPr>
      <t>séparation des usages salariés / visiteurs</t>
    </r>
    <r>
      <rPr>
        <sz val="11"/>
        <color theme="1"/>
        <rFont val="Calibri"/>
        <family val="2"/>
      </rPr>
      <t>.</t>
    </r>
  </si>
  <si>
    <r>
      <t xml:space="preserve">Les </t>
    </r>
    <r>
      <rPr>
        <b/>
        <sz val="11"/>
        <color theme="1"/>
        <rFont val="Calibri"/>
        <family val="2"/>
      </rPr>
      <t>bureaux administratifs secondaires non ERP &gt;50 salariés</t>
    </r>
    <r>
      <rPr>
        <sz val="11"/>
        <color theme="1"/>
        <rFont val="Calibri"/>
        <family val="2"/>
      </rPr>
      <t xml:space="preserve"> pèsent </t>
    </r>
    <r>
      <rPr>
        <b/>
        <sz val="11"/>
        <color theme="1"/>
        <rFont val="Calibri"/>
        <family val="2"/>
      </rPr>
      <t>11 % des établissements</t>
    </r>
    <r>
      <rPr>
        <sz val="11"/>
        <color theme="1"/>
        <rFont val="Calibri"/>
        <family val="2"/>
      </rPr>
      <t xml:space="preserve"> et </t>
    </r>
    <r>
      <rPr>
        <b/>
        <sz val="11"/>
        <color theme="1"/>
        <rFont val="Calibri"/>
        <family val="2"/>
      </rPr>
      <t>12 % des volumes</t>
    </r>
    <r>
      <rPr>
        <sz val="11"/>
        <color theme="1"/>
        <rFont val="Calibri"/>
        <family val="2"/>
      </rPr>
      <t xml:space="preserve"> : profil également proche de la moyenne,</t>
    </r>
  </si>
  <si>
    <t xml:space="preserve"> avec un effet taille / salariés mais moins marqué que les bureaux privés.</t>
  </si>
  <si>
    <r>
      <t xml:space="preserve">Ces segments sont les plus proches d’une logique </t>
    </r>
    <r>
      <rPr>
        <b/>
        <sz val="11"/>
        <color theme="1"/>
        <rFont val="Calibri"/>
        <family val="2"/>
      </rPr>
      <t>ERP client / public</t>
    </r>
    <r>
      <rPr>
        <sz val="11"/>
        <color theme="1"/>
        <rFont val="Calibri"/>
        <family val="2"/>
      </rPr>
      <t xml:space="preserve"> =&gt; Sanitaires </t>
    </r>
    <r>
      <rPr>
        <b/>
        <sz val="11"/>
        <color theme="1"/>
        <rFont val="Calibri"/>
        <family val="2"/>
      </rPr>
      <t>visibles</t>
    </r>
    <r>
      <rPr>
        <sz val="11"/>
        <color theme="1"/>
        <rFont val="Calibri"/>
        <family val="2"/>
      </rPr>
      <t xml:space="preserve"> ; usage collectif ; variabilité de fréquentation ; importance de l’</t>
    </r>
    <r>
      <rPr>
        <b/>
        <sz val="11"/>
        <color theme="1"/>
        <rFont val="Calibri"/>
        <family val="2"/>
      </rPr>
      <t>expérience usager</t>
    </r>
    <r>
      <rPr>
        <sz val="11"/>
        <color theme="1"/>
        <rFont val="Calibri"/>
        <family val="2"/>
      </rPr>
      <t xml:space="preserve"> ; risque de mauvaise perception en cas de panne ou de saleté.</t>
    </r>
  </si>
  <si>
    <r>
      <t xml:space="preserve">Ces segments combinent plusieurs contraintes =&gt; Usage salarié ; accueil du public ; </t>
    </r>
    <r>
      <rPr>
        <b/>
        <sz val="11"/>
        <color theme="1"/>
        <rFont val="Calibri"/>
        <family val="2"/>
      </rPr>
      <t>visibilité</t>
    </r>
    <r>
      <rPr>
        <sz val="11"/>
        <color theme="1"/>
        <rFont val="Calibri"/>
        <family val="2"/>
      </rPr>
      <t xml:space="preserve"> institutionnelle ; </t>
    </r>
    <r>
      <rPr>
        <b/>
        <sz val="11"/>
        <color theme="1"/>
        <rFont val="Calibri"/>
        <family val="2"/>
      </rPr>
      <t>budgets</t>
    </r>
    <r>
      <rPr>
        <sz val="11"/>
        <color theme="1"/>
        <rFont val="Calibri"/>
        <family val="2"/>
      </rPr>
      <t xml:space="preserve"> contraints ; procédures d’</t>
    </r>
    <r>
      <rPr>
        <b/>
        <sz val="11"/>
        <color theme="1"/>
        <rFont val="Calibri"/>
        <family val="2"/>
      </rPr>
      <t xml:space="preserve">achat </t>
    </r>
    <r>
      <rPr>
        <sz val="11"/>
        <color theme="1"/>
        <rFont val="Calibri"/>
        <family val="2"/>
      </rPr>
      <t xml:space="preserve">plus </t>
    </r>
    <r>
      <rPr>
        <b/>
        <sz val="11"/>
        <color theme="1"/>
        <rFont val="Calibri"/>
        <family val="2"/>
      </rPr>
      <t>formalisées</t>
    </r>
    <r>
      <rPr>
        <sz val="11"/>
        <color theme="1"/>
        <rFont val="Calibri"/>
        <family val="2"/>
      </rPr>
      <t xml:space="preserve"> ; attente d’</t>
    </r>
    <r>
      <rPr>
        <b/>
        <sz val="11"/>
        <color theme="1"/>
        <rFont val="Calibri"/>
        <family val="2"/>
      </rPr>
      <t>exemplarité</t>
    </r>
    <r>
      <rPr>
        <sz val="11"/>
        <color theme="1"/>
        <rFont val="Calibri"/>
        <family val="2"/>
      </rPr>
      <t xml:space="preserve"> environnementale.</t>
    </r>
  </si>
  <si>
    <r>
      <t>Ces segments sont moins tirés par l’</t>
    </r>
    <r>
      <rPr>
        <b/>
        <sz val="11"/>
        <color theme="1"/>
        <rFont val="Calibri"/>
        <family val="2"/>
      </rPr>
      <t>image</t>
    </r>
    <r>
      <rPr>
        <sz val="11"/>
        <color theme="1"/>
        <rFont val="Calibri"/>
        <family val="2"/>
      </rPr>
      <t xml:space="preserve"> et davantage par =&gt; </t>
    </r>
    <r>
      <rPr>
        <b/>
        <sz val="11"/>
        <color theme="1"/>
        <rFont val="Calibri"/>
        <family val="2"/>
      </rPr>
      <t>Fiabilité</t>
    </r>
    <r>
      <rPr>
        <sz val="11"/>
        <color theme="1"/>
        <rFont val="Calibri"/>
        <family val="2"/>
      </rPr>
      <t xml:space="preserve"> ; résistance à l’usage ; coût d’achat ; </t>
    </r>
    <r>
      <rPr>
        <b/>
        <sz val="11"/>
        <color theme="1"/>
        <rFont val="Calibri"/>
        <family val="2"/>
      </rPr>
      <t>maintenance</t>
    </r>
    <r>
      <rPr>
        <sz val="11"/>
        <color theme="1"/>
        <rFont val="Calibri"/>
        <family val="2"/>
      </rPr>
      <t xml:space="preserve"> simple ; disponibilité des pièces ;</t>
    </r>
    <r>
      <rPr>
        <b/>
        <sz val="11"/>
        <color theme="1"/>
        <rFont val="Calibri"/>
        <family val="2"/>
      </rPr>
      <t xml:space="preserve"> remplacement rapide </t>
    </r>
    <r>
      <rPr>
        <sz val="11"/>
        <color theme="1"/>
        <rFont val="Calibri"/>
        <family val="2"/>
      </rPr>
      <t>en cas de panne.</t>
    </r>
  </si>
  <si>
    <r>
      <rPr>
        <sz val="11"/>
        <color theme="1"/>
        <rFont val="Calibri"/>
        <family val="2"/>
      </rPr>
      <t xml:space="preserve">Segments </t>
    </r>
    <r>
      <rPr>
        <b/>
        <sz val="11"/>
        <color theme="1"/>
        <rFont val="Calibri"/>
        <family val="2"/>
      </rPr>
      <t>historiquement favorables aux mitigeurs</t>
    </r>
    <r>
      <rPr>
        <sz val="11"/>
        <color theme="1"/>
        <rFont val="Calibri"/>
        <family val="2"/>
      </rPr>
      <t>, car ils répondent bien aux usages de bureau :</t>
    </r>
    <r>
      <rPr>
        <b/>
        <sz val="11"/>
        <color theme="1"/>
        <rFont val="Calibri"/>
        <family val="2"/>
      </rPr>
      <t xml:space="preserve"> Confort </t>
    </r>
    <r>
      <rPr>
        <sz val="11"/>
        <color theme="1"/>
        <rFont val="Calibri"/>
        <family val="2"/>
      </rPr>
      <t xml:space="preserve">d’utilisation ; </t>
    </r>
    <r>
      <rPr>
        <b/>
        <sz val="11"/>
        <color theme="1"/>
        <rFont val="Calibri"/>
        <family val="2"/>
      </rPr>
      <t>température</t>
    </r>
    <r>
      <rPr>
        <sz val="11"/>
        <color theme="1"/>
        <rFont val="Calibri"/>
        <family val="2"/>
      </rPr>
      <t xml:space="preserve"> réglable ; usage </t>
    </r>
    <r>
      <rPr>
        <b/>
        <sz val="11"/>
        <color theme="1"/>
        <rFont val="Calibri"/>
        <family val="2"/>
      </rPr>
      <t>quotidien</t>
    </r>
    <r>
      <rPr>
        <sz val="11"/>
        <color theme="1"/>
        <rFont val="Calibri"/>
        <family val="2"/>
      </rPr>
      <t xml:space="preserve"> (salariés réguliers) ; perception plus </t>
    </r>
    <r>
      <rPr>
        <b/>
        <sz val="11"/>
        <color theme="1"/>
        <rFont val="Calibri"/>
        <family val="2"/>
      </rPr>
      <t>résidentielle/qualitative</t>
    </r>
    <r>
      <rPr>
        <sz val="11"/>
        <color theme="1"/>
        <rFont val="Calibri"/>
        <family val="2"/>
      </rPr>
      <t xml:space="preserve"> que le poussoir.</t>
    </r>
  </si>
  <si>
    <r>
      <t>=&gt; Les mitigeurs en place constituent un parc important ; le remplacement ne se fera pas automatiquement vers du temporisé ; il faut convaincre sur</t>
    </r>
    <r>
      <rPr>
        <b/>
        <sz val="11"/>
        <color theme="1"/>
        <rFont val="Calibri"/>
        <family val="2"/>
      </rPr>
      <t xml:space="preserve"> hygiène, économie d’eau, image, facilité de retrofit et coût global.</t>
    </r>
  </si>
  <si>
    <r>
      <t xml:space="preserve">   </t>
    </r>
    <r>
      <rPr>
        <sz val="11"/>
        <color theme="1"/>
        <rFont val="Calibri"/>
        <family val="2"/>
      </rPr>
      <t xml:space="preserve">=&gt; L’enjeu principal des prochaines années est le </t>
    </r>
    <r>
      <rPr>
        <b/>
        <sz val="11"/>
        <color theme="1"/>
        <rFont val="Calibri"/>
        <family val="2"/>
      </rPr>
      <t>remplacement des mitigeurs existants</t>
    </r>
    <r>
      <rPr>
        <sz val="11"/>
        <color theme="1"/>
        <rFont val="Calibri"/>
        <family val="2"/>
      </rPr>
      <t>, pas seulement l’équipement du neuf :</t>
    </r>
  </si>
  <si>
    <r>
      <rPr>
        <sz val="11"/>
        <color theme="1"/>
        <rFont val="Calibri"/>
        <family val="2"/>
      </rPr>
      <t>=&gt;</t>
    </r>
    <r>
      <rPr>
        <b/>
        <sz val="11"/>
        <color theme="1"/>
        <rFont val="Calibri"/>
        <family val="2"/>
      </rPr>
      <t xml:space="preserve"> Design valorisant</t>
    </r>
    <r>
      <rPr>
        <sz val="11"/>
        <color theme="1"/>
        <rFont val="Calibri"/>
      </rPr>
      <t xml:space="preserve"> </t>
    </r>
    <r>
      <rPr>
        <sz val="11"/>
        <color theme="1"/>
        <rFont val="Calibri"/>
        <family val="2"/>
      </rPr>
      <t>; confort d’usage ; fonctionnement intuitif ; faible bruit ; entretien simple ; compatibilité avec les vasques et perçages existants.</t>
    </r>
  </si>
  <si>
    <t>=&gt; Forte dans les sièges, immeubles récents, bâtiments certifiés, rénovations premium ; plus faible dans les petits sites ou bâtiments secondaires peu visibles.</t>
  </si>
  <si>
    <r>
      <t xml:space="preserve">=&gt; Le levier n’est pas une norme eau spécifique, mais plutôt une logique </t>
    </r>
    <r>
      <rPr>
        <b/>
        <sz val="11"/>
        <color theme="1"/>
        <rFont val="Calibri"/>
      </rPr>
      <t>RSE</t>
    </r>
    <r>
      <rPr>
        <sz val="11"/>
        <color theme="1"/>
        <rFont val="Calibri"/>
      </rPr>
      <t xml:space="preserve">, </t>
    </r>
    <r>
      <rPr>
        <b/>
        <sz val="11"/>
        <color theme="1"/>
        <rFont val="Calibri"/>
      </rPr>
      <t>charges d’exploitation</t>
    </r>
    <r>
      <rPr>
        <sz val="11"/>
        <color theme="1"/>
        <rFont val="Calibri"/>
      </rPr>
      <t xml:space="preserve">, </t>
    </r>
    <r>
      <rPr>
        <b/>
        <sz val="11"/>
        <color theme="1"/>
        <rFont val="Calibri"/>
      </rPr>
      <t>décret tertiaire énergie</t>
    </r>
    <r>
      <rPr>
        <sz val="11"/>
        <color theme="1"/>
        <rFont val="Calibri"/>
      </rPr>
      <t xml:space="preserve"> et </t>
    </r>
    <r>
      <rPr>
        <b/>
        <sz val="11"/>
        <color theme="1"/>
        <rFont val="Calibri"/>
      </rPr>
      <t>image employeur</t>
    </r>
    <r>
      <rPr>
        <sz val="11"/>
        <color theme="1"/>
        <rFont val="Calibri"/>
      </rPr>
      <t>.</t>
    </r>
  </si>
  <si>
    <r>
      <t xml:space="preserve">=&gt; Positionner l’offre comme une </t>
    </r>
    <r>
      <rPr>
        <b/>
        <sz val="11"/>
        <color theme="1"/>
        <rFont val="Calibri"/>
      </rPr>
      <t>alternative premium au mitigeur classique</t>
    </r>
    <r>
      <rPr>
        <sz val="11"/>
        <color theme="1"/>
        <rFont val="Calibri"/>
      </rPr>
      <t xml:space="preserve"> ;</t>
    </r>
    <r>
      <rPr>
        <sz val="11"/>
        <color theme="1"/>
        <rFont val="Calibri"/>
        <family val="2"/>
      </rPr>
      <t xml:space="preserve"> mettre en avant </t>
    </r>
    <r>
      <rPr>
        <b/>
        <sz val="11"/>
        <color theme="1"/>
        <rFont val="Calibri"/>
        <family val="2"/>
      </rPr>
      <t>sans-contact, maîtrise du débit, anti-gaspillage, design, facilité de pose en rénovation</t>
    </r>
    <r>
      <rPr>
        <sz val="11"/>
        <color theme="1"/>
        <rFont val="Calibri"/>
        <family val="2"/>
      </rPr>
      <t xml:space="preserve"> ;</t>
    </r>
  </si>
  <si>
    <r>
      <t>=&gt; Travailler des produits “</t>
    </r>
    <r>
      <rPr>
        <b/>
        <sz val="11"/>
        <color theme="1"/>
        <rFont val="Calibri"/>
        <family val="2"/>
      </rPr>
      <t>rénovation-friendly</t>
    </r>
    <r>
      <rPr>
        <sz val="11"/>
        <color theme="1"/>
        <rFont val="Calibri"/>
      </rPr>
      <t xml:space="preserve">” : alimentation pile ou secteur, pose rapide, maintenance simple, </t>
    </r>
    <r>
      <rPr>
        <b/>
        <sz val="11"/>
        <color theme="1"/>
        <rFont val="Calibri"/>
        <family val="2"/>
      </rPr>
      <t>compatibilité</t>
    </r>
    <r>
      <rPr>
        <sz val="11"/>
        <color theme="1"/>
        <rFont val="Calibri"/>
      </rPr>
      <t xml:space="preserve"> avec installations existantes.</t>
    </r>
  </si>
  <si>
    <r>
      <t xml:space="preserve">=&gt; Arbitrage </t>
    </r>
    <r>
      <rPr>
        <b/>
        <sz val="11"/>
        <color theme="1"/>
        <rFont val="Calibri"/>
        <family val="2"/>
      </rPr>
      <t>prix</t>
    </r>
    <r>
      <rPr>
        <sz val="11"/>
        <color theme="1"/>
        <rFont val="Calibri"/>
        <family val="2"/>
      </rPr>
      <t xml:space="preserve"> plus fort ; crainte de </t>
    </r>
    <r>
      <rPr>
        <b/>
        <sz val="11"/>
        <color theme="1"/>
        <rFont val="Calibri"/>
        <family val="2"/>
      </rPr>
      <t xml:space="preserve">maintenance plus technique </t>
    </r>
    <r>
      <rPr>
        <sz val="11"/>
        <color theme="1"/>
        <rFont val="Calibri"/>
        <family val="2"/>
      </rPr>
      <t>; perception d’un risque de panne ; logique fréquente de remplacement “</t>
    </r>
    <r>
      <rPr>
        <b/>
        <sz val="11"/>
        <color theme="1"/>
        <rFont val="Calibri"/>
        <family val="2"/>
      </rPr>
      <t>à l’identique</t>
    </r>
    <r>
      <rPr>
        <sz val="11"/>
        <color theme="1"/>
        <rFont val="Calibri"/>
        <family val="2"/>
      </rPr>
      <t>”.</t>
    </r>
  </si>
  <si>
    <t>=&gt; Capteur robuste ; protection contre chocs / usage dur ; réglage simple ; maintenance accessible ; autonomie longue ; diagnostic rapide ; disponibilité pièces détachées.</t>
  </si>
  <si>
    <r>
      <rPr>
        <b/>
        <sz val="11"/>
        <color theme="1"/>
        <rFont val="Calibri"/>
        <family val="2"/>
      </rPr>
      <t>=&gt; Forte</t>
    </r>
    <r>
      <rPr>
        <sz val="11"/>
        <color theme="1"/>
        <rFont val="Calibri"/>
        <family val="2"/>
      </rPr>
      <t xml:space="preserve"> sur les sites industriels déjà </t>
    </r>
    <r>
      <rPr>
        <b/>
        <sz val="11"/>
        <color theme="1"/>
        <rFont val="Calibri"/>
        <family val="2"/>
      </rPr>
      <t>engagés</t>
    </r>
    <r>
      <rPr>
        <sz val="11"/>
        <color theme="1"/>
        <rFont val="Calibri"/>
        <family val="2"/>
      </rPr>
      <t xml:space="preserve"> dans une démarche de </t>
    </r>
    <r>
      <rPr>
        <b/>
        <sz val="11"/>
        <color theme="1"/>
        <rFont val="Calibri"/>
        <family val="2"/>
      </rPr>
      <t>sobriété hydrique</t>
    </r>
    <r>
      <rPr>
        <sz val="11"/>
        <color theme="1"/>
        <rFont val="Calibri"/>
        <family val="2"/>
      </rPr>
      <t xml:space="preserve"> ; plus </t>
    </r>
    <r>
      <rPr>
        <b/>
        <sz val="11"/>
        <color theme="1"/>
        <rFont val="Calibri"/>
        <family val="2"/>
      </rPr>
      <t>faible</t>
    </r>
    <r>
      <rPr>
        <sz val="11"/>
        <color theme="1"/>
        <rFont val="Calibri"/>
        <family val="2"/>
      </rPr>
      <t xml:space="preserve"> lorsque l’eau sanitaire </t>
    </r>
    <r>
      <rPr>
        <b/>
        <sz val="11"/>
        <color theme="1"/>
        <rFont val="Calibri"/>
        <family val="2"/>
      </rPr>
      <t>pèse peu</t>
    </r>
    <r>
      <rPr>
        <sz val="11"/>
        <color theme="1"/>
        <rFont val="Calibri"/>
        <family val="2"/>
      </rPr>
      <t xml:space="preserve"> face aux autres usages industriels ;</t>
    </r>
  </si>
  <si>
    <r>
      <t xml:space="preserve">=&gt; Plus facile à activer si le discours porte sur </t>
    </r>
    <r>
      <rPr>
        <b/>
        <sz val="11"/>
        <color theme="1"/>
        <rFont val="Calibri"/>
        <family val="2"/>
      </rPr>
      <t>réduction des gaspillages</t>
    </r>
    <r>
      <rPr>
        <sz val="11"/>
        <color theme="1"/>
        <rFont val="Calibri"/>
        <family val="2"/>
      </rPr>
      <t xml:space="preserve">, </t>
    </r>
    <r>
      <rPr>
        <b/>
        <sz val="11"/>
        <color theme="1"/>
        <rFont val="Calibri"/>
        <family val="2"/>
      </rPr>
      <t>arrêt automatique</t>
    </r>
    <r>
      <rPr>
        <sz val="11"/>
        <color theme="1"/>
        <rFont val="Calibri"/>
        <family val="2"/>
      </rPr>
      <t xml:space="preserve"> et </t>
    </r>
    <r>
      <rPr>
        <b/>
        <sz val="11"/>
        <color theme="1"/>
        <rFont val="Calibri"/>
        <family val="2"/>
      </rPr>
      <t>coût total de possession</t>
    </r>
    <r>
      <rPr>
        <sz val="11"/>
        <color theme="1"/>
        <rFont val="Calibri"/>
        <family val="2"/>
      </rPr>
      <t>.</t>
    </r>
  </si>
  <si>
    <r>
      <t xml:space="preserve">=&gt; Les collectivités sont </t>
    </r>
    <r>
      <rPr>
        <b/>
        <sz val="11"/>
        <color theme="1"/>
        <rFont val="Calibri"/>
        <family val="2"/>
      </rPr>
      <t>sensibles</t>
    </r>
    <r>
      <rPr>
        <sz val="11"/>
        <color theme="1"/>
        <rFont val="Calibri"/>
        <family val="2"/>
      </rPr>
      <t xml:space="preserve"> au sujet eau / ressources ; la contrainte d’investissement peut </t>
    </r>
    <r>
      <rPr>
        <b/>
        <sz val="11"/>
        <color theme="1"/>
        <rFont val="Calibri"/>
        <family val="2"/>
      </rPr>
      <t>freiner l’électronique</t>
    </r>
    <r>
      <rPr>
        <sz val="11"/>
        <color theme="1"/>
        <rFont val="Calibri"/>
        <family val="2"/>
      </rPr>
      <t xml:space="preserve"> ; le discours doit prouver le </t>
    </r>
    <r>
      <rPr>
        <b/>
        <sz val="11"/>
        <color theme="1"/>
        <rFont val="Calibri"/>
        <family val="2"/>
      </rPr>
      <t>retour d’usage</t>
    </r>
    <r>
      <rPr>
        <sz val="11"/>
        <color theme="1"/>
        <rFont val="Calibri"/>
        <family val="2"/>
      </rPr>
      <t>, pas seulement le bénéfice environnemental.</t>
    </r>
  </si>
  <si>
    <r>
      <t xml:space="preserve">=&gt; Parler </t>
    </r>
    <r>
      <rPr>
        <b/>
        <sz val="11"/>
        <color theme="1"/>
        <rFont val="Calibri"/>
        <family val="2"/>
      </rPr>
      <t>sobriété</t>
    </r>
    <r>
      <rPr>
        <sz val="11"/>
        <color theme="1"/>
        <rFont val="Calibri"/>
        <family val="2"/>
      </rPr>
      <t xml:space="preserve">, </t>
    </r>
    <r>
      <rPr>
        <b/>
        <sz val="11"/>
        <color theme="1"/>
        <rFont val="Calibri"/>
        <family val="2"/>
      </rPr>
      <t>exemplarité</t>
    </r>
    <r>
      <rPr>
        <sz val="11"/>
        <color theme="1"/>
        <rFont val="Calibri"/>
        <family val="2"/>
      </rPr>
      <t xml:space="preserve">, </t>
    </r>
    <r>
      <rPr>
        <b/>
        <sz val="11"/>
        <color theme="1"/>
        <rFont val="Calibri"/>
        <family val="2"/>
      </rPr>
      <t>durabilité</t>
    </r>
    <r>
      <rPr>
        <sz val="11"/>
        <color theme="1"/>
        <rFont val="Calibri"/>
        <family val="2"/>
      </rPr>
      <t xml:space="preserve">, </t>
    </r>
    <r>
      <rPr>
        <b/>
        <sz val="11"/>
        <color theme="1"/>
        <rFont val="Calibri"/>
        <family val="2"/>
      </rPr>
      <t>coût global</t>
    </r>
    <r>
      <rPr>
        <sz val="11"/>
        <color theme="1"/>
        <rFont val="Calibri"/>
        <family val="2"/>
      </rPr>
      <t xml:space="preserve">, </t>
    </r>
    <r>
      <rPr>
        <b/>
        <sz val="11"/>
        <color theme="1"/>
        <rFont val="Calibri"/>
        <family val="2"/>
      </rPr>
      <t>facilité de maintenance</t>
    </r>
    <r>
      <rPr>
        <sz val="11"/>
        <color theme="1"/>
        <rFont val="Calibri"/>
        <family val="2"/>
      </rPr>
      <t xml:space="preserve"> ; développer des gammes faciles à </t>
    </r>
    <r>
      <rPr>
        <b/>
        <sz val="11"/>
        <color theme="1"/>
        <rFont val="Calibri"/>
        <family val="2"/>
      </rPr>
      <t>standardiser</t>
    </r>
    <r>
      <rPr>
        <sz val="11"/>
        <color theme="1"/>
        <rFont val="Calibri"/>
        <family val="2"/>
      </rPr>
      <t xml:space="preserve"> sur plusieurs bâtiments.</t>
    </r>
  </si>
  <si>
    <r>
      <t xml:space="preserve">=&gt; Robuste ; simple ; moins coûteux ; </t>
    </r>
    <r>
      <rPr>
        <b/>
        <sz val="11"/>
        <color theme="1"/>
        <rFont val="Calibri"/>
        <family val="2"/>
      </rPr>
      <t>rassurant</t>
    </r>
    <r>
      <rPr>
        <sz val="11"/>
        <color theme="1"/>
        <rFont val="Calibri"/>
        <family val="2"/>
      </rPr>
      <t xml:space="preserve"> en environnement exposé ; parfois préféré en cas de risque de </t>
    </r>
    <r>
      <rPr>
        <b/>
        <sz val="11"/>
        <color theme="1"/>
        <rFont val="Calibri"/>
        <family val="2"/>
      </rPr>
      <t>vandalisme</t>
    </r>
    <r>
      <rPr>
        <sz val="11"/>
        <color theme="1"/>
        <rFont val="Calibri"/>
        <family val="2"/>
      </rPr>
      <t xml:space="preserve"> ou de </t>
    </r>
    <r>
      <rPr>
        <b/>
        <sz val="11"/>
        <color theme="1"/>
        <rFont val="Calibri"/>
        <family val="2"/>
      </rPr>
      <t>maintenance limitée</t>
    </r>
    <r>
      <rPr>
        <sz val="11"/>
        <color theme="1"/>
        <rFont val="Calibri"/>
        <family val="2"/>
      </rPr>
      <t>.</t>
    </r>
  </si>
  <si>
    <r>
      <t>=&gt; Les sanitaires participent directement à l’</t>
    </r>
    <r>
      <rPr>
        <b/>
        <sz val="11"/>
        <color theme="1"/>
        <rFont val="Calibri"/>
        <family val="2"/>
      </rPr>
      <t>image du lieu</t>
    </r>
    <r>
      <rPr>
        <sz val="11"/>
        <color theme="1"/>
        <rFont val="Calibri"/>
        <family val="2"/>
      </rPr>
      <t xml:space="preserve"> ; l’équipement est </t>
    </r>
    <r>
      <rPr>
        <b/>
        <sz val="11"/>
        <color theme="1"/>
        <rFont val="Calibri"/>
        <family val="2"/>
      </rPr>
      <t>visible</t>
    </r>
    <r>
      <rPr>
        <sz val="11"/>
        <color theme="1"/>
        <rFont val="Calibri"/>
        <family val="2"/>
      </rPr>
      <t xml:space="preserve"> par les </t>
    </r>
    <r>
      <rPr>
        <b/>
        <sz val="11"/>
        <color theme="1"/>
        <rFont val="Calibri"/>
        <family val="2"/>
      </rPr>
      <t>clients</t>
    </r>
    <r>
      <rPr>
        <sz val="11"/>
        <color theme="1"/>
        <rFont val="Calibri"/>
        <family val="2"/>
      </rPr>
      <t xml:space="preserve"> ; les économies d’eau sont plus faciles à relier au volume d’usage ; l’hygiène est un argument immédiat.</t>
    </r>
  </si>
  <si>
    <r>
      <t xml:space="preserve">=&gt; Usage </t>
    </r>
    <r>
      <rPr>
        <b/>
        <sz val="11"/>
        <color theme="1"/>
        <rFont val="Calibri"/>
        <family val="2"/>
      </rPr>
      <t>public</t>
    </r>
    <r>
      <rPr>
        <sz val="11"/>
        <color theme="1"/>
        <rFont val="Calibri"/>
        <family val="2"/>
      </rPr>
      <t xml:space="preserve"> ; proximité avec</t>
    </r>
    <r>
      <rPr>
        <b/>
        <sz val="11"/>
        <color theme="1"/>
        <rFont val="Calibri"/>
        <family val="2"/>
      </rPr>
      <t xml:space="preserve"> alimentaire / hygiène</t>
    </r>
    <r>
      <rPr>
        <sz val="11"/>
        <color theme="1"/>
        <rFont val="Calibri"/>
        <family val="2"/>
      </rPr>
      <t xml:space="preserve"> ; nettoyage fréquent ; besoin de produits </t>
    </r>
    <r>
      <rPr>
        <b/>
        <sz val="11"/>
        <color theme="1"/>
        <rFont val="Calibri"/>
        <family val="2"/>
      </rPr>
      <t>résistants</t>
    </r>
    <r>
      <rPr>
        <sz val="11"/>
        <color theme="1"/>
        <rFont val="Calibri"/>
        <family val="2"/>
      </rPr>
      <t xml:space="preserve">, simples et faciles à </t>
    </r>
    <r>
      <rPr>
        <b/>
        <sz val="11"/>
        <color theme="1"/>
        <rFont val="Calibri"/>
        <family val="2"/>
      </rPr>
      <t>maintenir</t>
    </r>
    <r>
      <rPr>
        <sz val="11"/>
        <color theme="1"/>
        <rFont val="Calibri"/>
        <family val="2"/>
      </rPr>
      <t>.</t>
    </r>
  </si>
  <si>
    <r>
      <t>=&gt; Intégrer la notion de</t>
    </r>
    <r>
      <rPr>
        <b/>
        <sz val="11"/>
        <color theme="1"/>
        <rFont val="Calibri"/>
        <family val="2"/>
      </rPr>
      <t xml:space="preserve"> continuité de service</t>
    </r>
    <r>
      <rPr>
        <sz val="11"/>
        <color theme="1"/>
        <rFont val="Calibri"/>
        <family val="2"/>
      </rPr>
      <t xml:space="preserve"> : éviter qu’un robinet en panne dégrade l’expérience client.</t>
    </r>
  </si>
  <si>
    <r>
      <t xml:space="preserve">La sensibilité </t>
    </r>
    <r>
      <rPr>
        <b/>
        <sz val="11"/>
        <color theme="1"/>
        <rFont val="Calibri"/>
        <family val="2"/>
      </rPr>
      <t>économie d’eau</t>
    </r>
    <r>
      <rPr>
        <sz val="11"/>
        <color theme="1"/>
        <rFont val="Calibri"/>
        <family val="2"/>
      </rPr>
      <t xml:space="preserve"> </t>
    </r>
    <r>
      <rPr>
        <b/>
        <sz val="11"/>
        <color theme="1"/>
        <rFont val="Calibri"/>
        <family val="2"/>
      </rPr>
      <t>forte</t>
    </r>
    <r>
      <rPr>
        <sz val="11"/>
        <color theme="1"/>
        <rFont val="Calibri"/>
        <family val="2"/>
      </rPr>
      <t>, surtout dans centres commerciaux :</t>
    </r>
  </si>
  <si>
    <r>
      <t xml:space="preserve">L’électronique est particulièrement légitime lorsque le site veut améliorer  =&gt; </t>
    </r>
    <r>
      <rPr>
        <b/>
        <sz val="11"/>
        <color theme="1"/>
        <rFont val="Calibri"/>
        <family val="2"/>
      </rPr>
      <t>Hygiène</t>
    </r>
    <r>
      <rPr>
        <sz val="11"/>
        <color theme="1"/>
        <rFont val="Calibri"/>
        <family val="2"/>
      </rPr>
      <t xml:space="preserve"> sans contact ; image de </t>
    </r>
    <r>
      <rPr>
        <b/>
        <sz val="11"/>
        <color theme="1"/>
        <rFont val="Calibri"/>
        <family val="2"/>
      </rPr>
      <t>modernité</t>
    </r>
    <r>
      <rPr>
        <sz val="11"/>
        <color theme="1"/>
        <rFont val="Calibri"/>
        <family val="2"/>
      </rPr>
      <t xml:space="preserve"> ; </t>
    </r>
    <r>
      <rPr>
        <b/>
        <sz val="11"/>
        <color theme="1"/>
        <rFont val="Calibri"/>
        <family val="2"/>
      </rPr>
      <t>maîtrise</t>
    </r>
    <r>
      <rPr>
        <sz val="11"/>
        <color theme="1"/>
        <rFont val="Calibri"/>
        <family val="2"/>
      </rPr>
      <t xml:space="preserve"> des consommations ; </t>
    </r>
    <r>
      <rPr>
        <b/>
        <sz val="11"/>
        <color theme="1"/>
        <rFont val="Calibri"/>
        <family val="2"/>
      </rPr>
      <t>limitation</t>
    </r>
    <r>
      <rPr>
        <sz val="11"/>
        <color theme="1"/>
        <rFont val="Calibri"/>
        <family val="2"/>
      </rPr>
      <t xml:space="preserve"> des usages abusifs ; </t>
    </r>
    <r>
      <rPr>
        <b/>
        <sz val="11"/>
        <color theme="1"/>
        <rFont val="Calibri"/>
        <family val="2"/>
      </rPr>
      <t>expérience</t>
    </r>
    <r>
      <rPr>
        <sz val="11"/>
        <color theme="1"/>
        <rFont val="Calibri"/>
        <family val="2"/>
      </rPr>
      <t xml:space="preserve"> client.</t>
    </r>
  </si>
  <si>
    <r>
      <t xml:space="preserve">=&gt; Eviter discours trop “premium / design” ; privilégier </t>
    </r>
    <r>
      <rPr>
        <b/>
        <sz val="11"/>
        <color theme="1"/>
        <rFont val="Calibri"/>
        <family val="2"/>
      </rPr>
      <t xml:space="preserve">robustesse, simplicité, TCO, anti-gaspillage, maintenance terrain </t>
    </r>
    <r>
      <rPr>
        <sz val="11"/>
        <color theme="1"/>
        <rFont val="Calibri"/>
        <family val="2"/>
      </rPr>
      <t>; proposer offre électronique “</t>
    </r>
    <r>
      <rPr>
        <b/>
        <sz val="11"/>
        <color theme="1"/>
        <rFont val="Calibri"/>
        <family val="2"/>
      </rPr>
      <t>durcie</t>
    </r>
    <r>
      <rPr>
        <sz val="11"/>
        <color theme="1"/>
        <rFont val="Calibri"/>
        <family val="2"/>
      </rPr>
      <t>” ou offre temporisée mécanique optimisée.</t>
    </r>
  </si>
  <si>
    <r>
      <t xml:space="preserve">=&gt; Usage public </t>
    </r>
    <r>
      <rPr>
        <b/>
        <sz val="11"/>
        <color theme="1"/>
        <rFont val="Calibri"/>
        <family val="2"/>
      </rPr>
      <t>répété</t>
    </r>
    <r>
      <rPr>
        <sz val="11"/>
        <color theme="1"/>
        <rFont val="Calibri"/>
        <family val="2"/>
      </rPr>
      <t xml:space="preserve"> ; conso. facilement </t>
    </r>
    <r>
      <rPr>
        <b/>
        <sz val="11"/>
        <color theme="1"/>
        <rFont val="Calibri"/>
        <family val="2"/>
      </rPr>
      <t>observable</t>
    </r>
    <r>
      <rPr>
        <sz val="11"/>
        <color theme="1"/>
        <rFont val="Calibri"/>
        <family val="2"/>
      </rPr>
      <t xml:space="preserve"> ; enjeu de </t>
    </r>
    <r>
      <rPr>
        <b/>
        <sz val="11"/>
        <color theme="1"/>
        <rFont val="Calibri"/>
        <family val="2"/>
      </rPr>
      <t>charges communes</t>
    </r>
    <r>
      <rPr>
        <sz val="11"/>
        <color theme="1"/>
        <rFont val="Calibri"/>
        <family val="2"/>
      </rPr>
      <t xml:space="preserve"> ; intérêt pour solutions qui réduisant oublis, débit et durée d’écoulement.</t>
    </r>
  </si>
  <si>
    <r>
      <t xml:space="preserve">=&gt; Proposer solutions </t>
    </r>
    <r>
      <rPr>
        <b/>
        <sz val="11"/>
        <color theme="1"/>
        <rFont val="Calibri"/>
        <family val="2"/>
      </rPr>
      <t>anti-vandalisme</t>
    </r>
    <r>
      <rPr>
        <sz val="11"/>
        <color theme="1"/>
        <rFont val="Calibri"/>
        <family val="2"/>
      </rPr>
      <t xml:space="preserve">, </t>
    </r>
    <r>
      <rPr>
        <b/>
        <sz val="11"/>
        <color theme="1"/>
        <rFont val="Calibri"/>
        <family val="2"/>
      </rPr>
      <t>sans-contact</t>
    </r>
    <r>
      <rPr>
        <sz val="11"/>
        <color theme="1"/>
        <rFont val="Calibri"/>
        <family val="2"/>
      </rPr>
      <t xml:space="preserve">, </t>
    </r>
    <r>
      <rPr>
        <b/>
        <sz val="11"/>
        <color theme="1"/>
        <rFont val="Calibri"/>
        <family val="2"/>
      </rPr>
      <t>faciles à nettoyer</t>
    </r>
    <r>
      <rPr>
        <sz val="11"/>
        <color theme="1"/>
        <rFont val="Calibri"/>
        <family val="2"/>
      </rPr>
      <t xml:space="preserve">, </t>
    </r>
    <r>
      <rPr>
        <b/>
        <sz val="11"/>
        <color theme="1"/>
        <rFont val="Calibri"/>
        <family val="2"/>
      </rPr>
      <t>forte disponibilité</t>
    </r>
    <r>
      <rPr>
        <sz val="11"/>
        <color theme="1"/>
        <rFont val="Calibri"/>
        <family val="2"/>
      </rPr>
      <t xml:space="preserve">, </t>
    </r>
    <r>
      <rPr>
        <b/>
        <sz val="11"/>
        <color theme="1"/>
        <rFont val="Calibri"/>
        <family val="2"/>
      </rPr>
      <t>maintenance rapide</t>
    </r>
    <r>
      <rPr>
        <sz val="11"/>
        <color theme="1"/>
        <rFont val="Calibri"/>
        <family val="2"/>
      </rPr>
      <t xml:space="preserve"> ; valoriser réduction conso.comme </t>
    </r>
    <r>
      <rPr>
        <b/>
        <sz val="11"/>
        <color theme="1"/>
        <rFont val="Calibri"/>
        <family val="2"/>
      </rPr>
      <t>bénéfice</t>
    </r>
    <r>
      <rPr>
        <sz val="11"/>
        <color theme="1"/>
        <rFont val="Calibri"/>
        <family val="2"/>
      </rPr>
      <t xml:space="preserve"> </t>
    </r>
    <r>
      <rPr>
        <b/>
        <sz val="11"/>
        <color theme="1"/>
        <rFont val="Calibri"/>
        <family val="2"/>
      </rPr>
      <t>économique + environnemental</t>
    </r>
    <r>
      <rPr>
        <sz val="11"/>
        <color theme="1"/>
        <rFont val="Calibri"/>
        <family val="2"/>
      </rPr>
      <t xml:space="preserve"> + </t>
    </r>
    <r>
      <rPr>
        <b/>
        <sz val="11"/>
        <color theme="1"/>
        <rFont val="Calibri"/>
        <family val="2"/>
      </rPr>
      <t>opérationnel</t>
    </r>
  </si>
  <si>
    <r>
      <t xml:space="preserve">=&gt; Solution </t>
    </r>
    <r>
      <rPr>
        <b/>
        <sz val="11"/>
        <color theme="1"/>
        <rFont val="Calibri"/>
        <family val="2"/>
      </rPr>
      <t>connue</t>
    </r>
    <r>
      <rPr>
        <sz val="11"/>
        <color theme="1"/>
        <rFont val="Calibri"/>
        <family val="2"/>
      </rPr>
      <t xml:space="preserve"> ; robuste ; perçue comme sobre ; facile à défendre budgétairement.</t>
    </r>
  </si>
  <si>
    <t>Centres commerciaux et marchés couverts — usage public, hygiène, image client, continuité de service - (8 + 9)</t>
  </si>
  <si>
    <r>
      <rPr>
        <b/>
        <sz val="11"/>
        <color theme="1"/>
        <rFont val="Calibri"/>
        <family val="2"/>
      </rPr>
      <t>=&gt; Hygiène sans contact</t>
    </r>
    <r>
      <rPr>
        <sz val="11"/>
        <color theme="1"/>
        <rFont val="Calibri"/>
        <family val="2"/>
      </rPr>
      <t xml:space="preserve"> ; </t>
    </r>
    <r>
      <rPr>
        <b/>
        <sz val="11"/>
        <color theme="1"/>
        <rFont val="Calibri"/>
        <family val="2"/>
      </rPr>
      <t xml:space="preserve">modernisat° </t>
    </r>
    <r>
      <rPr>
        <sz val="11"/>
        <color theme="1"/>
        <rFont val="Calibri"/>
        <family val="2"/>
      </rPr>
      <t xml:space="preserve">accueil public ; </t>
    </r>
    <r>
      <rPr>
        <b/>
        <sz val="11"/>
        <color theme="1"/>
        <rFont val="Calibri"/>
        <family val="2"/>
      </rPr>
      <t>maîtrise</t>
    </r>
    <r>
      <rPr>
        <sz val="11"/>
        <color theme="1"/>
        <rFont val="Calibri"/>
        <family val="2"/>
      </rPr>
      <t xml:space="preserve"> des conso. ; réduct° </t>
    </r>
    <r>
      <rPr>
        <b/>
        <sz val="11"/>
        <color theme="1"/>
        <rFont val="Calibri"/>
        <family val="2"/>
      </rPr>
      <t xml:space="preserve">oublis de fermeture </t>
    </r>
    <r>
      <rPr>
        <sz val="11"/>
        <color theme="1"/>
        <rFont val="Calibri"/>
        <family val="2"/>
      </rPr>
      <t xml:space="preserve">; </t>
    </r>
    <r>
      <rPr>
        <b/>
        <sz val="11"/>
        <color theme="1"/>
        <rFont val="Calibri"/>
        <family val="2"/>
      </rPr>
      <t>image</t>
    </r>
    <r>
      <rPr>
        <sz val="11"/>
        <color theme="1"/>
        <rFont val="Calibri"/>
        <family val="2"/>
      </rPr>
      <t xml:space="preserve"> collectivité responsable.</t>
    </r>
  </si>
  <si>
    <r>
      <t xml:space="preserve">Remplacement </t>
    </r>
    <r>
      <rPr>
        <b/>
        <sz val="11"/>
        <color theme="1"/>
        <rFont val="Calibri"/>
        <family val="2"/>
      </rPr>
      <t>mitigeurs existants</t>
    </r>
    <r>
      <rPr>
        <sz val="11"/>
        <color theme="1"/>
        <rFont val="Calibri"/>
        <family val="2"/>
      </rPr>
      <t xml:space="preserve"> difficile à convertir vers l’électro. :</t>
    </r>
  </si>
  <si>
    <r>
      <t xml:space="preserve">Le </t>
    </r>
    <r>
      <rPr>
        <b/>
        <sz val="11"/>
        <color theme="1"/>
        <rFont val="Calibri"/>
        <family val="2"/>
      </rPr>
      <t>poussoir</t>
    </r>
    <r>
      <rPr>
        <sz val="11"/>
        <color theme="1"/>
        <rFont val="Calibri"/>
        <family val="2"/>
      </rPr>
      <t xml:space="preserve"> reste très crédible. </t>
    </r>
    <r>
      <rPr>
        <b/>
        <sz val="11"/>
        <color theme="1"/>
        <rFont val="Calibri"/>
        <family val="2"/>
      </rPr>
      <t>Electronique</t>
    </r>
    <r>
      <rPr>
        <sz val="11"/>
        <color theme="1"/>
        <rFont val="Calibri"/>
        <family val="2"/>
      </rPr>
      <t xml:space="preserve"> pertinent quand il répond à</t>
    </r>
    <r>
      <rPr>
        <b/>
        <sz val="11"/>
        <color theme="1"/>
        <rFont val="Calibri"/>
        <family val="2"/>
      </rPr>
      <t xml:space="preserve"> plusieurs objectifs</t>
    </r>
    <r>
      <rPr>
        <sz val="11"/>
        <color theme="1"/>
        <rFont val="Calibri"/>
        <family val="2"/>
      </rPr>
      <t xml:space="preserve"> à la fois</t>
    </r>
  </si>
  <si>
    <r>
      <t xml:space="preserve">Le </t>
    </r>
    <r>
      <rPr>
        <b/>
        <sz val="11"/>
        <color theme="1"/>
        <rFont val="Calibri"/>
        <family val="2"/>
      </rPr>
      <t>Poussoir</t>
    </r>
    <r>
      <rPr>
        <sz val="11"/>
        <color theme="1"/>
        <rFont val="Calibri"/>
        <family val="2"/>
      </rPr>
      <t xml:space="preserve"> reste légitime. Remplacement </t>
    </r>
    <r>
      <rPr>
        <b/>
        <sz val="11"/>
        <color theme="1"/>
        <rFont val="Calibri"/>
        <family val="2"/>
      </rPr>
      <t>mitigeurs existants</t>
    </r>
    <r>
      <rPr>
        <sz val="11"/>
        <color theme="1"/>
        <rFont val="Calibri"/>
        <family val="2"/>
      </rPr>
      <t xml:space="preserve"> difficile à convertir </t>
    </r>
    <r>
      <rPr>
        <b/>
        <sz val="11"/>
        <color theme="1"/>
        <rFont val="Calibri"/>
        <family val="2"/>
      </rPr>
      <t>vers électro</t>
    </r>
    <r>
      <rPr>
        <sz val="11"/>
        <color theme="1"/>
        <rFont val="Calibri"/>
        <family val="2"/>
      </rPr>
      <t xml:space="preserve"> =&gt; </t>
    </r>
    <r>
      <rPr>
        <b/>
        <sz val="11"/>
        <color theme="1"/>
        <rFont val="Calibri"/>
        <family val="2"/>
      </rPr>
      <t xml:space="preserve">Techno. </t>
    </r>
    <r>
      <rPr>
        <sz val="11"/>
        <color theme="1"/>
        <rFont val="Calibri"/>
        <family val="2"/>
      </rPr>
      <t>comprise</t>
    </r>
    <r>
      <rPr>
        <b/>
        <sz val="11"/>
        <color theme="1"/>
        <rFont val="Calibri"/>
        <family val="2"/>
      </rPr>
      <t xml:space="preserve"> par exploitants ; </t>
    </r>
    <r>
      <rPr>
        <sz val="11"/>
        <color theme="1"/>
        <rFont val="Calibri"/>
        <family val="2"/>
      </rPr>
      <t xml:space="preserve">perçue comme </t>
    </r>
    <r>
      <rPr>
        <b/>
        <sz val="11"/>
        <color theme="1"/>
        <rFont val="Calibri"/>
        <family val="2"/>
      </rPr>
      <t xml:space="preserve">robuste ; peu dépendante de l’électro </t>
    </r>
    <r>
      <rPr>
        <sz val="11"/>
        <color theme="1"/>
        <rFont val="Calibri"/>
        <family val="2"/>
      </rPr>
      <t xml:space="preserve">; adaptée aux lieux où </t>
    </r>
    <r>
      <rPr>
        <b/>
        <sz val="11"/>
        <color theme="1"/>
        <rFont val="Calibri"/>
        <family val="2"/>
      </rPr>
      <t>priorité = continuité de service.</t>
    </r>
  </si>
  <si>
    <r>
      <t xml:space="preserve">Les </t>
    </r>
    <r>
      <rPr>
        <b/>
        <sz val="11"/>
        <color theme="1"/>
        <rFont val="Calibri"/>
        <family val="2"/>
      </rPr>
      <t>centres de stockage / plateformes logistiques</t>
    </r>
    <r>
      <rPr>
        <sz val="11"/>
        <color theme="1"/>
        <rFont val="Calibri"/>
        <family val="2"/>
      </rPr>
      <t xml:space="preserve"> pèsent </t>
    </r>
    <r>
      <rPr>
        <b/>
        <sz val="11"/>
        <color theme="1"/>
        <rFont val="Calibri"/>
        <family val="2"/>
      </rPr>
      <t>4 % des établissements</t>
    </r>
    <r>
      <rPr>
        <sz val="11"/>
        <color theme="1"/>
        <rFont val="Calibri"/>
        <family val="2"/>
      </rPr>
      <t xml:space="preserve"> et </t>
    </r>
    <r>
      <rPr>
        <b/>
        <sz val="11"/>
        <color theme="1"/>
        <rFont val="Calibri"/>
        <family val="2"/>
      </rPr>
      <t>5 % des volumes</t>
    </r>
    <r>
      <rPr>
        <sz val="11"/>
        <color theme="1"/>
        <rFont val="Calibri"/>
        <family val="2"/>
      </rPr>
      <t xml:space="preserve"> : légère surpondération, cohérente avec sites de grande emprise</t>
    </r>
  </si>
  <si>
    <r>
      <t xml:space="preserve">Cela s’explique par de </t>
    </r>
    <r>
      <rPr>
        <b/>
        <sz val="11"/>
        <color theme="1"/>
        <rFont val="Calibri"/>
        <family val="2"/>
      </rPr>
      <t>surfaces importantes</t>
    </r>
    <r>
      <rPr>
        <sz val="11"/>
        <color theme="1"/>
        <rFont val="Calibri"/>
        <family val="2"/>
      </rPr>
      <t>, une capacité d’</t>
    </r>
    <r>
      <rPr>
        <b/>
        <sz val="11"/>
        <color theme="1"/>
        <rFont val="Calibri"/>
        <family val="2"/>
      </rPr>
      <t>accueil public élevée</t>
    </r>
    <r>
      <rPr>
        <sz val="11"/>
        <color theme="1"/>
        <rFont val="Calibri"/>
        <family val="2"/>
      </rPr>
      <t xml:space="preserve">, des blocs sanitaires </t>
    </r>
    <r>
      <rPr>
        <b/>
        <sz val="11"/>
        <color theme="1"/>
        <rFont val="Calibri"/>
        <family val="2"/>
      </rPr>
      <t>clients</t>
    </r>
    <r>
      <rPr>
        <sz val="11"/>
        <color theme="1"/>
        <rFont val="Calibri"/>
        <family val="2"/>
      </rPr>
      <t xml:space="preserve">, des </t>
    </r>
    <r>
      <rPr>
        <b/>
        <sz val="11"/>
        <color theme="1"/>
        <rFont val="Calibri"/>
        <family val="2"/>
      </rPr>
      <t>sanitaires personnel,</t>
    </r>
    <r>
      <rPr>
        <sz val="11"/>
        <color theme="1"/>
        <rFont val="Calibri"/>
        <family val="2"/>
      </rPr>
      <t xml:space="preserve"> une logique de </t>
    </r>
    <r>
      <rPr>
        <b/>
        <sz val="11"/>
        <color theme="1"/>
        <rFont val="Calibri"/>
        <family val="2"/>
      </rPr>
      <t>continuité d’usage</t>
    </r>
    <r>
      <rPr>
        <sz val="11"/>
        <color theme="1"/>
        <rFont val="Calibri"/>
        <family val="2"/>
      </rPr>
      <t>.</t>
    </r>
  </si>
  <si>
    <r>
      <t xml:space="preserve">=&gt; Fournir éléments simples </t>
    </r>
    <r>
      <rPr>
        <b/>
        <sz val="11"/>
        <color theme="1"/>
        <rFont val="Calibri"/>
        <family val="2"/>
      </rPr>
      <t>prescription</t>
    </r>
    <r>
      <rPr>
        <sz val="11"/>
        <color theme="1"/>
        <rFont val="Calibri"/>
        <family val="2"/>
      </rPr>
      <t xml:space="preserve"> : argumentaire </t>
    </r>
    <r>
      <rPr>
        <b/>
        <sz val="11"/>
        <color theme="1"/>
        <rFont val="Calibri"/>
        <family val="2"/>
      </rPr>
      <t>achat</t>
    </r>
    <r>
      <rPr>
        <sz val="11"/>
        <color theme="1"/>
        <rFont val="Calibri"/>
        <family val="2"/>
      </rPr>
      <t xml:space="preserve"> </t>
    </r>
    <r>
      <rPr>
        <b/>
        <sz val="11"/>
        <color theme="1"/>
        <rFont val="Calibri"/>
        <family val="2"/>
      </rPr>
      <t>public</t>
    </r>
    <r>
      <rPr>
        <sz val="11"/>
        <color theme="1"/>
        <rFont val="Calibri"/>
        <family val="2"/>
      </rPr>
      <t xml:space="preserve">, </t>
    </r>
    <r>
      <rPr>
        <b/>
        <sz val="11"/>
        <color theme="1"/>
        <rFont val="Calibri"/>
        <family val="2"/>
      </rPr>
      <t>économies</t>
    </r>
    <r>
      <rPr>
        <sz val="11"/>
        <color theme="1"/>
        <rFont val="Calibri"/>
        <family val="2"/>
      </rPr>
      <t xml:space="preserve"> réalisées, </t>
    </r>
    <r>
      <rPr>
        <b/>
        <sz val="11"/>
        <color theme="1"/>
        <rFont val="Calibri"/>
        <family val="2"/>
      </rPr>
      <t>maintenance</t>
    </r>
    <r>
      <rPr>
        <sz val="11"/>
        <color theme="1"/>
        <rFont val="Calibri"/>
        <family val="2"/>
      </rPr>
      <t>,</t>
    </r>
    <r>
      <rPr>
        <b/>
        <sz val="11"/>
        <color theme="1"/>
        <rFont val="Calibri"/>
        <family val="2"/>
      </rPr>
      <t xml:space="preserve"> durée de vie,</t>
    </r>
    <r>
      <rPr>
        <sz val="11"/>
        <color theme="1"/>
        <rFont val="Calibri"/>
        <family val="2"/>
      </rPr>
      <t xml:space="preserve"> </t>
    </r>
    <r>
      <rPr>
        <b/>
        <sz val="11"/>
        <color theme="1"/>
        <rFont val="Calibri"/>
        <family val="2"/>
      </rPr>
      <t xml:space="preserve">réparabilité </t>
    </r>
    <r>
      <rPr>
        <sz val="11"/>
        <color theme="1"/>
        <rFont val="Calibri"/>
        <family val="2"/>
      </rPr>
      <t xml:space="preserve">=&gt; </t>
    </r>
    <r>
      <rPr>
        <b/>
        <sz val="11"/>
        <color theme="1"/>
        <rFont val="Calibri"/>
        <family val="2"/>
      </rPr>
      <t>Rénovat°</t>
    </r>
    <r>
      <rPr>
        <sz val="11"/>
        <color theme="1"/>
        <rFont val="Calibri"/>
        <family val="2"/>
      </rPr>
      <t xml:space="preserve"> bâtiments publics, </t>
    </r>
    <r>
      <rPr>
        <b/>
        <sz val="11"/>
        <color theme="1"/>
        <rFont val="Calibri"/>
        <family val="2"/>
      </rPr>
      <t>mise à niveau</t>
    </r>
    <r>
      <rPr>
        <sz val="11"/>
        <color theme="1"/>
        <rFont val="Calibri"/>
        <family val="2"/>
      </rPr>
      <t xml:space="preserve"> sanitaire, améliorat° </t>
    </r>
    <r>
      <rPr>
        <b/>
        <sz val="11"/>
        <color theme="1"/>
        <rFont val="Calibri"/>
        <family val="2"/>
      </rPr>
      <t>accessibilité, harmonisat°</t>
    </r>
    <r>
      <rPr>
        <sz val="11"/>
        <color theme="1"/>
        <rFont val="Calibri"/>
        <family val="2"/>
      </rPr>
      <t xml:space="preserve"> plusieurs sites.</t>
    </r>
  </si>
  <si>
    <t>Le tertiaire reste plus avancé sur le temporisé électronique : 21 % vs 12 %, et accroît même son avance =&gt; progression du parc supérieure à la moyenne (autres segments).</t>
  </si>
  <si>
    <r>
      <t xml:space="preserve">Accessibilité </t>
    </r>
    <r>
      <rPr>
        <b/>
        <sz val="11"/>
        <color theme="1"/>
        <rFont val="Calibri"/>
        <family val="2"/>
      </rPr>
      <t>PMR</t>
    </r>
    <r>
      <rPr>
        <sz val="11"/>
        <color theme="1"/>
        <rFont val="Calibri"/>
        <family val="2"/>
      </rPr>
      <t xml:space="preserve"> (+ fréquemment activée pour : administrat°, mairies, services territoriaux, centres commerciaux, marchés couverts) renforce </t>
    </r>
    <r>
      <rPr>
        <b/>
        <sz val="11"/>
        <color theme="1"/>
        <rFont val="Calibri"/>
        <family val="2"/>
      </rPr>
      <t>duplication</t>
    </r>
    <r>
      <rPr>
        <sz val="11"/>
        <color theme="1"/>
        <rFont val="Calibri"/>
        <family val="2"/>
      </rPr>
      <t xml:space="preserve"> quand </t>
    </r>
    <r>
      <rPr>
        <b/>
        <sz val="11"/>
        <color theme="1"/>
        <rFont val="Calibri"/>
        <family val="2"/>
      </rPr>
      <t>séparation H/F existe déjà</t>
    </r>
    <r>
      <rPr>
        <sz val="11"/>
        <color theme="1"/>
        <rFont val="Calibri"/>
        <family val="2"/>
      </rPr>
      <t xml:space="preserve">, mais elle </t>
    </r>
    <r>
      <rPr>
        <b/>
        <sz val="11"/>
        <color theme="1"/>
        <rFont val="Calibri"/>
        <family val="2"/>
      </rPr>
      <t>ne crée pas seule</t>
    </r>
    <r>
      <rPr>
        <sz val="11"/>
        <color theme="1"/>
        <rFont val="Calibri"/>
        <family val="2"/>
      </rPr>
      <t xml:space="preserve"> une obligation générale de séparation H/F</t>
    </r>
  </si>
  <si>
    <r>
      <t xml:space="preserve">Dimensionnés selon </t>
    </r>
    <r>
      <rPr>
        <b/>
        <sz val="11"/>
        <color theme="1"/>
        <rFont val="Calibri"/>
        <family val="2"/>
      </rPr>
      <t>effectifs permanents présents en simultané</t>
    </r>
    <r>
      <rPr>
        <sz val="11"/>
        <color theme="1"/>
        <rFont val="Calibri"/>
        <family val="2"/>
      </rPr>
      <t xml:space="preserve"> dans bâtiment =&gt; Code Travail prévoit minimum </t>
    </r>
    <r>
      <rPr>
        <b/>
        <sz val="11"/>
        <color theme="1"/>
        <rFont val="Calibri"/>
        <family val="2"/>
      </rPr>
      <t xml:space="preserve">1 lavabo pour 10 salariés / 1 WC + 1 urinoir pour 20 hommes et 2 WC pour 20 femmes - </t>
    </r>
    <r>
      <rPr>
        <sz val="11"/>
        <color theme="1"/>
        <rFont val="Calibri"/>
        <family val="2"/>
      </rPr>
      <t>séparation usages - avant de considérer visiteurs, étages, zones.</t>
    </r>
  </si>
  <si>
    <t>Usines</t>
  </si>
  <si>
    <t>Ateliers industriels / de maintenance</t>
  </si>
  <si>
    <t>Bureaux administratifs secondaires non ERP</t>
  </si>
  <si>
    <t xml:space="preserve">Bureaux Tertiaire Privé </t>
  </si>
  <si>
    <t>Sous-segment (&gt;50 salariés)</t>
  </si>
  <si>
    <t>Hôtels Département / Région &amp; Services admin. territoriaux</t>
  </si>
  <si>
    <t>Centres stockage / Entrepôts / Plateformes logistiques</t>
  </si>
  <si>
    <r>
      <t>=&gt; </t>
    </r>
    <r>
      <rPr>
        <sz val="11"/>
        <rFont val="Aptos"/>
        <family val="2"/>
      </rPr>
      <t>T</t>
    </r>
    <r>
      <rPr>
        <b/>
        <sz val="11"/>
        <rFont val="Aptos"/>
        <family val="2"/>
      </rPr>
      <t>emporisé</t>
    </r>
    <r>
      <rPr>
        <sz val="11"/>
        <rFont val="Aptos"/>
        <family val="2"/>
      </rPr>
      <t xml:space="preserve"> davantage imposé dans les environnements de </t>
    </r>
    <r>
      <rPr>
        <b/>
        <sz val="11"/>
        <rFont val="Aptos"/>
        <family val="2"/>
      </rPr>
      <t>collectivité intensive</t>
    </r>
    <r>
      <rPr>
        <sz val="11"/>
        <rFont val="Aptos"/>
        <family val="2"/>
      </rPr>
      <t xml:space="preserve"> : ERP ouverts, écoles, gymnases, sanitaires publics.</t>
    </r>
  </si>
  <si>
    <r>
      <t>=&gt;</t>
    </r>
    <r>
      <rPr>
        <sz val="11"/>
        <rFont val="Times New Roman"/>
        <family val="1"/>
      </rPr>
      <t> </t>
    </r>
    <r>
      <rPr>
        <sz val="11"/>
        <rFont val="Aptos"/>
        <family val="2"/>
      </rPr>
      <t xml:space="preserve">Poids élevé du </t>
    </r>
    <r>
      <rPr>
        <b/>
        <sz val="11"/>
        <rFont val="Aptos"/>
        <family val="2"/>
      </rPr>
      <t>mitigeur</t>
    </r>
    <r>
      <rPr>
        <sz val="11"/>
        <rFont val="Aptos"/>
        <family val="2"/>
      </rPr>
      <t xml:space="preserve"> dans Tertiaire s’explique par une logique historique de </t>
    </r>
    <r>
      <rPr>
        <b/>
        <sz val="11"/>
        <rFont val="Aptos"/>
        <family val="2"/>
      </rPr>
      <t>confort, d’image et d’usage quotidien salarié</t>
    </r>
    <r>
      <rPr>
        <sz val="11"/>
        <rFont val="Aptos"/>
        <family val="2"/>
      </rPr>
      <t>.</t>
    </r>
  </si>
  <si>
    <r>
      <t>=&gt;</t>
    </r>
    <r>
      <rPr>
        <sz val="11"/>
        <rFont val="Times New Roman"/>
        <family val="1"/>
      </rPr>
      <t xml:space="preserve">  </t>
    </r>
    <r>
      <rPr>
        <sz val="11"/>
        <rFont val="Aptos"/>
        <family val="2"/>
      </rPr>
      <t>Le tertiaire est bien un usage collectif, mais moins anonyme, moins vandalisé et moins soumis aux pics extrêmes que les ERP classiques.</t>
    </r>
  </si>
  <si>
    <r>
      <t xml:space="preserve">=&gt; </t>
    </r>
    <r>
      <rPr>
        <sz val="11"/>
        <rFont val="Aptos"/>
        <family val="2"/>
      </rPr>
      <t xml:space="preserve">Dans les bureaux, sanitaires d’étage, sièges, agences ou espaces collaborateurs, la robinetterie est associée au </t>
    </r>
    <r>
      <rPr>
        <b/>
        <sz val="11"/>
        <rFont val="Aptos"/>
        <family val="2"/>
      </rPr>
      <t>confort d’usage</t>
    </r>
    <r>
      <rPr>
        <sz val="11"/>
        <rFont val="Aptos"/>
        <family val="2"/>
      </rPr>
      <t>.</t>
    </r>
  </si>
  <si>
    <r>
      <t>=&gt; </t>
    </r>
    <r>
      <rPr>
        <sz val="11"/>
        <rFont val="Aptos"/>
        <family val="2"/>
      </rPr>
      <t xml:space="preserve">Le mitigeur répond bien à cette attente : </t>
    </r>
    <r>
      <rPr>
        <b/>
        <sz val="11"/>
        <rFont val="Aptos"/>
        <family val="2"/>
      </rPr>
      <t>geste familier, réglage simple, perception qualitative</t>
    </r>
    <r>
      <rPr>
        <sz val="11"/>
        <rFont val="Aptos"/>
        <family val="2"/>
      </rPr>
      <t>.</t>
    </r>
  </si>
  <si>
    <r>
      <t>=&gt;</t>
    </r>
    <r>
      <rPr>
        <sz val="11"/>
        <rFont val="Times New Roman"/>
        <family val="1"/>
      </rPr>
      <t xml:space="preserve"> </t>
    </r>
    <r>
      <rPr>
        <sz val="11"/>
        <rFont val="Aptos"/>
        <family val="2"/>
      </rPr>
      <t xml:space="preserve">Il répond aussi naturellement à l’exigence d’une eau à </t>
    </r>
    <r>
      <rPr>
        <b/>
        <sz val="11"/>
        <rFont val="Aptos"/>
        <family val="2"/>
      </rPr>
      <t>température facilement réglable</t>
    </r>
    <r>
      <rPr>
        <sz val="11"/>
        <rFont val="Aptos"/>
        <family val="2"/>
      </rPr>
      <t xml:space="preserve"> dans les lieux de travail.</t>
    </r>
  </si>
  <si>
    <r>
      <t>=&gt; </t>
    </r>
    <r>
      <rPr>
        <sz val="11"/>
        <rFont val="Aptos"/>
        <family val="2"/>
      </rPr>
      <t xml:space="preserve">Le temporisé, lui, reste historiquement associé à une logique plus </t>
    </r>
    <r>
      <rPr>
        <b/>
        <sz val="11"/>
        <rFont val="Aptos"/>
        <family val="2"/>
      </rPr>
      <t>fonctionnelle</t>
    </r>
    <r>
      <rPr>
        <sz val="11"/>
        <rFont val="Aptos"/>
        <family val="2"/>
      </rPr>
      <t xml:space="preserve"> de </t>
    </r>
    <r>
      <rPr>
        <b/>
        <sz val="11"/>
        <rFont val="Aptos"/>
        <family val="2"/>
      </rPr>
      <t>collectivité</t>
    </r>
    <r>
      <rPr>
        <sz val="11"/>
        <rFont val="Aptos"/>
        <family val="2"/>
      </rPr>
      <t>.</t>
    </r>
  </si>
  <si>
    <r>
      <t>=&gt; </t>
    </r>
    <r>
      <rPr>
        <sz val="11"/>
        <rFont val="Aptos"/>
        <family val="2"/>
      </rPr>
      <t xml:space="preserve">Le temporisé s’est développé pour répondre aux enjeux de </t>
    </r>
    <r>
      <rPr>
        <b/>
        <sz val="11"/>
        <rFont val="Aptos"/>
        <family val="2"/>
      </rPr>
      <t>gaspillage, oubli de fermeture, robustesse et usage intensif</t>
    </r>
    <r>
      <rPr>
        <sz val="11"/>
        <rFont val="Aptos"/>
        <family val="2"/>
      </rPr>
      <t>.</t>
    </r>
  </si>
  <si>
    <r>
      <rPr>
        <sz val="11"/>
        <rFont val="Times New Roman"/>
        <family val="1"/>
      </rPr>
      <t>=&gt; </t>
    </r>
    <r>
      <rPr>
        <sz val="11"/>
        <rFont val="Aptos"/>
        <family val="2"/>
      </rPr>
      <t>Il est donc très légitime dans les sanitaires publics, écoles, équipements sportifs, campings, gares ou ERP très fréquentés.</t>
    </r>
  </si>
  <si>
    <r>
      <t>=&gt; </t>
    </r>
    <r>
      <rPr>
        <sz val="11"/>
        <rFont val="Aptos"/>
        <family val="2"/>
      </rPr>
      <t xml:space="preserve">Le tertiaire de bureaux a suivi une </t>
    </r>
    <r>
      <rPr>
        <b/>
        <sz val="11"/>
        <rFont val="Aptos"/>
        <family val="2"/>
      </rPr>
      <t>trajectoire</t>
    </r>
    <r>
      <rPr>
        <sz val="11"/>
        <rFont val="Aptos"/>
        <family val="2"/>
      </rPr>
      <t xml:space="preserve"> différente, plus </t>
    </r>
    <r>
      <rPr>
        <b/>
        <sz val="11"/>
        <rFont val="Aptos"/>
        <family val="2"/>
      </rPr>
      <t>proche</t>
    </r>
    <r>
      <rPr>
        <sz val="11"/>
        <rFont val="Aptos"/>
        <family val="2"/>
      </rPr>
      <t xml:space="preserve"> du </t>
    </r>
    <r>
      <rPr>
        <b/>
        <sz val="11"/>
        <rFont val="Aptos"/>
        <family val="2"/>
      </rPr>
      <t xml:space="preserve">confort résidentiel </t>
    </r>
    <r>
      <rPr>
        <sz val="11"/>
        <rFont val="Aptos"/>
        <family val="2"/>
      </rPr>
      <t xml:space="preserve">ou </t>
    </r>
    <r>
      <rPr>
        <b/>
        <sz val="11"/>
        <rFont val="Aptos"/>
        <family val="2"/>
      </rPr>
      <t>hôtelier</t>
    </r>
    <r>
      <rPr>
        <sz val="11"/>
        <rFont val="Aptos"/>
        <family val="2"/>
      </rPr>
      <t>.</t>
    </r>
  </si>
  <si>
    <r>
      <t>=&gt; </t>
    </r>
    <r>
      <rPr>
        <sz val="11"/>
        <rFont val="Aptos"/>
        <family val="2"/>
      </rPr>
      <t xml:space="preserve">Les architectes ont souvent privilégié des équipements plus </t>
    </r>
    <r>
      <rPr>
        <b/>
        <sz val="11"/>
        <rFont val="Aptos"/>
        <family val="2"/>
      </rPr>
      <t>valorisants</t>
    </r>
    <r>
      <rPr>
        <sz val="11"/>
        <rFont val="Aptos"/>
        <family val="2"/>
      </rPr>
      <t xml:space="preserve"> </t>
    </r>
    <r>
      <rPr>
        <b/>
        <sz val="11"/>
        <rFont val="Aptos"/>
        <family val="2"/>
      </rPr>
      <t>visuellement</t>
    </r>
    <r>
      <rPr>
        <sz val="11"/>
        <rFont val="Aptos"/>
        <family val="2"/>
      </rPr>
      <t>.</t>
    </r>
  </si>
  <si>
    <r>
      <t>=&gt; </t>
    </r>
    <r>
      <rPr>
        <sz val="11"/>
        <rFont val="Aptos"/>
        <family val="2"/>
      </rPr>
      <t xml:space="preserve">Le mitigeur s’intègre mieux dans une </t>
    </r>
    <r>
      <rPr>
        <b/>
        <sz val="11"/>
        <rFont val="Aptos"/>
        <family val="2"/>
      </rPr>
      <t>logique</t>
    </r>
    <r>
      <rPr>
        <sz val="11"/>
        <rFont val="Aptos"/>
        <family val="2"/>
      </rPr>
      <t xml:space="preserve"> de </t>
    </r>
    <r>
      <rPr>
        <b/>
        <sz val="11"/>
        <rFont val="Aptos"/>
        <family val="2"/>
      </rPr>
      <t>design</t>
    </r>
    <r>
      <rPr>
        <sz val="11"/>
        <rFont val="Aptos"/>
        <family val="2"/>
      </rPr>
      <t xml:space="preserve">, de </t>
    </r>
    <r>
      <rPr>
        <b/>
        <sz val="11"/>
        <rFont val="Aptos"/>
        <family val="2"/>
      </rPr>
      <t>standing</t>
    </r>
    <r>
      <rPr>
        <sz val="11"/>
        <rFont val="Aptos"/>
        <family val="2"/>
      </rPr>
      <t xml:space="preserve"> et d’</t>
    </r>
    <r>
      <rPr>
        <b/>
        <sz val="11"/>
        <rFont val="Aptos"/>
        <family val="2"/>
      </rPr>
      <t xml:space="preserve">image </t>
    </r>
    <r>
      <rPr>
        <sz val="11"/>
        <rFont val="Aptos"/>
        <family val="2"/>
      </rPr>
      <t>bâtimentaire.</t>
    </r>
  </si>
  <si>
    <r>
      <t>=&gt; </t>
    </r>
    <r>
      <rPr>
        <sz val="11"/>
        <rFont val="Aptos"/>
        <family val="2"/>
      </rPr>
      <t xml:space="preserve">Le temporisé mécanique peut être </t>
    </r>
    <r>
      <rPr>
        <b/>
        <sz val="11"/>
        <rFont val="Aptos"/>
        <family val="2"/>
      </rPr>
      <t>perçu</t>
    </r>
    <r>
      <rPr>
        <sz val="11"/>
        <rFont val="Aptos"/>
        <family val="2"/>
      </rPr>
      <t xml:space="preserve"> comme moins premium, plus “</t>
    </r>
    <r>
      <rPr>
        <b/>
        <sz val="11"/>
        <rFont val="Aptos"/>
        <family val="2"/>
      </rPr>
      <t>collectivité</t>
    </r>
    <r>
      <rPr>
        <sz val="11"/>
        <rFont val="Aptos"/>
        <family val="2"/>
      </rPr>
      <t>” ou “</t>
    </r>
    <r>
      <rPr>
        <b/>
        <sz val="11"/>
        <rFont val="Aptos"/>
        <family val="2"/>
      </rPr>
      <t>sanitaire public</t>
    </r>
    <r>
      <rPr>
        <sz val="11"/>
        <rFont val="Aptos"/>
        <family val="2"/>
      </rPr>
      <t>”.</t>
    </r>
  </si>
  <si>
    <r>
      <t>=&gt; </t>
    </r>
    <r>
      <rPr>
        <sz val="11"/>
        <rFont val="Aptos"/>
        <family val="2"/>
      </rPr>
      <t>Les économies d’eau n’ont pas toujours conduit au choix du temporisé.</t>
    </r>
  </si>
  <si>
    <r>
      <t>=&gt; </t>
    </r>
    <r>
      <rPr>
        <sz val="11"/>
        <rFont val="Aptos"/>
        <family val="2"/>
      </rPr>
      <t xml:space="preserve">Les certifications environnementales encouragent la </t>
    </r>
    <r>
      <rPr>
        <b/>
        <sz val="11"/>
        <rFont val="Aptos"/>
        <family val="2"/>
      </rPr>
      <t>performance</t>
    </r>
    <r>
      <rPr>
        <sz val="11"/>
        <rFont val="Aptos"/>
        <family val="2"/>
      </rPr>
      <t>, mais ne prescrivent pas nécessairement le temporisé.</t>
    </r>
  </si>
  <si>
    <r>
      <t>=&gt; </t>
    </r>
    <r>
      <rPr>
        <sz val="11"/>
        <rFont val="Aptos"/>
        <family val="2"/>
      </rPr>
      <t xml:space="preserve">En environnement salarié, l’utilisateur est </t>
    </r>
    <r>
      <rPr>
        <b/>
        <sz val="11"/>
        <rFont val="Aptos"/>
        <family val="2"/>
      </rPr>
      <t>récurrent</t>
    </r>
    <r>
      <rPr>
        <sz val="11"/>
        <rFont val="Aptos"/>
        <family val="2"/>
      </rPr>
      <t xml:space="preserve"> et peut </t>
    </r>
    <r>
      <rPr>
        <b/>
        <sz val="11"/>
        <rFont val="Aptos"/>
        <family val="2"/>
      </rPr>
      <t>exprimer un inconfort</t>
    </r>
    <r>
      <rPr>
        <sz val="11"/>
        <rFont val="Aptos"/>
        <family val="2"/>
      </rPr>
      <t>.</t>
    </r>
  </si>
  <si>
    <r>
      <t>=&gt; </t>
    </r>
    <r>
      <rPr>
        <sz val="11"/>
        <rFont val="Aptos"/>
        <family val="2"/>
      </rPr>
      <t xml:space="preserve">Le mitigeur est mieux accepté : il donne plus de </t>
    </r>
    <r>
      <rPr>
        <b/>
        <sz val="11"/>
        <rFont val="Aptos"/>
        <family val="2"/>
      </rPr>
      <t>contrôle</t>
    </r>
    <r>
      <rPr>
        <sz val="11"/>
        <rFont val="Aptos"/>
        <family val="2"/>
      </rPr>
      <t>, plus de confort et moins de frustration.</t>
    </r>
  </si>
  <si>
    <r>
      <t>=&gt; </t>
    </r>
    <r>
      <rPr>
        <sz val="11"/>
        <rFont val="Aptos"/>
        <family val="2"/>
      </rPr>
      <t xml:space="preserve">Le temporisé peut être jugé contraignant : </t>
    </r>
    <r>
      <rPr>
        <b/>
        <sz val="11"/>
        <rFont val="Aptos"/>
        <family val="2"/>
      </rPr>
      <t>durée trop courte</t>
    </r>
    <r>
      <rPr>
        <sz val="11"/>
        <rFont val="Aptos"/>
        <family val="2"/>
      </rPr>
      <t xml:space="preserve">, nécessité de </t>
    </r>
    <r>
      <rPr>
        <b/>
        <sz val="11"/>
        <rFont val="Aptos"/>
        <family val="2"/>
      </rPr>
      <t>réappuyer</t>
    </r>
    <r>
      <rPr>
        <sz val="11"/>
        <rFont val="Aptos"/>
        <family val="2"/>
      </rPr>
      <t xml:space="preserve">, </t>
    </r>
    <r>
      <rPr>
        <b/>
        <sz val="11"/>
        <rFont val="Aptos"/>
        <family val="2"/>
      </rPr>
      <t>sensation d’équipement public</t>
    </r>
    <r>
      <rPr>
        <sz val="11"/>
        <rFont val="Aptos"/>
        <family val="2"/>
      </rPr>
      <t>.</t>
    </r>
  </si>
  <si>
    <r>
      <t>=&gt; </t>
    </r>
    <r>
      <rPr>
        <sz val="11"/>
        <rFont val="Aptos"/>
        <family val="2"/>
      </rPr>
      <t xml:space="preserve">Dans le </t>
    </r>
    <r>
      <rPr>
        <b/>
        <sz val="11"/>
        <rFont val="Aptos"/>
        <family val="2"/>
      </rPr>
      <t>collectif salarié</t>
    </r>
    <r>
      <rPr>
        <sz val="11"/>
        <rFont val="Aptos"/>
        <family val="2"/>
      </rPr>
      <t xml:space="preserve">, les usagers sont </t>
    </r>
    <r>
      <rPr>
        <b/>
        <sz val="11"/>
        <rFont val="Aptos"/>
        <family val="2"/>
      </rPr>
      <t>connus</t>
    </r>
    <r>
      <rPr>
        <sz val="11"/>
        <rFont val="Aptos"/>
        <family val="2"/>
      </rPr>
      <t xml:space="preserve">, </t>
    </r>
    <r>
      <rPr>
        <b/>
        <sz val="11"/>
        <rFont val="Aptos"/>
        <family val="2"/>
      </rPr>
      <t>réguliers</t>
    </r>
    <r>
      <rPr>
        <sz val="11"/>
        <rFont val="Aptos"/>
        <family val="2"/>
      </rPr>
      <t xml:space="preserve"> et relativement </t>
    </r>
    <r>
      <rPr>
        <b/>
        <sz val="11"/>
        <rFont val="Aptos"/>
        <family val="2"/>
      </rPr>
      <t>respectueux</t>
    </r>
    <r>
      <rPr>
        <sz val="11"/>
        <rFont val="Aptos"/>
        <family val="2"/>
      </rPr>
      <t xml:space="preserve"> des équipements.</t>
    </r>
  </si>
  <si>
    <r>
      <t>=&gt; </t>
    </r>
    <r>
      <rPr>
        <sz val="11"/>
        <rFont val="Aptos"/>
        <family val="2"/>
      </rPr>
      <t xml:space="preserve">Dans le </t>
    </r>
    <r>
      <rPr>
        <b/>
        <sz val="11"/>
        <rFont val="Aptos"/>
        <family val="2"/>
      </rPr>
      <t>collectif anonyme</t>
    </r>
    <r>
      <rPr>
        <sz val="11"/>
        <rFont val="Aptos"/>
        <family val="2"/>
      </rPr>
      <t xml:space="preserve">, les </t>
    </r>
    <r>
      <rPr>
        <b/>
        <sz val="11"/>
        <rFont val="Aptos"/>
        <family val="2"/>
      </rPr>
      <t>risques</t>
    </r>
    <r>
      <rPr>
        <sz val="11"/>
        <rFont val="Aptos"/>
        <family val="2"/>
      </rPr>
      <t xml:space="preserve"> sont plus </t>
    </r>
    <r>
      <rPr>
        <b/>
        <sz val="11"/>
        <rFont val="Aptos"/>
        <family val="2"/>
      </rPr>
      <t>forts</t>
    </r>
    <r>
      <rPr>
        <sz val="11"/>
        <rFont val="Aptos"/>
        <family val="2"/>
      </rPr>
      <t xml:space="preserve"> : usage </t>
    </r>
    <r>
      <rPr>
        <b/>
        <sz val="11"/>
        <rFont val="Aptos"/>
        <family val="2"/>
      </rPr>
      <t>intensif</t>
    </r>
    <r>
      <rPr>
        <sz val="11"/>
        <rFont val="Aptos"/>
        <family val="2"/>
      </rPr>
      <t xml:space="preserve">, </t>
    </r>
    <r>
      <rPr>
        <b/>
        <sz val="11"/>
        <rFont val="Aptos"/>
        <family val="2"/>
      </rPr>
      <t>oubli</t>
    </r>
    <r>
      <rPr>
        <sz val="11"/>
        <rFont val="Aptos"/>
        <family val="2"/>
      </rPr>
      <t xml:space="preserve">, </t>
    </r>
    <r>
      <rPr>
        <b/>
        <sz val="11"/>
        <rFont val="Aptos"/>
        <family val="2"/>
      </rPr>
      <t>gaspillage</t>
    </r>
    <r>
      <rPr>
        <sz val="11"/>
        <rFont val="Aptos"/>
        <family val="2"/>
      </rPr>
      <t xml:space="preserve">, </t>
    </r>
    <r>
      <rPr>
        <b/>
        <sz val="11"/>
        <rFont val="Aptos"/>
        <family val="2"/>
      </rPr>
      <t>vandalisme</t>
    </r>
    <r>
      <rPr>
        <sz val="11"/>
        <rFont val="Aptos"/>
        <family val="2"/>
      </rPr>
      <t xml:space="preserve">, </t>
    </r>
    <r>
      <rPr>
        <b/>
        <sz val="11"/>
        <rFont val="Aptos"/>
        <family val="2"/>
      </rPr>
      <t>pics</t>
    </r>
    <r>
      <rPr>
        <sz val="11"/>
        <rFont val="Aptos"/>
        <family val="2"/>
      </rPr>
      <t xml:space="preserve"> de fréquentation.</t>
    </r>
  </si>
  <si>
    <r>
      <t>=&gt; </t>
    </r>
    <r>
      <rPr>
        <sz val="11"/>
        <rFont val="Aptos"/>
        <family val="2"/>
      </rPr>
      <t>Le temporisé répond surtout à cette seconde logique.</t>
    </r>
  </si>
  <si>
    <r>
      <t>=&gt; </t>
    </r>
    <r>
      <rPr>
        <sz val="11"/>
        <rFont val="Aptos"/>
        <family val="2"/>
      </rPr>
      <t xml:space="preserve">Les fabricants </t>
    </r>
    <r>
      <rPr>
        <b/>
        <sz val="11"/>
        <rFont val="Aptos"/>
        <family val="2"/>
      </rPr>
      <t>généralistes</t>
    </r>
    <r>
      <rPr>
        <sz val="11"/>
        <rFont val="Aptos"/>
        <family val="2"/>
      </rPr>
      <t xml:space="preserve"> ont porté le mitigeur comme </t>
    </r>
    <r>
      <rPr>
        <b/>
        <sz val="11"/>
        <rFont val="Aptos"/>
        <family val="2"/>
      </rPr>
      <t>standard de confort</t>
    </r>
    <r>
      <rPr>
        <sz val="11"/>
        <rFont val="Aptos"/>
        <family val="2"/>
      </rPr>
      <t xml:space="preserve">, de </t>
    </r>
    <r>
      <rPr>
        <b/>
        <sz val="11"/>
        <rFont val="Aptos"/>
        <family val="2"/>
      </rPr>
      <t>design</t>
    </r>
    <r>
      <rPr>
        <sz val="11"/>
        <rFont val="Aptos"/>
        <family val="2"/>
      </rPr>
      <t xml:space="preserve"> et de </t>
    </r>
    <r>
      <rPr>
        <b/>
        <sz val="11"/>
        <rFont val="Aptos"/>
        <family val="2"/>
      </rPr>
      <t>modernité</t>
    </r>
    <r>
      <rPr>
        <sz val="11"/>
        <rFont val="Aptos"/>
        <family val="2"/>
      </rPr>
      <t>.</t>
    </r>
  </si>
  <si>
    <r>
      <t>=&gt; </t>
    </r>
    <r>
      <rPr>
        <sz val="11"/>
        <rFont val="Aptos"/>
        <family val="2"/>
      </rPr>
      <t xml:space="preserve">Les </t>
    </r>
    <r>
      <rPr>
        <b/>
        <sz val="11"/>
        <rFont val="Aptos"/>
        <family val="2"/>
      </rPr>
      <t>spécialistes</t>
    </r>
    <r>
      <rPr>
        <sz val="11"/>
        <rFont val="Aptos"/>
        <family val="2"/>
      </rPr>
      <t xml:space="preserve"> de la </t>
    </r>
    <r>
      <rPr>
        <b/>
        <sz val="11"/>
        <rFont val="Aptos"/>
        <family val="2"/>
      </rPr>
      <t>collectivité</t>
    </r>
    <r>
      <rPr>
        <sz val="11"/>
        <rFont val="Aptos"/>
        <family val="2"/>
      </rPr>
      <t xml:space="preserve"> ont porté le temporisé autour de l’</t>
    </r>
    <r>
      <rPr>
        <b/>
        <sz val="11"/>
        <rFont val="Aptos"/>
        <family val="2"/>
      </rPr>
      <t xml:space="preserve">économie </t>
    </r>
    <r>
      <rPr>
        <sz val="11"/>
        <rFont val="Aptos"/>
        <family val="2"/>
      </rPr>
      <t>d’eau, de l’</t>
    </r>
    <r>
      <rPr>
        <b/>
        <sz val="11"/>
        <rFont val="Aptos"/>
        <family val="2"/>
      </rPr>
      <t>hygiène</t>
    </r>
    <r>
      <rPr>
        <sz val="11"/>
        <rFont val="Aptos"/>
        <family val="2"/>
      </rPr>
      <t xml:space="preserve">, de la </t>
    </r>
    <r>
      <rPr>
        <b/>
        <sz val="11"/>
        <rFont val="Aptos"/>
        <family val="2"/>
      </rPr>
      <t>robustesse</t>
    </r>
    <r>
      <rPr>
        <sz val="11"/>
        <rFont val="Aptos"/>
        <family val="2"/>
      </rPr>
      <t xml:space="preserve"> et de l’</t>
    </r>
    <r>
      <rPr>
        <b/>
        <sz val="11"/>
        <rFont val="Aptos"/>
        <family val="2"/>
      </rPr>
      <t>antivandalisme</t>
    </r>
    <r>
      <rPr>
        <sz val="11"/>
        <rFont val="Aptos"/>
        <family val="2"/>
      </rPr>
      <t>.</t>
    </r>
  </si>
  <si>
    <r>
      <t>=&gt; </t>
    </r>
    <r>
      <rPr>
        <sz val="11"/>
        <rFont val="Aptos"/>
        <family val="2"/>
      </rPr>
      <t>Le retrait du temporisé ne traduit pas forcément un retard technique.</t>
    </r>
  </si>
  <si>
    <r>
      <rPr>
        <sz val="11"/>
        <rFont val="Times New Roman"/>
        <family val="1"/>
      </rPr>
      <t>=&gt; </t>
    </r>
    <r>
      <rPr>
        <sz val="11"/>
        <rFont val="Aptos"/>
        <family val="2"/>
      </rPr>
      <t xml:space="preserve">Il reflète plutôt une </t>
    </r>
    <r>
      <rPr>
        <b/>
        <sz val="11"/>
        <rFont val="Aptos"/>
        <family val="2"/>
      </rPr>
      <t xml:space="preserve">trajectoire historique propre au tertiaire </t>
    </r>
    <r>
      <rPr>
        <sz val="11"/>
        <rFont val="Aptos"/>
        <family val="2"/>
      </rPr>
      <t>: moins orientée vers le contrôle strict de l’eau, plus orientée vers le confort et l’image.</t>
    </r>
  </si>
  <si>
    <r>
      <t>=&gt; </t>
    </r>
    <r>
      <rPr>
        <sz val="11"/>
        <rFont val="Aptos"/>
        <family val="2"/>
      </rPr>
      <t xml:space="preserve">Le </t>
    </r>
    <r>
      <rPr>
        <b/>
        <sz val="11"/>
        <rFont val="Aptos"/>
        <family val="2"/>
      </rPr>
      <t>mitigeur hydro-économe</t>
    </r>
    <r>
      <rPr>
        <sz val="11"/>
        <rFont val="Aptos"/>
        <family val="2"/>
      </rPr>
      <t xml:space="preserve"> a souvent été considéré comme un </t>
    </r>
    <r>
      <rPr>
        <b/>
        <sz val="11"/>
        <rFont val="Aptos"/>
        <family val="2"/>
      </rPr>
      <t>compromis</t>
    </r>
    <r>
      <rPr>
        <sz val="11"/>
        <rFont val="Aptos"/>
        <family val="2"/>
      </rPr>
      <t xml:space="preserve"> suffisant entre </t>
    </r>
    <r>
      <rPr>
        <b/>
        <sz val="11"/>
        <rFont val="Aptos"/>
        <family val="2"/>
      </rPr>
      <t>confort, coût, simplicité</t>
    </r>
    <r>
      <rPr>
        <sz val="11"/>
        <rFont val="Aptos"/>
        <family val="2"/>
      </rPr>
      <t xml:space="preserve"> et </t>
    </r>
    <r>
      <rPr>
        <b/>
        <sz val="11"/>
        <rFont val="Aptos"/>
        <family val="2"/>
      </rPr>
      <t>performance</t>
    </r>
    <r>
      <rPr>
        <sz val="11"/>
        <rFont val="Aptos"/>
        <family val="2"/>
      </rPr>
      <t>.</t>
    </r>
  </si>
  <si>
    <r>
      <t>=&gt; </t>
    </r>
    <r>
      <rPr>
        <sz val="11"/>
        <rFont val="Aptos"/>
        <family val="2"/>
      </rPr>
      <t xml:space="preserve">Dans le tertiaire, elles ont souvent été traitées par </t>
    </r>
    <r>
      <rPr>
        <b/>
        <sz val="11"/>
        <rFont val="Aptos"/>
        <family val="2"/>
      </rPr>
      <t>mousseurs, limiteurs débit, cartouches économes, réglages pression</t>
    </r>
    <r>
      <rPr>
        <sz val="11"/>
        <rFont val="Aptos"/>
        <family val="2"/>
      </rPr>
      <t>.</t>
    </r>
  </si>
  <si>
    <r>
      <t>=&gt; </t>
    </r>
    <r>
      <rPr>
        <sz val="11"/>
        <rFont val="Aptos"/>
        <family val="2"/>
      </rPr>
      <t xml:space="preserve">Ces 2 </t>
    </r>
    <r>
      <rPr>
        <b/>
        <sz val="11"/>
        <rFont val="Aptos"/>
        <family val="2"/>
      </rPr>
      <t>discours</t>
    </r>
    <r>
      <rPr>
        <sz val="11"/>
        <rFont val="Aptos"/>
        <family val="2"/>
      </rPr>
      <t xml:space="preserve"> ont nourri des </t>
    </r>
    <r>
      <rPr>
        <b/>
        <sz val="11"/>
        <rFont val="Aptos"/>
        <family val="2"/>
      </rPr>
      <t>canaux</t>
    </r>
    <r>
      <rPr>
        <sz val="11"/>
        <rFont val="Aptos"/>
        <family val="2"/>
      </rPr>
      <t xml:space="preserve"> de </t>
    </r>
    <r>
      <rPr>
        <b/>
        <sz val="11"/>
        <rFont val="Aptos"/>
        <family val="2"/>
      </rPr>
      <t>prescription</t>
    </r>
    <r>
      <rPr>
        <sz val="11"/>
        <rFont val="Aptos"/>
        <family val="2"/>
      </rPr>
      <t xml:space="preserve"> différents : archi + promoteurs côté mitigeur ; collectivités, ERP et maintenance intensive côté temporisé.</t>
    </r>
  </si>
  <si>
    <r>
      <rPr>
        <b/>
        <sz val="11"/>
        <color theme="1"/>
        <rFont val="Calibri"/>
        <family val="2"/>
      </rPr>
      <t>Poids</t>
    </r>
    <r>
      <rPr>
        <sz val="11"/>
        <color theme="1"/>
        <rFont val="Calibri"/>
        <family val="2"/>
      </rPr>
      <t xml:space="preserve"> du </t>
    </r>
    <r>
      <rPr>
        <b/>
        <sz val="11"/>
        <color theme="1"/>
        <rFont val="Calibri"/>
        <family val="2"/>
      </rPr>
      <t>Tertiaire</t>
    </r>
    <r>
      <rPr>
        <sz val="11"/>
        <color theme="1"/>
        <rFont val="Calibri"/>
        <family val="2"/>
      </rPr>
      <t xml:space="preserve"> dans l’ensemble du marché</t>
    </r>
  </si>
  <si>
    <r>
      <t xml:space="preserve">=&gt; Le Tertiaire est donc un segment </t>
    </r>
    <r>
      <rPr>
        <b/>
        <sz val="11"/>
        <color theme="1"/>
        <rFont val="Calibri"/>
        <family val="2"/>
      </rPr>
      <t>significatif</t>
    </r>
    <r>
      <rPr>
        <sz val="11"/>
        <color theme="1"/>
        <rFont val="Calibri"/>
        <family val="2"/>
      </rPr>
      <t>, mais</t>
    </r>
    <r>
      <rPr>
        <b/>
        <sz val="11"/>
        <color theme="1"/>
        <rFont val="Calibri"/>
        <family val="2"/>
      </rPr>
      <t xml:space="preserve"> pas majoritaire</t>
    </r>
    <r>
      <rPr>
        <sz val="11"/>
        <color theme="1"/>
        <rFont val="Calibri"/>
        <family val="2"/>
      </rPr>
      <t xml:space="preserve"> : il pèse environ </t>
    </r>
    <r>
      <rPr>
        <b/>
        <sz val="11"/>
        <color theme="1"/>
        <rFont val="Calibri"/>
        <family val="2"/>
      </rPr>
      <t>1 vente sur 5</t>
    </r>
    <r>
      <rPr>
        <sz val="11"/>
        <color theme="1"/>
        <rFont val="Calibri"/>
        <family val="2"/>
      </rPr>
      <t>.</t>
    </r>
  </si>
  <si>
    <r>
      <t xml:space="preserve">- </t>
    </r>
    <r>
      <rPr>
        <b/>
        <sz val="11"/>
        <color theme="1"/>
        <rFont val="Calibri"/>
        <family val="2"/>
      </rPr>
      <t>Éco Énergie Tertiaire</t>
    </r>
    <r>
      <rPr>
        <sz val="11"/>
        <color theme="1"/>
        <rFont val="Calibri"/>
      </rPr>
      <t xml:space="preserve"> impose une </t>
    </r>
    <r>
      <rPr>
        <b/>
        <sz val="11"/>
        <color theme="1"/>
        <rFont val="Calibri"/>
        <family val="2"/>
      </rPr>
      <t>baisse</t>
    </r>
    <r>
      <rPr>
        <sz val="11"/>
        <color theme="1"/>
        <rFont val="Calibri"/>
      </rPr>
      <t xml:space="preserve"> progressive des </t>
    </r>
    <r>
      <rPr>
        <b/>
        <sz val="11"/>
        <color theme="1"/>
        <rFont val="Calibri"/>
        <family val="2"/>
      </rPr>
      <t>conso. d’énergie</t>
    </r>
    <r>
      <rPr>
        <sz val="11"/>
        <color theme="1"/>
        <rFont val="Calibri"/>
      </rPr>
      <t xml:space="preserve"> finale de </t>
    </r>
    <r>
      <rPr>
        <b/>
        <sz val="11"/>
        <color theme="1"/>
        <rFont val="Calibri"/>
        <family val="2"/>
      </rPr>
      <t>-40 %</t>
    </r>
    <r>
      <rPr>
        <sz val="11"/>
        <color theme="1"/>
        <rFont val="Calibri"/>
      </rPr>
      <t xml:space="preserve"> en </t>
    </r>
    <r>
      <rPr>
        <b/>
        <sz val="11"/>
        <color theme="1"/>
        <rFont val="Calibri"/>
        <family val="2"/>
      </rPr>
      <t>2030</t>
    </r>
    <r>
      <rPr>
        <sz val="11"/>
        <color theme="1"/>
        <rFont val="Calibri"/>
      </rPr>
      <t xml:space="preserve">, </t>
    </r>
    <r>
      <rPr>
        <b/>
        <sz val="11"/>
        <color theme="1"/>
        <rFont val="Calibri"/>
        <family val="2"/>
      </rPr>
      <t>-50 %</t>
    </r>
    <r>
      <rPr>
        <sz val="11"/>
        <color theme="1"/>
        <rFont val="Calibri"/>
      </rPr>
      <t xml:space="preserve"> en </t>
    </r>
    <r>
      <rPr>
        <b/>
        <sz val="11"/>
        <color theme="1"/>
        <rFont val="Calibri"/>
        <family val="2"/>
      </rPr>
      <t>2040</t>
    </r>
    <r>
      <rPr>
        <sz val="11"/>
        <color theme="1"/>
        <rFont val="Calibri"/>
      </rPr>
      <t xml:space="preserve"> et </t>
    </r>
    <r>
      <rPr>
        <b/>
        <sz val="11"/>
        <color theme="1"/>
        <rFont val="Calibri"/>
        <family val="2"/>
      </rPr>
      <t>-60 %</t>
    </r>
    <r>
      <rPr>
        <sz val="11"/>
        <color theme="1"/>
        <rFont val="Calibri"/>
      </rPr>
      <t xml:space="preserve"> en </t>
    </r>
    <r>
      <rPr>
        <b/>
        <sz val="11"/>
        <color theme="1"/>
        <rFont val="Calibri"/>
        <family val="2"/>
      </rPr>
      <t>2050</t>
    </r>
    <r>
      <rPr>
        <sz val="11"/>
        <color theme="1"/>
        <rFont val="Calibri"/>
      </rPr>
      <t xml:space="preserve"> pour les bâtiments tertiaires.</t>
    </r>
  </si>
  <si>
    <r>
      <t>- Même si cela vise d’abord l’</t>
    </r>
    <r>
      <rPr>
        <b/>
        <sz val="11"/>
        <color theme="1"/>
        <rFont val="Calibri"/>
        <family val="2"/>
      </rPr>
      <t>énergie</t>
    </r>
    <r>
      <rPr>
        <sz val="11"/>
        <color theme="1"/>
        <rFont val="Calibri"/>
      </rPr>
      <t>, ces rénovations entraînent souvent des</t>
    </r>
    <r>
      <rPr>
        <b/>
        <sz val="11"/>
        <color theme="1"/>
        <rFont val="Calibri"/>
        <family val="2"/>
      </rPr>
      <t xml:space="preserve"> remises à niveau globales</t>
    </r>
    <r>
      <rPr>
        <sz val="11"/>
        <color theme="1"/>
        <rFont val="Calibri"/>
      </rPr>
      <t xml:space="preserve">, incluant </t>
    </r>
    <r>
      <rPr>
        <b/>
        <sz val="11"/>
        <color theme="1"/>
        <rFont val="Calibri"/>
        <family val="2"/>
      </rPr>
      <t>sanitaires</t>
    </r>
    <r>
      <rPr>
        <sz val="11"/>
        <color theme="1"/>
        <rFont val="Calibri"/>
      </rPr>
      <t xml:space="preserve">, </t>
    </r>
    <r>
      <rPr>
        <b/>
        <sz val="11"/>
        <color theme="1"/>
        <rFont val="Calibri"/>
        <family val="2"/>
      </rPr>
      <t>robinetterie</t>
    </r>
    <r>
      <rPr>
        <sz val="11"/>
        <color theme="1"/>
        <rFont val="Calibri"/>
      </rPr>
      <t xml:space="preserve">, </t>
    </r>
    <r>
      <rPr>
        <b/>
        <sz val="11"/>
        <color theme="1"/>
        <rFont val="Calibri"/>
        <family val="2"/>
      </rPr>
      <t>hygiène</t>
    </r>
    <r>
      <rPr>
        <sz val="11"/>
        <color theme="1"/>
        <rFont val="Calibri"/>
      </rPr>
      <t xml:space="preserve"> et </t>
    </r>
    <r>
      <rPr>
        <b/>
        <sz val="11"/>
        <color theme="1"/>
        <rFont val="Calibri"/>
        <family val="2"/>
      </rPr>
      <t>consommation d’eau</t>
    </r>
    <r>
      <rPr>
        <sz val="11"/>
        <color theme="1"/>
        <rFont val="Calibri"/>
      </rPr>
      <t>.</t>
    </r>
  </si>
  <si>
    <r>
      <t xml:space="preserve"> =&gt; </t>
    </r>
    <r>
      <rPr>
        <b/>
        <sz val="11"/>
        <color theme="1"/>
        <rFont val="Calibri"/>
        <family val="2"/>
      </rPr>
      <t>Dynamique Réno</t>
    </r>
    <r>
      <rPr>
        <sz val="11"/>
        <color theme="1"/>
        <rFont val="Calibri"/>
        <family val="2"/>
      </rPr>
      <t xml:space="preserve"> renforcée par les </t>
    </r>
    <r>
      <rPr>
        <b/>
        <sz val="11"/>
        <color theme="1"/>
        <rFont val="Calibri"/>
        <family val="2"/>
      </rPr>
      <t>obligations</t>
    </r>
    <r>
      <rPr>
        <sz val="11"/>
        <color theme="1"/>
        <rFont val="Calibri"/>
        <family val="2"/>
      </rPr>
      <t xml:space="preserve"> de </t>
    </r>
    <r>
      <rPr>
        <b/>
        <sz val="11"/>
        <color theme="1"/>
        <rFont val="Calibri"/>
        <family val="2"/>
      </rPr>
      <t>sobriété</t>
    </r>
    <r>
      <rPr>
        <sz val="11"/>
        <color theme="1"/>
        <rFont val="Calibri"/>
        <family val="2"/>
      </rPr>
      <t xml:space="preserve"> </t>
    </r>
    <r>
      <rPr>
        <b/>
        <sz val="11"/>
        <color theme="1"/>
        <rFont val="Calibri"/>
        <family val="2"/>
      </rPr>
      <t>énergétique</t>
    </r>
    <r>
      <rPr>
        <sz val="11"/>
        <color theme="1"/>
        <rFont val="Calibri"/>
        <family val="2"/>
      </rPr>
      <t xml:space="preserve"> du parc tertiaire :</t>
    </r>
  </si>
  <si>
    <r>
      <t xml:space="preserve"> =&gt; </t>
    </r>
    <r>
      <rPr>
        <b/>
        <sz val="11"/>
        <color theme="1"/>
        <rFont val="Calibri"/>
        <family val="2"/>
      </rPr>
      <t>Tertiaire</t>
    </r>
    <r>
      <rPr>
        <sz val="11"/>
        <color theme="1"/>
        <rFont val="Calibri"/>
        <family val="2"/>
      </rPr>
      <t xml:space="preserve"> est encore </t>
    </r>
    <r>
      <rPr>
        <b/>
        <sz val="11"/>
        <color theme="1"/>
        <rFont val="Calibri"/>
        <family val="2"/>
      </rPr>
      <t xml:space="preserve">un + orienté rénovation </t>
    </r>
    <r>
      <rPr>
        <sz val="11"/>
        <color theme="1"/>
        <rFont val="Calibri"/>
        <family val="2"/>
      </rPr>
      <t xml:space="preserve">que moyenne marché. </t>
    </r>
    <r>
      <rPr>
        <b/>
        <sz val="11"/>
        <color theme="1"/>
        <rFont val="Calibri"/>
        <family val="2"/>
      </rPr>
      <t>Potentiel principal</t>
    </r>
    <r>
      <rPr>
        <sz val="11"/>
        <color theme="1"/>
        <rFont val="Calibri"/>
        <family val="2"/>
      </rPr>
      <t xml:space="preserve"> </t>
    </r>
    <r>
      <rPr>
        <b/>
        <sz val="11"/>
        <color theme="1"/>
        <rFont val="Calibri"/>
        <family val="2"/>
      </rPr>
      <t>Tertiaire</t>
    </r>
    <r>
      <rPr>
        <sz val="11"/>
        <color theme="1"/>
        <rFont val="Calibri"/>
        <family val="2"/>
      </rPr>
      <t xml:space="preserve"> d’abord dans </t>
    </r>
    <r>
      <rPr>
        <b/>
        <sz val="11"/>
        <color theme="1"/>
        <rFont val="Calibri"/>
        <family val="2"/>
      </rPr>
      <t>renouvellement du parc existant</t>
    </r>
    <r>
      <rPr>
        <sz val="11"/>
        <color theme="1"/>
        <rFont val="Calibri"/>
        <family val="2"/>
      </rPr>
      <t xml:space="preserve"> (plus que dans création pure de bâtiments neufs)</t>
    </r>
  </si>
  <si>
    <t>Dynamique :</t>
  </si>
  <si>
    <r>
      <t xml:space="preserve">Gros potentiel sur les rénovations de </t>
    </r>
    <r>
      <rPr>
        <b/>
        <sz val="11"/>
        <color theme="1"/>
        <rFont val="Calibri"/>
        <family val="2"/>
      </rPr>
      <t>plateaux</t>
    </r>
    <r>
      <rPr>
        <sz val="11"/>
        <color theme="1"/>
        <rFont val="Calibri"/>
        <family val="2"/>
      </rPr>
      <t>, sanitaires d’</t>
    </r>
    <r>
      <rPr>
        <b/>
        <sz val="11"/>
        <color theme="1"/>
        <rFont val="Calibri"/>
        <family val="2"/>
      </rPr>
      <t>étage</t>
    </r>
    <r>
      <rPr>
        <sz val="11"/>
        <color theme="1"/>
        <rFont val="Calibri"/>
        <family val="2"/>
      </rPr>
      <t xml:space="preserve">, espaces collaboratifs, immeubles </t>
    </r>
    <r>
      <rPr>
        <b/>
        <sz val="11"/>
        <color theme="1"/>
        <rFont val="Calibri"/>
        <family val="2"/>
      </rPr>
      <t>multi-locataires</t>
    </r>
    <r>
      <rPr>
        <sz val="11"/>
        <color theme="1"/>
        <rFont val="Calibri"/>
        <family val="2"/>
      </rPr>
      <t xml:space="preserve">, </t>
    </r>
    <r>
      <rPr>
        <b/>
        <sz val="11"/>
        <color theme="1"/>
        <rFont val="Calibri"/>
        <family val="2"/>
      </rPr>
      <t>flex</t>
    </r>
    <r>
      <rPr>
        <sz val="11"/>
        <color theme="1"/>
        <rFont val="Calibri"/>
        <family val="2"/>
      </rPr>
      <t xml:space="preserve"> office.</t>
    </r>
  </si>
  <si>
    <r>
      <rPr>
        <b/>
        <sz val="11"/>
        <color theme="1"/>
        <rFont val="Calibri"/>
        <family val="2"/>
      </rPr>
      <t>Projets emblématiques</t>
    </r>
    <r>
      <rPr>
        <sz val="11"/>
        <color theme="1"/>
        <rFont val="Calibri"/>
        <family val="2"/>
      </rPr>
      <t xml:space="preserve"> - bureaux </t>
    </r>
    <r>
      <rPr>
        <b/>
        <sz val="11"/>
        <color theme="1"/>
        <rFont val="Calibri"/>
        <family val="2"/>
      </rPr>
      <t>neufs</t>
    </r>
    <r>
      <rPr>
        <sz val="11"/>
        <color theme="1"/>
        <rFont val="Calibri"/>
        <family val="2"/>
      </rPr>
      <t xml:space="preserve"> ou </t>
    </r>
    <r>
      <rPr>
        <b/>
        <sz val="11"/>
        <color theme="1"/>
        <rFont val="Calibri"/>
        <family val="2"/>
      </rPr>
      <t>très</t>
    </r>
    <r>
      <rPr>
        <sz val="11"/>
        <color theme="1"/>
        <rFont val="Calibri"/>
        <family val="2"/>
      </rPr>
      <t xml:space="preserve"> </t>
    </r>
    <r>
      <rPr>
        <b/>
        <sz val="11"/>
        <color theme="1"/>
        <rFont val="Calibri"/>
        <family val="2"/>
      </rPr>
      <t>haut de gamme</t>
    </r>
    <r>
      <rPr>
        <sz val="11"/>
        <color theme="1"/>
        <rFont val="Calibri"/>
        <family val="2"/>
      </rPr>
      <t xml:space="preserve"> visibles =&gt; La Défense avec The Link promet une réduction de conso. énergétique de 50 % (vs. tours actuelles).</t>
    </r>
  </si>
  <si>
    <t>Menaces :</t>
  </si>
  <si>
    <r>
      <rPr>
        <b/>
        <sz val="11"/>
        <color theme="1"/>
        <rFont val="Calibri"/>
        <family val="2"/>
      </rPr>
      <t>Vacance tertiaire</t>
    </r>
    <r>
      <rPr>
        <sz val="11"/>
        <color theme="1"/>
        <rFont val="Calibri"/>
        <family val="2"/>
      </rPr>
      <t xml:space="preserve"> dans certains immeubles obsolètes + Risque de </t>
    </r>
    <r>
      <rPr>
        <b/>
        <sz val="11"/>
        <color theme="1"/>
        <rFont val="Calibri"/>
        <family val="2"/>
      </rPr>
      <t>transformation</t>
    </r>
    <r>
      <rPr>
        <sz val="11"/>
        <color theme="1"/>
        <rFont val="Calibri"/>
        <family val="2"/>
      </rPr>
      <t xml:space="preserve"> de certains bureaux en logements</t>
    </r>
  </si>
  <si>
    <r>
      <t xml:space="preserve">Arbitrages CAPEX : sanitaires peuvent passer </t>
    </r>
    <r>
      <rPr>
        <b/>
        <sz val="11"/>
        <color theme="1"/>
        <rFont val="Calibri"/>
        <family val="2"/>
      </rPr>
      <t>derrière CVC</t>
    </r>
    <r>
      <rPr>
        <sz val="11"/>
        <color theme="1"/>
        <rFont val="Calibri"/>
        <family val="2"/>
      </rPr>
      <t xml:space="preserve"> (chauffage, ventilation, climatisation), </t>
    </r>
    <r>
      <rPr>
        <b/>
        <sz val="11"/>
        <color theme="1"/>
        <rFont val="Calibri"/>
        <family val="2"/>
      </rPr>
      <t>GTB</t>
    </r>
    <r>
      <rPr>
        <sz val="11"/>
        <color theme="1"/>
        <rFont val="Calibri"/>
        <family val="2"/>
      </rPr>
      <t xml:space="preserve"> (Gestion Technique du Bâtiment), </t>
    </r>
    <r>
      <rPr>
        <b/>
        <sz val="11"/>
        <color theme="1"/>
        <rFont val="Calibri"/>
        <family val="2"/>
      </rPr>
      <t>isolation</t>
    </r>
    <r>
      <rPr>
        <sz val="11"/>
        <color theme="1"/>
        <rFont val="Calibri"/>
        <family val="2"/>
      </rPr>
      <t xml:space="preserve"> ou </t>
    </r>
    <r>
      <rPr>
        <b/>
        <sz val="11"/>
        <color theme="1"/>
        <rFont val="Calibri"/>
        <family val="2"/>
      </rPr>
      <t>aménagements</t>
    </r>
    <r>
      <rPr>
        <sz val="11"/>
        <color theme="1"/>
        <rFont val="Calibri"/>
        <family val="2"/>
      </rPr>
      <t xml:space="preserve"> de plateaux.</t>
    </r>
  </si>
  <si>
    <t>Potentiel :</t>
  </si>
  <si>
    <r>
      <t xml:space="preserve">Sous-segment le plus </t>
    </r>
    <r>
      <rPr>
        <b/>
        <sz val="11"/>
        <color theme="1"/>
        <rFont val="Calibri"/>
        <family val="2"/>
      </rPr>
      <t>équilibré</t>
    </r>
    <r>
      <rPr>
        <sz val="11"/>
        <color theme="1"/>
        <rFont val="Calibri"/>
        <family val="2"/>
      </rPr>
      <t xml:space="preserve"> entre Neuf et Réno. Demande </t>
    </r>
    <r>
      <rPr>
        <b/>
        <sz val="11"/>
        <color theme="1"/>
        <rFont val="Calibri"/>
        <family val="2"/>
      </rPr>
      <t>Neuf soutenue</t>
    </r>
    <r>
      <rPr>
        <sz val="11"/>
        <color theme="1"/>
        <rFont val="Calibri"/>
        <family val="2"/>
      </rPr>
      <t xml:space="preserve"> =&gt; </t>
    </r>
    <r>
      <rPr>
        <b/>
        <sz val="11"/>
        <color theme="1"/>
        <rFont val="Calibri"/>
        <family val="2"/>
      </rPr>
      <t>1,5 million de m²</t>
    </r>
    <r>
      <rPr>
        <sz val="11"/>
        <color theme="1"/>
        <rFont val="Calibri"/>
        <family val="2"/>
      </rPr>
      <t xml:space="preserve"> prévus en commercialisation en 2026 (Knight Frank)</t>
    </r>
  </si>
  <si>
    <t>Projets :</t>
  </si>
  <si>
    <r>
      <t xml:space="preserve">Programmes </t>
    </r>
    <r>
      <rPr>
        <b/>
        <sz val="11"/>
        <color theme="1"/>
        <rFont val="Calibri"/>
        <family val="2"/>
      </rPr>
      <t>France 2030</t>
    </r>
    <r>
      <rPr>
        <sz val="11"/>
        <color theme="1"/>
        <rFont val="Calibri"/>
        <family val="2"/>
      </rPr>
      <t xml:space="preserve"> et </t>
    </r>
    <r>
      <rPr>
        <b/>
        <sz val="11"/>
        <color theme="1"/>
        <rFont val="Calibri"/>
        <family val="2"/>
      </rPr>
      <t>Territoires d’industrie 2023-27</t>
    </r>
    <r>
      <rPr>
        <sz val="11"/>
        <color theme="1"/>
        <rFont val="Calibri"/>
        <family val="2"/>
      </rPr>
      <t xml:space="preserve"> soutiennent des investissements </t>
    </r>
    <r>
      <rPr>
        <b/>
        <sz val="11"/>
        <color theme="1"/>
        <rFont val="Calibri"/>
        <family val="2"/>
      </rPr>
      <t>industriels + décarbonation</t>
    </r>
    <r>
      <rPr>
        <sz val="11"/>
        <color theme="1"/>
        <rFont val="Calibri"/>
        <family val="2"/>
      </rPr>
      <t>.</t>
    </r>
  </si>
  <si>
    <r>
      <t xml:space="preserve">Porté par </t>
    </r>
    <r>
      <rPr>
        <b/>
        <sz val="11"/>
        <color theme="1"/>
        <rFont val="Calibri"/>
        <family val="2"/>
      </rPr>
      <t>rénovation</t>
    </r>
    <r>
      <rPr>
        <sz val="11"/>
        <color theme="1"/>
        <rFont val="Calibri"/>
        <family val="2"/>
      </rPr>
      <t xml:space="preserve"> des sites existants (à 55-60 %), </t>
    </r>
    <r>
      <rPr>
        <b/>
        <sz val="11"/>
        <color theme="1"/>
        <rFont val="Calibri"/>
        <family val="2"/>
      </rPr>
      <t>modernisation</t>
    </r>
    <r>
      <rPr>
        <sz val="11"/>
        <color theme="1"/>
        <rFont val="Calibri"/>
        <family val="2"/>
      </rPr>
      <t xml:space="preserve"> industrielle (~20%), </t>
    </r>
    <r>
      <rPr>
        <b/>
        <sz val="11"/>
        <color theme="1"/>
        <rFont val="Calibri"/>
        <family val="2"/>
      </rPr>
      <t>réindustrialisation</t>
    </r>
    <r>
      <rPr>
        <sz val="11"/>
        <color theme="1"/>
        <rFont val="Calibri"/>
        <family val="2"/>
      </rPr>
      <t xml:space="preserve"> (~22%)</t>
    </r>
    <r>
      <rPr>
        <b/>
        <sz val="11"/>
        <color theme="1"/>
        <rFont val="Calibri"/>
        <family val="2"/>
      </rPr>
      <t>.</t>
    </r>
  </si>
  <si>
    <r>
      <t xml:space="preserve">Contraintes </t>
    </r>
    <r>
      <rPr>
        <b/>
        <sz val="11"/>
        <color theme="1"/>
        <rFont val="Calibri"/>
        <family val="2"/>
      </rPr>
      <t>foncières</t>
    </r>
    <r>
      <rPr>
        <sz val="11"/>
        <color theme="1"/>
        <rFont val="Calibri"/>
        <family val="2"/>
      </rPr>
      <t xml:space="preserve">. </t>
    </r>
    <r>
      <rPr>
        <b/>
        <sz val="11"/>
        <color theme="1"/>
        <rFont val="Calibri"/>
        <family val="2"/>
      </rPr>
      <t>Autorisations</t>
    </r>
    <r>
      <rPr>
        <sz val="11"/>
        <color theme="1"/>
        <rFont val="Calibri"/>
        <family val="2"/>
      </rPr>
      <t xml:space="preserve"> plus </t>
    </r>
    <r>
      <rPr>
        <b/>
        <sz val="11"/>
        <color theme="1"/>
        <rFont val="Calibri"/>
        <family val="2"/>
      </rPr>
      <t>difficiles</t>
    </r>
    <r>
      <rPr>
        <sz val="11"/>
        <color theme="1"/>
        <rFont val="Calibri"/>
        <family val="2"/>
      </rPr>
      <t xml:space="preserve">. Automatisation pouvant </t>
    </r>
    <r>
      <rPr>
        <b/>
        <sz val="11"/>
        <color theme="1"/>
        <rFont val="Calibri"/>
        <family val="2"/>
      </rPr>
      <t>limiter</t>
    </r>
    <r>
      <rPr>
        <sz val="11"/>
        <color theme="1"/>
        <rFont val="Calibri"/>
        <family val="2"/>
      </rPr>
      <t xml:space="preserve"> le nombre de </t>
    </r>
    <r>
      <rPr>
        <b/>
        <sz val="11"/>
        <color theme="1"/>
        <rFont val="Calibri"/>
        <family val="2"/>
      </rPr>
      <t>salariés par m²</t>
    </r>
    <r>
      <rPr>
        <sz val="11"/>
        <color theme="1"/>
        <rFont val="Calibri"/>
        <family val="2"/>
      </rPr>
      <t xml:space="preserve">, donc le </t>
    </r>
    <r>
      <rPr>
        <b/>
        <sz val="11"/>
        <color theme="1"/>
        <rFont val="Calibri"/>
        <family val="2"/>
      </rPr>
      <t>besoin sanitaire par site</t>
    </r>
    <r>
      <rPr>
        <sz val="11"/>
        <color theme="1"/>
        <rFont val="Calibri"/>
        <family val="2"/>
      </rPr>
      <t>.</t>
    </r>
  </si>
  <si>
    <r>
      <rPr>
        <b/>
        <sz val="11"/>
        <color theme="1"/>
        <rFont val="Calibri"/>
        <family val="2"/>
      </rPr>
      <t>Gigafactories</t>
    </r>
    <r>
      <rPr>
        <sz val="11"/>
        <color theme="1"/>
        <rFont val="Calibri"/>
        <family val="2"/>
      </rPr>
      <t xml:space="preserve"> batteries, usines décarbonées, </t>
    </r>
    <r>
      <rPr>
        <b/>
        <sz val="11"/>
        <color theme="1"/>
        <rFont val="Calibri"/>
        <family val="2"/>
      </rPr>
      <t>nouveaux sites</t>
    </r>
    <r>
      <rPr>
        <sz val="11"/>
        <color theme="1"/>
        <rFont val="Calibri"/>
        <family val="2"/>
      </rPr>
      <t xml:space="preserve"> industriels, </t>
    </r>
    <r>
      <rPr>
        <b/>
        <sz val="11"/>
        <color theme="1"/>
        <rFont val="Calibri"/>
        <family val="2"/>
      </rPr>
      <t>extensions</t>
    </r>
    <r>
      <rPr>
        <sz val="11"/>
        <color theme="1"/>
        <rFont val="Calibri"/>
        <family val="2"/>
      </rPr>
      <t xml:space="preserve"> de production.</t>
    </r>
  </si>
  <si>
    <t>Potentiel Ventes 2025-30 au global : Tertiaire vs ensemble des segments</t>
  </si>
  <si>
    <r>
      <rPr>
        <b/>
        <sz val="11"/>
        <color theme="1"/>
        <rFont val="Calibri"/>
        <family val="2"/>
      </rPr>
      <t>Cyclicité</t>
    </r>
    <r>
      <rPr>
        <sz val="11"/>
        <color theme="1"/>
        <rFont val="Calibri"/>
        <family val="2"/>
      </rPr>
      <t xml:space="preserve"> des </t>
    </r>
    <r>
      <rPr>
        <b/>
        <sz val="11"/>
        <color theme="1"/>
        <rFont val="Calibri"/>
        <family val="2"/>
      </rPr>
      <t>investissements</t>
    </r>
    <r>
      <rPr>
        <sz val="11"/>
        <color theme="1"/>
        <rFont val="Calibri"/>
        <family val="2"/>
      </rPr>
      <t xml:space="preserve"> industriels. </t>
    </r>
    <r>
      <rPr>
        <b/>
        <sz val="11"/>
        <color theme="1"/>
        <rFont val="Calibri"/>
        <family val="2"/>
      </rPr>
      <t>Dépendance</t>
    </r>
    <r>
      <rPr>
        <sz val="11"/>
        <color theme="1"/>
        <rFont val="Calibri"/>
        <family val="2"/>
      </rPr>
      <t xml:space="preserve"> aux </t>
    </r>
    <r>
      <rPr>
        <b/>
        <sz val="11"/>
        <color theme="1"/>
        <rFont val="Calibri"/>
        <family val="2"/>
      </rPr>
      <t>aides</t>
    </r>
    <r>
      <rPr>
        <sz val="11"/>
        <color theme="1"/>
        <rFont val="Calibri"/>
        <family val="2"/>
      </rPr>
      <t xml:space="preserve"> publiques, à l’</t>
    </r>
    <r>
      <rPr>
        <b/>
        <sz val="11"/>
        <color theme="1"/>
        <rFont val="Calibri"/>
        <family val="2"/>
      </rPr>
      <t>énergie,</t>
    </r>
    <r>
      <rPr>
        <sz val="11"/>
        <color theme="1"/>
        <rFont val="Calibri"/>
        <family val="2"/>
      </rPr>
      <t xml:space="preserve"> à la </t>
    </r>
    <r>
      <rPr>
        <b/>
        <sz val="11"/>
        <color theme="1"/>
        <rFont val="Calibri"/>
        <family val="2"/>
      </rPr>
      <t>conjoncture</t>
    </r>
    <r>
      <rPr>
        <sz val="11"/>
        <color theme="1"/>
        <rFont val="Calibri"/>
        <family val="2"/>
      </rPr>
      <t xml:space="preserve">. </t>
    </r>
    <r>
      <rPr>
        <b/>
        <sz val="11"/>
        <color theme="1"/>
        <rFont val="Calibri"/>
        <family val="2"/>
      </rPr>
      <t>Décalage</t>
    </r>
    <r>
      <rPr>
        <sz val="11"/>
        <color theme="1"/>
        <rFont val="Calibri"/>
        <family val="2"/>
      </rPr>
      <t xml:space="preserve"> possible entre </t>
    </r>
    <r>
      <rPr>
        <b/>
        <sz val="11"/>
        <color theme="1"/>
        <rFont val="Calibri"/>
        <family val="2"/>
      </rPr>
      <t>annonces</t>
    </r>
    <r>
      <rPr>
        <sz val="11"/>
        <color theme="1"/>
        <rFont val="Calibri"/>
        <family val="2"/>
      </rPr>
      <t xml:space="preserve"> industrielles et </t>
    </r>
    <r>
      <rPr>
        <b/>
        <sz val="11"/>
        <color theme="1"/>
        <rFont val="Calibri"/>
        <family val="2"/>
      </rPr>
      <t>livraisons</t>
    </r>
    <r>
      <rPr>
        <sz val="11"/>
        <color theme="1"/>
        <rFont val="Calibri"/>
        <family val="2"/>
      </rPr>
      <t xml:space="preserve"> effectives.</t>
    </r>
  </si>
  <si>
    <r>
      <rPr>
        <b/>
        <sz val="11"/>
        <color theme="1"/>
        <rFont val="Calibri"/>
        <family val="2"/>
      </rPr>
      <t xml:space="preserve">Tempo. méca </t>
    </r>
    <r>
      <rPr>
        <sz val="11"/>
        <color theme="1"/>
        <rFont val="Calibri"/>
        <family val="2"/>
      </rPr>
      <t xml:space="preserve">: robustesse, usage fréquent, environnement collectif. </t>
    </r>
    <r>
      <rPr>
        <b/>
        <sz val="11"/>
        <color theme="1"/>
        <rFont val="Calibri"/>
        <family val="2"/>
      </rPr>
      <t>Electro</t>
    </r>
    <r>
      <rPr>
        <sz val="11"/>
        <color theme="1"/>
        <rFont val="Calibri"/>
        <family val="2"/>
      </rPr>
      <t xml:space="preserve"> : zones visiteurs, laboratoires, vestiaires, sanitaires de product°, sites à politique hygiène renforcée.</t>
    </r>
  </si>
  <si>
    <r>
      <t xml:space="preserve">Marché lié à </t>
    </r>
    <r>
      <rPr>
        <b/>
        <sz val="11"/>
        <color theme="1"/>
        <rFont val="Calibri"/>
        <family val="2"/>
      </rPr>
      <t>maintenance</t>
    </r>
    <r>
      <rPr>
        <sz val="11"/>
        <color theme="1"/>
        <rFont val="Calibri"/>
        <family val="2"/>
      </rPr>
      <t xml:space="preserve"> </t>
    </r>
    <r>
      <rPr>
        <b/>
        <sz val="11"/>
        <color theme="1"/>
        <rFont val="Calibri"/>
        <family val="2"/>
      </rPr>
      <t>industrielle</t>
    </r>
    <r>
      <rPr>
        <sz val="11"/>
        <color theme="1"/>
        <rFont val="Calibri"/>
        <family val="2"/>
      </rPr>
      <t xml:space="preserve"> privée (~35%), </t>
    </r>
    <r>
      <rPr>
        <b/>
        <sz val="11"/>
        <color theme="1"/>
        <rFont val="Calibri"/>
        <family val="2"/>
      </rPr>
      <t>ateliers</t>
    </r>
    <r>
      <rPr>
        <sz val="11"/>
        <color theme="1"/>
        <rFont val="Calibri"/>
        <family val="2"/>
      </rPr>
      <t xml:space="preserve"> techniques (~20%), sites </t>
    </r>
    <r>
      <rPr>
        <b/>
        <sz val="11"/>
        <color theme="1"/>
        <rFont val="Calibri"/>
        <family val="2"/>
      </rPr>
      <t>maintenance</t>
    </r>
    <r>
      <rPr>
        <sz val="11"/>
        <color theme="1"/>
        <rFont val="Calibri"/>
        <family val="2"/>
      </rPr>
      <t xml:space="preserve"> </t>
    </r>
    <r>
      <rPr>
        <b/>
        <sz val="11"/>
        <color theme="1"/>
        <rFont val="Calibri"/>
        <family val="2"/>
      </rPr>
      <t>transport</t>
    </r>
    <r>
      <rPr>
        <sz val="11"/>
        <color theme="1"/>
        <rFont val="Calibri"/>
        <family val="2"/>
      </rPr>
      <t xml:space="preserve"> (~20%), ateliers </t>
    </r>
    <r>
      <rPr>
        <b/>
        <sz val="11"/>
        <color theme="1"/>
        <rFont val="Calibri"/>
        <family val="2"/>
      </rPr>
      <t>municipaux</t>
    </r>
    <r>
      <rPr>
        <sz val="11"/>
        <color theme="1"/>
        <rFont val="Calibri"/>
        <family val="2"/>
      </rPr>
      <t xml:space="preserve"> (~15%), bases maintenance </t>
    </r>
    <r>
      <rPr>
        <b/>
        <sz val="11"/>
        <color theme="1"/>
        <rFont val="Calibri"/>
        <family val="2"/>
      </rPr>
      <t>multi-sites / réseaux</t>
    </r>
    <r>
      <rPr>
        <sz val="11"/>
        <color theme="1"/>
        <rFont val="Calibri"/>
        <family val="2"/>
      </rPr>
      <t xml:space="preserve"> (~10%)</t>
    </r>
  </si>
  <si>
    <r>
      <t xml:space="preserve">Part </t>
    </r>
    <r>
      <rPr>
        <b/>
        <sz val="11"/>
        <color theme="1"/>
        <rFont val="Calibri"/>
        <family val="2"/>
      </rPr>
      <t>Neuf</t>
    </r>
    <r>
      <rPr>
        <sz val="11"/>
        <color theme="1"/>
        <rFont val="Calibri"/>
        <family val="2"/>
      </rPr>
      <t xml:space="preserve"> relativement élevée. Très bon terrain pour </t>
    </r>
    <r>
      <rPr>
        <b/>
        <sz val="11"/>
        <color theme="1"/>
        <rFont val="Calibri"/>
        <family val="2"/>
      </rPr>
      <t>Tempo méca</t>
    </r>
    <r>
      <rPr>
        <sz val="11"/>
        <color theme="1"/>
        <rFont val="Calibri"/>
        <family val="2"/>
      </rPr>
      <t xml:space="preserve"> : robustesse, usage intensif, mains sales, simplicité à maintenir. Potentiel </t>
    </r>
    <r>
      <rPr>
        <b/>
        <sz val="11"/>
        <color theme="1"/>
        <rFont val="Calibri"/>
        <family val="2"/>
      </rPr>
      <t>électro plus sélectif</t>
    </r>
    <r>
      <rPr>
        <sz val="11"/>
        <color theme="1"/>
        <rFont val="Calibri"/>
        <family val="2"/>
      </rPr>
      <t xml:space="preserve">, surtout si </t>
    </r>
    <r>
      <rPr>
        <b/>
        <sz val="11"/>
        <color theme="1"/>
        <rFont val="Calibri"/>
        <family val="2"/>
      </rPr>
      <t>hygiène</t>
    </r>
    <r>
      <rPr>
        <sz val="11"/>
        <color theme="1"/>
        <rFont val="Calibri"/>
        <family val="2"/>
      </rPr>
      <t xml:space="preserve"> ou </t>
    </r>
    <r>
      <rPr>
        <b/>
        <sz val="11"/>
        <color theme="1"/>
        <rFont val="Calibri"/>
        <family val="2"/>
      </rPr>
      <t>image</t>
    </r>
    <r>
      <rPr>
        <sz val="11"/>
        <color theme="1"/>
        <rFont val="Calibri"/>
        <family val="2"/>
      </rPr>
      <t xml:space="preserve"> client.</t>
    </r>
  </si>
  <si>
    <r>
      <t xml:space="preserve">Marché plus </t>
    </r>
    <r>
      <rPr>
        <b/>
        <sz val="11"/>
        <color theme="1"/>
        <rFont val="Calibri"/>
        <family val="2"/>
      </rPr>
      <t>fragmenté</t>
    </r>
    <r>
      <rPr>
        <sz val="11"/>
        <color theme="1"/>
        <rFont val="Calibri"/>
      </rPr>
      <t xml:space="preserve">. </t>
    </r>
    <r>
      <rPr>
        <b/>
        <sz val="11"/>
        <color theme="1"/>
        <rFont val="Calibri"/>
        <family val="2"/>
      </rPr>
      <t>Budgets</t>
    </r>
    <r>
      <rPr>
        <sz val="11"/>
        <color theme="1"/>
        <rFont val="Calibri"/>
      </rPr>
      <t xml:space="preserve"> parfois traités en </t>
    </r>
    <r>
      <rPr>
        <b/>
        <sz val="11"/>
        <color theme="1"/>
        <rFont val="Calibri"/>
        <family val="2"/>
      </rPr>
      <t>maintenance</t>
    </r>
    <r>
      <rPr>
        <sz val="11"/>
        <color theme="1"/>
        <rFont val="Calibri"/>
      </rPr>
      <t xml:space="preserve"> </t>
    </r>
    <r>
      <rPr>
        <b/>
        <sz val="11"/>
        <color theme="1"/>
        <rFont val="Calibri"/>
        <family val="2"/>
      </rPr>
      <t>courante</t>
    </r>
    <r>
      <rPr>
        <sz val="11"/>
        <color theme="1"/>
        <rFont val="Calibri"/>
      </rPr>
      <t xml:space="preserve"> plutôt qu’en grands appels d’offres. </t>
    </r>
    <r>
      <rPr>
        <b/>
        <sz val="11"/>
        <color theme="1"/>
        <rFont val="Calibri"/>
        <family val="2"/>
      </rPr>
      <t>Décisions</t>
    </r>
    <r>
      <rPr>
        <sz val="11"/>
        <color theme="1"/>
        <rFont val="Calibri"/>
      </rPr>
      <t xml:space="preserve"> plus </t>
    </r>
    <r>
      <rPr>
        <b/>
        <sz val="11"/>
        <color theme="1"/>
        <rFont val="Calibri"/>
        <family val="2"/>
      </rPr>
      <t>locales</t>
    </r>
    <r>
      <rPr>
        <sz val="11"/>
        <color theme="1"/>
        <rFont val="Calibri"/>
      </rPr>
      <t>, moins centralisées.</t>
    </r>
  </si>
  <si>
    <r>
      <t xml:space="preserve">Opportunité d'avoir un parc tertiaire très </t>
    </r>
    <r>
      <rPr>
        <b/>
        <sz val="11"/>
        <color theme="1"/>
        <rFont val="Calibri"/>
        <family val="2"/>
      </rPr>
      <t>large</t>
    </r>
    <r>
      <rPr>
        <sz val="11"/>
        <color theme="1"/>
        <rFont val="Calibri"/>
        <family val="2"/>
      </rPr>
      <t xml:space="preserve">, avec des </t>
    </r>
    <r>
      <rPr>
        <b/>
        <sz val="11"/>
        <color theme="1"/>
        <rFont val="Calibri"/>
        <family val="2"/>
      </rPr>
      <t>bâtiments</t>
    </r>
    <r>
      <rPr>
        <sz val="11"/>
        <color theme="1"/>
        <rFont val="Calibri"/>
        <family val="2"/>
      </rPr>
      <t xml:space="preserve"> souvent </t>
    </r>
    <r>
      <rPr>
        <b/>
        <sz val="11"/>
        <color theme="1"/>
        <rFont val="Calibri"/>
        <family val="2"/>
      </rPr>
      <t>anciens</t>
    </r>
    <r>
      <rPr>
        <sz val="11"/>
        <color theme="1"/>
        <rFont val="Calibri"/>
        <family val="2"/>
      </rPr>
      <t xml:space="preserve">, énergivores et hétérogènes. </t>
    </r>
    <r>
      <rPr>
        <b/>
        <sz val="11"/>
        <color theme="1"/>
        <rFont val="Calibri"/>
        <family val="2"/>
      </rPr>
      <t>Bureaux</t>
    </r>
    <r>
      <rPr>
        <sz val="11"/>
        <color theme="1"/>
        <rFont val="Calibri"/>
        <family val="2"/>
      </rPr>
      <t xml:space="preserve"> administratifs = Poche la plus </t>
    </r>
    <r>
      <rPr>
        <b/>
        <sz val="11"/>
        <color theme="1"/>
        <rFont val="Calibri"/>
        <family val="2"/>
      </rPr>
      <t>volumique</t>
    </r>
    <r>
      <rPr>
        <sz val="11"/>
        <color theme="1"/>
        <rFont val="Calibri"/>
        <family val="2"/>
      </rPr>
      <t xml:space="preserve"> du bloc.</t>
    </r>
  </si>
  <si>
    <r>
      <rPr>
        <b/>
        <sz val="11"/>
        <color theme="1"/>
        <rFont val="Calibri"/>
        <family val="2"/>
      </rPr>
      <t xml:space="preserve">Fonds vert </t>
    </r>
    <r>
      <rPr>
        <sz val="11"/>
        <color theme="1"/>
        <rFont val="Calibri"/>
        <family val="2"/>
      </rPr>
      <t xml:space="preserve">soutient projets de transformat° écologique+ réno. énergétique. Logique </t>
    </r>
    <r>
      <rPr>
        <b/>
        <sz val="11"/>
        <color theme="1"/>
        <rFont val="Calibri"/>
        <family val="2"/>
      </rPr>
      <t>standardisat° multi-sites</t>
    </r>
    <r>
      <rPr>
        <sz val="11"/>
        <color theme="1"/>
        <rFont val="Calibri"/>
        <family val="2"/>
      </rPr>
      <t xml:space="preserve"> : </t>
    </r>
    <r>
      <rPr>
        <b/>
        <sz val="11"/>
        <color theme="1"/>
        <rFont val="Calibri"/>
        <family val="2"/>
      </rPr>
      <t>mêmes</t>
    </r>
    <r>
      <rPr>
        <sz val="11"/>
        <color theme="1"/>
        <rFont val="Calibri"/>
        <family val="2"/>
      </rPr>
      <t xml:space="preserve"> produits, pièces détachées, maintenance simplifiée.</t>
    </r>
  </si>
  <si>
    <r>
      <rPr>
        <b/>
        <sz val="11"/>
        <color theme="1"/>
        <rFont val="Calibri"/>
        <family val="2"/>
      </rPr>
      <t>Dotations d’investissement</t>
    </r>
    <r>
      <rPr>
        <sz val="11"/>
        <color theme="1"/>
        <rFont val="Calibri"/>
        <family val="2"/>
      </rPr>
      <t xml:space="preserve"> local - DETR, DSIL, DSID, DPV (22.000 projets). </t>
    </r>
    <r>
      <rPr>
        <b/>
        <sz val="11"/>
        <color theme="1"/>
        <rFont val="Calibri"/>
        <family val="2"/>
      </rPr>
      <t>Action Cœur de Ville =&gt;</t>
    </r>
    <r>
      <rPr>
        <sz val="11"/>
        <color theme="1"/>
        <rFont val="Calibri"/>
        <family val="2"/>
      </rPr>
      <t xml:space="preserve"> Dynamisat° centres-villes : </t>
    </r>
    <r>
      <rPr>
        <b/>
        <sz val="11"/>
        <color theme="1"/>
        <rFont val="Calibri"/>
        <family val="2"/>
      </rPr>
      <t>réhabilitation</t>
    </r>
    <r>
      <rPr>
        <sz val="11"/>
        <color theme="1"/>
        <rFont val="Calibri"/>
        <family val="2"/>
      </rPr>
      <t xml:space="preserve"> bâtiments + </t>
    </r>
    <r>
      <rPr>
        <b/>
        <sz val="11"/>
        <color theme="1"/>
        <rFont val="Calibri"/>
        <family val="2"/>
      </rPr>
      <t>aménagement</t>
    </r>
    <r>
      <rPr>
        <sz val="11"/>
        <color theme="1"/>
        <rFont val="Calibri"/>
        <family val="2"/>
      </rPr>
      <t xml:space="preserve"> espaces publics</t>
    </r>
  </si>
  <si>
    <r>
      <rPr>
        <b/>
        <sz val="11"/>
        <color theme="1"/>
        <rFont val="Calibri"/>
        <family val="2"/>
      </rPr>
      <t>Réorganisat°-mutualisat°</t>
    </r>
    <r>
      <rPr>
        <sz val="11"/>
        <color theme="1"/>
        <rFont val="Calibri"/>
        <family val="2"/>
      </rPr>
      <t xml:space="preserve"> des services publics : opportunités de </t>
    </r>
    <r>
      <rPr>
        <b/>
        <sz val="11"/>
        <color theme="1"/>
        <rFont val="Calibri"/>
        <family val="2"/>
      </rPr>
      <t>réno.</t>
    </r>
    <r>
      <rPr>
        <sz val="11"/>
        <color theme="1"/>
        <rFont val="Calibri"/>
        <family val="2"/>
      </rPr>
      <t xml:space="preserve"> =&gt; </t>
    </r>
    <r>
      <rPr>
        <b/>
        <sz val="11"/>
        <color theme="1"/>
        <rFont val="Calibri"/>
        <family val="2"/>
      </rPr>
      <t>regroupement</t>
    </r>
    <r>
      <rPr>
        <sz val="11"/>
        <color theme="1"/>
        <rFont val="Calibri"/>
        <family val="2"/>
      </rPr>
      <t xml:space="preserve"> de </t>
    </r>
    <r>
      <rPr>
        <b/>
        <sz val="11"/>
        <color theme="1"/>
        <rFont val="Calibri"/>
        <family val="2"/>
      </rPr>
      <t>services</t>
    </r>
    <r>
      <rPr>
        <sz val="11"/>
        <color theme="1"/>
        <rFont val="Calibri"/>
        <family val="2"/>
      </rPr>
      <t xml:space="preserve"> dans même bâtiment. Mais </t>
    </r>
    <r>
      <rPr>
        <b/>
        <sz val="11"/>
        <color theme="1"/>
        <rFont val="Calibri"/>
        <family val="2"/>
      </rPr>
      <t>réduct° besoins</t>
    </r>
    <r>
      <rPr>
        <sz val="11"/>
        <color theme="1"/>
        <rFont val="Calibri"/>
        <family val="2"/>
      </rPr>
      <t xml:space="preserve"> si sites secondaires fermés/rationalisés.</t>
    </r>
  </si>
  <si>
    <r>
      <rPr>
        <b/>
        <sz val="11"/>
        <color theme="1"/>
        <rFont val="Calibri"/>
        <family val="2"/>
      </rPr>
      <t>Bureaux admin.</t>
    </r>
    <r>
      <rPr>
        <sz val="11"/>
        <color theme="1"/>
        <rFont val="Calibri"/>
        <family val="2"/>
      </rPr>
      <t xml:space="preserve"> =&gt; potentiel </t>
    </r>
    <r>
      <rPr>
        <b/>
        <sz val="11"/>
        <color theme="1"/>
        <rFont val="Calibri"/>
        <family val="2"/>
      </rPr>
      <t>volume</t>
    </r>
    <r>
      <rPr>
        <sz val="11"/>
        <color theme="1"/>
        <rFont val="Calibri"/>
        <family val="2"/>
      </rPr>
      <t xml:space="preserve"> + </t>
    </r>
    <r>
      <rPr>
        <b/>
        <sz val="11"/>
        <color theme="1"/>
        <rFont val="Calibri"/>
        <family val="2"/>
      </rPr>
      <t>standardisation</t>
    </r>
    <r>
      <rPr>
        <sz val="11"/>
        <color theme="1"/>
        <rFont val="Calibri"/>
        <family val="2"/>
      </rPr>
      <t xml:space="preserve">. </t>
    </r>
    <r>
      <rPr>
        <b/>
        <sz val="11"/>
        <color theme="1"/>
        <rFont val="Calibri"/>
        <family val="2"/>
      </rPr>
      <t>Mairies</t>
    </r>
    <r>
      <rPr>
        <sz val="11"/>
        <color theme="1"/>
        <rFont val="Calibri"/>
        <family val="2"/>
      </rPr>
      <t xml:space="preserve"> =&gt; potentiel </t>
    </r>
    <r>
      <rPr>
        <b/>
        <sz val="11"/>
        <color theme="1"/>
        <rFont val="Calibri"/>
        <family val="2"/>
      </rPr>
      <t>image</t>
    </r>
    <r>
      <rPr>
        <sz val="11"/>
        <color theme="1"/>
        <rFont val="Calibri"/>
        <family val="2"/>
      </rPr>
      <t xml:space="preserve"> + </t>
    </r>
    <r>
      <rPr>
        <b/>
        <sz val="11"/>
        <color theme="1"/>
        <rFont val="Calibri"/>
        <family val="2"/>
      </rPr>
      <t>usage public</t>
    </r>
    <r>
      <rPr>
        <sz val="11"/>
        <color theme="1"/>
        <rFont val="Calibri"/>
        <family val="2"/>
      </rPr>
      <t xml:space="preserve"> + </t>
    </r>
    <r>
      <rPr>
        <b/>
        <sz val="11"/>
        <color theme="1"/>
        <rFont val="Calibri"/>
        <family val="2"/>
      </rPr>
      <t>temporisé</t>
    </r>
    <r>
      <rPr>
        <sz val="11"/>
        <color theme="1"/>
        <rFont val="Calibri"/>
        <family val="2"/>
      </rPr>
      <t xml:space="preserve">. </t>
    </r>
    <r>
      <rPr>
        <b/>
        <sz val="11"/>
        <color theme="1"/>
        <rFont val="Calibri"/>
        <family val="2"/>
      </rPr>
      <t>Département/région</t>
    </r>
    <r>
      <rPr>
        <sz val="11"/>
        <color theme="1"/>
        <rFont val="Calibri"/>
        <family val="2"/>
      </rPr>
      <t xml:space="preserve"> =&gt; faible </t>
    </r>
    <r>
      <rPr>
        <b/>
        <sz val="11"/>
        <color theme="1"/>
        <rFont val="Calibri"/>
        <family val="2"/>
      </rPr>
      <t>volume</t>
    </r>
    <r>
      <rPr>
        <sz val="11"/>
        <color theme="1"/>
        <rFont val="Calibri"/>
        <family val="2"/>
      </rPr>
      <t xml:space="preserve">, mais potentiel </t>
    </r>
    <r>
      <rPr>
        <b/>
        <sz val="11"/>
        <color theme="1"/>
        <rFont val="Calibri"/>
        <family val="2"/>
      </rPr>
      <t>premium/vitrine</t>
    </r>
    <r>
      <rPr>
        <sz val="11"/>
        <color theme="1"/>
        <rFont val="Calibri"/>
        <family val="2"/>
      </rPr>
      <t>.</t>
    </r>
  </si>
  <si>
    <r>
      <rPr>
        <b/>
        <sz val="11"/>
        <color theme="1"/>
        <rFont val="Calibri"/>
        <family val="2"/>
      </rPr>
      <t>Budgets</t>
    </r>
    <r>
      <rPr>
        <sz val="11"/>
        <color theme="1"/>
        <rFont val="Calibri"/>
        <family val="2"/>
      </rPr>
      <t xml:space="preserve"> publics </t>
    </r>
    <r>
      <rPr>
        <b/>
        <sz val="11"/>
        <color theme="1"/>
        <rFont val="Calibri"/>
        <family val="2"/>
      </rPr>
      <t>contraints</t>
    </r>
    <r>
      <rPr>
        <sz val="11"/>
        <color theme="1"/>
        <rFont val="Calibri"/>
        <family val="2"/>
      </rPr>
      <t xml:space="preserve"> (privilégier toiture, chauffage, isolat°, accessibilité ...). </t>
    </r>
    <r>
      <rPr>
        <b/>
        <sz val="11"/>
        <color theme="1"/>
        <rFont val="Calibri"/>
        <family val="2"/>
      </rPr>
      <t>Robinetterie = poste secondaire</t>
    </r>
    <r>
      <rPr>
        <sz val="11"/>
        <color theme="1"/>
        <rFont val="Calibri"/>
        <family val="2"/>
      </rPr>
      <t xml:space="preserve"> si non-rattachée à </t>
    </r>
    <r>
      <rPr>
        <b/>
        <sz val="11"/>
        <color theme="1"/>
        <rFont val="Calibri"/>
        <family val="2"/>
      </rPr>
      <t>gain mesurable</t>
    </r>
    <r>
      <rPr>
        <sz val="11"/>
        <color theme="1"/>
        <rFont val="Calibri"/>
        <family val="2"/>
      </rPr>
      <t xml:space="preserve"> : eau, maintenance, hygiène, durabilité</t>
    </r>
  </si>
  <si>
    <r>
      <rPr>
        <b/>
        <sz val="11"/>
        <color theme="1"/>
        <rFont val="Calibri"/>
        <family val="2"/>
      </rPr>
      <t>Cycles de décision longs</t>
    </r>
    <r>
      <rPr>
        <sz val="11"/>
        <color theme="1"/>
        <rFont val="Calibri"/>
        <family val="2"/>
      </rPr>
      <t xml:space="preserve"> (délai besoin-chantier). </t>
    </r>
    <r>
      <rPr>
        <b/>
        <sz val="11"/>
        <color theme="1"/>
        <rFont val="Calibri"/>
        <family val="2"/>
      </rPr>
      <t xml:space="preserve">Fragmentation des décideurs </t>
    </r>
    <r>
      <rPr>
        <sz val="11"/>
        <color theme="1"/>
        <rFont val="Calibri"/>
        <family val="2"/>
      </rPr>
      <t>(élus, DGS, services techniques, direct° patrimoine, acheteurs, bureaux d’études, mainteneurs).</t>
    </r>
  </si>
  <si>
    <r>
      <rPr>
        <b/>
        <sz val="11"/>
        <color theme="1"/>
        <rFont val="Calibri"/>
        <family val="2"/>
      </rPr>
      <t>Rationalisation immo.</t>
    </r>
    <r>
      <rPr>
        <sz val="11"/>
        <color theme="1"/>
        <rFont val="Calibri"/>
        <family val="2"/>
      </rPr>
      <t xml:space="preserve"> =&gt; risque sur petits sites peu occupés. </t>
    </r>
    <r>
      <rPr>
        <b/>
        <sz val="11"/>
        <color theme="1"/>
        <rFont val="Calibri"/>
        <family val="2"/>
      </rPr>
      <t>Concurrence priorités énergétiques</t>
    </r>
    <r>
      <rPr>
        <sz val="11"/>
        <color theme="1"/>
        <rFont val="Calibri"/>
        <family val="2"/>
      </rPr>
      <t xml:space="preserve"> =&gt; cœur </t>
    </r>
    <r>
      <rPr>
        <b/>
        <sz val="11"/>
        <color theme="1"/>
        <rFont val="Calibri"/>
        <family val="2"/>
      </rPr>
      <t>financements</t>
    </r>
    <r>
      <rPr>
        <sz val="11"/>
        <color theme="1"/>
        <rFont val="Calibri"/>
        <family val="2"/>
      </rPr>
      <t xml:space="preserve"> orienté </t>
    </r>
    <r>
      <rPr>
        <b/>
        <sz val="11"/>
        <color theme="1"/>
        <rFont val="Calibri"/>
        <family val="2"/>
      </rPr>
      <t>énergie/carbone</t>
    </r>
    <r>
      <rPr>
        <sz val="11"/>
        <color theme="1"/>
        <rFont val="Calibri"/>
        <family val="2"/>
      </rPr>
      <t xml:space="preserve">. </t>
    </r>
    <r>
      <rPr>
        <b/>
        <sz val="11"/>
        <color theme="1"/>
        <rFont val="Calibri"/>
        <family val="2"/>
      </rPr>
      <t xml:space="preserve">Robi </t>
    </r>
    <r>
      <rPr>
        <sz val="11"/>
        <color theme="1"/>
        <rFont val="Calibri"/>
        <family val="2"/>
      </rPr>
      <t xml:space="preserve">= </t>
    </r>
    <r>
      <rPr>
        <b/>
        <sz val="11"/>
        <color theme="1"/>
        <rFont val="Calibri"/>
        <family val="2"/>
      </rPr>
      <t>complément logique aux réno. globales</t>
    </r>
    <r>
      <rPr>
        <sz val="11"/>
        <color theme="1"/>
        <rFont val="Calibri"/>
        <family val="2"/>
      </rPr>
      <t>.</t>
    </r>
  </si>
  <si>
    <r>
      <rPr>
        <b/>
        <u/>
        <sz val="11"/>
        <color theme="1"/>
        <rFont val="Calibri"/>
        <family val="2"/>
      </rPr>
      <t xml:space="preserve">1. Bureaux tertiaire privé </t>
    </r>
    <r>
      <rPr>
        <b/>
        <sz val="11"/>
        <color theme="1"/>
        <rFont val="Calibri"/>
        <family val="2"/>
      </rPr>
      <t>=&gt; ~40,6 k ventes par an, soit</t>
    </r>
    <r>
      <rPr>
        <b/>
        <sz val="11"/>
        <color theme="5" tint="-0.249977111117893"/>
        <rFont val="Calibri"/>
        <family val="2"/>
      </rPr>
      <t xml:space="preserve"> </t>
    </r>
    <r>
      <rPr>
        <b/>
        <sz val="11"/>
        <color theme="9" tint="-0.249977111117893"/>
        <rFont val="Calibri"/>
        <family val="2"/>
      </rPr>
      <t>43%</t>
    </r>
    <r>
      <rPr>
        <b/>
        <sz val="11"/>
        <color theme="1"/>
        <rFont val="Calibri"/>
        <family val="2"/>
      </rPr>
      <t xml:space="preserve"> du Tertiaire</t>
    </r>
  </si>
  <si>
    <r>
      <t xml:space="preserve">3. </t>
    </r>
    <r>
      <rPr>
        <b/>
        <u/>
        <sz val="11"/>
        <color theme="1"/>
        <rFont val="Calibri"/>
        <family val="2"/>
      </rPr>
      <t>Usines</t>
    </r>
    <r>
      <rPr>
        <b/>
        <sz val="11"/>
        <color theme="1"/>
        <rFont val="Calibri"/>
        <family val="2"/>
      </rPr>
      <t xml:space="preserve"> - ~17,5 k ventes par an, soit </t>
    </r>
    <r>
      <rPr>
        <b/>
        <sz val="11"/>
        <color theme="9" tint="-0.249977111117893"/>
        <rFont val="Calibri"/>
        <family val="2"/>
      </rPr>
      <t>18%</t>
    </r>
    <r>
      <rPr>
        <b/>
        <sz val="11"/>
        <color theme="1"/>
        <rFont val="Calibri"/>
        <family val="2"/>
      </rPr>
      <t xml:space="preserve"> du Tertiaire - 2ème sous-segment en volume</t>
    </r>
  </si>
  <si>
    <r>
      <rPr>
        <b/>
        <u/>
        <sz val="11"/>
        <color theme="1"/>
        <rFont val="Calibri"/>
        <family val="2"/>
      </rPr>
      <t>4. Ateliers industriels / maintenance</t>
    </r>
    <r>
      <rPr>
        <sz val="11"/>
        <color theme="1"/>
        <rFont val="Calibri"/>
        <family val="2"/>
      </rPr>
      <t xml:space="preserve"> - </t>
    </r>
    <r>
      <rPr>
        <b/>
        <sz val="11"/>
        <color theme="1"/>
        <rFont val="Calibri"/>
        <family val="2"/>
      </rPr>
      <t xml:space="preserve">~7,1 k ventes par an, soit </t>
    </r>
    <r>
      <rPr>
        <b/>
        <sz val="11"/>
        <color theme="9" tint="-0.249977111117893"/>
        <rFont val="Calibri"/>
        <family val="2"/>
      </rPr>
      <t>7%</t>
    </r>
    <r>
      <rPr>
        <b/>
        <sz val="11"/>
        <color theme="1"/>
        <rFont val="Calibri"/>
        <family val="2"/>
      </rPr>
      <t xml:space="preserve"> du Tertiaire</t>
    </r>
  </si>
  <si>
    <r>
      <t xml:space="preserve">Split : </t>
    </r>
    <r>
      <rPr>
        <b/>
        <sz val="11"/>
        <color theme="2" tint="-0.499984740745262"/>
        <rFont val="Calibri"/>
        <family val="2"/>
      </rPr>
      <t>Rénovation</t>
    </r>
    <r>
      <rPr>
        <sz val="11"/>
        <color theme="1"/>
        <rFont val="Calibri"/>
        <family val="2"/>
      </rPr>
      <t xml:space="preserve"> : ~16,3k / 87% vs. </t>
    </r>
    <r>
      <rPr>
        <b/>
        <sz val="11"/>
        <color theme="3" tint="0.39997558519241921"/>
        <rFont val="Calibri"/>
        <family val="2"/>
      </rPr>
      <t>Neuf</t>
    </r>
    <r>
      <rPr>
        <sz val="11"/>
        <color theme="1"/>
        <rFont val="Calibri"/>
        <family val="2"/>
      </rPr>
      <t xml:space="preserve"> : ~2,3k / 13%</t>
    </r>
  </si>
  <si>
    <r>
      <t xml:space="preserve">Split : </t>
    </r>
    <r>
      <rPr>
        <b/>
        <sz val="11"/>
        <color theme="2" tint="-0.499984740745262"/>
        <rFont val="Calibri"/>
        <family val="2"/>
      </rPr>
      <t>Rénovation</t>
    </r>
    <r>
      <rPr>
        <sz val="11"/>
        <color theme="1"/>
        <rFont val="Calibri"/>
        <family val="2"/>
      </rPr>
      <t xml:space="preserve"> : ~5k / 85% vs. </t>
    </r>
    <r>
      <rPr>
        <b/>
        <sz val="11"/>
        <color theme="3" tint="0.39997558519241921"/>
        <rFont val="Calibri"/>
        <family val="2"/>
      </rPr>
      <t>Neuf</t>
    </r>
    <r>
      <rPr>
        <sz val="11"/>
        <color theme="1"/>
        <rFont val="Calibri"/>
        <family val="2"/>
      </rPr>
      <t xml:space="preserve"> : ~0,9k / 15%</t>
    </r>
  </si>
  <si>
    <r>
      <rPr>
        <b/>
        <u/>
        <sz val="11"/>
        <color theme="1"/>
        <rFont val="Calibri"/>
        <family val="2"/>
      </rPr>
      <t xml:space="preserve">6. Centres commerciaux / malls </t>
    </r>
    <r>
      <rPr>
        <b/>
        <sz val="11"/>
        <color theme="1"/>
        <rFont val="Calibri"/>
        <family val="2"/>
      </rPr>
      <t>- ~5,9 k ventes, soit</t>
    </r>
    <r>
      <rPr>
        <b/>
        <sz val="11"/>
        <color theme="9" tint="-0.249977111117893"/>
        <rFont val="Calibri"/>
        <family val="2"/>
      </rPr>
      <t xml:space="preserve"> 6%</t>
    </r>
    <r>
      <rPr>
        <b/>
        <sz val="11"/>
        <color theme="1"/>
        <rFont val="Calibri"/>
        <family val="2"/>
      </rPr>
      <t xml:space="preserve"> du Tertiaire</t>
    </r>
  </si>
  <si>
    <t xml:space="preserve">Dynamique : </t>
  </si>
  <si>
    <r>
      <t xml:space="preserve">Formats + </t>
    </r>
    <r>
      <rPr>
        <b/>
        <sz val="11"/>
        <color theme="1"/>
        <rFont val="Calibri"/>
        <family val="2"/>
      </rPr>
      <t>“lieux de vie”</t>
    </r>
    <r>
      <rPr>
        <sz val="11"/>
        <color theme="1"/>
        <rFont val="Calibri"/>
        <family val="2"/>
      </rPr>
      <t xml:space="preserve"> que malls classiques. Retail parks </t>
    </r>
    <r>
      <rPr>
        <b/>
        <sz val="11"/>
        <color theme="1"/>
        <rFont val="Calibri"/>
        <family val="2"/>
      </rPr>
      <t>premium</t>
    </r>
    <r>
      <rPr>
        <sz val="11"/>
        <color theme="1"/>
        <rFont val="Calibri"/>
      </rPr>
      <t xml:space="preserve">, centres à </t>
    </r>
    <r>
      <rPr>
        <b/>
        <sz val="11"/>
        <color theme="1"/>
        <rFont val="Calibri"/>
        <family val="2"/>
      </rPr>
      <t>ciel ouvert</t>
    </r>
    <r>
      <rPr>
        <sz val="11"/>
        <color theme="1"/>
        <rFont val="Calibri"/>
      </rPr>
      <t xml:space="preserve">, hubs </t>
    </r>
    <r>
      <rPr>
        <b/>
        <sz val="11"/>
        <color theme="1"/>
        <rFont val="Calibri"/>
        <family val="2"/>
      </rPr>
      <t>urbains</t>
    </r>
    <r>
      <rPr>
        <sz val="11"/>
        <color theme="1"/>
        <rFont val="Calibri"/>
      </rPr>
      <t xml:space="preserve">, pôles </t>
    </r>
    <r>
      <rPr>
        <b/>
        <sz val="11"/>
        <color theme="1"/>
        <rFont val="Calibri"/>
        <family val="2"/>
      </rPr>
      <t>food/loisirs/famille</t>
    </r>
    <r>
      <rPr>
        <sz val="11"/>
        <color theme="1"/>
        <rFont val="Calibri"/>
      </rPr>
      <t xml:space="preserve">, </t>
    </r>
    <r>
      <rPr>
        <b/>
        <sz val="11"/>
        <color theme="1"/>
        <rFont val="Calibri"/>
        <family val="2"/>
      </rPr>
      <t>rénovat°</t>
    </r>
    <r>
      <rPr>
        <sz val="11"/>
        <color theme="1"/>
        <rFont val="Calibri"/>
      </rPr>
      <t xml:space="preserve"> lourdes ou </t>
    </r>
    <r>
      <rPr>
        <b/>
        <sz val="11"/>
        <color theme="1"/>
        <rFont val="Calibri"/>
        <family val="2"/>
      </rPr>
      <t>repositionnements</t>
    </r>
    <r>
      <rPr>
        <sz val="11"/>
        <color theme="1"/>
        <rFont val="Calibri"/>
      </rPr>
      <t xml:space="preserve"> de centres existants.</t>
    </r>
  </si>
  <si>
    <r>
      <rPr>
        <b/>
        <sz val="11"/>
        <color theme="1"/>
        <rFont val="Calibri"/>
        <family val="2"/>
      </rPr>
      <t>Poussoir</t>
    </r>
    <r>
      <rPr>
        <sz val="11"/>
        <color theme="1"/>
        <rFont val="Calibri"/>
        <family val="2"/>
      </rPr>
      <t xml:space="preserve"> =&gt; zones </t>
    </r>
    <r>
      <rPr>
        <b/>
        <sz val="11"/>
        <color theme="1"/>
        <rFont val="Calibri"/>
        <family val="2"/>
      </rPr>
      <t>secondaires</t>
    </r>
    <r>
      <rPr>
        <sz val="11"/>
        <color theme="1"/>
        <rFont val="Calibri"/>
        <family val="2"/>
      </rPr>
      <t xml:space="preserve"> : </t>
    </r>
    <r>
      <rPr>
        <b/>
        <sz val="11"/>
        <color theme="1"/>
        <rFont val="Calibri"/>
        <family val="2"/>
      </rPr>
      <t>parkings</t>
    </r>
    <r>
      <rPr>
        <sz val="11"/>
        <color theme="1"/>
        <rFont val="Calibri"/>
        <family val="2"/>
      </rPr>
      <t xml:space="preserve">, sanitaires </t>
    </r>
    <r>
      <rPr>
        <b/>
        <sz val="11"/>
        <color theme="1"/>
        <rFont val="Calibri"/>
        <family val="2"/>
      </rPr>
      <t>personnel</t>
    </r>
    <r>
      <rPr>
        <sz val="11"/>
        <color theme="1"/>
        <rFont val="Calibri"/>
        <family val="2"/>
      </rPr>
      <t xml:space="preserve">, </t>
    </r>
    <r>
      <rPr>
        <b/>
        <sz val="11"/>
        <color theme="1"/>
        <rFont val="Calibri"/>
        <family val="2"/>
      </rPr>
      <t>back-office</t>
    </r>
    <r>
      <rPr>
        <sz val="11"/>
        <color theme="1"/>
        <rFont val="Calibri"/>
        <family val="2"/>
      </rPr>
      <t xml:space="preserve">, </t>
    </r>
    <r>
      <rPr>
        <b/>
        <sz val="11"/>
        <color theme="1"/>
        <rFont val="Calibri"/>
        <family val="2"/>
      </rPr>
      <t>locaux techniques</t>
    </r>
    <r>
      <rPr>
        <sz val="11"/>
        <color theme="1"/>
        <rFont val="Calibri"/>
        <family val="2"/>
      </rPr>
      <t xml:space="preserve">, </t>
    </r>
    <r>
      <rPr>
        <b/>
        <sz val="11"/>
        <color theme="1"/>
        <rFont val="Calibri"/>
        <family val="2"/>
      </rPr>
      <t>petites</t>
    </r>
    <r>
      <rPr>
        <sz val="11"/>
        <color theme="1"/>
        <rFont val="Calibri"/>
        <family val="2"/>
      </rPr>
      <t xml:space="preserve"> galeries ou centres en</t>
    </r>
    <r>
      <rPr>
        <b/>
        <sz val="11"/>
        <color theme="1"/>
        <rFont val="Calibri"/>
        <family val="2"/>
      </rPr>
      <t xml:space="preserve"> CAPEX contraint</t>
    </r>
  </si>
  <si>
    <r>
      <rPr>
        <b/>
        <sz val="11"/>
        <color theme="1"/>
        <rFont val="Calibri"/>
        <family val="2"/>
      </rPr>
      <t>Electro</t>
    </r>
    <r>
      <rPr>
        <sz val="11"/>
        <color theme="1"/>
        <rFont val="Calibri"/>
        <family val="2"/>
      </rPr>
      <t xml:space="preserve"> =&gt; </t>
    </r>
    <r>
      <rPr>
        <b/>
        <sz val="11"/>
        <color theme="1"/>
        <rFont val="Calibri"/>
        <family val="2"/>
      </rPr>
      <t>zones clients visibles</t>
    </r>
    <r>
      <rPr>
        <sz val="11"/>
        <color theme="1"/>
        <rFont val="Calibri"/>
        <family val="2"/>
      </rPr>
      <t xml:space="preserve"> : sanitaires </t>
    </r>
    <r>
      <rPr>
        <b/>
        <sz val="11"/>
        <color theme="1"/>
        <rFont val="Calibri"/>
        <family val="2"/>
      </rPr>
      <t>principaux</t>
    </r>
    <r>
      <rPr>
        <sz val="11"/>
        <color theme="1"/>
        <rFont val="Calibri"/>
        <family val="2"/>
      </rPr>
      <t>,</t>
    </r>
    <r>
      <rPr>
        <b/>
        <sz val="11"/>
        <color theme="1"/>
        <rFont val="Calibri"/>
        <family val="2"/>
      </rPr>
      <t xml:space="preserve"> food courts</t>
    </r>
    <r>
      <rPr>
        <sz val="11"/>
        <color theme="1"/>
        <rFont val="Calibri"/>
        <family val="2"/>
      </rPr>
      <t xml:space="preserve">, loisirs, espaces </t>
    </r>
    <r>
      <rPr>
        <b/>
        <sz val="11"/>
        <color theme="1"/>
        <rFont val="Calibri"/>
        <family val="2"/>
      </rPr>
      <t>familles</t>
    </r>
    <r>
      <rPr>
        <sz val="11"/>
        <color theme="1"/>
        <rFont val="Calibri"/>
        <family val="2"/>
      </rPr>
      <t xml:space="preserve">, zones </t>
    </r>
    <r>
      <rPr>
        <b/>
        <sz val="11"/>
        <color theme="1"/>
        <rFont val="Calibri"/>
        <family val="2"/>
      </rPr>
      <t>premium =&gt; hygiène</t>
    </r>
    <r>
      <rPr>
        <sz val="11"/>
        <color theme="1"/>
        <rFont val="Calibri"/>
        <family val="2"/>
      </rPr>
      <t xml:space="preserve"> sans contact, image </t>
    </r>
    <r>
      <rPr>
        <b/>
        <sz val="11"/>
        <color theme="1"/>
        <rFont val="Calibri"/>
        <family val="2"/>
      </rPr>
      <t>moderne</t>
    </r>
    <r>
      <rPr>
        <sz val="11"/>
        <color theme="1"/>
        <rFont val="Calibri"/>
        <family val="2"/>
      </rPr>
      <t xml:space="preserve">, </t>
    </r>
    <r>
      <rPr>
        <b/>
        <sz val="11"/>
        <color theme="1"/>
        <rFont val="Calibri"/>
        <family val="2"/>
      </rPr>
      <t>économie</t>
    </r>
    <r>
      <rPr>
        <sz val="11"/>
        <color theme="1"/>
        <rFont val="Calibri"/>
        <family val="2"/>
      </rPr>
      <t xml:space="preserve"> eau, </t>
    </r>
    <r>
      <rPr>
        <b/>
        <sz val="11"/>
        <color theme="1"/>
        <rFont val="Calibri"/>
        <family val="2"/>
      </rPr>
      <t>usage</t>
    </r>
    <r>
      <rPr>
        <sz val="11"/>
        <color theme="1"/>
        <rFont val="Calibri"/>
        <family val="2"/>
      </rPr>
      <t xml:space="preserve"> public </t>
    </r>
    <r>
      <rPr>
        <b/>
        <sz val="11"/>
        <color theme="1"/>
        <rFont val="Calibri"/>
        <family val="2"/>
      </rPr>
      <t>intensif</t>
    </r>
    <r>
      <rPr>
        <sz val="11"/>
        <color theme="1"/>
        <rFont val="Calibri"/>
        <family val="2"/>
      </rPr>
      <t>.</t>
    </r>
  </si>
  <si>
    <r>
      <rPr>
        <b/>
        <sz val="11"/>
        <color theme="1"/>
        <rFont val="Calibri"/>
        <family val="2"/>
      </rPr>
      <t>Pression</t>
    </r>
    <r>
      <rPr>
        <sz val="11"/>
        <color theme="1"/>
        <rFont val="Calibri"/>
        <family val="2"/>
      </rPr>
      <t xml:space="preserve"> sur certains centres : baisse-stagnat° </t>
    </r>
    <r>
      <rPr>
        <b/>
        <sz val="11"/>
        <color theme="1"/>
        <rFont val="Calibri"/>
        <family val="2"/>
      </rPr>
      <t>fréquentat°</t>
    </r>
    <r>
      <rPr>
        <sz val="11"/>
        <color theme="1"/>
        <rFont val="Calibri"/>
        <family val="2"/>
      </rPr>
      <t xml:space="preserve">, </t>
    </r>
    <r>
      <rPr>
        <b/>
        <sz val="11"/>
        <color theme="1"/>
        <rFont val="Calibri"/>
        <family val="2"/>
      </rPr>
      <t>vacance</t>
    </r>
    <r>
      <rPr>
        <sz val="11"/>
        <color theme="1"/>
        <rFont val="Calibri"/>
        <family val="2"/>
      </rPr>
      <t xml:space="preserve"> commerciale, </t>
    </r>
    <r>
      <rPr>
        <b/>
        <sz val="11"/>
        <color theme="1"/>
        <rFont val="Calibri"/>
        <family val="2"/>
      </rPr>
      <t>départ</t>
    </r>
    <r>
      <rPr>
        <sz val="11"/>
        <color theme="1"/>
        <rFont val="Calibri"/>
        <family val="2"/>
      </rPr>
      <t xml:space="preserve"> d’enseignes, fragilité </t>
    </r>
    <r>
      <rPr>
        <b/>
        <sz val="11"/>
        <color theme="1"/>
        <rFont val="Calibri"/>
        <family val="2"/>
      </rPr>
      <t>mode milieu de gamme</t>
    </r>
    <r>
      <rPr>
        <sz val="11"/>
        <color theme="1"/>
        <rFont val="Calibri"/>
        <family val="2"/>
      </rPr>
      <t>, concurrence</t>
    </r>
    <r>
      <rPr>
        <b/>
        <sz val="11"/>
        <color theme="1"/>
        <rFont val="Calibri"/>
        <family val="2"/>
      </rPr>
      <t xml:space="preserve"> e-commerce</t>
    </r>
    <r>
      <rPr>
        <sz val="11"/>
        <color theme="1"/>
        <rFont val="Calibri"/>
        <family val="2"/>
      </rPr>
      <t xml:space="preserve"> et </t>
    </r>
    <r>
      <rPr>
        <b/>
        <sz val="11"/>
        <color theme="1"/>
        <rFont val="Calibri"/>
        <family val="2"/>
      </rPr>
      <t>hypermarchés</t>
    </r>
    <r>
      <rPr>
        <sz val="11"/>
        <color theme="1"/>
        <rFont val="Calibri"/>
        <family val="2"/>
      </rPr>
      <t xml:space="preserve"> moins moteurs.</t>
    </r>
  </si>
  <si>
    <r>
      <rPr>
        <b/>
        <sz val="11"/>
        <color theme="1"/>
        <rFont val="Calibri"/>
        <family val="2"/>
      </rPr>
      <t>Arbitrages CAPEX défensifs</t>
    </r>
    <r>
      <rPr>
        <sz val="11"/>
        <color theme="1"/>
        <rFont val="Calibri"/>
      </rPr>
      <t xml:space="preserve"> : si fragilisé, budgets </t>
    </r>
    <r>
      <rPr>
        <b/>
        <sz val="11"/>
        <color theme="1"/>
        <rFont val="Calibri"/>
        <family val="2"/>
      </rPr>
      <t>priorisés</t>
    </r>
    <r>
      <rPr>
        <sz val="11"/>
        <color theme="1"/>
        <rFont val="Calibri"/>
      </rPr>
      <t xml:space="preserve"> =&gt; </t>
    </r>
    <r>
      <rPr>
        <b/>
        <sz val="11"/>
        <color theme="1"/>
        <rFont val="Calibri"/>
        <family val="2"/>
      </rPr>
      <t>sécurité</t>
    </r>
    <r>
      <rPr>
        <sz val="11"/>
        <color theme="1"/>
        <rFont val="Calibri"/>
      </rPr>
      <t xml:space="preserve">, </t>
    </r>
    <r>
      <rPr>
        <b/>
        <sz val="11"/>
        <color theme="1"/>
        <rFont val="Calibri"/>
        <family val="2"/>
      </rPr>
      <t>énergie</t>
    </r>
    <r>
      <rPr>
        <sz val="11"/>
        <color theme="1"/>
        <rFont val="Calibri"/>
      </rPr>
      <t xml:space="preserve">, cellules à </t>
    </r>
    <r>
      <rPr>
        <b/>
        <sz val="11"/>
        <color theme="1"/>
        <rFont val="Calibri"/>
        <family val="2"/>
      </rPr>
      <t>relouer</t>
    </r>
    <r>
      <rPr>
        <sz val="11"/>
        <color theme="1"/>
        <rFont val="Calibri"/>
      </rPr>
      <t xml:space="preserve">, parking, </t>
    </r>
    <r>
      <rPr>
        <b/>
        <sz val="11"/>
        <color theme="1"/>
        <rFont val="Calibri"/>
        <family val="2"/>
      </rPr>
      <t>maintenance</t>
    </r>
    <r>
      <rPr>
        <sz val="11"/>
        <color theme="1"/>
        <rFont val="Calibri"/>
      </rPr>
      <t xml:space="preserve"> </t>
    </r>
    <r>
      <rPr>
        <b/>
        <sz val="11"/>
        <color theme="1"/>
        <rFont val="Calibri"/>
        <family val="2"/>
      </rPr>
      <t>urgente</t>
    </r>
    <r>
      <rPr>
        <sz val="11"/>
        <color theme="1"/>
        <rFont val="Calibri"/>
      </rPr>
      <t xml:space="preserve">. Sanitaires rénovés si </t>
    </r>
    <r>
      <rPr>
        <b/>
        <sz val="11"/>
        <color theme="1"/>
        <rFont val="Calibri"/>
        <family val="2"/>
      </rPr>
      <t>visibles</t>
    </r>
    <r>
      <rPr>
        <sz val="11"/>
        <color theme="1"/>
        <rFont val="Calibri"/>
      </rPr>
      <t xml:space="preserve">, </t>
    </r>
    <r>
      <rPr>
        <b/>
        <sz val="11"/>
        <color theme="1"/>
        <rFont val="Calibri"/>
        <family val="2"/>
      </rPr>
      <t>critiques</t>
    </r>
    <r>
      <rPr>
        <sz val="11"/>
        <color theme="1"/>
        <rFont val="Calibri"/>
      </rPr>
      <t xml:space="preserve"> ou </t>
    </r>
    <r>
      <rPr>
        <b/>
        <sz val="11"/>
        <color theme="1"/>
        <rFont val="Calibri"/>
        <family val="2"/>
      </rPr>
      <t>générateurs</t>
    </r>
    <r>
      <rPr>
        <sz val="11"/>
        <color theme="1"/>
        <rFont val="Calibri"/>
      </rPr>
      <t xml:space="preserve"> de </t>
    </r>
    <r>
      <rPr>
        <b/>
        <sz val="11"/>
        <color theme="1"/>
        <rFont val="Calibri"/>
        <family val="2"/>
      </rPr>
      <t>plaintes</t>
    </r>
    <r>
      <rPr>
        <sz val="11"/>
        <color theme="1"/>
        <rFont val="Calibri"/>
      </rPr>
      <t>.</t>
    </r>
  </si>
  <si>
    <r>
      <t>Marché polarisé : C</t>
    </r>
    <r>
      <rPr>
        <b/>
        <sz val="11"/>
        <color theme="1"/>
        <rFont val="Calibri"/>
        <family val="2"/>
      </rPr>
      <t>entres forts -</t>
    </r>
    <r>
      <rPr>
        <sz val="11"/>
        <color theme="1"/>
        <rFont val="Calibri"/>
        <family val="2"/>
      </rPr>
      <t xml:space="preserve"> orientés expérience, restaurat°, loisirs, services, </t>
    </r>
    <r>
      <rPr>
        <b/>
        <sz val="11"/>
        <color theme="1"/>
        <rFont val="Calibri"/>
        <family val="2"/>
      </rPr>
      <t>continuent d’investir. Centres secondaires</t>
    </r>
    <r>
      <rPr>
        <sz val="11"/>
        <color theme="1"/>
        <rFont val="Calibri"/>
        <family val="2"/>
      </rPr>
      <t xml:space="preserve">, </t>
    </r>
    <r>
      <rPr>
        <b/>
        <sz val="11"/>
        <color theme="1"/>
        <rFont val="Calibri"/>
        <family val="2"/>
      </rPr>
      <t>dépendants d’hypermarchés, mode milieu de gamme</t>
    </r>
    <r>
      <rPr>
        <sz val="11"/>
        <color theme="1"/>
        <rFont val="Calibri"/>
        <family val="2"/>
      </rPr>
      <t>, sont + défensifs.</t>
    </r>
  </si>
  <si>
    <r>
      <rPr>
        <b/>
        <u/>
        <sz val="11"/>
        <color theme="1"/>
        <rFont val="Calibri"/>
        <family val="2"/>
      </rPr>
      <t>2. Collectivités publiques</t>
    </r>
    <r>
      <rPr>
        <b/>
        <sz val="11"/>
        <color theme="1"/>
        <rFont val="Calibri"/>
        <family val="2"/>
      </rPr>
      <t xml:space="preserve"> - Mairies + Bureaux admin. + Hôtels dptmt/région (5+6+7) - ~18,6k ventes par an, soit </t>
    </r>
    <r>
      <rPr>
        <b/>
        <sz val="11"/>
        <color theme="9" tint="-0.249977111117893"/>
        <rFont val="Calibri"/>
        <family val="2"/>
      </rPr>
      <t>21%</t>
    </r>
    <r>
      <rPr>
        <b/>
        <sz val="11"/>
        <color theme="1"/>
        <rFont val="Calibri"/>
        <family val="2"/>
      </rPr>
      <t xml:space="preserve"> du Tertiaire</t>
    </r>
  </si>
  <si>
    <r>
      <rPr>
        <b/>
        <u/>
        <sz val="11"/>
        <color theme="1"/>
        <rFont val="Calibri"/>
        <family val="2"/>
      </rPr>
      <t>5. Centres de stockage / entrepôts / plateformes logistiques</t>
    </r>
    <r>
      <rPr>
        <b/>
        <sz val="11"/>
        <color theme="1"/>
        <rFont val="Calibri"/>
        <family val="2"/>
      </rPr>
      <t xml:space="preserve"> =&gt; ~5 k ventes par an, soit </t>
    </r>
    <r>
      <rPr>
        <b/>
        <sz val="11"/>
        <color theme="9" tint="-0.249977111117893"/>
        <rFont val="Calibri"/>
        <family val="2"/>
      </rPr>
      <t>5%</t>
    </r>
    <r>
      <rPr>
        <b/>
        <sz val="11"/>
        <color theme="1"/>
        <rFont val="Calibri"/>
        <family val="2"/>
      </rPr>
      <t xml:space="preserve"> du Tertiaire</t>
    </r>
  </si>
  <si>
    <r>
      <t xml:space="preserve">=&gt; Le </t>
    </r>
    <r>
      <rPr>
        <b/>
        <sz val="11"/>
        <color theme="1"/>
        <rFont val="Calibri"/>
        <family val="2"/>
      </rPr>
      <t>Neuf</t>
    </r>
    <r>
      <rPr>
        <sz val="11"/>
        <color theme="1"/>
        <rFont val="Calibri"/>
        <family val="2"/>
      </rPr>
      <t xml:space="preserve"> reste néanmoins important dans certains sous-segments =&gt; Surtout </t>
    </r>
    <r>
      <rPr>
        <b/>
        <sz val="11"/>
        <color theme="1"/>
        <rFont val="Calibri"/>
        <family val="2"/>
      </rPr>
      <t>stockage-entrepôts-logistique</t>
    </r>
    <r>
      <rPr>
        <sz val="11"/>
        <color theme="1"/>
        <rFont val="Calibri"/>
        <family val="2"/>
      </rPr>
      <t xml:space="preserve">, aussi les </t>
    </r>
    <r>
      <rPr>
        <b/>
        <sz val="11"/>
        <color theme="1"/>
        <rFont val="Calibri"/>
        <family val="2"/>
      </rPr>
      <t>usines</t>
    </r>
    <r>
      <rPr>
        <sz val="11"/>
        <color theme="1"/>
        <rFont val="Calibri"/>
        <family val="2"/>
      </rPr>
      <t xml:space="preserve">, </t>
    </r>
    <r>
      <rPr>
        <b/>
        <sz val="11"/>
        <color theme="1"/>
        <rFont val="Calibri"/>
        <family val="2"/>
      </rPr>
      <t>ateliers</t>
    </r>
    <r>
      <rPr>
        <sz val="11"/>
        <color theme="1"/>
        <rFont val="Calibri"/>
        <family val="2"/>
      </rPr>
      <t xml:space="preserve"> industriels, quelques </t>
    </r>
    <r>
      <rPr>
        <b/>
        <sz val="11"/>
        <color theme="1"/>
        <rFont val="Calibri"/>
        <family val="2"/>
      </rPr>
      <t>grands projets</t>
    </r>
    <r>
      <rPr>
        <sz val="11"/>
        <color theme="1"/>
        <rFont val="Calibri"/>
        <family val="2"/>
      </rPr>
      <t xml:space="preserve"> de </t>
    </r>
    <r>
      <rPr>
        <b/>
        <sz val="11"/>
        <color theme="1"/>
        <rFont val="Calibri"/>
        <family val="2"/>
      </rPr>
      <t>bureaux</t>
    </r>
    <r>
      <rPr>
        <sz val="11"/>
        <color theme="1"/>
        <rFont val="Calibri"/>
        <family val="2"/>
      </rPr>
      <t xml:space="preserve"> ou campus.</t>
    </r>
  </si>
  <si>
    <r>
      <t xml:space="preserve">Split : </t>
    </r>
    <r>
      <rPr>
        <b/>
        <sz val="11"/>
        <color theme="2" tint="-0.499984740745262"/>
        <rFont val="Calibri"/>
        <family val="2"/>
      </rPr>
      <t>Rénovation</t>
    </r>
    <r>
      <rPr>
        <sz val="11"/>
        <color theme="1"/>
        <rFont val="Calibri"/>
        <family val="2"/>
      </rPr>
      <t xml:space="preserve"> : ~34,8 k / 86% vs. </t>
    </r>
    <r>
      <rPr>
        <b/>
        <sz val="11"/>
        <color theme="3" tint="0.39997558519241921"/>
        <rFont val="Calibri"/>
        <family val="2"/>
      </rPr>
      <t>Neuf</t>
    </r>
    <r>
      <rPr>
        <sz val="11"/>
        <color theme="1"/>
        <rFont val="Calibri"/>
        <family val="2"/>
      </rPr>
      <t xml:space="preserve"> : ~5,7 k / 14%</t>
    </r>
  </si>
  <si>
    <r>
      <t xml:space="preserve">Split : </t>
    </r>
    <r>
      <rPr>
        <b/>
        <sz val="11"/>
        <color theme="2" tint="-0.499984740745262"/>
        <rFont val="Calibri"/>
        <family val="2"/>
      </rPr>
      <t>Rénovation</t>
    </r>
    <r>
      <rPr>
        <sz val="11"/>
        <color theme="1"/>
        <rFont val="Calibri"/>
        <family val="2"/>
      </rPr>
      <t xml:space="preserve"> : ~5,2k / 74% vs. </t>
    </r>
    <r>
      <rPr>
        <b/>
        <sz val="11"/>
        <color theme="3" tint="0.39997558519241921"/>
        <rFont val="Calibri"/>
        <family val="2"/>
      </rPr>
      <t>Neuf</t>
    </r>
    <r>
      <rPr>
        <sz val="11"/>
        <color theme="1"/>
        <rFont val="Calibri"/>
        <family val="2"/>
      </rPr>
      <t xml:space="preserve"> : ~1,9 k / 26%</t>
    </r>
  </si>
  <si>
    <r>
      <t xml:space="preserve">Split : </t>
    </r>
    <r>
      <rPr>
        <b/>
        <sz val="11"/>
        <color theme="2" tint="-0.499984740745262"/>
        <rFont val="Calibri"/>
        <family val="2"/>
      </rPr>
      <t>Rénovation</t>
    </r>
    <r>
      <rPr>
        <sz val="11"/>
        <color theme="1"/>
        <rFont val="Calibri"/>
        <family val="2"/>
      </rPr>
      <t xml:space="preserve"> : ~2,5k / 51% vs. </t>
    </r>
    <r>
      <rPr>
        <b/>
        <sz val="11"/>
        <color theme="3" tint="0.39997558519241921"/>
        <rFont val="Calibri"/>
        <family val="2"/>
      </rPr>
      <t>Neuf</t>
    </r>
    <r>
      <rPr>
        <sz val="11"/>
        <color theme="1"/>
        <rFont val="Calibri"/>
        <family val="2"/>
      </rPr>
      <t xml:space="preserve"> : ~2,5 k / 49%</t>
    </r>
  </si>
  <si>
    <r>
      <t xml:space="preserve">Split : </t>
    </r>
    <r>
      <rPr>
        <b/>
        <sz val="11"/>
        <color theme="2" tint="-0.499984740745262"/>
        <rFont val="Calibri"/>
        <family val="2"/>
      </rPr>
      <t>Rénovation</t>
    </r>
    <r>
      <rPr>
        <sz val="11"/>
        <color theme="1"/>
        <rFont val="Calibri"/>
        <family val="2"/>
      </rPr>
      <t xml:space="preserve"> : ~13,7k / 78% vs. </t>
    </r>
    <r>
      <rPr>
        <b/>
        <sz val="11"/>
        <color theme="3" tint="0.39997558519241921"/>
        <rFont val="Calibri"/>
        <family val="2"/>
      </rPr>
      <t>Neuf</t>
    </r>
    <r>
      <rPr>
        <sz val="11"/>
        <color theme="1"/>
        <rFont val="Calibri"/>
        <family val="2"/>
      </rPr>
      <t xml:space="preserve"> : ~3,7k / 22%</t>
    </r>
  </si>
  <si>
    <r>
      <t xml:space="preserve">=&gt; Total tous segments : </t>
    </r>
    <r>
      <rPr>
        <b/>
        <sz val="11"/>
        <color theme="1"/>
        <rFont val="Calibri"/>
        <family val="2"/>
      </rPr>
      <t>500.000</t>
    </r>
    <r>
      <rPr>
        <sz val="11"/>
        <color theme="1"/>
        <rFont val="Calibri"/>
        <family val="2"/>
      </rPr>
      <t xml:space="preserve"> robinets de lavabo vendus </t>
    </r>
    <r>
      <rPr>
        <b/>
        <sz val="11"/>
        <color theme="1"/>
        <rFont val="Calibri"/>
        <family val="2"/>
      </rPr>
      <t>par an</t>
    </r>
    <r>
      <rPr>
        <sz val="11"/>
        <color theme="1"/>
        <rFont val="Calibri"/>
        <family val="2"/>
      </rPr>
      <t xml:space="preserve"> =&gt; </t>
    </r>
    <r>
      <rPr>
        <b/>
        <sz val="11"/>
        <color theme="1"/>
        <rFont val="Calibri"/>
        <family val="2"/>
      </rPr>
      <t>Tertiaire</t>
    </r>
    <r>
      <rPr>
        <sz val="11"/>
        <color theme="1"/>
        <rFont val="Calibri"/>
        <family val="2"/>
      </rPr>
      <t xml:space="preserve"> : </t>
    </r>
    <r>
      <rPr>
        <b/>
        <sz val="11"/>
        <color theme="1"/>
        <rFont val="Calibri"/>
        <family val="2"/>
      </rPr>
      <t>~95,4 k</t>
    </r>
    <r>
      <rPr>
        <sz val="11"/>
        <color theme="1"/>
        <rFont val="Calibri"/>
        <family val="2"/>
      </rPr>
      <t xml:space="preserve"> ventes, soit </t>
    </r>
    <r>
      <rPr>
        <b/>
        <sz val="11"/>
        <color theme="9" tint="-0.249977111117893"/>
        <rFont val="Calibri"/>
        <family val="2"/>
      </rPr>
      <t>19 %</t>
    </r>
    <r>
      <rPr>
        <sz val="11"/>
        <color theme="1"/>
        <rFont val="Calibri"/>
        <family val="2"/>
      </rPr>
      <t xml:space="preserve"> du total marché.</t>
    </r>
  </si>
  <si>
    <t>1. Bureaux tertiaire privé</t>
  </si>
  <si>
    <t>Potentiel Ventes 2025-30 par regroupement de sous-segment</t>
  </si>
  <si>
    <r>
      <t>Besoin - usage cible :</t>
    </r>
    <r>
      <rPr>
        <sz val="11"/>
        <color theme="1"/>
        <rFont val="Calibri"/>
        <family val="2"/>
      </rPr>
      <t xml:space="preserve"> économie d’eau, maintenance simple, sanitaires d’étage, </t>
    </r>
  </si>
  <si>
    <t>back-office, parkings, immeubles non premium.</t>
  </si>
  <si>
    <r>
      <t>Préco :</t>
    </r>
    <r>
      <rPr>
        <sz val="11"/>
        <color theme="1"/>
        <rFont val="Calibri"/>
        <family val="2"/>
      </rPr>
      <t xml:space="preserve"> design, finition chromée ou noire si premium, pose sur plage en </t>
    </r>
    <r>
      <rPr>
        <b/>
        <sz val="11"/>
        <color theme="1"/>
        <rFont val="Calibri"/>
        <family val="2"/>
      </rPr>
      <t>rénovation,</t>
    </r>
  </si>
  <si>
    <t>mural/encastré en neuf ou réno lourde, pile en retrofit, secteur en projet structuré.</t>
  </si>
  <si>
    <r>
      <t>Besoin - usage cible :</t>
    </r>
    <r>
      <rPr>
        <sz val="11"/>
        <color theme="1"/>
        <rFont val="Calibri"/>
        <family val="2"/>
      </rPr>
      <t xml:space="preserve"> hygiène sans contact, image moderne, confort collaborateurs, </t>
    </r>
  </si>
  <si>
    <t>sièges, IGH, immeubles rénovés.</t>
  </si>
  <si>
    <t>robinet d’arrêt recommandé.</t>
  </si>
  <si>
    <t>2. Industrie &amp; ateliers - usines + ateliers maintenance</t>
  </si>
  <si>
    <r>
      <t>Besoin / usage cible :</t>
    </r>
    <r>
      <rPr>
        <sz val="11"/>
        <color theme="1"/>
        <rFont val="Calibri"/>
        <family val="2"/>
      </rPr>
      <t xml:space="preserve"> robustesse, usage intensif, vestiaires, sanitaires production, </t>
    </r>
  </si>
  <si>
    <t>ateliers, dépôts maintenance.</t>
  </si>
  <si>
    <t>fixation renforcée, brise-jet inviolable, antiblocage si usage dur.</t>
  </si>
  <si>
    <r>
      <t>Besoin / usage cible :</t>
    </r>
    <r>
      <rPr>
        <sz val="11"/>
        <color theme="1"/>
        <rFont val="Calibri"/>
        <family val="2"/>
      </rPr>
      <t xml:space="preserve"> hygiène renforcée, limitation du contact, laboratoires, zones propres, </t>
    </r>
  </si>
  <si>
    <t>sanitaires visiteurs, bureaux d’exploitation.</t>
  </si>
  <si>
    <t>secteur en neuf ou rénovation lourde.</t>
  </si>
  <si>
    <r>
      <t>Préco :</t>
    </r>
    <r>
      <rPr>
        <sz val="11"/>
        <color theme="1"/>
        <rFont val="Calibri"/>
        <family val="2"/>
      </rPr>
      <t xml:space="preserve"> chromé sans contact, débit ~3 l/min, pile en remplacement ponctuel, </t>
    </r>
  </si>
  <si>
    <r>
      <t>Préco :</t>
    </r>
    <r>
      <rPr>
        <sz val="11"/>
        <color theme="1"/>
        <rFont val="Calibri"/>
        <family val="2"/>
      </rPr>
      <t xml:space="preserve"> robuste chromé, pose sur plage ou murale, débit ~3 l/min, </t>
    </r>
  </si>
  <si>
    <t>3. Administrations &amp; bâtiments publics visibles</t>
  </si>
  <si>
    <t>inviolable en zone publique ; NF si exigée au CCTP.</t>
  </si>
  <si>
    <r>
      <t>Besoin / usage cible :</t>
    </r>
    <r>
      <rPr>
        <sz val="11"/>
        <color theme="1"/>
        <rFont val="Calibri"/>
        <family val="2"/>
      </rPr>
      <t xml:space="preserve"> maîtrise d’eau, budget public, usage agents + visiteurs,</t>
    </r>
  </si>
  <si>
    <t>mairies, antennes administratives, hôtels département/région.</t>
  </si>
  <si>
    <r>
      <t>Besoin / usage cible :</t>
    </r>
    <r>
      <rPr>
        <sz val="11"/>
        <color theme="1"/>
        <rFont val="Calibri"/>
        <family val="2"/>
      </rPr>
      <t xml:space="preserve"> hygiène, modernisation de l’accueil public, halls, visiteurs, </t>
    </r>
  </si>
  <si>
    <t>salles de mariage, bâtiments régionaux rénovés.</t>
  </si>
  <si>
    <r>
      <t>Préco :</t>
    </r>
    <r>
      <rPr>
        <sz val="11"/>
        <color theme="1"/>
        <rFont val="Calibri"/>
        <family val="2"/>
      </rPr>
      <t xml:space="preserve"> chromé, eau mitigée, débit ~3 l/min, robinet d’arrêt, brise-jet </t>
    </r>
  </si>
  <si>
    <r>
      <t>Préco :</t>
    </r>
    <r>
      <rPr>
        <sz val="11"/>
        <color theme="1"/>
        <rFont val="Calibri"/>
        <family val="2"/>
      </rPr>
      <t xml:space="preserve"> sobre chromé, pose sur plage, eau mitigée, pile si remplacement diffus, </t>
    </r>
  </si>
  <si>
    <t>secteur si rénovation globale.</t>
  </si>
  <si>
    <t>4. Centres commerciaux / malls</t>
  </si>
  <si>
    <r>
      <t>Besoin / usage cible :</t>
    </r>
    <r>
      <rPr>
        <sz val="11"/>
        <color theme="1"/>
        <rFont val="Calibri"/>
        <family val="2"/>
      </rPr>
      <t xml:space="preserve"> robustesse et coût maîtrisé dans parkings,</t>
    </r>
  </si>
  <si>
    <t>robinet d’arrêt pour maintenance rapide.</t>
  </si>
  <si>
    <t>sanitaires personnel, back-office, locaux livraison.</t>
  </si>
  <si>
    <r>
      <t>Besoin / usage cible :</t>
    </r>
    <r>
      <rPr>
        <sz val="11"/>
        <color theme="1"/>
        <rFont val="Calibri"/>
        <family val="2"/>
      </rPr>
      <t xml:space="preserve"> usage public intensif, hygiène sans contact, image premium,</t>
    </r>
  </si>
  <si>
    <t>sanitaires clients, food courts, loisirs, espaces familles.</t>
  </si>
  <si>
    <t>5. Logistique / entrepôts / plateformes</t>
  </si>
  <si>
    <r>
      <t>Besoin / usage cible :</t>
    </r>
    <r>
      <rPr>
        <sz val="11"/>
        <color theme="1"/>
        <rFont val="Calibri"/>
        <family val="2"/>
      </rPr>
      <t xml:space="preserve"> standardisation, robustesse, vestiaires chauffeurs,</t>
    </r>
  </si>
  <si>
    <r>
      <t>Préco :</t>
    </r>
    <r>
      <rPr>
        <sz val="11"/>
        <color theme="1"/>
        <rFont val="Calibri"/>
        <family val="2"/>
      </rPr>
      <t xml:space="preserve"> poussoir chromé standard, pose sur plage ou murale, monofluide eau </t>
    </r>
  </si>
  <si>
    <t>mitigée ou eau froide selon site, débit ~3 l/min, robinet d’arrêt.</t>
  </si>
  <si>
    <t>sanitaires salariés, zones exploitation.</t>
  </si>
  <si>
    <r>
      <t>Besoin / usage cible :</t>
    </r>
    <r>
      <rPr>
        <sz val="11"/>
        <color theme="1"/>
        <rFont val="Calibri"/>
        <family val="2"/>
      </rPr>
      <t xml:space="preserve"> hygiène et image sur accueil chauffeurs, bureaux d’exploitation,</t>
    </r>
  </si>
  <si>
    <t>zones visiteurs, plateformes récentes.</t>
  </si>
  <si>
    <t>eau mitigée dans zones bureaux/accueil.</t>
  </si>
  <si>
    <r>
      <rPr>
        <b/>
        <sz val="11"/>
        <color theme="1"/>
        <rFont val="Calibri"/>
        <family val="2"/>
      </rPr>
      <t>Préco</t>
    </r>
    <r>
      <rPr>
        <sz val="11"/>
        <color theme="1"/>
        <rFont val="Calibri"/>
        <family val="2"/>
      </rPr>
      <t xml:space="preserve"> : chromé sur plage, pile en rénovation, secteur en neuf, débit ~3 l/min,</t>
    </r>
  </si>
  <si>
    <r>
      <t>Préco :</t>
    </r>
    <r>
      <rPr>
        <sz val="11"/>
        <color theme="1"/>
        <rFont val="Calibri"/>
        <family val="2"/>
      </rPr>
      <t xml:space="preserve"> sobre chromé, pose sur plage, eau mitigée, débit ~3 l/min, </t>
    </r>
  </si>
  <si>
    <r>
      <t>Préco :</t>
    </r>
    <r>
      <rPr>
        <sz val="11"/>
        <color theme="1"/>
        <rFont val="Calibri"/>
        <family val="2"/>
      </rPr>
      <t xml:space="preserve"> antivandale chromé, débit ~3 l/min, antiblocage recommandé,</t>
    </r>
  </si>
  <si>
    <t>robinet d’arrêt/filtre indispensable.</t>
  </si>
  <si>
    <r>
      <t>Préco :</t>
    </r>
    <r>
      <rPr>
        <sz val="11"/>
        <color theme="1"/>
        <rFont val="Calibri"/>
        <family val="2"/>
      </rPr>
      <t xml:space="preserve"> design, débit ~3 l/min, secteur recommandé si fort trafic, antivandalisme utile, </t>
    </r>
  </si>
  <si>
    <r>
      <rPr>
        <b/>
        <sz val="11"/>
        <color theme="1"/>
        <rFont val="Calibri"/>
        <family val="2"/>
      </rPr>
      <t>Très fort en volume</t>
    </r>
    <r>
      <rPr>
        <sz val="11"/>
        <color theme="1"/>
        <rFont val="Calibri"/>
      </rPr>
      <t xml:space="preserve">. Priorité sur programmes </t>
    </r>
    <r>
      <rPr>
        <b/>
        <sz val="11"/>
        <color theme="1"/>
        <rFont val="Calibri"/>
        <family val="2"/>
      </rPr>
      <t>foncières</t>
    </r>
    <r>
      <rPr>
        <sz val="11"/>
        <color theme="1"/>
        <rFont val="Calibri"/>
      </rPr>
      <t xml:space="preserve"> (~30%), </t>
    </r>
    <r>
      <rPr>
        <b/>
        <sz val="11"/>
        <color theme="1"/>
        <rFont val="Calibri"/>
        <family val="2"/>
      </rPr>
      <t>property managers</t>
    </r>
    <r>
      <rPr>
        <sz val="11"/>
        <color theme="1"/>
        <rFont val="Calibri"/>
      </rPr>
      <t xml:space="preserve"> (~25%), grands comptes (~20%), sièges sociaux (~15%), rénovat° multi-sites (~10%).</t>
    </r>
  </si>
  <si>
    <t>PARC Tertiaire (vs. autres segments) - Comment expliquer un équipement fort en Mitigeurs et en retrait sur Tempo. mécanique</t>
  </si>
  <si>
    <t>Potentiel Ventes 2025-30 par sous-segment : Dynamique - Projets - Potentiel  - Menaces</t>
  </si>
  <si>
    <r>
      <rPr>
        <b/>
        <u/>
        <sz val="11"/>
        <color theme="1"/>
        <rFont val="Calibri"/>
        <family val="2"/>
      </rPr>
      <t>Poussoir</t>
    </r>
    <r>
      <rPr>
        <sz val="11"/>
        <color theme="1"/>
        <rFont val="Calibri"/>
        <family val="2"/>
      </rPr>
      <t xml:space="preserve"> -</t>
    </r>
    <r>
      <rPr>
        <b/>
        <sz val="11"/>
        <color theme="1"/>
        <rFont val="Calibri"/>
        <family val="2"/>
      </rPr>
      <t>~12,4 k/an</t>
    </r>
    <r>
      <rPr>
        <sz val="11"/>
        <color theme="1"/>
        <rFont val="Calibri"/>
        <family val="2"/>
      </rPr>
      <t xml:space="preserve">, soit </t>
    </r>
    <r>
      <rPr>
        <b/>
        <sz val="11"/>
        <color theme="9"/>
        <rFont val="Calibri"/>
        <family val="2"/>
      </rPr>
      <t>~37 %</t>
    </r>
    <r>
      <rPr>
        <sz val="11"/>
        <color theme="1"/>
        <rFont val="Calibri"/>
        <family val="2"/>
      </rPr>
      <t xml:space="preserve"> du total Tempo méca tertiaire.</t>
    </r>
  </si>
  <si>
    <r>
      <rPr>
        <b/>
        <u/>
        <sz val="11"/>
        <color theme="1"/>
        <rFont val="Calibri"/>
        <family val="2"/>
      </rPr>
      <t>Poussoir</t>
    </r>
    <r>
      <rPr>
        <sz val="11"/>
        <color theme="1"/>
        <rFont val="Calibri"/>
        <family val="2"/>
      </rPr>
      <t xml:space="preserve"> - </t>
    </r>
    <r>
      <rPr>
        <b/>
        <sz val="11"/>
        <color theme="1"/>
        <rFont val="Calibri"/>
        <family val="2"/>
      </rPr>
      <t>~9,2 k/an</t>
    </r>
    <r>
      <rPr>
        <sz val="11"/>
        <color theme="1"/>
        <rFont val="Calibri"/>
        <family val="2"/>
      </rPr>
      <t xml:space="preserve">, soit </t>
    </r>
    <r>
      <rPr>
        <b/>
        <sz val="11"/>
        <color theme="9"/>
        <rFont val="Calibri"/>
        <family val="2"/>
      </rPr>
      <t>~27 %</t>
    </r>
    <r>
      <rPr>
        <sz val="11"/>
        <color theme="1"/>
        <rFont val="Calibri"/>
        <family val="2"/>
      </rPr>
      <t xml:space="preserve"> du total Tempo méca tertiaire.</t>
    </r>
  </si>
  <si>
    <r>
      <rPr>
        <b/>
        <u/>
        <sz val="11"/>
        <color theme="1"/>
        <rFont val="Calibri"/>
        <family val="2"/>
      </rPr>
      <t>Poussoir</t>
    </r>
    <r>
      <rPr>
        <sz val="11"/>
        <color theme="1"/>
        <rFont val="Calibri"/>
        <family val="2"/>
      </rPr>
      <t xml:space="preserve"> - </t>
    </r>
    <r>
      <rPr>
        <b/>
        <sz val="11"/>
        <color theme="1"/>
        <rFont val="Calibri"/>
        <family val="2"/>
      </rPr>
      <t>~7,1 k/an</t>
    </r>
    <r>
      <rPr>
        <sz val="11"/>
        <color theme="1"/>
        <rFont val="Calibri"/>
        <family val="2"/>
      </rPr>
      <t xml:space="preserve">, soit </t>
    </r>
    <r>
      <rPr>
        <b/>
        <sz val="11"/>
        <color theme="9"/>
        <rFont val="Calibri"/>
        <family val="2"/>
      </rPr>
      <t>~21%</t>
    </r>
    <r>
      <rPr>
        <sz val="11"/>
        <color theme="1"/>
        <rFont val="Calibri"/>
        <family val="2"/>
      </rPr>
      <t xml:space="preserve"> du total poussoir tertiaire.</t>
    </r>
  </si>
  <si>
    <r>
      <rPr>
        <b/>
        <u/>
        <sz val="11"/>
        <color theme="1"/>
        <rFont val="Calibri"/>
        <family val="2"/>
      </rPr>
      <t>Poussoir</t>
    </r>
    <r>
      <rPr>
        <sz val="11"/>
        <color theme="1"/>
        <rFont val="Calibri"/>
        <family val="2"/>
      </rPr>
      <t xml:space="preserve"> - </t>
    </r>
    <r>
      <rPr>
        <b/>
        <sz val="11"/>
        <color theme="1"/>
        <rFont val="Calibri"/>
        <family val="2"/>
      </rPr>
      <t>~2,4 k/an</t>
    </r>
    <r>
      <rPr>
        <sz val="11"/>
        <color theme="1"/>
        <rFont val="Calibri"/>
        <family val="2"/>
      </rPr>
      <t xml:space="preserve">, soit </t>
    </r>
    <r>
      <rPr>
        <b/>
        <sz val="11"/>
        <color theme="9"/>
        <rFont val="Calibri"/>
        <family val="2"/>
      </rPr>
      <t>~7 %</t>
    </r>
    <r>
      <rPr>
        <sz val="11"/>
        <color theme="1"/>
        <rFont val="Calibri"/>
        <family val="2"/>
      </rPr>
      <t xml:space="preserve"> du total poussoir tertiaire.</t>
    </r>
  </si>
  <si>
    <r>
      <rPr>
        <b/>
        <u/>
        <sz val="11"/>
        <color theme="1"/>
        <rFont val="Calibri"/>
        <family val="2"/>
      </rPr>
      <t>Poussoir</t>
    </r>
    <r>
      <rPr>
        <sz val="11"/>
        <color theme="1"/>
        <rFont val="Calibri"/>
        <family val="2"/>
      </rPr>
      <t xml:space="preserve"> - </t>
    </r>
    <r>
      <rPr>
        <b/>
        <sz val="11"/>
        <color theme="1"/>
        <rFont val="Calibri"/>
        <family val="2"/>
      </rPr>
      <t>~2,0 k/an</t>
    </r>
    <r>
      <rPr>
        <sz val="11"/>
        <color theme="1"/>
        <rFont val="Calibri"/>
        <family val="2"/>
      </rPr>
      <t xml:space="preserve">, soit </t>
    </r>
    <r>
      <rPr>
        <b/>
        <sz val="11"/>
        <color theme="9"/>
        <rFont val="Calibri"/>
        <family val="2"/>
      </rPr>
      <t>~6 %</t>
    </r>
    <r>
      <rPr>
        <sz val="11"/>
        <color theme="1"/>
        <rFont val="Calibri"/>
        <family val="2"/>
      </rPr>
      <t xml:space="preserve"> du total poussoir tertiaire.</t>
    </r>
  </si>
  <si>
    <r>
      <rPr>
        <b/>
        <u/>
        <sz val="11"/>
        <color theme="1"/>
        <rFont val="Calibri"/>
        <family val="2"/>
      </rPr>
      <t>Tempo électro</t>
    </r>
    <r>
      <rPr>
        <b/>
        <sz val="11"/>
        <color theme="1"/>
        <rFont val="Calibri"/>
        <family val="2"/>
      </rPr>
      <t xml:space="preserve"> : ~9,6 k/an</t>
    </r>
    <r>
      <rPr>
        <sz val="11"/>
        <color theme="1"/>
        <rFont val="Calibri"/>
        <family val="2"/>
      </rPr>
      <t xml:space="preserve"> soit </t>
    </r>
    <r>
      <rPr>
        <b/>
        <sz val="11"/>
        <color theme="9"/>
        <rFont val="Calibri"/>
        <family val="2"/>
      </rPr>
      <t>~49%</t>
    </r>
    <r>
      <rPr>
        <sz val="11"/>
        <color theme="1"/>
        <rFont val="Calibri"/>
        <family val="2"/>
      </rPr>
      <t xml:space="preserve"> du total Tempo électro tertiaire.</t>
    </r>
  </si>
  <si>
    <r>
      <rPr>
        <b/>
        <u/>
        <sz val="11"/>
        <color theme="1"/>
        <rFont val="Calibri"/>
        <family val="2"/>
      </rPr>
      <t>Tempo électro</t>
    </r>
    <r>
      <rPr>
        <b/>
        <sz val="11"/>
        <color theme="1"/>
        <rFont val="Calibri"/>
        <family val="2"/>
      </rPr>
      <t xml:space="preserve"> : ~4,1 k/an</t>
    </r>
    <r>
      <rPr>
        <sz val="11"/>
        <color theme="1"/>
        <rFont val="Calibri"/>
        <family val="2"/>
      </rPr>
      <t xml:space="preserve">, soit </t>
    </r>
    <r>
      <rPr>
        <b/>
        <sz val="11"/>
        <color theme="9"/>
        <rFont val="Calibri"/>
        <family val="2"/>
      </rPr>
      <t>~21%</t>
    </r>
    <r>
      <rPr>
        <sz val="11"/>
        <color theme="1"/>
        <rFont val="Calibri"/>
        <family val="2"/>
      </rPr>
      <t xml:space="preserve"> du total Tempo électro tertiaire.</t>
    </r>
  </si>
  <si>
    <r>
      <rPr>
        <b/>
        <u/>
        <sz val="11"/>
        <color theme="1"/>
        <rFont val="Calibri"/>
        <family val="2"/>
      </rPr>
      <t xml:space="preserve">Tempo électro </t>
    </r>
    <r>
      <rPr>
        <b/>
        <sz val="11"/>
        <color theme="1"/>
        <rFont val="Calibri"/>
        <family val="2"/>
      </rPr>
      <t>: ~3,5 k/an</t>
    </r>
    <r>
      <rPr>
        <sz val="11"/>
        <color theme="1"/>
        <rFont val="Calibri"/>
        <family val="2"/>
      </rPr>
      <t xml:space="preserve">, soit </t>
    </r>
    <r>
      <rPr>
        <b/>
        <sz val="11"/>
        <color theme="9"/>
        <rFont val="Calibri"/>
        <family val="2"/>
      </rPr>
      <t>~18%</t>
    </r>
    <r>
      <rPr>
        <b/>
        <sz val="11"/>
        <color theme="1"/>
        <rFont val="Calibri"/>
        <family val="2"/>
      </rPr>
      <t xml:space="preserve"> </t>
    </r>
    <r>
      <rPr>
        <sz val="11"/>
        <color theme="1"/>
        <rFont val="Calibri"/>
        <family val="2"/>
      </rPr>
      <t>du total Tempo électro tertiaire.</t>
    </r>
  </si>
  <si>
    <r>
      <rPr>
        <b/>
        <u/>
        <sz val="11"/>
        <color theme="1"/>
        <rFont val="Calibri"/>
        <family val="2"/>
      </rPr>
      <t>Tempo électro</t>
    </r>
    <r>
      <rPr>
        <b/>
        <sz val="11"/>
        <color theme="1"/>
        <rFont val="Calibri"/>
        <family val="2"/>
      </rPr>
      <t xml:space="preserve"> : ~1,6 k/an</t>
    </r>
    <r>
      <rPr>
        <sz val="11"/>
        <color theme="1"/>
        <rFont val="Calibri"/>
        <family val="2"/>
      </rPr>
      <t xml:space="preserve">, soit </t>
    </r>
    <r>
      <rPr>
        <b/>
        <sz val="11"/>
        <color theme="9"/>
        <rFont val="Calibri"/>
        <family val="2"/>
      </rPr>
      <t xml:space="preserve">~8% </t>
    </r>
    <r>
      <rPr>
        <sz val="11"/>
        <color theme="1"/>
        <rFont val="Calibri"/>
        <family val="2"/>
      </rPr>
      <t>du total Tempo électro tertiaire.</t>
    </r>
  </si>
  <si>
    <r>
      <rPr>
        <b/>
        <u/>
        <sz val="11"/>
        <color theme="1"/>
        <rFont val="Calibri"/>
        <family val="2"/>
      </rPr>
      <t xml:space="preserve">Tempo électro </t>
    </r>
    <r>
      <rPr>
        <b/>
        <sz val="11"/>
        <color theme="1"/>
        <rFont val="Calibri"/>
        <family val="2"/>
      </rPr>
      <t>: ~0,9 k/an,</t>
    </r>
    <r>
      <rPr>
        <sz val="11"/>
        <color theme="1"/>
        <rFont val="Calibri"/>
        <family val="2"/>
      </rPr>
      <t xml:space="preserve"> soit </t>
    </r>
    <r>
      <rPr>
        <b/>
        <sz val="11"/>
        <color theme="9"/>
        <rFont val="Calibri"/>
        <family val="2"/>
      </rPr>
      <t>~5%</t>
    </r>
    <r>
      <rPr>
        <sz val="11"/>
        <color theme="1"/>
        <rFont val="Calibri"/>
        <family val="2"/>
      </rPr>
      <t xml:space="preserve"> du total Tempo électro tertiaire.</t>
    </r>
  </si>
  <si>
    <r>
      <t xml:space="preserve">En </t>
    </r>
    <r>
      <rPr>
        <b/>
        <sz val="11"/>
        <color theme="1"/>
        <rFont val="Calibri"/>
        <family val="2"/>
      </rPr>
      <t>prescription Neuf</t>
    </r>
    <r>
      <rPr>
        <sz val="11"/>
        <color theme="1"/>
        <rFont val="Calibri"/>
        <family val="2"/>
      </rPr>
      <t xml:space="preserve">, car </t>
    </r>
    <r>
      <rPr>
        <b/>
        <sz val="11"/>
        <color theme="1"/>
        <rFont val="Calibri"/>
        <family val="2"/>
      </rPr>
      <t>sites</t>
    </r>
    <r>
      <rPr>
        <sz val="11"/>
        <color theme="1"/>
        <rFont val="Calibri"/>
        <family val="2"/>
      </rPr>
      <t xml:space="preserve"> </t>
    </r>
    <r>
      <rPr>
        <b/>
        <sz val="11"/>
        <color theme="1"/>
        <rFont val="Calibri"/>
        <family val="2"/>
      </rPr>
      <t>standardisés</t>
    </r>
    <r>
      <rPr>
        <sz val="11"/>
        <color theme="1"/>
        <rFont val="Calibri"/>
        <family val="2"/>
      </rPr>
      <t xml:space="preserve"> </t>
    </r>
    <r>
      <rPr>
        <b/>
        <sz val="11"/>
        <color theme="1"/>
        <rFont val="Calibri"/>
        <family val="2"/>
      </rPr>
      <t>dès conception</t>
    </r>
    <r>
      <rPr>
        <sz val="11"/>
        <color theme="1"/>
        <rFont val="Calibri"/>
        <family val="2"/>
      </rPr>
      <t xml:space="preserve">. Opportunité sur </t>
    </r>
    <r>
      <rPr>
        <b/>
        <sz val="11"/>
        <color theme="1"/>
        <rFont val="Calibri"/>
        <family val="2"/>
      </rPr>
      <t>plateformes</t>
    </r>
    <r>
      <rPr>
        <sz val="11"/>
        <color theme="1"/>
        <rFont val="Calibri"/>
        <family val="2"/>
      </rPr>
      <t xml:space="preserve"> e-commerce, </t>
    </r>
    <r>
      <rPr>
        <b/>
        <sz val="11"/>
        <color theme="1"/>
        <rFont val="Calibri"/>
        <family val="2"/>
      </rPr>
      <t>logistique</t>
    </r>
    <r>
      <rPr>
        <sz val="11"/>
        <color theme="1"/>
        <rFont val="Calibri"/>
        <family val="2"/>
      </rPr>
      <t xml:space="preserve"> </t>
    </r>
    <r>
      <rPr>
        <b/>
        <sz val="11"/>
        <color theme="1"/>
        <rFont val="Calibri"/>
        <family val="2"/>
      </rPr>
      <t>urbaine</t>
    </r>
    <r>
      <rPr>
        <sz val="11"/>
        <color theme="1"/>
        <rFont val="Calibri"/>
        <family val="2"/>
      </rPr>
      <t xml:space="preserve">, </t>
    </r>
    <r>
      <rPr>
        <b/>
        <sz val="11"/>
        <color theme="1"/>
        <rFont val="Calibri"/>
        <family val="2"/>
      </rPr>
      <t>entrepôts</t>
    </r>
    <r>
      <rPr>
        <sz val="11"/>
        <color theme="1"/>
        <rFont val="Calibri"/>
        <family val="2"/>
      </rPr>
      <t xml:space="preserve"> froids, </t>
    </r>
    <r>
      <rPr>
        <b/>
        <sz val="11"/>
        <color theme="1"/>
        <rFont val="Calibri"/>
        <family val="2"/>
      </rPr>
      <t>hubs</t>
    </r>
    <r>
      <rPr>
        <sz val="11"/>
        <color theme="1"/>
        <rFont val="Calibri"/>
        <family val="2"/>
      </rPr>
      <t xml:space="preserve"> régionaux.</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</si>
</sst>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
    <numFmt numFmtId="165" formatCode="_-* #,##0_-;\-* #,##0_-;_-* &quot;-&quot;??_-;_-@_-"/>
    <numFmt numFmtId="166" formatCode="#,##0.0"/>
    <numFmt numFmtId="167" formatCode="0.0"/>
    <numFmt numFmtId="168" formatCode="0.000%"/>
  </numFmts>
  <fonts count="137" x14ac:knownFonts="1">
    <font>
      <sz val="11"/>
      <color theme="1"/>
      <name val="Calibri"/>
    </font>
    <font>
      <sz val="11"/>
      <color theme="1"/>
      <name val="Calibri"/>
      <family val="2"/>
    </font>
    <font>
      <b/>
      <sz val="11"/>
      <color theme="1"/>
      <name val="Calibri"/>
      <family val="2"/>
    </font>
    <font>
      <b/>
      <sz val="10"/>
      <color theme="1"/>
      <name val="Calibri"/>
      <family val="2"/>
    </font>
    <font>
      <sz val="9"/>
      <color theme="1"/>
      <name val="Calibri"/>
      <family val="2"/>
    </font>
    <font>
      <sz val="10"/>
      <color theme="1"/>
      <name val="Calibri"/>
      <family val="2"/>
    </font>
    <font>
      <b/>
      <sz val="9"/>
      <color rgb="FFFFFFFF"/>
      <name val="Calibri"/>
      <family val="2"/>
    </font>
    <font>
      <b/>
      <sz val="9"/>
      <color rgb="FFFFFF99"/>
      <name val="Calibri"/>
      <family val="2"/>
    </font>
    <font>
      <sz val="8"/>
      <color theme="1"/>
      <name val="Calibri"/>
      <family val="2"/>
    </font>
    <font>
      <b/>
      <sz val="9"/>
      <color theme="6" tint="0.59996337778862885"/>
      <name val="Calibri"/>
      <family val="2"/>
    </font>
    <font>
      <b/>
      <sz val="9"/>
      <color theme="7" tint="0.59996337778862885"/>
      <name val="Calibri"/>
      <family val="2"/>
    </font>
    <font>
      <b/>
      <sz val="9"/>
      <color theme="9" tint="0.59996337778862885"/>
      <name val="Calibri"/>
      <family val="2"/>
    </font>
    <font>
      <b/>
      <sz val="9"/>
      <color theme="5" tint="0.59996337778862885"/>
      <name val="Calibri"/>
      <family val="2"/>
    </font>
    <font>
      <b/>
      <sz val="11"/>
      <color rgb="FF00B050"/>
      <name val="Calibri"/>
      <family val="2"/>
    </font>
    <font>
      <sz val="11"/>
      <color rgb="FF00B050"/>
      <name val="Calibri"/>
      <family val="2"/>
    </font>
    <font>
      <b/>
      <sz val="11"/>
      <color rgb="FF7030A0"/>
      <name val="Calibri"/>
      <family val="2"/>
    </font>
    <font>
      <sz val="11"/>
      <color rgb="FF7030A0"/>
      <name val="Calibri"/>
      <family val="2"/>
    </font>
    <font>
      <i/>
      <sz val="11"/>
      <color rgb="FF7030A0"/>
      <name val="Calibri"/>
      <family val="2"/>
    </font>
    <font>
      <sz val="11"/>
      <color theme="7"/>
      <name val="Calibri"/>
      <family val="2"/>
    </font>
    <font>
      <b/>
      <sz val="11"/>
      <color theme="9"/>
      <name val="Calibri"/>
      <family val="2"/>
    </font>
    <font>
      <sz val="11"/>
      <color theme="9"/>
      <name val="Calibri"/>
      <family val="2"/>
    </font>
    <font>
      <i/>
      <sz val="11"/>
      <color theme="9"/>
      <name val="Calibri"/>
      <family val="2"/>
    </font>
    <font>
      <b/>
      <sz val="11"/>
      <color theme="5"/>
      <name val="Calibri"/>
      <family val="2"/>
    </font>
    <font>
      <sz val="11"/>
      <color theme="5"/>
      <name val="Calibri"/>
      <family val="2"/>
    </font>
    <font>
      <i/>
      <sz val="11"/>
      <color theme="5"/>
      <name val="Calibri"/>
      <family val="2"/>
    </font>
    <font>
      <b/>
      <sz val="9"/>
      <color theme="0"/>
      <name val="Calibri"/>
      <family val="2"/>
    </font>
    <font>
      <b/>
      <sz val="9"/>
      <color theme="1"/>
      <name val="Calibri"/>
      <family val="2"/>
    </font>
    <font>
      <b/>
      <sz val="11"/>
      <color theme="0"/>
      <name val="Calibri"/>
      <family val="2"/>
    </font>
    <font>
      <sz val="11"/>
      <color theme="1"/>
      <name val="Calibri"/>
      <family val="2"/>
    </font>
    <font>
      <b/>
      <sz val="11"/>
      <color rgb="FFFFFF99"/>
      <name val="Calibri"/>
      <family val="2"/>
    </font>
    <font>
      <b/>
      <sz val="11"/>
      <color theme="6" tint="0.59996337778862885"/>
      <name val="Calibri"/>
      <family val="2"/>
    </font>
    <font>
      <b/>
      <sz val="11"/>
      <color theme="7" tint="0.59996337778862885"/>
      <name val="Calibri"/>
      <family val="2"/>
    </font>
    <font>
      <b/>
      <sz val="11"/>
      <color theme="9" tint="0.59996337778862885"/>
      <name val="Calibri"/>
      <family val="2"/>
    </font>
    <font>
      <b/>
      <sz val="11"/>
      <color theme="5" tint="0.59996337778862885"/>
      <name val="Calibri"/>
      <family val="2"/>
    </font>
    <font>
      <b/>
      <sz val="10"/>
      <color rgb="FFFFFFFF"/>
      <name val="Calibri"/>
      <family val="2"/>
    </font>
    <font>
      <b/>
      <sz val="11"/>
      <color rgb="FFFFFFFF"/>
      <name val="Calibri"/>
      <family val="2"/>
    </font>
    <font>
      <b/>
      <sz val="11"/>
      <color theme="6" tint="0.59984130375072486"/>
      <name val="Calibri"/>
      <family val="2"/>
    </font>
    <font>
      <b/>
      <sz val="9"/>
      <color theme="6" tint="0.59984130375072486"/>
      <name val="Calibri"/>
      <family val="2"/>
    </font>
    <font>
      <i/>
      <sz val="11"/>
      <color theme="1"/>
      <name val="Calibri"/>
      <family val="2"/>
    </font>
    <font>
      <sz val="9"/>
      <color theme="1"/>
      <name val="Calibri"/>
      <family val="2"/>
    </font>
    <font>
      <b/>
      <sz val="11"/>
      <color rgb="FFFFFF00"/>
      <name val="Calibri"/>
      <family val="2"/>
    </font>
    <font>
      <b/>
      <sz val="9"/>
      <color rgb="FFFFFF00"/>
      <name val="Calibri"/>
      <family val="2"/>
    </font>
    <font>
      <b/>
      <sz val="11"/>
      <color theme="7" tint="0.59996337778862885"/>
      <name val="Calibri"/>
      <family val="2"/>
    </font>
    <font>
      <b/>
      <sz val="11"/>
      <color theme="9" tint="0.59996337778862885"/>
      <name val="Calibri"/>
      <family val="2"/>
    </font>
    <font>
      <b/>
      <sz val="11"/>
      <color theme="5" tint="0.59996337778862885"/>
      <name val="Calibri"/>
      <family val="2"/>
    </font>
    <font>
      <b/>
      <sz val="11"/>
      <color theme="0"/>
      <name val="Calibri"/>
      <family val="2"/>
    </font>
    <font>
      <b/>
      <sz val="11"/>
      <color theme="2" tint="-0.249977111117893"/>
      <name val="Calibri"/>
      <family val="2"/>
    </font>
    <font>
      <b/>
      <sz val="11"/>
      <color theme="8" tint="0.59996337778862885"/>
      <name val="Calibri"/>
      <family val="2"/>
    </font>
    <font>
      <b/>
      <sz val="10"/>
      <color theme="9" tint="0.59996337778862885"/>
      <name val="Calibri"/>
      <family val="2"/>
    </font>
    <font>
      <b/>
      <sz val="8"/>
      <color theme="9" tint="0.59996337778862885"/>
      <name val="Calibri"/>
      <family val="2"/>
    </font>
    <font>
      <b/>
      <sz val="9"/>
      <color theme="1"/>
      <name val="Calibri"/>
      <family val="2"/>
    </font>
    <font>
      <b/>
      <sz val="11"/>
      <color rgb="FFFFFFFF"/>
      <name val="Calibri"/>
      <family val="2"/>
    </font>
    <font>
      <b/>
      <sz val="10"/>
      <color theme="1"/>
      <name val="Calibri"/>
      <family val="2"/>
    </font>
    <font>
      <b/>
      <sz val="11"/>
      <color theme="6" tint="0.39997558519241921"/>
      <name val="Calibri"/>
      <family val="2"/>
    </font>
    <font>
      <b/>
      <sz val="10"/>
      <color theme="6" tint="0.59996337778862885"/>
      <name val="Calibri"/>
      <family val="2"/>
    </font>
    <font>
      <b/>
      <sz val="11"/>
      <color theme="7" tint="0.59984130375072486"/>
      <name val="Calibri"/>
      <family val="2"/>
    </font>
    <font>
      <b/>
      <sz val="11"/>
      <color theme="9" tint="0.59984130375072486"/>
      <name val="Calibri"/>
      <family val="2"/>
    </font>
    <font>
      <b/>
      <sz val="11"/>
      <color theme="5" tint="0.59984130375072486"/>
      <name val="Calibri"/>
      <family val="2"/>
    </font>
    <font>
      <b/>
      <sz val="10"/>
      <color theme="0"/>
      <name val="Calibri"/>
      <family val="2"/>
    </font>
    <font>
      <b/>
      <sz val="10"/>
      <color theme="7" tint="0.59996337778862885"/>
      <name val="Calibri"/>
      <family val="2"/>
    </font>
    <font>
      <b/>
      <sz val="10"/>
      <color theme="9" tint="0.59996337778862885"/>
      <name val="Calibri"/>
      <family val="2"/>
    </font>
    <font>
      <b/>
      <sz val="10"/>
      <color theme="5" tint="0.59996337778862885"/>
      <name val="Calibri"/>
      <family val="2"/>
    </font>
    <font>
      <b/>
      <sz val="10"/>
      <color theme="0"/>
      <name val="Calibri"/>
      <family val="2"/>
    </font>
    <font>
      <b/>
      <sz val="11"/>
      <color theme="0" tint="-0.249977111117893"/>
      <name val="Calibri"/>
      <family val="2"/>
    </font>
    <font>
      <b/>
      <sz val="11"/>
      <color theme="4" tint="0.59996337778862885"/>
      <name val="Calibri"/>
      <family val="2"/>
    </font>
    <font>
      <b/>
      <sz val="11"/>
      <color rgb="FF000000"/>
      <name val="Calibri"/>
      <family val="2"/>
    </font>
    <font>
      <b/>
      <sz val="10"/>
      <color rgb="FF000000"/>
      <name val="Calibri"/>
      <family val="2"/>
    </font>
    <font>
      <b/>
      <sz val="9"/>
      <name val="Calibri"/>
      <family val="2"/>
    </font>
    <font>
      <b/>
      <sz val="9"/>
      <color rgb="FF000000"/>
      <name val="Calibri"/>
      <family val="2"/>
    </font>
    <font>
      <b/>
      <sz val="10"/>
      <color rgb="FF000000"/>
      <name val="Calibri"/>
      <family val="2"/>
    </font>
    <font>
      <b/>
      <sz val="9"/>
      <color rgb="FF000000"/>
      <name val="Calibri"/>
      <family val="2"/>
    </font>
    <font>
      <b/>
      <sz val="10"/>
      <color theme="1"/>
      <name val="Calibri"/>
      <family val="2"/>
    </font>
    <font>
      <b/>
      <sz val="11"/>
      <color theme="1"/>
      <name val="Calibri"/>
      <family val="2"/>
    </font>
    <font>
      <b/>
      <sz val="9"/>
      <color theme="1" tint="0.49995422223578601"/>
      <name val="Calibri"/>
      <family val="2"/>
    </font>
    <font>
      <b/>
      <i/>
      <sz val="9"/>
      <color theme="1"/>
      <name val="Calibri"/>
      <family val="2"/>
    </font>
    <font>
      <b/>
      <sz val="9"/>
      <color theme="1" tint="0.34998626667073579"/>
      <name val="Calibri"/>
      <family val="2"/>
    </font>
    <font>
      <sz val="10"/>
      <color theme="1"/>
      <name val="Calibri"/>
      <family val="2"/>
    </font>
    <font>
      <b/>
      <i/>
      <sz val="9"/>
      <color theme="2" tint="-0.49995422223578601"/>
      <name val="Calibri"/>
      <family val="2"/>
    </font>
    <font>
      <b/>
      <i/>
      <sz val="9"/>
      <color theme="8" tint="-0.249977111117893"/>
      <name val="Calibri"/>
      <family val="2"/>
    </font>
    <font>
      <i/>
      <sz val="10"/>
      <color theme="1"/>
      <name val="Calibri"/>
      <family val="2"/>
    </font>
    <font>
      <i/>
      <sz val="10"/>
      <color theme="1"/>
      <name val="Calibri"/>
      <family val="2"/>
    </font>
    <font>
      <b/>
      <i/>
      <sz val="9"/>
      <color theme="1" tint="0.34998626667073579"/>
      <name val="Calibri"/>
      <family val="2"/>
    </font>
    <font>
      <b/>
      <i/>
      <sz val="9"/>
      <color theme="4" tint="0.39997558519241921"/>
      <name val="Calibri"/>
      <family val="2"/>
    </font>
    <font>
      <b/>
      <i/>
      <sz val="9"/>
      <color theme="7" tint="-0.249977111117893"/>
      <name val="Calibri"/>
      <family val="2"/>
    </font>
    <font>
      <b/>
      <i/>
      <sz val="9"/>
      <color theme="5" tint="-0.249977111117893"/>
      <name val="Calibri"/>
      <family val="2"/>
    </font>
    <font>
      <b/>
      <sz val="9"/>
      <color theme="1" tint="0.34998626667073579"/>
      <name val="Calibri"/>
      <family val="2"/>
    </font>
    <font>
      <b/>
      <i/>
      <sz val="9"/>
      <color theme="1" tint="0.49995422223578601"/>
      <name val="Calibri"/>
      <family val="2"/>
    </font>
    <font>
      <b/>
      <i/>
      <sz val="9"/>
      <color theme="2" tint="-0.49995422223578601"/>
      <name val="Calibri"/>
      <family val="2"/>
    </font>
    <font>
      <b/>
      <i/>
      <sz val="9"/>
      <color theme="3" tint="0.39997558519241921"/>
      <name val="Calibri"/>
      <family val="2"/>
    </font>
    <font>
      <b/>
      <i/>
      <sz val="9"/>
      <color theme="7" tint="-0.249977111117893"/>
      <name val="Calibri"/>
      <family val="2"/>
    </font>
    <font>
      <b/>
      <i/>
      <sz val="9"/>
      <color theme="5" tint="-0.249977111117893"/>
      <name val="Calibri"/>
      <family val="2"/>
    </font>
    <font>
      <b/>
      <sz val="11"/>
      <name val="Calibri"/>
      <family val="2"/>
    </font>
    <font>
      <b/>
      <sz val="9"/>
      <name val="Calibri"/>
      <family val="2"/>
    </font>
    <font>
      <b/>
      <sz val="9"/>
      <name val="Calibri"/>
      <family val="2"/>
    </font>
    <font>
      <b/>
      <sz val="10"/>
      <name val="Calibri"/>
      <family val="2"/>
    </font>
    <font>
      <sz val="9"/>
      <name val="Calibri"/>
      <family val="2"/>
    </font>
    <font>
      <i/>
      <sz val="11"/>
      <name val="Calibri"/>
      <family val="2"/>
    </font>
    <font>
      <b/>
      <sz val="10"/>
      <color rgb="FFFFFF00"/>
      <name val="Calibri"/>
      <family val="2"/>
    </font>
    <font>
      <b/>
      <sz val="16"/>
      <color rgb="FFFFFFFF"/>
      <name val="Calibri"/>
      <family val="2"/>
    </font>
    <font>
      <i/>
      <sz val="9"/>
      <color rgb="FF666666"/>
      <name val="Calibri"/>
      <family val="2"/>
    </font>
    <font>
      <b/>
      <sz val="12"/>
      <color rgb="FF1F4E78"/>
      <name val="Calibri"/>
      <family val="2"/>
    </font>
    <font>
      <b/>
      <sz val="11"/>
      <color rgb="FF1F1F1F"/>
      <name val="Calibri"/>
      <family val="2"/>
    </font>
    <font>
      <sz val="10"/>
      <color theme="1"/>
      <name val="Calibri"/>
      <family val="2"/>
    </font>
    <font>
      <b/>
      <sz val="12"/>
      <color rgb="FF1F4E78"/>
      <name val="Calibri"/>
      <family val="2"/>
    </font>
    <font>
      <b/>
      <sz val="11"/>
      <color rgb="FF1F1F1F"/>
      <name val="Calibri"/>
      <family val="2"/>
    </font>
    <font>
      <b/>
      <sz val="14"/>
      <color theme="1"/>
      <name val="Calibri"/>
      <family val="2"/>
    </font>
    <font>
      <b/>
      <sz val="11"/>
      <color theme="1"/>
      <name val="Calibri"/>
      <family val="2"/>
    </font>
    <font>
      <b/>
      <sz val="10"/>
      <color theme="1"/>
      <name val="Calibri"/>
      <family val="2"/>
      <scheme val="minor"/>
    </font>
    <font>
      <b/>
      <sz val="10"/>
      <color theme="1" tint="0.499984740745262"/>
      <name val="Calibri"/>
      <family val="2"/>
      <scheme val="minor"/>
    </font>
    <font>
      <b/>
      <sz val="10"/>
      <color rgb="FFFFFFFF"/>
      <name val="Calibri"/>
      <family val="2"/>
    </font>
    <font>
      <sz val="11"/>
      <color theme="1"/>
      <name val="Calibri"/>
      <family val="2"/>
    </font>
    <font>
      <b/>
      <sz val="12"/>
      <color theme="1"/>
      <name val="Calibri"/>
      <family val="2"/>
    </font>
    <font>
      <b/>
      <sz val="13.5"/>
      <color theme="1"/>
      <name val="Calibri"/>
      <family val="2"/>
    </font>
    <font>
      <b/>
      <sz val="11"/>
      <color theme="1"/>
      <name val="Calibri"/>
    </font>
    <font>
      <sz val="12"/>
      <color theme="1"/>
      <name val="Symbol"/>
      <family val="1"/>
      <charset val="2"/>
    </font>
    <font>
      <i/>
      <sz val="10"/>
      <color rgb="FF666666"/>
      <name val="Calibri"/>
      <family val="2"/>
    </font>
    <font>
      <b/>
      <sz val="14"/>
      <color rgb="FFFFFFFF"/>
      <name val="Calibri"/>
    </font>
    <font>
      <b/>
      <sz val="16"/>
      <color rgb="FF1F4E78"/>
      <name val="Calibri"/>
      <family val="2"/>
    </font>
    <font>
      <sz val="16"/>
      <color theme="1"/>
      <name val="Calibri"/>
      <family val="2"/>
    </font>
    <font>
      <b/>
      <sz val="14"/>
      <name val="Calibri"/>
      <family val="2"/>
    </font>
    <font>
      <sz val="14"/>
      <name val="Calibri"/>
      <family val="2"/>
    </font>
    <font>
      <b/>
      <sz val="16"/>
      <name val="Calibri"/>
      <family val="2"/>
    </font>
    <font>
      <b/>
      <sz val="20"/>
      <color rgb="FFFFFFFF"/>
      <name val="Calibri"/>
      <family val="2"/>
    </font>
    <font>
      <sz val="20"/>
      <color theme="1"/>
      <name val="Calibri"/>
      <family val="2"/>
    </font>
    <font>
      <sz val="11"/>
      <name val="Calibri"/>
      <family val="2"/>
    </font>
    <font>
      <b/>
      <sz val="11"/>
      <name val="Aptos Display"/>
      <family val="2"/>
    </font>
    <font>
      <sz val="11"/>
      <name val="Times New Roman"/>
      <family val="1"/>
    </font>
    <font>
      <sz val="11"/>
      <name val="Aptos"/>
      <family val="2"/>
    </font>
    <font>
      <b/>
      <sz val="11"/>
      <name val="Aptos"/>
      <family val="2"/>
    </font>
    <font>
      <sz val="10"/>
      <name val="Calibri"/>
      <family val="2"/>
    </font>
    <font>
      <sz val="11"/>
      <name val="Calibri"/>
      <family val="1"/>
    </font>
    <font>
      <b/>
      <sz val="14"/>
      <color rgb="FFFFFFFF"/>
      <name val="Calibri"/>
      <family val="2"/>
    </font>
    <font>
      <b/>
      <sz val="11"/>
      <color theme="2" tint="-0.499984740745262"/>
      <name val="Calibri"/>
      <family val="2"/>
    </font>
    <font>
      <b/>
      <sz val="11"/>
      <color theme="3" tint="0.39997558519241921"/>
      <name val="Calibri"/>
      <family val="2"/>
    </font>
    <font>
      <b/>
      <sz val="11"/>
      <color theme="5" tint="-0.249977111117893"/>
      <name val="Calibri"/>
      <family val="2"/>
    </font>
    <font>
      <b/>
      <sz val="11"/>
      <color theme="9" tint="-0.249977111117893"/>
      <name val="Calibri"/>
      <family val="2"/>
    </font>
    <font>
      <b/>
      <u/>
      <sz val="11"/>
      <color theme="1"/>
      <name val="Calibri"/>
      <family val="2"/>
    </font>
  </fonts>
  <fills count="39">
    <fill>
      <patternFill patternType="none"/>
    </fill>
    <fill>
      <patternFill patternType="gray125"/>
    </fill>
    <fill>
      <patternFill patternType="solid">
        <fgColor theme="0"/>
      </patternFill>
    </fill>
    <fill>
      <patternFill patternType="solid">
        <fgColor rgb="FF1F4E78"/>
      </patternFill>
    </fill>
    <fill>
      <patternFill patternType="solid">
        <fgColor theme="0"/>
      </patternFill>
    </fill>
    <fill>
      <patternFill patternType="solid">
        <fgColor rgb="FF1F4E78"/>
      </patternFill>
    </fill>
    <fill>
      <patternFill patternType="solid">
        <fgColor theme="6" tint="0.79995117038483843"/>
        <bgColor indexed="65"/>
      </patternFill>
    </fill>
    <fill>
      <patternFill patternType="solid">
        <fgColor rgb="FFD9EAF7"/>
      </patternFill>
    </fill>
    <fill>
      <patternFill patternType="solid">
        <fgColor rgb="FFD9EAF7"/>
      </patternFill>
    </fill>
    <fill>
      <patternFill patternType="solid">
        <fgColor rgb="FFE2F0D9"/>
      </patternFill>
    </fill>
    <fill>
      <patternFill patternType="solid">
        <fgColor theme="0"/>
      </patternFill>
    </fill>
    <fill>
      <patternFill patternType="solid">
        <fgColor rgb="FFD9EAF7"/>
      </patternFill>
    </fill>
    <fill>
      <patternFill patternType="solid">
        <fgColor rgb="FFF7FBFF"/>
      </patternFill>
    </fill>
    <fill>
      <patternFill patternType="solid">
        <fgColor rgb="FFF7FBFF"/>
      </patternFill>
    </fill>
    <fill>
      <patternFill patternType="solid">
        <fgColor rgb="FFF7FBFF"/>
      </patternFill>
    </fill>
    <fill>
      <patternFill patternType="solid">
        <fgColor rgb="FFF7FBFF"/>
      </patternFill>
    </fill>
    <fill>
      <patternFill patternType="solid">
        <fgColor theme="0"/>
      </patternFill>
    </fill>
    <fill>
      <patternFill patternType="solid">
        <fgColor rgb="FFFFFFCC"/>
      </patternFill>
    </fill>
    <fill>
      <patternFill patternType="solid">
        <fgColor rgb="FFFFFF00"/>
      </patternFill>
    </fill>
    <fill>
      <patternFill patternType="solid">
        <fgColor rgb="FF1F4E78"/>
      </patternFill>
    </fill>
    <fill>
      <patternFill patternType="solid">
        <fgColor rgb="FFD9EAF7"/>
      </patternFill>
    </fill>
    <fill>
      <patternFill patternType="solid">
        <fgColor rgb="FFB4C6E7"/>
      </patternFill>
    </fill>
    <fill>
      <patternFill patternType="solid">
        <fgColor rgb="FF4472C4"/>
      </patternFill>
    </fill>
    <fill>
      <patternFill patternType="solid">
        <fgColor rgb="FFA5A5A5"/>
      </patternFill>
    </fill>
    <fill>
      <patternFill patternType="solid">
        <fgColor rgb="FF5B9BD5"/>
      </patternFill>
    </fill>
    <fill>
      <patternFill patternType="solid">
        <fgColor rgb="FF70AD47"/>
      </patternFill>
    </fill>
    <fill>
      <patternFill patternType="solid">
        <fgColor rgb="FFFFC000"/>
      </patternFill>
    </fill>
    <fill>
      <patternFill patternType="solid">
        <fgColor rgb="FFED7D31"/>
      </patternFill>
    </fill>
    <fill>
      <patternFill patternType="solid">
        <fgColor rgb="FF9E480E"/>
      </patternFill>
    </fill>
    <fill>
      <patternFill patternType="solid">
        <fgColor rgb="FFF4B183"/>
      </patternFill>
    </fill>
    <fill>
      <patternFill patternType="solid">
        <fgColor rgb="FFFFD966"/>
      </patternFill>
    </fill>
    <fill>
      <patternFill patternType="solid">
        <fgColor rgb="FFE7E6E6"/>
      </patternFill>
    </fill>
    <fill>
      <patternFill patternType="solid">
        <fgColor rgb="FF264478"/>
      </patternFill>
    </fill>
    <fill>
      <patternFill patternType="solid">
        <fgColor rgb="FF636363"/>
      </patternFill>
    </fill>
    <fill>
      <patternFill patternType="solid">
        <fgColor theme="4"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FFFFCC"/>
        <bgColor indexed="64"/>
      </patternFill>
    </fill>
  </fills>
  <borders count="47">
    <border>
      <left/>
      <right/>
      <top/>
      <bottom/>
      <diagonal/>
    </border>
    <border>
      <left/>
      <right/>
      <top/>
      <bottom style="thin">
        <color rgb="FFD9E2F3"/>
      </bottom>
      <diagonal/>
    </border>
    <border>
      <left/>
      <right style="thin">
        <color rgb="FFD9E2F3"/>
      </right>
      <top/>
      <bottom style="thin">
        <color rgb="FFD9E2F3"/>
      </bottom>
      <diagonal/>
    </border>
    <border>
      <left style="thin">
        <color rgb="FFD9E2F3"/>
      </left>
      <right/>
      <top style="thin">
        <color rgb="FFD9E2F3"/>
      </top>
      <bottom style="thin">
        <color rgb="FFD9E2F3"/>
      </bottom>
      <diagonal/>
    </border>
    <border>
      <left/>
      <right/>
      <top style="thin">
        <color rgb="FFD9E2F3"/>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style="hair">
        <color theme="1"/>
      </right>
      <top style="thin">
        <color rgb="FFD9E2F3"/>
      </top>
      <bottom style="thin">
        <color rgb="FFD9E2F3"/>
      </bottom>
      <diagonal/>
    </border>
    <border>
      <left style="thin">
        <color rgb="FFD9E2F3"/>
      </left>
      <right/>
      <top/>
      <bottom style="thin">
        <color rgb="FFD9E2F3"/>
      </bottom>
      <diagonal/>
    </border>
    <border>
      <left/>
      <right style="hair">
        <color theme="1"/>
      </right>
      <top style="thin">
        <color rgb="FFD9E2F3"/>
      </top>
      <bottom style="thin">
        <color rgb="FFD9E2F3"/>
      </bottom>
      <diagonal/>
    </border>
    <border>
      <left style="hair">
        <color rgb="FFD9E2F3"/>
      </left>
      <right/>
      <top style="thin">
        <color rgb="FFD9E2F3"/>
      </top>
      <bottom style="thin">
        <color rgb="FFD9E2F3"/>
      </bottom>
      <diagonal/>
    </border>
    <border>
      <left/>
      <right style="hair">
        <color rgb="FFD9E2F3"/>
      </right>
      <top style="thin">
        <color rgb="FFD9E2F3"/>
      </top>
      <bottom style="thin">
        <color rgb="FFD9E2F3"/>
      </bottom>
      <diagonal/>
    </border>
    <border>
      <left/>
      <right style="hair">
        <color theme="1"/>
      </right>
      <top/>
      <bottom/>
      <diagonal/>
    </border>
    <border>
      <left style="thin">
        <color rgb="FFD9E2F3"/>
      </left>
      <right/>
      <top/>
      <bottom/>
      <diagonal/>
    </border>
    <border>
      <left/>
      <right style="thin">
        <color rgb="FFD9E2F3"/>
      </right>
      <top/>
      <bottom/>
      <diagonal/>
    </border>
    <border>
      <left style="dotted">
        <color auto="1"/>
      </left>
      <right/>
      <top/>
      <bottom style="dotted">
        <color auto="1"/>
      </bottom>
      <diagonal/>
    </border>
    <border>
      <left/>
      <right/>
      <top/>
      <bottom style="dotted">
        <color auto="1"/>
      </bottom>
      <diagonal/>
    </border>
    <border>
      <left/>
      <right style="dotted">
        <color auto="1"/>
      </right>
      <top/>
      <bottom style="dotted">
        <color auto="1"/>
      </bottom>
      <diagonal/>
    </border>
    <border>
      <left style="dotted">
        <color auto="1"/>
      </left>
      <right style="dotted">
        <color auto="1"/>
      </right>
      <top/>
      <bottom style="dotted">
        <color auto="1"/>
      </bottom>
      <diagonal/>
    </border>
    <border>
      <left style="dotted">
        <color auto="1"/>
      </left>
      <right style="dotted">
        <color auto="1"/>
      </right>
      <top style="dotted">
        <color auto="1"/>
      </top>
      <bottom style="dotted">
        <color auto="1"/>
      </bottom>
      <diagonal/>
    </border>
    <border>
      <left style="dotted">
        <color auto="1"/>
      </left>
      <right style="thin">
        <color auto="1"/>
      </right>
      <top style="dotted">
        <color auto="1"/>
      </top>
      <bottom style="dotted">
        <color auto="1"/>
      </bottom>
      <diagonal/>
    </border>
    <border>
      <left style="thin">
        <color auto="1"/>
      </left>
      <right/>
      <top/>
      <bottom style="dotted">
        <color auto="1"/>
      </bottom>
      <diagonal/>
    </border>
    <border>
      <left/>
      <right style="thin">
        <color auto="1"/>
      </right>
      <top/>
      <bottom style="dotted">
        <color auto="1"/>
      </bottom>
      <diagonal/>
    </border>
    <border>
      <left/>
      <right style="hair">
        <color auto="1"/>
      </right>
      <top/>
      <bottom style="dotted">
        <color auto="1"/>
      </bottom>
      <diagonal/>
    </border>
    <border>
      <left style="hair">
        <color auto="1"/>
      </left>
      <right/>
      <top/>
      <bottom style="dotted">
        <color auto="1"/>
      </bottom>
      <diagonal/>
    </border>
    <border>
      <left/>
      <right/>
      <top style="dotted">
        <color auto="1"/>
      </top>
      <bottom style="dotted">
        <color auto="1"/>
      </bottom>
      <diagonal/>
    </border>
    <border>
      <left/>
      <right style="hair">
        <color auto="1"/>
      </right>
      <top/>
      <bottom/>
      <diagonal/>
    </border>
    <border>
      <left style="dotted">
        <color auto="1"/>
      </left>
      <right style="dotted">
        <color auto="1"/>
      </right>
      <top/>
      <bottom/>
      <diagonal/>
    </border>
    <border>
      <left style="hair">
        <color auto="1"/>
      </left>
      <right/>
      <top/>
      <bottom/>
      <diagonal/>
    </border>
    <border>
      <left/>
      <right style="dotted">
        <color auto="1"/>
      </right>
      <top style="dotted">
        <color auto="1"/>
      </top>
      <bottom style="dotted">
        <color auto="1"/>
      </bottom>
      <diagonal/>
    </border>
    <border>
      <left style="thin">
        <color auto="1"/>
      </left>
      <right/>
      <top/>
      <bottom/>
      <diagonal/>
    </border>
    <border>
      <left/>
      <right style="thin">
        <color auto="1"/>
      </right>
      <top/>
      <bottom/>
      <diagonal/>
    </border>
    <border>
      <left/>
      <right/>
      <top/>
      <bottom/>
      <diagonal/>
    </border>
    <border>
      <left/>
      <right/>
      <top/>
      <bottom style="thin">
        <color rgb="FFD9E2F3"/>
      </bottom>
      <diagonal/>
    </border>
    <border>
      <left style="dotted">
        <color auto="1"/>
      </left>
      <right style="dotted">
        <color auto="1"/>
      </right>
      <top style="dotted">
        <color auto="1"/>
      </top>
      <bottom style="dotted">
        <color auto="1"/>
      </bottom>
      <diagonal/>
    </border>
    <border>
      <left/>
      <right/>
      <top/>
      <bottom/>
      <diagonal/>
    </border>
    <border>
      <left style="thin">
        <color rgb="FFBFBFBF"/>
      </left>
      <right style="thin">
        <color rgb="FFBFBFBF"/>
      </right>
      <top style="thin">
        <color rgb="FFBFBFBF"/>
      </top>
      <bottom style="thin">
        <color rgb="FFBFBFBF"/>
      </bottom>
      <diagonal/>
    </border>
    <border>
      <left style="medium">
        <color rgb="FF1F4E78"/>
      </left>
      <right style="medium">
        <color rgb="FF1F4E78"/>
      </right>
      <top style="medium">
        <color rgb="FF1F4E78"/>
      </top>
      <bottom style="medium">
        <color rgb="FF1F4E78"/>
      </bottom>
      <diagonal/>
    </border>
    <border>
      <left/>
      <right/>
      <top style="medium">
        <color rgb="FF1F4E78"/>
      </top>
      <bottom style="medium">
        <color rgb="FF1F4E78"/>
      </bottom>
      <diagonal/>
    </border>
    <border>
      <left/>
      <right style="medium">
        <color rgb="FF1F4E78"/>
      </right>
      <top style="medium">
        <color rgb="FF1F4E78"/>
      </top>
      <bottom style="medium">
        <color rgb="FF1F4E78"/>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top style="thin">
        <color rgb="FFBFBFBF"/>
      </top>
      <bottom style="thin">
        <color rgb="FFBFBFBF"/>
      </bottom>
      <diagonal/>
    </border>
    <border>
      <left style="medium">
        <color rgb="FF1F4E78"/>
      </left>
      <right/>
      <top style="medium">
        <color rgb="FF1F4E78"/>
      </top>
      <bottom style="medium">
        <color rgb="FF1F4E7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35"/>
    <xf numFmtId="43" fontId="110" fillId="0" borderId="35"/>
    <xf numFmtId="9" fontId="110" fillId="0" borderId="35"/>
    <xf numFmtId="0" fontId="110" fillId="0" borderId="35"/>
  </cellStyleXfs>
  <cellXfs count="592">
    <xf numFmtId="0" fontId="0" fillId="0" borderId="0" xfId="0" applyBorder="1"/>
    <xf numFmtId="0" fontId="0" fillId="2" borderId="0" xfId="0" applyFill="1" applyBorder="1" applyAlignment="1">
      <alignment horizontal="center" vertical="center"/>
    </xf>
    <xf numFmtId="0" fontId="3" fillId="2" borderId="0" xfId="0" applyFont="1" applyFill="1" applyBorder="1" applyAlignment="1">
      <alignment horizontal="center" vertical="center"/>
    </xf>
    <xf numFmtId="0" fontId="4" fillId="2" borderId="0" xfId="0" applyFont="1" applyFill="1" applyBorder="1" applyAlignment="1">
      <alignment horizontal="center" vertical="center"/>
    </xf>
    <xf numFmtId="0" fontId="5" fillId="2" borderId="0" xfId="0" applyFont="1" applyFill="1" applyBorder="1" applyAlignment="1">
      <alignment horizontal="center" vertical="center"/>
    </xf>
    <xf numFmtId="0" fontId="0" fillId="2" borderId="0" xfId="0" applyFill="1" applyBorder="1"/>
    <xf numFmtId="0" fontId="6" fillId="3" borderId="1" xfId="0" applyFont="1" applyFill="1" applyBorder="1" applyAlignment="1">
      <alignment horizontal="center" vertical="center" wrapText="1"/>
    </xf>
    <xf numFmtId="0" fontId="4" fillId="2" borderId="0" xfId="0" applyFont="1" applyFill="1" applyBorder="1"/>
    <xf numFmtId="0" fontId="7" fillId="3" borderId="1" xfId="0" applyFont="1" applyFill="1" applyBorder="1" applyAlignment="1">
      <alignment horizontal="center" vertical="center" wrapText="1"/>
    </xf>
    <xf numFmtId="0" fontId="8" fillId="2" borderId="0" xfId="0" applyFont="1" applyFill="1" applyBorder="1"/>
    <xf numFmtId="0" fontId="6" fillId="3" borderId="1" xfId="0" applyFont="1" applyFill="1" applyBorder="1" applyAlignment="1">
      <alignment horizontal="left" vertical="center"/>
    </xf>
    <xf numFmtId="0" fontId="2" fillId="2" borderId="0" xfId="0" applyFont="1" applyFill="1" applyBorder="1"/>
    <xf numFmtId="164" fontId="1" fillId="0" borderId="0" xfId="2" applyNumberFormat="1" applyFont="1" applyBorder="1"/>
    <xf numFmtId="10" fontId="0" fillId="2" borderId="0" xfId="0" applyNumberFormat="1" applyFill="1" applyBorder="1"/>
    <xf numFmtId="0" fontId="0" fillId="4" borderId="0" xfId="0" applyFill="1" applyBorder="1"/>
    <xf numFmtId="0" fontId="2" fillId="2" borderId="0" xfId="0" applyFont="1" applyFill="1" applyBorder="1" applyAlignment="1">
      <alignment horizontal="left"/>
    </xf>
    <xf numFmtId="0" fontId="2" fillId="2" borderId="0" xfId="0" applyFont="1" applyFill="1" applyBorder="1" applyAlignment="1">
      <alignment horizontal="center"/>
    </xf>
    <xf numFmtId="0" fontId="9" fillId="3" borderId="1" xfId="0" applyFont="1" applyFill="1" applyBorder="1" applyAlignment="1">
      <alignment horizontal="left" vertical="center"/>
    </xf>
    <xf numFmtId="0" fontId="10" fillId="3" borderId="1" xfId="0" applyFont="1" applyFill="1" applyBorder="1" applyAlignment="1">
      <alignment horizontal="left" vertical="center"/>
    </xf>
    <xf numFmtId="0" fontId="11" fillId="3" borderId="1" xfId="0" applyFont="1" applyFill="1" applyBorder="1" applyAlignment="1">
      <alignment horizontal="left" vertical="center"/>
    </xf>
    <xf numFmtId="0" fontId="12" fillId="3" borderId="1" xfId="0" applyFont="1" applyFill="1" applyBorder="1" applyAlignment="1">
      <alignment horizontal="left" vertical="center"/>
    </xf>
    <xf numFmtId="165" fontId="2" fillId="0" borderId="0" xfId="1" applyNumberFormat="1" applyFont="1" applyBorder="1"/>
    <xf numFmtId="165" fontId="13" fillId="0" borderId="0" xfId="1" applyNumberFormat="1" applyFont="1" applyBorder="1"/>
    <xf numFmtId="164" fontId="14" fillId="0" borderId="0" xfId="2" applyNumberFormat="1" applyFont="1" applyBorder="1"/>
    <xf numFmtId="165" fontId="15" fillId="0" borderId="0" xfId="1" applyNumberFormat="1" applyFont="1" applyBorder="1"/>
    <xf numFmtId="164" fontId="16" fillId="0" borderId="0" xfId="2" applyNumberFormat="1" applyFont="1" applyBorder="1"/>
    <xf numFmtId="164" fontId="17" fillId="0" borderId="0" xfId="2" applyNumberFormat="1" applyFont="1" applyBorder="1"/>
    <xf numFmtId="9" fontId="18" fillId="0" borderId="0" xfId="2" applyFont="1" applyBorder="1" applyAlignment="1">
      <alignment horizontal="center"/>
    </xf>
    <xf numFmtId="165" fontId="19" fillId="0" borderId="0" xfId="1" applyNumberFormat="1" applyFont="1" applyBorder="1"/>
    <xf numFmtId="164" fontId="20" fillId="0" borderId="0" xfId="2" applyNumberFormat="1" applyFont="1" applyBorder="1"/>
    <xf numFmtId="164" fontId="21" fillId="0" borderId="0" xfId="2" applyNumberFormat="1" applyFont="1" applyBorder="1"/>
    <xf numFmtId="9" fontId="20" fillId="0" borderId="0" xfId="2" applyFont="1" applyBorder="1" applyAlignment="1">
      <alignment horizontal="center"/>
    </xf>
    <xf numFmtId="165" fontId="22" fillId="0" borderId="0" xfId="1" applyNumberFormat="1" applyFont="1" applyBorder="1"/>
    <xf numFmtId="164" fontId="23" fillId="0" borderId="0" xfId="2" applyNumberFormat="1" applyFont="1" applyBorder="1"/>
    <xf numFmtId="164" fontId="24" fillId="0" borderId="0" xfId="2" applyNumberFormat="1" applyFont="1" applyBorder="1"/>
    <xf numFmtId="164" fontId="23" fillId="0" borderId="0" xfId="2" applyNumberFormat="1" applyFont="1" applyBorder="1" applyAlignment="1">
      <alignment horizontal="center"/>
    </xf>
    <xf numFmtId="0" fontId="25" fillId="5" borderId="2" xfId="0" applyFont="1" applyFill="1" applyBorder="1" applyAlignment="1">
      <alignment horizontal="left" vertical="center"/>
    </xf>
    <xf numFmtId="0" fontId="4" fillId="4" borderId="0" xfId="0" applyFont="1" applyFill="1" applyBorder="1" applyAlignment="1">
      <alignment horizontal="center" vertical="center" wrapText="1"/>
    </xf>
    <xf numFmtId="0" fontId="26" fillId="2" borderId="0" xfId="0" applyFont="1" applyFill="1" applyBorder="1" applyAlignment="1">
      <alignment horizontal="center"/>
    </xf>
    <xf numFmtId="0" fontId="27" fillId="5" borderId="2" xfId="0" applyFont="1" applyFill="1" applyBorder="1" applyAlignment="1">
      <alignment horizontal="left" vertical="center"/>
    </xf>
    <xf numFmtId="0" fontId="25" fillId="3" borderId="1" xfId="0" applyFont="1" applyFill="1" applyBorder="1" applyAlignment="1">
      <alignment horizontal="left" vertical="center"/>
    </xf>
    <xf numFmtId="0" fontId="28" fillId="4" borderId="0" xfId="3" applyFont="1" applyFill="1" applyBorder="1"/>
    <xf numFmtId="0" fontId="28" fillId="2" borderId="0" xfId="3" applyFont="1" applyFill="1" applyBorder="1"/>
    <xf numFmtId="0" fontId="4" fillId="0" borderId="0" xfId="0" applyFont="1" applyBorder="1"/>
    <xf numFmtId="0" fontId="27" fillId="3" borderId="1" xfId="0" applyFont="1" applyFill="1" applyBorder="1" applyAlignment="1">
      <alignment horizontal="left"/>
    </xf>
    <xf numFmtId="0" fontId="29" fillId="3" borderId="1" xfId="0" applyFont="1" applyFill="1" applyBorder="1" applyAlignment="1">
      <alignment horizontal="left"/>
    </xf>
    <xf numFmtId="0" fontId="30" fillId="3" borderId="1" xfId="0" applyFont="1" applyFill="1" applyBorder="1" applyAlignment="1">
      <alignment horizontal="left"/>
    </xf>
    <xf numFmtId="0" fontId="30" fillId="3" borderId="2" xfId="0" applyFont="1" applyFill="1" applyBorder="1" applyAlignment="1">
      <alignment horizontal="left"/>
    </xf>
    <xf numFmtId="0" fontId="30" fillId="3" borderId="3" xfId="0" applyFont="1" applyFill="1" applyBorder="1" applyAlignment="1">
      <alignment horizontal="right" vertical="center"/>
    </xf>
    <xf numFmtId="0" fontId="30" fillId="3" borderId="4" xfId="0" applyFont="1" applyFill="1" applyBorder="1" applyAlignment="1">
      <alignment horizontal="left" vertical="center"/>
    </xf>
    <xf numFmtId="0" fontId="30" fillId="3" borderId="5" xfId="0" applyFont="1" applyFill="1" applyBorder="1" applyAlignment="1">
      <alignment horizontal="right" vertical="center"/>
    </xf>
    <xf numFmtId="0" fontId="31" fillId="3" borderId="3" xfId="0" applyFont="1" applyFill="1" applyBorder="1" applyAlignment="1">
      <alignment horizontal="right" vertical="center"/>
    </xf>
    <xf numFmtId="0" fontId="31" fillId="3" borderId="4" xfId="0" applyFont="1" applyFill="1" applyBorder="1" applyAlignment="1">
      <alignment horizontal="center" vertical="center"/>
    </xf>
    <xf numFmtId="0" fontId="31" fillId="3" borderId="5" xfId="0" applyFont="1" applyFill="1" applyBorder="1" applyAlignment="1">
      <alignment horizontal="right" vertical="center"/>
    </xf>
    <xf numFmtId="0" fontId="32" fillId="3" borderId="3" xfId="0" applyFont="1" applyFill="1" applyBorder="1" applyAlignment="1">
      <alignment horizontal="left" vertical="center"/>
    </xf>
    <xf numFmtId="0" fontId="32" fillId="3" borderId="4" xfId="0" applyFont="1" applyFill="1" applyBorder="1" applyAlignment="1">
      <alignment horizontal="left" vertical="center"/>
    </xf>
    <xf numFmtId="0" fontId="32" fillId="3" borderId="5" xfId="0" applyFont="1" applyFill="1" applyBorder="1" applyAlignment="1">
      <alignment horizontal="left" vertical="center"/>
    </xf>
    <xf numFmtId="0" fontId="33" fillId="3" borderId="3" xfId="0" applyFont="1" applyFill="1" applyBorder="1" applyAlignment="1">
      <alignment horizontal="left" vertical="center"/>
    </xf>
    <xf numFmtId="0" fontId="33" fillId="3" borderId="4" xfId="0" applyFont="1" applyFill="1" applyBorder="1" applyAlignment="1">
      <alignment horizontal="center" vertical="center"/>
    </xf>
    <xf numFmtId="0" fontId="33" fillId="3" borderId="5" xfId="0" applyFont="1" applyFill="1" applyBorder="1" applyAlignment="1">
      <alignment horizontal="left" vertical="center"/>
    </xf>
    <xf numFmtId="0" fontId="34" fillId="3" borderId="1" xfId="0" applyFont="1" applyFill="1" applyBorder="1" applyAlignment="1">
      <alignment horizontal="left" vertical="center"/>
    </xf>
    <xf numFmtId="0" fontId="9" fillId="3" borderId="1" xfId="0" applyFont="1" applyFill="1" applyBorder="1" applyAlignment="1">
      <alignment horizontal="left" vertical="top" wrapText="1"/>
    </xf>
    <xf numFmtId="0" fontId="31" fillId="3" borderId="3" xfId="0" applyFont="1" applyFill="1" applyBorder="1" applyAlignment="1">
      <alignment horizontal="left" vertical="center"/>
    </xf>
    <xf numFmtId="0" fontId="35" fillId="5" borderId="4" xfId="0" applyFont="1" applyFill="1" applyBorder="1" applyAlignment="1">
      <alignment horizontal="left" vertical="center"/>
    </xf>
    <xf numFmtId="0" fontId="36" fillId="5" borderId="4" xfId="0" applyFont="1" applyFill="1" applyBorder="1" applyAlignment="1">
      <alignment horizontal="center" vertical="center" wrapText="1"/>
    </xf>
    <xf numFmtId="0" fontId="36" fillId="5" borderId="6" xfId="0" applyFont="1" applyFill="1" applyBorder="1" applyAlignment="1">
      <alignment horizontal="center" vertical="center" wrapText="1"/>
    </xf>
    <xf numFmtId="0" fontId="35" fillId="5" borderId="6" xfId="0" applyFont="1" applyFill="1" applyBorder="1" applyAlignment="1">
      <alignment horizontal="center" vertical="center"/>
    </xf>
    <xf numFmtId="0" fontId="36" fillId="5" borderId="7" xfId="0" applyFont="1" applyFill="1" applyBorder="1" applyAlignment="1">
      <alignment horizontal="center" vertical="center" wrapText="1"/>
    </xf>
    <xf numFmtId="0" fontId="36" fillId="5" borderId="3" xfId="0" applyFont="1" applyFill="1" applyBorder="1" applyAlignment="1">
      <alignment horizontal="center" vertical="center" wrapText="1"/>
    </xf>
    <xf numFmtId="0" fontId="35" fillId="5" borderId="4" xfId="0" applyFont="1" applyFill="1" applyBorder="1" applyAlignment="1">
      <alignment horizontal="center" vertical="center"/>
    </xf>
    <xf numFmtId="0" fontId="35" fillId="5" borderId="5" xfId="0" applyFont="1" applyFill="1" applyBorder="1" applyAlignment="1">
      <alignment horizontal="left" vertical="center"/>
    </xf>
    <xf numFmtId="0" fontId="35" fillId="5" borderId="3" xfId="0" applyFont="1" applyFill="1" applyBorder="1" applyAlignment="1">
      <alignment horizontal="left" vertical="center"/>
    </xf>
    <xf numFmtId="0" fontId="37" fillId="5" borderId="4" xfId="0" applyFont="1" applyFill="1" applyBorder="1" applyAlignment="1">
      <alignment horizontal="center" vertical="center" wrapText="1"/>
    </xf>
    <xf numFmtId="0" fontId="37" fillId="5" borderId="5" xfId="0" applyFont="1" applyFill="1" applyBorder="1" applyAlignment="1">
      <alignment horizontal="center" vertical="center" wrapText="1"/>
    </xf>
    <xf numFmtId="0" fontId="38" fillId="2" borderId="0" xfId="0" applyFont="1" applyFill="1" applyBorder="1"/>
    <xf numFmtId="0" fontId="36" fillId="5" borderId="3" xfId="0" applyFont="1" applyFill="1" applyBorder="1" applyAlignment="1">
      <alignment vertical="center" wrapText="1"/>
    </xf>
    <xf numFmtId="0" fontId="36" fillId="5" borderId="4" xfId="0" applyFont="1" applyFill="1" applyBorder="1" applyAlignment="1">
      <alignment vertical="center" wrapText="1"/>
    </xf>
    <xf numFmtId="0" fontId="36" fillId="5" borderId="5" xfId="0" applyFont="1" applyFill="1" applyBorder="1" applyAlignment="1">
      <alignment vertical="center" wrapText="1"/>
    </xf>
    <xf numFmtId="0" fontId="35" fillId="5" borderId="3" xfId="0" applyFont="1" applyFill="1" applyBorder="1" applyAlignment="1">
      <alignment horizontal="center" vertical="center"/>
    </xf>
    <xf numFmtId="0" fontId="39" fillId="2" borderId="0" xfId="3" applyFont="1" applyFill="1" applyBorder="1"/>
    <xf numFmtId="0" fontId="40" fillId="3" borderId="1" xfId="0" applyFont="1" applyFill="1" applyBorder="1" applyAlignment="1">
      <alignment horizontal="left" vertical="center"/>
    </xf>
    <xf numFmtId="0" fontId="41" fillId="3" borderId="1" xfId="0" applyFont="1" applyFill="1" applyBorder="1" applyAlignment="1">
      <alignment horizontal="center" vertical="center" wrapText="1"/>
    </xf>
    <xf numFmtId="0" fontId="27" fillId="3" borderId="3" xfId="0" applyFont="1" applyFill="1" applyBorder="1" applyAlignment="1">
      <alignment horizontal="left"/>
    </xf>
    <xf numFmtId="0" fontId="27" fillId="3" borderId="4" xfId="0" applyFont="1" applyFill="1" applyBorder="1" applyAlignment="1">
      <alignment horizontal="left"/>
    </xf>
    <xf numFmtId="0" fontId="27" fillId="3" borderId="4" xfId="0" applyFont="1" applyFill="1" applyBorder="1" applyAlignment="1">
      <alignment horizontal="center"/>
    </xf>
    <xf numFmtId="0" fontId="27" fillId="3" borderId="5" xfId="0" applyFont="1" applyFill="1" applyBorder="1" applyAlignment="1">
      <alignment horizontal="center" wrapText="1"/>
    </xf>
    <xf numFmtId="0" fontId="27" fillId="3" borderId="4" xfId="0" applyFont="1" applyFill="1" applyBorder="1" applyAlignment="1">
      <alignment horizontal="center" wrapText="1"/>
    </xf>
    <xf numFmtId="0" fontId="27" fillId="3" borderId="1" xfId="0" applyFont="1" applyFill="1" applyBorder="1" applyAlignment="1">
      <alignment horizontal="center"/>
    </xf>
    <xf numFmtId="0" fontId="27" fillId="3" borderId="2" xfId="0" applyFont="1" applyFill="1" applyBorder="1" applyAlignment="1">
      <alignment horizontal="left"/>
    </xf>
    <xf numFmtId="0" fontId="30" fillId="3" borderId="8" xfId="0" applyFont="1" applyFill="1" applyBorder="1" applyAlignment="1">
      <alignment horizontal="center"/>
    </xf>
    <xf numFmtId="0" fontId="30" fillId="3" borderId="1" xfId="0" applyFont="1" applyFill="1" applyBorder="1" applyAlignment="1">
      <alignment horizontal="center"/>
    </xf>
    <xf numFmtId="0" fontId="30" fillId="3" borderId="2" xfId="0" applyFont="1" applyFill="1" applyBorder="1" applyAlignment="1">
      <alignment horizontal="center" wrapText="1"/>
    </xf>
    <xf numFmtId="0" fontId="31" fillId="3" borderId="8" xfId="0" applyFont="1" applyFill="1" applyBorder="1" applyAlignment="1">
      <alignment horizontal="right" vertical="center" wrapText="1"/>
    </xf>
    <xf numFmtId="0" fontId="31" fillId="3" borderId="1" xfId="0" applyFont="1" applyFill="1" applyBorder="1" applyAlignment="1">
      <alignment horizontal="center"/>
    </xf>
    <xf numFmtId="0" fontId="31" fillId="3" borderId="2" xfId="0" applyFont="1" applyFill="1" applyBorder="1" applyAlignment="1">
      <alignment horizontal="center"/>
    </xf>
    <xf numFmtId="0" fontId="32" fillId="3" borderId="8" xfId="0" applyFont="1" applyFill="1" applyBorder="1" applyAlignment="1">
      <alignment horizontal="left" vertical="center"/>
    </xf>
    <xf numFmtId="0" fontId="32" fillId="3" borderId="1" xfId="0" applyFont="1" applyFill="1" applyBorder="1" applyAlignment="1">
      <alignment horizontal="left"/>
    </xf>
    <xf numFmtId="0" fontId="32" fillId="3" borderId="1" xfId="0" applyFont="1" applyFill="1" applyBorder="1" applyAlignment="1">
      <alignment horizontal="center"/>
    </xf>
    <xf numFmtId="0" fontId="32" fillId="3" borderId="2" xfId="0" applyFont="1" applyFill="1" applyBorder="1" applyAlignment="1">
      <alignment horizontal="center" wrapText="1"/>
    </xf>
    <xf numFmtId="0" fontId="33" fillId="3" borderId="8" xfId="0" applyFont="1" applyFill="1" applyBorder="1" applyAlignment="1">
      <alignment horizontal="right" vertical="center" wrapText="1"/>
    </xf>
    <xf numFmtId="0" fontId="33" fillId="3" borderId="1" xfId="0" applyFont="1" applyFill="1" applyBorder="1" applyAlignment="1">
      <alignment horizontal="center"/>
    </xf>
    <xf numFmtId="0" fontId="33" fillId="3" borderId="2" xfId="0" applyFont="1" applyFill="1" applyBorder="1" applyAlignment="1">
      <alignment horizontal="center"/>
    </xf>
    <xf numFmtId="0" fontId="36" fillId="5" borderId="5" xfId="0" applyFont="1" applyFill="1" applyBorder="1" applyAlignment="1">
      <alignment horizontal="center" vertical="center" wrapText="1"/>
    </xf>
    <xf numFmtId="0" fontId="42" fillId="5" borderId="4" xfId="0" applyFont="1" applyFill="1" applyBorder="1" applyAlignment="1">
      <alignment horizontal="center" vertical="center" wrapText="1"/>
    </xf>
    <xf numFmtId="0" fontId="43" fillId="5" borderId="4" xfId="0" applyFont="1" applyFill="1" applyBorder="1" applyAlignment="1">
      <alignment horizontal="center" vertical="center" wrapText="1"/>
    </xf>
    <xf numFmtId="0" fontId="44" fillId="5" borderId="4" xfId="0" applyFont="1" applyFill="1" applyBorder="1" applyAlignment="1">
      <alignment horizontal="center" vertical="center" wrapText="1"/>
    </xf>
    <xf numFmtId="0" fontId="36" fillId="5" borderId="9" xfId="0" applyFont="1" applyFill="1" applyBorder="1" applyAlignment="1">
      <alignment horizontal="center" vertical="center" wrapText="1"/>
    </xf>
    <xf numFmtId="0" fontId="45" fillId="5" borderId="6" xfId="0" applyFont="1" applyFill="1" applyBorder="1" applyAlignment="1">
      <alignment horizontal="center" vertical="center" wrapText="1"/>
    </xf>
    <xf numFmtId="0" fontId="37" fillId="5" borderId="1" xfId="0" applyFont="1" applyFill="1" applyBorder="1" applyAlignment="1">
      <alignment horizontal="center" vertical="center" wrapText="1"/>
    </xf>
    <xf numFmtId="0" fontId="45" fillId="5" borderId="2" xfId="0" applyFont="1" applyFill="1" applyBorder="1" applyAlignment="1">
      <alignment horizontal="left" vertical="center" wrapText="1"/>
    </xf>
    <xf numFmtId="0" fontId="27" fillId="5" borderId="3" xfId="0" applyFont="1" applyFill="1" applyBorder="1" applyAlignment="1">
      <alignment horizontal="left" vertical="center"/>
    </xf>
    <xf numFmtId="0" fontId="46" fillId="5" borderId="3" xfId="0" applyFont="1" applyFill="1" applyBorder="1" applyAlignment="1">
      <alignment horizontal="left" vertical="center"/>
    </xf>
    <xf numFmtId="0" fontId="36" fillId="5" borderId="5" xfId="0" applyFont="1" applyFill="1" applyBorder="1" applyAlignment="1">
      <alignment horizontal="left" vertical="center"/>
    </xf>
    <xf numFmtId="0" fontId="47" fillId="5" borderId="1" xfId="0" applyFont="1" applyFill="1" applyBorder="1" applyAlignment="1">
      <alignment horizontal="left" vertical="center"/>
    </xf>
    <xf numFmtId="0" fontId="36" fillId="5" borderId="8" xfId="0" applyFont="1" applyFill="1" applyBorder="1" applyAlignment="1">
      <alignment horizontal="center" vertical="center"/>
    </xf>
    <xf numFmtId="0" fontId="42" fillId="5" borderId="8" xfId="0" applyFont="1" applyFill="1" applyBorder="1" applyAlignment="1">
      <alignment horizontal="center" vertical="center"/>
    </xf>
    <xf numFmtId="0" fontId="43" fillId="5" borderId="8" xfId="0" applyFont="1" applyFill="1" applyBorder="1" applyAlignment="1">
      <alignment horizontal="center" vertical="center" wrapText="1"/>
    </xf>
    <xf numFmtId="0" fontId="43" fillId="5" borderId="8" xfId="0" applyFont="1" applyFill="1" applyBorder="1" applyAlignment="1">
      <alignment horizontal="center" vertical="center"/>
    </xf>
    <xf numFmtId="0" fontId="48" fillId="5" borderId="8" xfId="0" applyFont="1" applyFill="1" applyBorder="1" applyAlignment="1">
      <alignment horizontal="center" vertical="center" wrapText="1"/>
    </xf>
    <xf numFmtId="0" fontId="49" fillId="5" borderId="8" xfId="0" applyFont="1" applyFill="1" applyBorder="1" applyAlignment="1">
      <alignment horizontal="center" vertical="center"/>
    </xf>
    <xf numFmtId="0" fontId="44" fillId="5" borderId="8" xfId="0" applyFont="1" applyFill="1" applyBorder="1" applyAlignment="1">
      <alignment horizontal="center" vertical="center"/>
    </xf>
    <xf numFmtId="0" fontId="35" fillId="5" borderId="8" xfId="0" applyFont="1" applyFill="1" applyBorder="1" applyAlignment="1">
      <alignment horizontal="left" vertical="center"/>
    </xf>
    <xf numFmtId="0" fontId="35" fillId="5" borderId="2" xfId="0" applyFont="1" applyFill="1" applyBorder="1" applyAlignment="1">
      <alignment horizontal="left" vertical="center"/>
    </xf>
    <xf numFmtId="0" fontId="28" fillId="0" borderId="0" xfId="3" applyFont="1" applyBorder="1"/>
    <xf numFmtId="0" fontId="36" fillId="5" borderId="4" xfId="0" applyFont="1" applyFill="1" applyBorder="1" applyAlignment="1">
      <alignment horizontal="center" vertical="center"/>
    </xf>
    <xf numFmtId="0" fontId="31" fillId="3" borderId="4" xfId="0" applyFont="1" applyFill="1" applyBorder="1" applyAlignment="1">
      <alignment horizontal="center"/>
    </xf>
    <xf numFmtId="0" fontId="43" fillId="5" borderId="4" xfId="0" applyFont="1" applyFill="1" applyBorder="1" applyAlignment="1">
      <alignment horizontal="center" vertical="center"/>
    </xf>
    <xf numFmtId="2" fontId="50" fillId="2" borderId="0" xfId="3" applyNumberFormat="1" applyFont="1" applyFill="1" applyBorder="1" applyAlignment="1">
      <alignment horizontal="center" vertical="center" wrapText="1"/>
    </xf>
    <xf numFmtId="0" fontId="51" fillId="3" borderId="1" xfId="0" applyFont="1" applyFill="1" applyBorder="1" applyAlignment="1">
      <alignment horizontal="center" vertical="center" wrapText="1"/>
    </xf>
    <xf numFmtId="0" fontId="34" fillId="3" borderId="1" xfId="0" applyFont="1" applyFill="1" applyBorder="1" applyAlignment="1">
      <alignment horizontal="center" vertical="center" wrapText="1"/>
    </xf>
    <xf numFmtId="0" fontId="52" fillId="6" borderId="1" xfId="0" applyFont="1" applyFill="1" applyBorder="1" applyAlignment="1">
      <alignment horizontal="center" vertical="center" wrapText="1"/>
    </xf>
    <xf numFmtId="0" fontId="29" fillId="3" borderId="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34" fillId="3" borderId="1" xfId="0" applyFont="1" applyFill="1" applyBorder="1" applyAlignment="1">
      <alignment horizontal="center" wrapText="1"/>
    </xf>
    <xf numFmtId="0" fontId="27" fillId="3" borderId="4" xfId="0" applyFont="1" applyFill="1" applyBorder="1" applyAlignment="1">
      <alignment horizontal="center" vertical="center" wrapText="1"/>
    </xf>
    <xf numFmtId="0" fontId="53" fillId="3" borderId="4" xfId="0" applyFont="1" applyFill="1" applyBorder="1" applyAlignment="1">
      <alignment horizontal="center" vertical="center" wrapText="1"/>
    </xf>
    <xf numFmtId="0" fontId="31" fillId="3" borderId="4" xfId="0" applyFont="1" applyFill="1" applyBorder="1" applyAlignment="1">
      <alignment horizontal="center" vertical="center" wrapText="1"/>
    </xf>
    <xf numFmtId="0" fontId="32" fillId="3" borderId="4" xfId="0" applyFont="1" applyFill="1" applyBorder="1" applyAlignment="1">
      <alignment horizontal="center" vertical="center" wrapText="1"/>
    </xf>
    <xf numFmtId="0" fontId="33" fillId="3" borderId="5" xfId="0" applyFont="1" applyFill="1" applyBorder="1" applyAlignment="1">
      <alignment horizontal="center" vertical="center" wrapText="1"/>
    </xf>
    <xf numFmtId="0" fontId="30" fillId="3" borderId="8" xfId="0" applyFont="1" applyFill="1" applyBorder="1" applyAlignment="1">
      <alignment horizontal="center" vertical="center" wrapText="1"/>
    </xf>
    <xf numFmtId="0" fontId="30" fillId="3" borderId="1" xfId="0" applyFont="1" applyFill="1" applyBorder="1" applyAlignment="1">
      <alignment horizontal="center" vertical="center" wrapText="1"/>
    </xf>
    <xf numFmtId="0" fontId="30" fillId="3" borderId="2" xfId="0" applyFont="1" applyFill="1" applyBorder="1" applyAlignment="1">
      <alignment horizontal="center" vertical="center" wrapText="1"/>
    </xf>
    <xf numFmtId="0" fontId="31" fillId="3" borderId="8" xfId="0" applyFont="1" applyFill="1" applyBorder="1" applyAlignment="1">
      <alignment horizontal="center" vertical="center" wrapText="1"/>
    </xf>
    <xf numFmtId="0" fontId="31" fillId="3" borderId="1" xfId="0" applyFont="1" applyFill="1" applyBorder="1" applyAlignment="1">
      <alignment horizontal="center" vertical="center" wrapText="1"/>
    </xf>
    <xf numFmtId="0" fontId="31" fillId="3" borderId="2" xfId="0" applyFont="1" applyFill="1" applyBorder="1" applyAlignment="1">
      <alignment horizontal="center" vertical="center" wrapText="1"/>
    </xf>
    <xf numFmtId="0" fontId="32" fillId="3" borderId="8" xfId="0" applyFont="1" applyFill="1" applyBorder="1" applyAlignment="1">
      <alignment horizontal="center" vertical="center" wrapText="1"/>
    </xf>
    <xf numFmtId="0" fontId="32" fillId="3" borderId="1" xfId="0" applyFont="1" applyFill="1" applyBorder="1" applyAlignment="1">
      <alignment horizontal="center" vertical="center" wrapText="1"/>
    </xf>
    <xf numFmtId="0" fontId="32" fillId="3" borderId="2" xfId="0" applyFont="1" applyFill="1" applyBorder="1" applyAlignment="1">
      <alignment horizontal="center" vertical="center" wrapText="1"/>
    </xf>
    <xf numFmtId="0" fontId="33" fillId="3" borderId="8" xfId="0" applyFont="1" applyFill="1" applyBorder="1" applyAlignment="1">
      <alignment horizontal="center" vertical="center" wrapText="1"/>
    </xf>
    <xf numFmtId="0" fontId="33" fillId="3" borderId="1" xfId="0" applyFont="1" applyFill="1" applyBorder="1" applyAlignment="1">
      <alignment horizontal="center" vertical="center" wrapText="1"/>
    </xf>
    <xf numFmtId="0" fontId="33" fillId="3" borderId="2" xfId="0" applyFont="1" applyFill="1" applyBorder="1" applyAlignment="1">
      <alignment horizontal="center" vertical="center" wrapText="1"/>
    </xf>
    <xf numFmtId="0" fontId="36" fillId="5" borderId="8" xfId="0" applyFont="1" applyFill="1" applyBorder="1" applyAlignment="1">
      <alignment horizontal="center" vertical="center" wrapText="1"/>
    </xf>
    <xf numFmtId="0" fontId="36" fillId="5" borderId="1" xfId="0" applyFont="1" applyFill="1" applyBorder="1" applyAlignment="1">
      <alignment horizontal="center" vertical="center" wrapText="1"/>
    </xf>
    <xf numFmtId="0" fontId="58" fillId="3" borderId="1" xfId="0" applyFont="1" applyFill="1" applyBorder="1" applyAlignment="1">
      <alignment horizontal="center" vertical="center" wrapText="1"/>
    </xf>
    <xf numFmtId="0" fontId="54" fillId="3" borderId="1" xfId="0" applyFont="1" applyFill="1" applyBorder="1" applyAlignment="1">
      <alignment horizontal="center" vertical="center" wrapText="1"/>
    </xf>
    <xf numFmtId="0" fontId="59" fillId="3" borderId="1" xfId="0" applyFont="1" applyFill="1" applyBorder="1" applyAlignment="1">
      <alignment horizontal="center" vertical="center" wrapText="1"/>
    </xf>
    <xf numFmtId="0" fontId="60" fillId="3" borderId="1" xfId="0" applyFont="1" applyFill="1" applyBorder="1" applyAlignment="1">
      <alignment horizontal="center" vertical="center" wrapText="1"/>
    </xf>
    <xf numFmtId="0" fontId="61" fillId="3" borderId="1" xfId="0" applyFont="1" applyFill="1" applyBorder="1" applyAlignment="1">
      <alignment horizontal="center" vertical="center" wrapText="1"/>
    </xf>
    <xf numFmtId="0" fontId="46" fillId="5" borderId="8" xfId="0" applyFont="1" applyFill="1" applyBorder="1" applyAlignment="1">
      <alignment horizontal="center" vertical="center" wrapText="1"/>
    </xf>
    <xf numFmtId="0" fontId="47" fillId="5" borderId="6" xfId="0" applyFont="1" applyFill="1" applyBorder="1" applyAlignment="1">
      <alignment horizontal="center" vertical="center" wrapText="1"/>
    </xf>
    <xf numFmtId="0" fontId="45" fillId="5" borderId="8" xfId="0" applyFont="1" applyFill="1" applyBorder="1" applyAlignment="1">
      <alignment horizontal="center" vertical="center" wrapText="1"/>
    </xf>
    <xf numFmtId="0" fontId="47" fillId="5" borderId="8" xfId="0" applyFont="1" applyFill="1" applyBorder="1" applyAlignment="1">
      <alignment horizontal="center" vertical="center" wrapText="1"/>
    </xf>
    <xf numFmtId="0" fontId="47" fillId="5" borderId="7" xfId="0" applyFont="1" applyFill="1" applyBorder="1" applyAlignment="1">
      <alignment horizontal="center" vertical="center" wrapText="1"/>
    </xf>
    <xf numFmtId="0" fontId="46" fillId="5" borderId="6" xfId="0" applyFont="1" applyFill="1" applyBorder="1" applyAlignment="1">
      <alignment horizontal="center" vertical="center" wrapText="1"/>
    </xf>
    <xf numFmtId="0" fontId="45" fillId="5" borderId="10" xfId="0" applyFont="1" applyFill="1" applyBorder="1" applyAlignment="1">
      <alignment horizontal="center" vertical="center" wrapText="1"/>
    </xf>
    <xf numFmtId="0" fontId="47" fillId="5" borderId="11" xfId="0" applyFont="1" applyFill="1" applyBorder="1" applyAlignment="1">
      <alignment horizontal="center" vertical="center" wrapText="1"/>
    </xf>
    <xf numFmtId="0" fontId="47" fillId="5" borderId="1" xfId="0" applyFont="1" applyFill="1" applyBorder="1" applyAlignment="1">
      <alignment horizontal="center" vertical="center" wrapText="1"/>
    </xf>
    <xf numFmtId="0" fontId="27" fillId="3" borderId="1" xfId="0" applyFont="1" applyFill="1" applyBorder="1" applyAlignment="1">
      <alignment horizontal="center" vertical="center" wrapText="1"/>
    </xf>
    <xf numFmtId="0" fontId="62" fillId="5" borderId="8" xfId="3" applyFont="1" applyFill="1" applyBorder="1" applyAlignment="1">
      <alignment horizontal="center" vertical="center" wrapText="1"/>
    </xf>
    <xf numFmtId="0" fontId="63" fillId="5" borderId="8" xfId="0" applyFont="1" applyFill="1" applyBorder="1" applyAlignment="1">
      <alignment horizontal="center" vertical="center" wrapText="1"/>
    </xf>
    <xf numFmtId="0" fontId="64" fillId="5" borderId="8" xfId="0" applyFont="1" applyFill="1" applyBorder="1" applyAlignment="1">
      <alignment horizontal="center" vertical="center" wrapText="1"/>
    </xf>
    <xf numFmtId="0" fontId="42" fillId="5" borderId="8" xfId="0" applyFont="1" applyFill="1" applyBorder="1" applyAlignment="1">
      <alignment horizontal="center" vertical="center" wrapText="1"/>
    </xf>
    <xf numFmtId="0" fontId="44" fillId="5" borderId="8" xfId="0" applyFont="1" applyFill="1" applyBorder="1" applyAlignment="1">
      <alignment horizontal="center" vertical="center" wrapText="1"/>
    </xf>
    <xf numFmtId="0" fontId="45" fillId="5" borderId="8" xfId="3" applyFont="1" applyFill="1" applyBorder="1" applyAlignment="1">
      <alignment horizontal="center" vertical="center" wrapText="1"/>
    </xf>
    <xf numFmtId="0" fontId="51" fillId="3" borderId="0" xfId="0" applyFont="1" applyFill="1" applyBorder="1" applyAlignment="1">
      <alignment horizontal="center" vertical="center" wrapText="1"/>
    </xf>
    <xf numFmtId="0" fontId="51" fillId="3" borderId="0" xfId="0" applyFont="1" applyFill="1" applyBorder="1" applyAlignment="1">
      <alignment horizontal="left" vertical="center" wrapText="1"/>
    </xf>
    <xf numFmtId="0" fontId="35" fillId="5" borderId="0" xfId="0" applyFont="1" applyFill="1" applyBorder="1" applyAlignment="1">
      <alignment horizontal="center" vertical="center" wrapText="1"/>
    </xf>
    <xf numFmtId="0" fontId="35" fillId="5" borderId="12" xfId="0" applyFont="1" applyFill="1" applyBorder="1" applyAlignment="1">
      <alignment horizontal="center" vertical="center" wrapText="1"/>
    </xf>
    <xf numFmtId="0" fontId="35" fillId="5" borderId="13" xfId="0" applyFont="1" applyFill="1" applyBorder="1" applyAlignment="1">
      <alignment horizontal="center" vertical="center" wrapText="1"/>
    </xf>
    <xf numFmtId="0" fontId="35" fillId="5" borderId="14" xfId="0" applyFont="1" applyFill="1" applyBorder="1" applyAlignment="1">
      <alignment horizontal="center" vertical="center" wrapText="1"/>
    </xf>
    <xf numFmtId="0" fontId="65" fillId="7" borderId="15" xfId="0" applyFont="1" applyFill="1" applyBorder="1" applyAlignment="1">
      <alignment horizontal="center" vertical="center" wrapText="1"/>
    </xf>
    <xf numFmtId="0" fontId="66" fillId="7" borderId="16" xfId="0" applyFont="1" applyFill="1" applyBorder="1" applyAlignment="1">
      <alignment horizontal="center" vertical="center" wrapText="1"/>
    </xf>
    <xf numFmtId="0" fontId="4" fillId="8" borderId="19" xfId="0" applyFont="1" applyFill="1" applyBorder="1" applyAlignment="1">
      <alignment horizontal="center" vertical="center" wrapText="1"/>
    </xf>
    <xf numFmtId="0" fontId="4" fillId="8" borderId="19" xfId="0" applyFont="1" applyFill="1" applyBorder="1" applyAlignment="1">
      <alignment vertical="top" wrapText="1"/>
    </xf>
    <xf numFmtId="0" fontId="4" fillId="8" borderId="19" xfId="0" applyFont="1" applyFill="1" applyBorder="1" applyAlignment="1">
      <alignment horizontal="center" vertical="top" wrapText="1"/>
    </xf>
    <xf numFmtId="1" fontId="67" fillId="9" borderId="18" xfId="0" applyNumberFormat="1" applyFont="1" applyFill="1" applyBorder="1" applyAlignment="1">
      <alignment horizontal="center" vertical="center" wrapText="1"/>
    </xf>
    <xf numFmtId="3" fontId="66" fillId="7" borderId="18" xfId="0" applyNumberFormat="1" applyFont="1" applyFill="1" applyBorder="1" applyAlignment="1">
      <alignment horizontal="center" vertical="center" wrapText="1"/>
    </xf>
    <xf numFmtId="3" fontId="66" fillId="7" borderId="18" xfId="0" applyNumberFormat="1" applyFont="1" applyFill="1" applyBorder="1" applyAlignment="1">
      <alignment vertical="center" wrapText="1"/>
    </xf>
    <xf numFmtId="0" fontId="68" fillId="7" borderId="19" xfId="0" applyFont="1" applyFill="1" applyBorder="1" applyAlignment="1">
      <alignment vertical="center" wrapText="1"/>
    </xf>
    <xf numFmtId="3" fontId="68" fillId="7" borderId="19" xfId="0" applyNumberFormat="1" applyFont="1" applyFill="1" applyBorder="1" applyAlignment="1">
      <alignment vertical="center" wrapText="1"/>
    </xf>
    <xf numFmtId="3" fontId="68" fillId="2" borderId="0" xfId="0" applyNumberFormat="1" applyFont="1" applyFill="1" applyBorder="1" applyAlignment="1">
      <alignment vertical="center" wrapText="1"/>
    </xf>
    <xf numFmtId="3" fontId="66" fillId="7" borderId="19" xfId="0" applyNumberFormat="1" applyFont="1" applyFill="1" applyBorder="1" applyAlignment="1">
      <alignment horizontal="center" vertical="center" wrapText="1"/>
    </xf>
    <xf numFmtId="3" fontId="68" fillId="7" borderId="18" xfId="0" applyNumberFormat="1" applyFont="1" applyFill="1" applyBorder="1" applyAlignment="1">
      <alignment vertical="center" wrapText="1"/>
    </xf>
    <xf numFmtId="166" fontId="66" fillId="7" borderId="18" xfId="0" applyNumberFormat="1" applyFont="1" applyFill="1" applyBorder="1" applyAlignment="1">
      <alignment vertical="center" wrapText="1"/>
    </xf>
    <xf numFmtId="9" fontId="50" fillId="4" borderId="15" xfId="0" applyNumberFormat="1" applyFont="1" applyFill="1" applyBorder="1" applyAlignment="1">
      <alignment horizontal="center" vertical="center"/>
    </xf>
    <xf numFmtId="9" fontId="50" fillId="4" borderId="16" xfId="0" applyNumberFormat="1" applyFont="1" applyFill="1" applyBorder="1" applyAlignment="1">
      <alignment horizontal="center" vertical="center"/>
    </xf>
    <xf numFmtId="9" fontId="50" fillId="4" borderId="20" xfId="0" applyNumberFormat="1" applyFont="1" applyFill="1" applyBorder="1" applyAlignment="1">
      <alignment horizontal="center" vertical="center"/>
    </xf>
    <xf numFmtId="9" fontId="26" fillId="10" borderId="16" xfId="0" applyNumberFormat="1" applyFont="1" applyFill="1" applyBorder="1" applyAlignment="1">
      <alignment horizontal="center" vertical="center"/>
    </xf>
    <xf numFmtId="9" fontId="26" fillId="10" borderId="20" xfId="0" applyNumberFormat="1" applyFont="1" applyFill="1" applyBorder="1" applyAlignment="1">
      <alignment horizontal="center" vertical="center"/>
    </xf>
    <xf numFmtId="9" fontId="26" fillId="2" borderId="16" xfId="0" applyNumberFormat="1" applyFont="1" applyFill="1" applyBorder="1" applyAlignment="1">
      <alignment horizontal="center" vertical="center"/>
    </xf>
    <xf numFmtId="9" fontId="26" fillId="2" borderId="20" xfId="0" applyNumberFormat="1" applyFont="1" applyFill="1" applyBorder="1" applyAlignment="1">
      <alignment horizontal="center" vertical="center"/>
    </xf>
    <xf numFmtId="167" fontId="50" fillId="4" borderId="21" xfId="0" applyNumberFormat="1" applyFont="1" applyFill="1" applyBorder="1" applyAlignment="1">
      <alignment horizontal="center" vertical="center"/>
    </xf>
    <xf numFmtId="167" fontId="50" fillId="4" borderId="16" xfId="0" applyNumberFormat="1" applyFont="1" applyFill="1" applyBorder="1" applyAlignment="1">
      <alignment horizontal="center" vertical="center"/>
    </xf>
    <xf numFmtId="167" fontId="50" fillId="4" borderId="22" xfId="0" applyNumberFormat="1" applyFont="1" applyFill="1" applyBorder="1" applyAlignment="1">
      <alignment horizontal="center" vertical="center"/>
    </xf>
    <xf numFmtId="0" fontId="26" fillId="8" borderId="17" xfId="0" applyFont="1" applyFill="1" applyBorder="1" applyAlignment="1">
      <alignment horizontal="left" vertical="top" wrapText="1"/>
    </xf>
    <xf numFmtId="0" fontId="26" fillId="8" borderId="18" xfId="0" applyFont="1" applyFill="1" applyBorder="1" applyAlignment="1">
      <alignment horizontal="left" vertical="top" wrapText="1"/>
    </xf>
    <xf numFmtId="0" fontId="26" fillId="8" borderId="18" xfId="0" applyFont="1" applyFill="1" applyBorder="1" applyAlignment="1">
      <alignment horizontal="center" vertical="center" wrapText="1"/>
    </xf>
    <xf numFmtId="164" fontId="69" fillId="11" borderId="18" xfId="0" applyNumberFormat="1" applyFont="1" applyFill="1" applyBorder="1" applyAlignment="1">
      <alignment horizontal="center" vertical="center" wrapText="1"/>
    </xf>
    <xf numFmtId="3" fontId="69" fillId="11" borderId="18" xfId="0" applyNumberFormat="1" applyFont="1" applyFill="1" applyBorder="1" applyAlignment="1">
      <alignment horizontal="center" vertical="center" wrapText="1"/>
    </xf>
    <xf numFmtId="3" fontId="69" fillId="11" borderId="18" xfId="0" applyNumberFormat="1" applyFont="1" applyFill="1" applyBorder="1" applyAlignment="1">
      <alignment vertical="center" wrapText="1"/>
    </xf>
    <xf numFmtId="0" fontId="50" fillId="8" borderId="18" xfId="0" applyFont="1" applyFill="1" applyBorder="1" applyAlignment="1">
      <alignment horizontal="center" vertical="center" wrapText="1"/>
    </xf>
    <xf numFmtId="164" fontId="70" fillId="11" borderId="18" xfId="0" applyNumberFormat="1" applyFont="1" applyFill="1" applyBorder="1" applyAlignment="1">
      <alignment horizontal="center" vertical="center" wrapText="1"/>
    </xf>
    <xf numFmtId="164" fontId="70" fillId="11" borderId="17" xfId="0" applyNumberFormat="1" applyFont="1" applyFill="1" applyBorder="1" applyAlignment="1">
      <alignment horizontal="center" vertical="center" wrapText="1"/>
    </xf>
    <xf numFmtId="0" fontId="50" fillId="8" borderId="18" xfId="0" applyFont="1" applyFill="1" applyBorder="1" applyAlignment="1">
      <alignment vertical="center" wrapText="1"/>
    </xf>
    <xf numFmtId="2" fontId="69" fillId="11" borderId="18" xfId="0" applyNumberFormat="1" applyFont="1" applyFill="1" applyBorder="1" applyAlignment="1">
      <alignment horizontal="center" vertical="center" wrapText="1"/>
    </xf>
    <xf numFmtId="0" fontId="26" fillId="8" borderId="18" xfId="0" applyFont="1" applyFill="1" applyBorder="1" applyAlignment="1">
      <alignment vertical="top" wrapText="1"/>
    </xf>
    <xf numFmtId="3" fontId="69" fillId="11" borderId="15" xfId="0" applyNumberFormat="1" applyFont="1" applyFill="1" applyBorder="1" applyAlignment="1">
      <alignment vertical="center" wrapText="1"/>
    </xf>
    <xf numFmtId="3" fontId="69" fillId="11" borderId="16" xfId="0" applyNumberFormat="1" applyFont="1" applyFill="1" applyBorder="1" applyAlignment="1">
      <alignment vertical="center" wrapText="1"/>
    </xf>
    <xf numFmtId="3" fontId="69" fillId="11" borderId="17" xfId="0" applyNumberFormat="1" applyFont="1" applyFill="1" applyBorder="1" applyAlignment="1">
      <alignment vertical="center" wrapText="1"/>
    </xf>
    <xf numFmtId="3" fontId="50" fillId="8" borderId="15" xfId="3" applyNumberFormat="1" applyFont="1" applyFill="1" applyBorder="1" applyAlignment="1">
      <alignment horizontal="center" vertical="center"/>
    </xf>
    <xf numFmtId="2" fontId="71" fillId="8" borderId="18" xfId="3" applyNumberFormat="1" applyFont="1" applyFill="1" applyBorder="1" applyAlignment="1">
      <alignment horizontal="center" vertical="center" wrapText="1"/>
    </xf>
    <xf numFmtId="0" fontId="28" fillId="8" borderId="0" xfId="3" applyFont="1" applyFill="1" applyBorder="1"/>
    <xf numFmtId="164" fontId="50" fillId="4" borderId="15" xfId="3" applyNumberFormat="1" applyFont="1" applyFill="1" applyBorder="1" applyAlignment="1">
      <alignment horizontal="center" vertical="center" wrapText="1"/>
    </xf>
    <xf numFmtId="164" fontId="50" fillId="4" borderId="16" xfId="3" applyNumberFormat="1" applyFont="1" applyFill="1" applyBorder="1" applyAlignment="1">
      <alignment horizontal="center" vertical="center" wrapText="1"/>
    </xf>
    <xf numFmtId="164" fontId="50" fillId="4" borderId="23" xfId="3" applyNumberFormat="1" applyFont="1" applyFill="1" applyBorder="1" applyAlignment="1">
      <alignment horizontal="center" vertical="center" wrapText="1"/>
    </xf>
    <xf numFmtId="164" fontId="71" fillId="4" borderId="16" xfId="3" applyNumberFormat="1" applyFont="1" applyFill="1" applyBorder="1" applyAlignment="1">
      <alignment horizontal="center" vertical="center" wrapText="1"/>
    </xf>
    <xf numFmtId="164" fontId="71" fillId="4" borderId="24" xfId="3" applyNumberFormat="1" applyFont="1" applyFill="1" applyBorder="1" applyAlignment="1">
      <alignment horizontal="center" vertical="center" wrapText="1"/>
    </xf>
    <xf numFmtId="164" fontId="71" fillId="4" borderId="23" xfId="3" applyNumberFormat="1" applyFont="1" applyFill="1" applyBorder="1" applyAlignment="1">
      <alignment horizontal="center" vertical="center" wrapText="1"/>
    </xf>
    <xf numFmtId="164" fontId="71" fillId="4" borderId="17" xfId="3" applyNumberFormat="1" applyFont="1" applyFill="1" applyBorder="1" applyAlignment="1">
      <alignment horizontal="center" vertical="center" wrapText="1"/>
    </xf>
    <xf numFmtId="2" fontId="71" fillId="8" borderId="15" xfId="3" applyNumberFormat="1" applyFont="1" applyFill="1" applyBorder="1" applyAlignment="1">
      <alignment horizontal="center" vertical="center" wrapText="1"/>
    </xf>
    <xf numFmtId="2" fontId="72" fillId="8" borderId="18" xfId="3" applyNumberFormat="1" applyFont="1" applyFill="1" applyBorder="1" applyAlignment="1">
      <alignment horizontal="center" vertical="center" wrapText="1"/>
    </xf>
    <xf numFmtId="2" fontId="50" fillId="8" borderId="18" xfId="3" applyNumberFormat="1" applyFont="1" applyFill="1" applyBorder="1" applyAlignment="1">
      <alignment horizontal="left" vertical="top" wrapText="1"/>
    </xf>
    <xf numFmtId="2" fontId="50" fillId="8" borderId="18" xfId="3" applyNumberFormat="1" applyFont="1" applyFill="1" applyBorder="1" applyAlignment="1">
      <alignment horizontal="center" vertical="center" wrapText="1"/>
    </xf>
    <xf numFmtId="0" fontId="66" fillId="2" borderId="0" xfId="0" applyFont="1" applyFill="1" applyBorder="1" applyAlignment="1">
      <alignment horizontal="center" vertical="center" wrapText="1"/>
    </xf>
    <xf numFmtId="3" fontId="66" fillId="2" borderId="0" xfId="0" applyNumberFormat="1" applyFont="1" applyFill="1" applyBorder="1" applyAlignment="1">
      <alignment horizontal="right" vertical="center" wrapText="1"/>
    </xf>
    <xf numFmtId="0" fontId="68" fillId="2" borderId="0" xfId="0" applyFont="1" applyFill="1" applyBorder="1" applyAlignment="1">
      <alignment horizontal="center" vertical="center" wrapText="1"/>
    </xf>
    <xf numFmtId="0" fontId="66" fillId="2" borderId="0" xfId="0" applyFont="1" applyFill="1" applyBorder="1" applyAlignment="1">
      <alignment vertical="center" wrapText="1"/>
    </xf>
    <xf numFmtId="0" fontId="68" fillId="2" borderId="0" xfId="0" applyFont="1" applyFill="1" applyBorder="1" applyAlignment="1">
      <alignment vertical="center" wrapText="1"/>
    </xf>
    <xf numFmtId="1" fontId="73" fillId="9" borderId="0" xfId="0" applyNumberFormat="1" applyFont="1" applyFill="1" applyBorder="1" applyAlignment="1">
      <alignment horizontal="center" vertical="center"/>
    </xf>
    <xf numFmtId="3" fontId="66" fillId="2" borderId="0" xfId="0" applyNumberFormat="1" applyFont="1" applyFill="1" applyBorder="1" applyAlignment="1">
      <alignment horizontal="center" vertical="center" wrapText="1"/>
    </xf>
    <xf numFmtId="164" fontId="67" fillId="4" borderId="25" xfId="3" applyNumberFormat="1" applyFont="1" applyFill="1" applyBorder="1" applyAlignment="1">
      <alignment horizontal="right" vertical="center"/>
    </xf>
    <xf numFmtId="10" fontId="68" fillId="2" borderId="0" xfId="2" applyNumberFormat="1" applyFont="1" applyFill="1" applyBorder="1" applyAlignment="1">
      <alignment horizontal="center" vertical="center" wrapText="1"/>
    </xf>
    <xf numFmtId="3" fontId="66" fillId="2" borderId="0" xfId="2" applyNumberFormat="1" applyFont="1" applyFill="1" applyBorder="1" applyAlignment="1">
      <alignment vertical="center" wrapText="1"/>
    </xf>
    <xf numFmtId="3" fontId="66" fillId="2" borderId="0" xfId="0" applyNumberFormat="1" applyFont="1" applyFill="1" applyBorder="1" applyAlignment="1">
      <alignment vertical="center" wrapText="1"/>
    </xf>
    <xf numFmtId="0" fontId="5" fillId="0" borderId="0" xfId="0" applyFont="1" applyBorder="1"/>
    <xf numFmtId="10" fontId="68" fillId="2" borderId="25" xfId="2" applyNumberFormat="1" applyFont="1" applyFill="1" applyBorder="1" applyAlignment="1">
      <alignment horizontal="center" vertical="center" wrapText="1"/>
    </xf>
    <xf numFmtId="0" fontId="5" fillId="10" borderId="0" xfId="0" applyFont="1" applyFill="1" applyBorder="1"/>
    <xf numFmtId="0" fontId="26" fillId="2" borderId="0" xfId="0" applyFont="1" applyFill="1" applyBorder="1" applyAlignment="1">
      <alignment horizontal="left" vertical="top" wrapText="1"/>
    </xf>
    <xf numFmtId="164" fontId="74" fillId="2" borderId="0" xfId="2" applyNumberFormat="1" applyFont="1" applyFill="1" applyBorder="1" applyAlignment="1">
      <alignment horizontal="center" vertical="center"/>
    </xf>
    <xf numFmtId="164" fontId="75" fillId="4" borderId="26" xfId="3" applyNumberFormat="1" applyFont="1" applyFill="1" applyBorder="1" applyAlignment="1">
      <alignment horizontal="center" vertical="center"/>
    </xf>
    <xf numFmtId="0" fontId="26" fillId="2" borderId="0" xfId="0" applyFont="1" applyFill="1" applyBorder="1" applyAlignment="1">
      <alignment horizontal="center" vertical="top" wrapText="1"/>
    </xf>
    <xf numFmtId="164" fontId="76" fillId="4" borderId="0" xfId="2" applyNumberFormat="1" applyFont="1" applyFill="1" applyBorder="1"/>
    <xf numFmtId="164" fontId="75" fillId="4" borderId="26" xfId="3" applyNumberFormat="1" applyFont="1" applyFill="1" applyBorder="1" applyAlignment="1">
      <alignment horizontal="right" vertical="center"/>
    </xf>
    <xf numFmtId="164" fontId="77" fillId="2" borderId="0" xfId="2" applyNumberFormat="1" applyFont="1" applyFill="1" applyBorder="1" applyAlignment="1">
      <alignment horizontal="center" vertical="center"/>
    </xf>
    <xf numFmtId="164" fontId="78" fillId="2" borderId="0" xfId="2" applyNumberFormat="1" applyFont="1" applyFill="1" applyBorder="1" applyAlignment="1">
      <alignment horizontal="center" vertical="center"/>
    </xf>
    <xf numFmtId="0" fontId="79" fillId="4" borderId="0" xfId="0" applyFont="1" applyFill="1" applyBorder="1"/>
    <xf numFmtId="164" fontId="78" fillId="2" borderId="12" xfId="2" applyNumberFormat="1" applyFont="1" applyFill="1" applyBorder="1" applyAlignment="1">
      <alignment horizontal="center" vertical="center"/>
    </xf>
    <xf numFmtId="164" fontId="76" fillId="4" borderId="0" xfId="2" applyNumberFormat="1" applyFont="1" applyFill="1" applyBorder="1" applyAlignment="1">
      <alignment vertical="center"/>
    </xf>
    <xf numFmtId="0" fontId="76" fillId="4" borderId="0" xfId="0" applyFont="1" applyFill="1" applyBorder="1"/>
    <xf numFmtId="0" fontId="80" fillId="2" borderId="0" xfId="0" applyFont="1" applyFill="1" applyBorder="1"/>
    <xf numFmtId="164" fontId="81" fillId="2" borderId="0" xfId="2" applyNumberFormat="1" applyFont="1" applyFill="1" applyBorder="1" applyAlignment="1">
      <alignment horizontal="center"/>
    </xf>
    <xf numFmtId="164" fontId="77" fillId="2" borderId="0" xfId="2" applyNumberFormat="1" applyFont="1" applyFill="1" applyBorder="1" applyAlignment="1">
      <alignment horizontal="center"/>
    </xf>
    <xf numFmtId="164" fontId="82" fillId="2" borderId="0" xfId="2" applyNumberFormat="1" applyFont="1" applyFill="1" applyBorder="1" applyAlignment="1">
      <alignment horizontal="center"/>
    </xf>
    <xf numFmtId="164" fontId="83" fillId="2" borderId="0" xfId="2" applyNumberFormat="1" applyFont="1" applyFill="1" applyBorder="1" applyAlignment="1">
      <alignment horizontal="center"/>
    </xf>
    <xf numFmtId="164" fontId="84" fillId="2" borderId="0" xfId="2" applyNumberFormat="1" applyFont="1" applyFill="1" applyBorder="1" applyAlignment="1">
      <alignment horizontal="center"/>
    </xf>
    <xf numFmtId="2" fontId="50" fillId="2" borderId="27" xfId="3" applyNumberFormat="1" applyFont="1" applyFill="1" applyBorder="1" applyAlignment="1">
      <alignment horizontal="center" vertical="center" wrapText="1"/>
    </xf>
    <xf numFmtId="2" fontId="71" fillId="2" borderId="27" xfId="3" applyNumberFormat="1" applyFont="1" applyFill="1" applyBorder="1" applyAlignment="1">
      <alignment horizontal="center" vertical="center" wrapText="1"/>
    </xf>
    <xf numFmtId="0" fontId="76" fillId="0" borderId="0" xfId="3" applyFont="1" applyBorder="1"/>
    <xf numFmtId="164" fontId="71" fillId="4" borderId="28" xfId="3" applyNumberFormat="1" applyFont="1" applyFill="1" applyBorder="1" applyAlignment="1">
      <alignment horizontal="center" vertical="center" wrapText="1"/>
    </xf>
    <xf numFmtId="164" fontId="71" fillId="4" borderId="0" xfId="3" applyNumberFormat="1" applyFont="1" applyFill="1" applyBorder="1" applyAlignment="1">
      <alignment horizontal="center" vertical="center" wrapText="1"/>
    </xf>
    <xf numFmtId="164" fontId="85" fillId="4" borderId="26" xfId="3" applyNumberFormat="1" applyFont="1" applyFill="1" applyBorder="1" applyAlignment="1">
      <alignment horizontal="right" vertical="center"/>
    </xf>
    <xf numFmtId="167" fontId="86" fillId="4" borderId="0" xfId="3" applyNumberFormat="1" applyFont="1" applyFill="1" applyBorder="1" applyAlignment="1">
      <alignment horizontal="center" vertical="center" wrapText="1"/>
    </xf>
    <xf numFmtId="167" fontId="87" fillId="4" borderId="0" xfId="3" applyNumberFormat="1" applyFont="1" applyFill="1" applyBorder="1" applyAlignment="1">
      <alignment horizontal="center" vertical="center" wrapText="1"/>
    </xf>
    <xf numFmtId="167" fontId="88" fillId="4" borderId="0" xfId="3" applyNumberFormat="1" applyFont="1" applyFill="1" applyBorder="1" applyAlignment="1">
      <alignment horizontal="center" vertical="center" wrapText="1"/>
    </xf>
    <xf numFmtId="167" fontId="89" fillId="4" borderId="0" xfId="3" applyNumberFormat="1" applyFont="1" applyFill="1" applyBorder="1" applyAlignment="1">
      <alignment horizontal="center" vertical="center" wrapText="1"/>
    </xf>
    <xf numFmtId="167" fontId="90" fillId="4" borderId="0" xfId="3" applyNumberFormat="1" applyFont="1" applyFill="1" applyBorder="1" applyAlignment="1">
      <alignment horizontal="center" vertical="center" wrapText="1"/>
    </xf>
    <xf numFmtId="2" fontId="72" fillId="2" borderId="0" xfId="3" applyNumberFormat="1" applyFont="1" applyFill="1" applyBorder="1" applyAlignment="1">
      <alignment horizontal="center" vertical="center" wrapText="1"/>
    </xf>
    <xf numFmtId="2" fontId="50" fillId="2" borderId="27" xfId="3" applyNumberFormat="1" applyFont="1" applyFill="1" applyBorder="1" applyAlignment="1">
      <alignment horizontal="left" vertical="top" wrapText="1"/>
    </xf>
    <xf numFmtId="0" fontId="5" fillId="2" borderId="0" xfId="0" applyFont="1" applyFill="1" applyBorder="1"/>
    <xf numFmtId="0" fontId="0" fillId="12" borderId="19" xfId="0" applyFill="1" applyBorder="1" applyAlignment="1">
      <alignment horizontal="center" vertical="center" wrapText="1"/>
    </xf>
    <xf numFmtId="0" fontId="3" fillId="12" borderId="19" xfId="0" applyFont="1" applyFill="1" applyBorder="1" applyAlignment="1">
      <alignment horizontal="center" vertical="center" wrapText="1"/>
    </xf>
    <xf numFmtId="0" fontId="4" fillId="12" borderId="19" xfId="0" applyFont="1" applyFill="1" applyBorder="1" applyAlignment="1">
      <alignment horizontal="center" vertical="center" wrapText="1"/>
    </xf>
    <xf numFmtId="0" fontId="4" fillId="12" borderId="19" xfId="0" applyFont="1" applyFill="1" applyBorder="1" applyAlignment="1">
      <alignment vertical="top" wrapText="1"/>
    </xf>
    <xf numFmtId="0" fontId="4" fillId="12" borderId="19" xfId="0" applyFont="1" applyFill="1" applyBorder="1" applyAlignment="1">
      <alignment horizontal="center" vertical="top" wrapText="1"/>
    </xf>
    <xf numFmtId="1" fontId="91" fillId="9" borderId="19" xfId="0" applyNumberFormat="1" applyFont="1" applyFill="1" applyBorder="1" applyAlignment="1">
      <alignment horizontal="center" vertical="center"/>
    </xf>
    <xf numFmtId="3" fontId="5" fillId="12" borderId="19" xfId="0" applyNumberFormat="1" applyFont="1" applyFill="1" applyBorder="1" applyAlignment="1">
      <alignment horizontal="center" vertical="top" wrapText="1"/>
    </xf>
    <xf numFmtId="3" fontId="5" fillId="12" borderId="19" xfId="0" applyNumberFormat="1" applyFont="1" applyFill="1" applyBorder="1" applyAlignment="1">
      <alignment vertical="top" wrapText="1"/>
    </xf>
    <xf numFmtId="0" fontId="4" fillId="2" borderId="0" xfId="0" applyFont="1" applyFill="1" applyBorder="1" applyAlignment="1">
      <alignment vertical="top" wrapText="1"/>
    </xf>
    <xf numFmtId="0" fontId="4" fillId="12" borderId="19" xfId="0" applyFont="1" applyFill="1" applyBorder="1" applyAlignment="1">
      <alignment vertical="center" wrapText="1"/>
    </xf>
    <xf numFmtId="0" fontId="26" fillId="12" borderId="19" xfId="0" applyFont="1" applyFill="1" applyBorder="1" applyAlignment="1">
      <alignment vertical="top" wrapText="1"/>
    </xf>
    <xf numFmtId="166" fontId="5" fillId="12" borderId="19" xfId="0" applyNumberFormat="1" applyFont="1" applyFill="1" applyBorder="1" applyAlignment="1">
      <alignment horizontal="right" vertical="center" wrapText="1"/>
    </xf>
    <xf numFmtId="3" fontId="5" fillId="12" borderId="19" xfId="0" applyNumberFormat="1" applyFont="1" applyFill="1" applyBorder="1" applyAlignment="1">
      <alignment vertical="center" wrapText="1"/>
    </xf>
    <xf numFmtId="9" fontId="50" fillId="13" borderId="19" xfId="0" applyNumberFormat="1" applyFont="1" applyFill="1" applyBorder="1" applyAlignment="1">
      <alignment horizontal="center" vertical="center"/>
    </xf>
    <xf numFmtId="9" fontId="50" fillId="13" borderId="20" xfId="0" applyNumberFormat="1" applyFont="1" applyFill="1" applyBorder="1" applyAlignment="1">
      <alignment horizontal="center" vertical="center"/>
    </xf>
    <xf numFmtId="9" fontId="50" fillId="13" borderId="29" xfId="0" applyNumberFormat="1" applyFont="1" applyFill="1" applyBorder="1" applyAlignment="1">
      <alignment horizontal="center" vertical="center"/>
    </xf>
    <xf numFmtId="9" fontId="26" fillId="12" borderId="29" xfId="0" applyNumberFormat="1" applyFont="1" applyFill="1" applyBorder="1" applyAlignment="1">
      <alignment horizontal="center" vertical="center"/>
    </xf>
    <xf numFmtId="9" fontId="26" fillId="12" borderId="19" xfId="0" applyNumberFormat="1" applyFont="1" applyFill="1" applyBorder="1" applyAlignment="1">
      <alignment horizontal="center" vertical="center"/>
    </xf>
    <xf numFmtId="9" fontId="26" fillId="12" borderId="20" xfId="0" applyNumberFormat="1" applyFont="1" applyFill="1" applyBorder="1" applyAlignment="1">
      <alignment horizontal="center" vertical="center"/>
    </xf>
    <xf numFmtId="9" fontId="26" fillId="14" borderId="29" xfId="0" applyNumberFormat="1" applyFont="1" applyFill="1" applyBorder="1" applyAlignment="1">
      <alignment horizontal="center" vertical="center"/>
    </xf>
    <xf numFmtId="9" fontId="26" fillId="14" borderId="19" xfId="0" applyNumberFormat="1" applyFont="1" applyFill="1" applyBorder="1" applyAlignment="1">
      <alignment horizontal="center" vertical="center"/>
    </xf>
    <xf numFmtId="9" fontId="26" fillId="14" borderId="20" xfId="0" applyNumberFormat="1" applyFont="1" applyFill="1" applyBorder="1" applyAlignment="1">
      <alignment horizontal="center" vertical="center"/>
    </xf>
    <xf numFmtId="1" fontId="50" fillId="13" borderId="30" xfId="0" applyNumberFormat="1" applyFont="1" applyFill="1" applyBorder="1" applyAlignment="1">
      <alignment horizontal="center" vertical="center"/>
    </xf>
    <xf numFmtId="1" fontId="50" fillId="13" borderId="0" xfId="0" applyNumberFormat="1" applyFont="1" applyFill="1" applyBorder="1" applyAlignment="1">
      <alignment horizontal="center" vertical="center"/>
    </xf>
    <xf numFmtId="1" fontId="50" fillId="13" borderId="31" xfId="0" applyNumberFormat="1" applyFont="1" applyFill="1" applyBorder="1" applyAlignment="1">
      <alignment horizontal="center" vertical="center"/>
    </xf>
    <xf numFmtId="0" fontId="26" fillId="12" borderId="29" xfId="0" applyFont="1" applyFill="1" applyBorder="1" applyAlignment="1">
      <alignment horizontal="left" vertical="top" wrapText="1"/>
    </xf>
    <xf numFmtId="3" fontId="3" fillId="13" borderId="19" xfId="0" applyNumberFormat="1" applyFont="1" applyFill="1" applyBorder="1" applyAlignment="1">
      <alignment horizontal="right" vertical="center"/>
    </xf>
    <xf numFmtId="0" fontId="26" fillId="12" borderId="19" xfId="0" applyFont="1" applyFill="1" applyBorder="1" applyAlignment="1">
      <alignment horizontal="left" vertical="top" wrapText="1"/>
    </xf>
    <xf numFmtId="0" fontId="26" fillId="12" borderId="19" xfId="0" applyFont="1" applyFill="1" applyBorder="1" applyAlignment="1">
      <alignment horizontal="center" vertical="top" wrapText="1"/>
    </xf>
    <xf numFmtId="0" fontId="26" fillId="13" borderId="19" xfId="0" applyFont="1" applyFill="1" applyBorder="1" applyAlignment="1">
      <alignment horizontal="center" vertical="top" wrapText="1"/>
    </xf>
    <xf numFmtId="3" fontId="3" fillId="13" borderId="19" xfId="0" applyNumberFormat="1" applyFont="1" applyFill="1" applyBorder="1" applyAlignment="1">
      <alignment horizontal="center" vertical="center"/>
    </xf>
    <xf numFmtId="164" fontId="50" fillId="13" borderId="19" xfId="0" applyNumberFormat="1" applyFont="1" applyFill="1" applyBorder="1" applyAlignment="1">
      <alignment horizontal="center" vertical="center"/>
    </xf>
    <xf numFmtId="3" fontId="71" fillId="13" borderId="19" xfId="0" applyNumberFormat="1" applyFont="1" applyFill="1" applyBorder="1" applyAlignment="1">
      <alignment horizontal="right" vertical="center"/>
    </xf>
    <xf numFmtId="0" fontId="50" fillId="15" borderId="19" xfId="0" applyFont="1" applyFill="1" applyBorder="1" applyAlignment="1">
      <alignment horizontal="center" vertical="center" wrapText="1"/>
    </xf>
    <xf numFmtId="164" fontId="50" fillId="13" borderId="19" xfId="0" applyNumberFormat="1" applyFont="1" applyFill="1" applyBorder="1" applyAlignment="1">
      <alignment horizontal="center" vertical="center" wrapText="1"/>
    </xf>
    <xf numFmtId="0" fontId="50" fillId="15" borderId="19" xfId="0" applyFont="1" applyFill="1" applyBorder="1" applyAlignment="1">
      <alignment vertical="top" wrapText="1"/>
    </xf>
    <xf numFmtId="167" fontId="71" fillId="13" borderId="19" xfId="0" applyNumberFormat="1" applyFont="1" applyFill="1" applyBorder="1" applyAlignment="1">
      <alignment horizontal="center" vertical="center"/>
    </xf>
    <xf numFmtId="1" fontId="52" fillId="13" borderId="19" xfId="0" applyNumberFormat="1" applyFont="1" applyFill="1" applyBorder="1" applyAlignment="1">
      <alignment horizontal="center" vertical="center"/>
    </xf>
    <xf numFmtId="3" fontId="50" fillId="13" borderId="19" xfId="3" applyNumberFormat="1" applyFont="1" applyFill="1" applyBorder="1" applyAlignment="1">
      <alignment horizontal="center" vertical="center"/>
    </xf>
    <xf numFmtId="167" fontId="50" fillId="13" borderId="19" xfId="3" applyNumberFormat="1" applyFont="1" applyFill="1" applyBorder="1" applyAlignment="1">
      <alignment horizontal="center" vertical="center" wrapText="1"/>
    </xf>
    <xf numFmtId="2" fontId="50" fillId="13" borderId="19" xfId="3" applyNumberFormat="1" applyFont="1" applyFill="1" applyBorder="1" applyAlignment="1">
      <alignment horizontal="center" vertical="center" wrapText="1"/>
    </xf>
    <xf numFmtId="0" fontId="50" fillId="15" borderId="19" xfId="3" applyFont="1" applyFill="1" applyBorder="1" applyAlignment="1">
      <alignment vertical="top" wrapText="1"/>
    </xf>
    <xf numFmtId="164" fontId="50" fillId="13" borderId="19" xfId="3" applyNumberFormat="1" applyFont="1" applyFill="1" applyBorder="1" applyAlignment="1">
      <alignment horizontal="center" vertical="center" wrapText="1"/>
    </xf>
    <xf numFmtId="2" fontId="50" fillId="13" borderId="19" xfId="3" applyNumberFormat="1" applyFont="1" applyFill="1" applyBorder="1" applyAlignment="1">
      <alignment horizontal="left" vertical="top" wrapText="1"/>
    </xf>
    <xf numFmtId="0" fontId="0" fillId="0" borderId="19" xfId="0" applyBorder="1" applyAlignment="1">
      <alignment horizontal="center" vertical="center" wrapText="1"/>
    </xf>
    <xf numFmtId="0" fontId="3" fillId="0" borderId="19" xfId="0" applyFont="1" applyBorder="1" applyAlignment="1">
      <alignment horizontal="center" vertical="center" wrapText="1"/>
    </xf>
    <xf numFmtId="0" fontId="3" fillId="2" borderId="19" xfId="0" applyFont="1" applyFill="1" applyBorder="1" applyAlignment="1">
      <alignment horizontal="center" vertical="center" wrapText="1"/>
    </xf>
    <xf numFmtId="0" fontId="4" fillId="0" borderId="19" xfId="0" applyFont="1" applyBorder="1" applyAlignment="1">
      <alignment horizontal="center" vertical="center" wrapText="1"/>
    </xf>
    <xf numFmtId="0" fontId="4" fillId="0" borderId="19" xfId="0" applyFont="1" applyBorder="1" applyAlignment="1">
      <alignment vertical="top" wrapText="1"/>
    </xf>
    <xf numFmtId="0" fontId="4" fillId="0" borderId="19" xfId="0" applyFont="1" applyBorder="1" applyAlignment="1">
      <alignment horizontal="center" vertical="top" wrapText="1"/>
    </xf>
    <xf numFmtId="3" fontId="5" fillId="0" borderId="19" xfId="0" applyNumberFormat="1" applyFont="1" applyBorder="1" applyAlignment="1">
      <alignment horizontal="center" vertical="top" wrapText="1"/>
    </xf>
    <xf numFmtId="3" fontId="5" fillId="0" borderId="19" xfId="0" applyNumberFormat="1" applyFont="1" applyBorder="1" applyAlignment="1">
      <alignment vertical="top" wrapText="1"/>
    </xf>
    <xf numFmtId="3" fontId="5" fillId="2" borderId="19" xfId="0" applyNumberFormat="1" applyFont="1" applyFill="1" applyBorder="1" applyAlignment="1">
      <alignment horizontal="center" vertical="top" wrapText="1"/>
    </xf>
    <xf numFmtId="0" fontId="4" fillId="2" borderId="19" xfId="0" applyFont="1" applyFill="1" applyBorder="1" applyAlignment="1">
      <alignment vertical="center" wrapText="1"/>
    </xf>
    <xf numFmtId="0" fontId="26" fillId="2" borderId="19" xfId="0" applyFont="1" applyFill="1" applyBorder="1" applyAlignment="1">
      <alignment vertical="top" wrapText="1"/>
    </xf>
    <xf numFmtId="0" fontId="26" fillId="0" borderId="19" xfId="0" applyFont="1" applyBorder="1" applyAlignment="1">
      <alignment vertical="top" wrapText="1"/>
    </xf>
    <xf numFmtId="0" fontId="4" fillId="2" borderId="19" xfId="0" applyFont="1" applyFill="1" applyBorder="1" applyAlignment="1">
      <alignment vertical="top" wrapText="1"/>
    </xf>
    <xf numFmtId="166" fontId="5" fillId="2" borderId="19" xfId="0" applyNumberFormat="1" applyFont="1" applyFill="1" applyBorder="1" applyAlignment="1">
      <alignment horizontal="right" vertical="center" wrapText="1"/>
    </xf>
    <xf numFmtId="3" fontId="3" fillId="2" borderId="19" xfId="0" applyNumberFormat="1" applyFont="1" applyFill="1" applyBorder="1" applyAlignment="1">
      <alignment horizontal="right" vertical="center" wrapText="1"/>
    </xf>
    <xf numFmtId="3" fontId="5" fillId="2" borderId="19" xfId="0" applyNumberFormat="1" applyFont="1" applyFill="1" applyBorder="1" applyAlignment="1">
      <alignment vertical="center" wrapText="1"/>
    </xf>
    <xf numFmtId="9" fontId="50" fillId="4" borderId="19" xfId="0" applyNumberFormat="1" applyFont="1" applyFill="1" applyBorder="1" applyAlignment="1">
      <alignment horizontal="center" vertical="center"/>
    </xf>
    <xf numFmtId="9" fontId="50" fillId="4" borderId="29" xfId="0" applyNumberFormat="1" applyFont="1" applyFill="1" applyBorder="1" applyAlignment="1">
      <alignment horizontal="center" vertical="center"/>
    </xf>
    <xf numFmtId="9" fontId="26" fillId="10" borderId="29" xfId="0" applyNumberFormat="1" applyFont="1" applyFill="1" applyBorder="1" applyAlignment="1">
      <alignment horizontal="center" vertical="center"/>
    </xf>
    <xf numFmtId="9" fontId="26" fillId="10" borderId="19" xfId="0" applyNumberFormat="1" applyFont="1" applyFill="1" applyBorder="1" applyAlignment="1">
      <alignment horizontal="center" vertical="center"/>
    </xf>
    <xf numFmtId="9" fontId="26" fillId="2" borderId="29" xfId="0" applyNumberFormat="1" applyFont="1" applyFill="1" applyBorder="1" applyAlignment="1">
      <alignment horizontal="center" vertical="center"/>
    </xf>
    <xf numFmtId="9" fontId="26" fillId="2" borderId="19" xfId="0" applyNumberFormat="1" applyFont="1" applyFill="1" applyBorder="1" applyAlignment="1">
      <alignment horizontal="center" vertical="center"/>
    </xf>
    <xf numFmtId="1" fontId="50" fillId="4" borderId="30" xfId="0" applyNumberFormat="1" applyFont="1" applyFill="1" applyBorder="1" applyAlignment="1">
      <alignment horizontal="center" vertical="center"/>
    </xf>
    <xf numFmtId="1" fontId="50" fillId="4" borderId="0" xfId="0" applyNumberFormat="1" applyFont="1" applyFill="1" applyBorder="1" applyAlignment="1">
      <alignment horizontal="center" vertical="center"/>
    </xf>
    <xf numFmtId="1" fontId="50" fillId="4" borderId="31" xfId="0" applyNumberFormat="1" applyFont="1" applyFill="1" applyBorder="1" applyAlignment="1">
      <alignment horizontal="center" vertical="center"/>
    </xf>
    <xf numFmtId="0" fontId="26" fillId="2" borderId="29" xfId="0" applyFont="1" applyFill="1" applyBorder="1" applyAlignment="1">
      <alignment horizontal="left" vertical="top" wrapText="1"/>
    </xf>
    <xf numFmtId="3" fontId="3" fillId="2" borderId="19" xfId="0" applyNumberFormat="1" applyFont="1" applyFill="1" applyBorder="1" applyAlignment="1">
      <alignment horizontal="right" vertical="center"/>
    </xf>
    <xf numFmtId="0" fontId="93" fillId="10" borderId="19" xfId="0" applyFont="1" applyFill="1" applyBorder="1" applyAlignment="1">
      <alignment horizontal="left" vertical="top" wrapText="1"/>
    </xf>
    <xf numFmtId="0" fontId="93" fillId="10" borderId="19" xfId="0" applyFont="1" applyFill="1" applyBorder="1" applyAlignment="1">
      <alignment horizontal="center" vertical="top" wrapText="1"/>
    </xf>
    <xf numFmtId="3" fontId="3" fillId="2" borderId="19" xfId="0" applyNumberFormat="1" applyFont="1" applyFill="1" applyBorder="1" applyAlignment="1">
      <alignment horizontal="center" vertical="center"/>
    </xf>
    <xf numFmtId="164" fontId="67" fillId="4" borderId="19" xfId="0" applyNumberFormat="1" applyFont="1" applyFill="1" applyBorder="1" applyAlignment="1">
      <alignment horizontal="center" vertical="center"/>
    </xf>
    <xf numFmtId="3" fontId="94" fillId="4" borderId="19" xfId="0" applyNumberFormat="1" applyFont="1" applyFill="1" applyBorder="1" applyAlignment="1">
      <alignment horizontal="right" vertical="center"/>
    </xf>
    <xf numFmtId="0" fontId="95" fillId="2" borderId="0" xfId="0" applyFont="1" applyFill="1" applyBorder="1" applyAlignment="1">
      <alignment vertical="top" wrapText="1"/>
    </xf>
    <xf numFmtId="0" fontId="67" fillId="16" borderId="19" xfId="0" applyFont="1" applyFill="1" applyBorder="1" applyAlignment="1">
      <alignment horizontal="center" vertical="center" wrapText="1"/>
    </xf>
    <xf numFmtId="164" fontId="67" fillId="16" borderId="19" xfId="0" applyNumberFormat="1" applyFont="1" applyFill="1" applyBorder="1" applyAlignment="1">
      <alignment horizontal="center" vertical="center" wrapText="1"/>
    </xf>
    <xf numFmtId="0" fontId="67" fillId="16" borderId="19" xfId="0" applyFont="1" applyFill="1" applyBorder="1" applyAlignment="1">
      <alignment vertical="top" wrapText="1"/>
    </xf>
    <xf numFmtId="167" fontId="94" fillId="4" borderId="19" xfId="0" applyNumberFormat="1" applyFont="1" applyFill="1" applyBorder="1" applyAlignment="1">
      <alignment horizontal="center" vertical="center"/>
    </xf>
    <xf numFmtId="1" fontId="94" fillId="4" borderId="19" xfId="0" applyNumberFormat="1" applyFont="1" applyFill="1" applyBorder="1" applyAlignment="1">
      <alignment horizontal="center" vertical="center"/>
    </xf>
    <xf numFmtId="0" fontId="93" fillId="10" borderId="19" xfId="0" applyFont="1" applyFill="1" applyBorder="1" applyAlignment="1">
      <alignment vertical="top" wrapText="1"/>
    </xf>
    <xf numFmtId="0" fontId="96" fillId="2" borderId="0" xfId="0" applyFont="1" applyFill="1" applyBorder="1"/>
    <xf numFmtId="3" fontId="67" fillId="4" borderId="19" xfId="3" applyNumberFormat="1" applyFont="1" applyFill="1" applyBorder="1" applyAlignment="1">
      <alignment horizontal="center" vertical="center"/>
    </xf>
    <xf numFmtId="167" fontId="67" fillId="2" borderId="19" xfId="3" applyNumberFormat="1" applyFont="1" applyFill="1" applyBorder="1" applyAlignment="1">
      <alignment horizontal="center" vertical="center" wrapText="1"/>
    </xf>
    <xf numFmtId="2" fontId="67" fillId="2" borderId="19" xfId="3" applyNumberFormat="1" applyFont="1" applyFill="1" applyBorder="1" applyAlignment="1">
      <alignment horizontal="center" vertical="center" wrapText="1"/>
    </xf>
    <xf numFmtId="0" fontId="67" fillId="16" borderId="19" xfId="3" applyFont="1" applyFill="1" applyBorder="1" applyAlignment="1">
      <alignment vertical="top" wrapText="1"/>
    </xf>
    <xf numFmtId="164" fontId="67" fillId="4" borderId="19" xfId="3" applyNumberFormat="1" applyFont="1" applyFill="1" applyBorder="1" applyAlignment="1">
      <alignment horizontal="center" vertical="center" wrapText="1"/>
    </xf>
    <xf numFmtId="2" fontId="92" fillId="2" borderId="19" xfId="3" applyNumberFormat="1" applyFont="1" applyFill="1" applyBorder="1" applyAlignment="1">
      <alignment horizontal="center" vertical="center" wrapText="1"/>
    </xf>
    <xf numFmtId="167" fontId="92" fillId="2" borderId="19" xfId="3" applyNumberFormat="1" applyFont="1" applyFill="1" applyBorder="1" applyAlignment="1">
      <alignment horizontal="center" vertical="center" wrapText="1"/>
    </xf>
    <xf numFmtId="2" fontId="92" fillId="2" borderId="19" xfId="3" applyNumberFormat="1" applyFont="1" applyFill="1" applyBorder="1" applyAlignment="1">
      <alignment horizontal="left" vertical="top" wrapText="1"/>
    </xf>
    <xf numFmtId="3" fontId="3" fillId="12" borderId="19" xfId="0" applyNumberFormat="1" applyFont="1" applyFill="1" applyBorder="1" applyAlignment="1">
      <alignment horizontal="right" vertical="center" wrapText="1"/>
    </xf>
    <xf numFmtId="0" fontId="0" fillId="0" borderId="0" xfId="0" applyBorder="1" applyAlignment="1">
      <alignment horizontal="center" vertical="center"/>
    </xf>
    <xf numFmtId="0" fontId="3" fillId="0" borderId="0" xfId="0" applyFont="1" applyBorder="1" applyAlignment="1">
      <alignment horizontal="center" vertical="center"/>
    </xf>
    <xf numFmtId="0" fontId="4" fillId="0" borderId="0" xfId="0" applyFont="1" applyBorder="1" applyAlignment="1">
      <alignment horizontal="center" vertical="center"/>
    </xf>
    <xf numFmtId="0" fontId="5" fillId="0" borderId="0" xfId="0" applyFont="1" applyBorder="1" applyAlignment="1">
      <alignment horizontal="center" vertical="center"/>
    </xf>
    <xf numFmtId="0" fontId="2" fillId="0" borderId="0" xfId="0" applyFont="1" applyBorder="1"/>
    <xf numFmtId="0" fontId="0" fillId="10" borderId="0" xfId="0" applyFill="1" applyBorder="1"/>
    <xf numFmtId="0" fontId="2" fillId="0" borderId="0" xfId="0" applyFont="1" applyBorder="1" applyAlignment="1">
      <alignment horizontal="left"/>
    </xf>
    <xf numFmtId="0" fontId="2" fillId="0" borderId="0" xfId="0" applyFont="1" applyBorder="1" applyAlignment="1">
      <alignment horizontal="center"/>
    </xf>
    <xf numFmtId="0" fontId="0" fillId="0" borderId="0" xfId="0" applyBorder="1" applyAlignment="1">
      <alignment vertical="center"/>
    </xf>
    <xf numFmtId="0" fontId="0" fillId="17" borderId="19" xfId="0" applyFill="1" applyBorder="1" applyAlignment="1">
      <alignment horizontal="center" vertical="center" wrapText="1"/>
    </xf>
    <xf numFmtId="0" fontId="40" fillId="3" borderId="1" xfId="0" applyFont="1" applyFill="1" applyBorder="1" applyAlignment="1">
      <alignment horizontal="right" vertical="center"/>
    </xf>
    <xf numFmtId="0" fontId="97" fillId="3" borderId="1" xfId="0" applyFont="1" applyFill="1" applyBorder="1" applyAlignment="1">
      <alignment horizontal="left" vertical="center"/>
    </xf>
    <xf numFmtId="0" fontId="53" fillId="3" borderId="0" xfId="0" applyFont="1" applyFill="1" applyBorder="1" applyAlignment="1">
      <alignment horizontal="center" vertical="center" wrapText="1"/>
    </xf>
    <xf numFmtId="168" fontId="68" fillId="2" borderId="0" xfId="2" applyNumberFormat="1" applyFont="1" applyFill="1" applyBorder="1" applyAlignment="1">
      <alignment horizontal="center" vertical="center" wrapText="1"/>
    </xf>
    <xf numFmtId="0" fontId="53" fillId="3" borderId="4" xfId="0" applyFont="1" applyFill="1" applyBorder="1" applyAlignment="1">
      <alignment horizontal="center"/>
    </xf>
    <xf numFmtId="0" fontId="53" fillId="3" borderId="4" xfId="0" applyFont="1" applyFill="1" applyBorder="1" applyAlignment="1">
      <alignment horizontal="left"/>
    </xf>
    <xf numFmtId="0" fontId="53" fillId="3" borderId="5" xfId="0" applyFont="1" applyFill="1" applyBorder="1" applyAlignment="1">
      <alignment horizontal="left"/>
    </xf>
    <xf numFmtId="0" fontId="53" fillId="3" borderId="5" xfId="0" applyFont="1" applyFill="1" applyBorder="1" applyAlignment="1">
      <alignment horizontal="center" vertical="center" wrapText="1"/>
    </xf>
    <xf numFmtId="0" fontId="0" fillId="2" borderId="0" xfId="0" applyFill="1" applyBorder="1" applyAlignment="1">
      <alignment vertical="center"/>
    </xf>
    <xf numFmtId="0" fontId="76" fillId="2" borderId="0" xfId="3" applyFont="1" applyFill="1" applyBorder="1"/>
    <xf numFmtId="0" fontId="66" fillId="2" borderId="0" xfId="0" applyFont="1" applyFill="1" applyBorder="1" applyAlignment="1">
      <alignment horizontal="right" vertical="center"/>
    </xf>
    <xf numFmtId="168" fontId="68" fillId="2" borderId="25" xfId="2" applyNumberFormat="1" applyFont="1" applyFill="1" applyBorder="1" applyAlignment="1">
      <alignment horizontal="center" vertical="center" wrapText="1"/>
    </xf>
    <xf numFmtId="0" fontId="66" fillId="18" borderId="18" xfId="0" applyFont="1" applyFill="1" applyBorder="1" applyAlignment="1">
      <alignment horizontal="center" vertical="center" wrapText="1"/>
    </xf>
    <xf numFmtId="164" fontId="26" fillId="2" borderId="15" xfId="0" applyNumberFormat="1" applyFont="1" applyFill="1" applyBorder="1" applyAlignment="1">
      <alignment horizontal="center" vertical="center" wrapText="1"/>
    </xf>
    <xf numFmtId="164" fontId="26" fillId="2" borderId="16" xfId="0" applyNumberFormat="1" applyFont="1" applyFill="1" applyBorder="1" applyAlignment="1">
      <alignment horizontal="center" vertical="center" wrapText="1"/>
    </xf>
    <xf numFmtId="164" fontId="26" fillId="2" borderId="23" xfId="0" applyNumberFormat="1" applyFont="1" applyFill="1" applyBorder="1" applyAlignment="1">
      <alignment horizontal="center" vertical="center" wrapText="1"/>
    </xf>
    <xf numFmtId="164" fontId="3" fillId="2" borderId="16" xfId="0" applyNumberFormat="1" applyFont="1" applyFill="1" applyBorder="1" applyAlignment="1">
      <alignment horizontal="center" vertical="center" wrapText="1"/>
    </xf>
    <xf numFmtId="0" fontId="101" fillId="21" borderId="36" xfId="0" applyFont="1" applyFill="1" applyBorder="1" applyAlignment="1">
      <alignment horizontal="center" vertical="center" wrapText="1"/>
    </xf>
    <xf numFmtId="0" fontId="0" fillId="0" borderId="36" xfId="0" applyBorder="1" applyAlignment="1">
      <alignment horizontal="center" vertical="center" wrapText="1"/>
    </xf>
    <xf numFmtId="0" fontId="0" fillId="0" borderId="36" xfId="0" applyBorder="1" applyAlignment="1">
      <alignment horizontal="left" vertical="center" wrapText="1"/>
    </xf>
    <xf numFmtId="0" fontId="0" fillId="22" borderId="36" xfId="0" applyFill="1" applyBorder="1" applyAlignment="1">
      <alignment horizontal="left" vertical="center" wrapText="1"/>
    </xf>
    <xf numFmtId="0" fontId="0" fillId="24" borderId="36" xfId="0" applyFill="1" applyBorder="1" applyAlignment="1">
      <alignment horizontal="left" vertical="center" wrapText="1"/>
    </xf>
    <xf numFmtId="0" fontId="0" fillId="28" borderId="36" xfId="0" applyFill="1" applyBorder="1" applyAlignment="1">
      <alignment horizontal="left" vertical="center" wrapText="1"/>
    </xf>
    <xf numFmtId="0" fontId="0" fillId="23" borderId="36" xfId="0" applyFill="1" applyBorder="1" applyAlignment="1">
      <alignment horizontal="left" vertical="center" wrapText="1"/>
    </xf>
    <xf numFmtId="0" fontId="0" fillId="25" borderId="36" xfId="0" applyFill="1" applyBorder="1" applyAlignment="1">
      <alignment horizontal="left" vertical="center" wrapText="1"/>
    </xf>
    <xf numFmtId="0" fontId="0" fillId="29" borderId="36" xfId="0" applyFill="1" applyBorder="1" applyAlignment="1">
      <alignment horizontal="left" vertical="center" wrapText="1"/>
    </xf>
    <xf numFmtId="0" fontId="0" fillId="26" borderId="36" xfId="0" applyFill="1" applyBorder="1" applyAlignment="1">
      <alignment horizontal="left" vertical="center" wrapText="1"/>
    </xf>
    <xf numFmtId="0" fontId="0" fillId="30" borderId="36" xfId="0" applyFill="1" applyBorder="1" applyAlignment="1">
      <alignment horizontal="left" vertical="center" wrapText="1"/>
    </xf>
    <xf numFmtId="0" fontId="0" fillId="27" borderId="36" xfId="0" applyFill="1" applyBorder="1" applyAlignment="1">
      <alignment horizontal="left" vertical="center" wrapText="1"/>
    </xf>
    <xf numFmtId="3" fontId="0" fillId="0" borderId="36" xfId="0" applyNumberFormat="1" applyBorder="1" applyAlignment="1">
      <alignment horizontal="center" vertical="center" wrapText="1"/>
    </xf>
    <xf numFmtId="164" fontId="0" fillId="0" borderId="36" xfId="0" applyNumberFormat="1" applyBorder="1" applyAlignment="1">
      <alignment horizontal="center" vertical="center" wrapText="1"/>
    </xf>
    <xf numFmtId="0" fontId="0" fillId="32" borderId="36" xfId="0" applyFill="1" applyBorder="1" applyAlignment="1">
      <alignment horizontal="left" vertical="center" wrapText="1"/>
    </xf>
    <xf numFmtId="0" fontId="0" fillId="33" borderId="36" xfId="0" applyFill="1" applyBorder="1" applyAlignment="1">
      <alignment horizontal="left" vertical="center" wrapText="1"/>
    </xf>
    <xf numFmtId="0" fontId="102" fillId="0" borderId="36" xfId="0" applyFont="1" applyBorder="1" applyAlignment="1">
      <alignment horizontal="center" vertical="center" wrapText="1"/>
    </xf>
    <xf numFmtId="0" fontId="102" fillId="0" borderId="36" xfId="0" applyFont="1" applyBorder="1" applyAlignment="1">
      <alignment horizontal="left" vertical="center" wrapText="1"/>
    </xf>
    <xf numFmtId="0" fontId="100" fillId="34" borderId="36" xfId="0" applyFont="1" applyFill="1" applyBorder="1" applyAlignment="1">
      <alignment vertical="center"/>
    </xf>
    <xf numFmtId="0" fontId="0" fillId="34" borderId="41" xfId="0" applyFill="1" applyBorder="1"/>
    <xf numFmtId="0" fontId="0" fillId="34" borderId="40" xfId="0" applyFill="1" applyBorder="1"/>
    <xf numFmtId="0" fontId="98" fillId="19" borderId="32" xfId="0" applyFont="1" applyFill="1" applyBorder="1" applyAlignment="1">
      <alignment vertical="center"/>
    </xf>
    <xf numFmtId="0" fontId="103" fillId="34" borderId="37" xfId="0" applyFont="1" applyFill="1" applyBorder="1" applyAlignment="1">
      <alignment vertical="center"/>
    </xf>
    <xf numFmtId="0" fontId="0" fillId="34" borderId="38" xfId="0" applyFill="1" applyBorder="1"/>
    <xf numFmtId="0" fontId="104" fillId="21" borderId="36" xfId="0" applyFont="1" applyFill="1" applyBorder="1" applyAlignment="1">
      <alignment horizontal="center" vertical="center" wrapText="1"/>
    </xf>
    <xf numFmtId="0" fontId="105" fillId="0" borderId="0" xfId="0" applyFont="1" applyBorder="1"/>
    <xf numFmtId="0" fontId="106" fillId="0" borderId="35" xfId="0" applyFont="1"/>
    <xf numFmtId="0" fontId="106" fillId="36" borderId="35" xfId="0" applyFont="1" applyFill="1"/>
    <xf numFmtId="0" fontId="106" fillId="37" borderId="35" xfId="0" applyFont="1" applyFill="1"/>
    <xf numFmtId="0" fontId="105" fillId="0" borderId="35" xfId="0" applyFont="1"/>
    <xf numFmtId="0" fontId="30" fillId="3" borderId="8" xfId="0" applyFont="1" applyFill="1" applyBorder="1" applyAlignment="1">
      <alignment horizontal="center" vertical="center" textRotation="90" wrapText="1"/>
    </xf>
    <xf numFmtId="0" fontId="30" fillId="3" borderId="1" xfId="0" applyFont="1" applyFill="1" applyBorder="1" applyAlignment="1">
      <alignment horizontal="center" vertical="center" textRotation="90" wrapText="1"/>
    </xf>
    <xf numFmtId="0" fontId="54" fillId="3" borderId="2" xfId="0" applyFont="1" applyFill="1" applyBorder="1" applyAlignment="1">
      <alignment horizontal="center" vertical="center" textRotation="90" wrapText="1"/>
    </xf>
    <xf numFmtId="0" fontId="30" fillId="3" borderId="2" xfId="0" applyFont="1" applyFill="1" applyBorder="1" applyAlignment="1">
      <alignment horizontal="center" vertical="center" textRotation="90" wrapText="1"/>
    </xf>
    <xf numFmtId="0" fontId="107" fillId="15" borderId="34" xfId="0" applyFont="1" applyFill="1" applyBorder="1" applyAlignment="1">
      <alignment horizontal="center" vertical="center" wrapText="1"/>
    </xf>
    <xf numFmtId="0" fontId="107" fillId="35" borderId="34" xfId="0" applyFont="1" applyFill="1" applyBorder="1" applyAlignment="1">
      <alignment horizontal="center" vertical="center" wrapText="1"/>
    </xf>
    <xf numFmtId="0" fontId="108" fillId="0" borderId="34" xfId="0" applyFont="1" applyBorder="1" applyAlignment="1">
      <alignment horizontal="center" vertical="center" wrapText="1"/>
    </xf>
    <xf numFmtId="0" fontId="108" fillId="15" borderId="34" xfId="0" applyFont="1" applyFill="1" applyBorder="1" applyAlignment="1">
      <alignment horizontal="center" vertical="center" wrapText="1"/>
    </xf>
    <xf numFmtId="0" fontId="108" fillId="35" borderId="34" xfId="0" applyFont="1" applyFill="1" applyBorder="1" applyAlignment="1">
      <alignment horizontal="center" vertical="center" wrapText="1"/>
    </xf>
    <xf numFmtId="0" fontId="109" fillId="19" borderId="33" xfId="0" applyFont="1" applyFill="1" applyBorder="1" applyAlignment="1">
      <alignment horizontal="center" vertical="center" wrapText="1"/>
    </xf>
    <xf numFmtId="0" fontId="0" fillId="0" borderId="0" xfId="0" applyBorder="1"/>
    <xf numFmtId="0" fontId="0" fillId="0" borderId="0" xfId="0" applyBorder="1" applyAlignment="1">
      <alignment horizontal="left" vertical="center" indent="1"/>
    </xf>
    <xf numFmtId="0" fontId="2" fillId="0" borderId="0" xfId="0" applyFont="1" applyBorder="1" applyAlignment="1">
      <alignment horizontal="left" vertical="center" indent="1"/>
    </xf>
    <xf numFmtId="0" fontId="0" fillId="0" borderId="0" xfId="0" applyBorder="1" applyAlignment="1">
      <alignment horizontal="left" vertical="center" indent="2"/>
    </xf>
    <xf numFmtId="0" fontId="110" fillId="0" borderId="0" xfId="0" applyFont="1" applyBorder="1" applyAlignment="1">
      <alignment horizontal="left" vertical="center" indent="2"/>
    </xf>
    <xf numFmtId="0" fontId="110" fillId="0" borderId="0" xfId="0" applyFont="1" applyBorder="1"/>
    <xf numFmtId="0" fontId="106" fillId="0" borderId="0" xfId="0" applyFont="1" applyBorder="1" applyAlignment="1">
      <alignment horizontal="left" vertical="center" indent="1"/>
    </xf>
    <xf numFmtId="0" fontId="0" fillId="0" borderId="35" xfId="0"/>
    <xf numFmtId="0" fontId="112" fillId="0" borderId="0" xfId="0" applyFont="1" applyBorder="1" applyAlignment="1">
      <alignment vertical="center"/>
    </xf>
    <xf numFmtId="0" fontId="0" fillId="0" borderId="35" xfId="0" applyAlignment="1">
      <alignment horizontal="left"/>
    </xf>
    <xf numFmtId="0" fontId="0" fillId="0" borderId="35" xfId="0" applyAlignment="1">
      <alignment horizontal="left" vertical="center" wrapText="1"/>
    </xf>
    <xf numFmtId="0" fontId="110" fillId="0" borderId="0" xfId="0" quotePrefix="1" applyFont="1" applyBorder="1" applyAlignment="1">
      <alignment horizontal="left" vertical="center" indent="1"/>
    </xf>
    <xf numFmtId="0" fontId="0" fillId="0" borderId="40" xfId="0" applyBorder="1"/>
    <xf numFmtId="0" fontId="101" fillId="31" borderId="36" xfId="0" applyFont="1" applyFill="1" applyBorder="1" applyAlignment="1">
      <alignment horizontal="center" vertical="center" wrapText="1"/>
    </xf>
    <xf numFmtId="0" fontId="100" fillId="20" borderId="32" xfId="0" applyFont="1" applyFill="1" applyBorder="1" applyAlignment="1">
      <alignment horizontal="left" vertical="center" wrapText="1"/>
    </xf>
    <xf numFmtId="0" fontId="0" fillId="0" borderId="32" xfId="0" applyBorder="1"/>
    <xf numFmtId="0" fontId="100" fillId="20" borderId="37" xfId="0" applyFont="1" applyFill="1" applyBorder="1" applyAlignment="1">
      <alignment horizontal="center" vertical="center" wrapText="1"/>
    </xf>
    <xf numFmtId="0" fontId="0" fillId="0" borderId="38" xfId="0" applyBorder="1"/>
    <xf numFmtId="0" fontId="0" fillId="0" borderId="39" xfId="0" applyBorder="1"/>
    <xf numFmtId="9" fontId="0" fillId="0" borderId="36" xfId="0" applyNumberFormat="1" applyBorder="1" applyAlignment="1">
      <alignment horizontal="center" vertical="center" wrapText="1"/>
    </xf>
    <xf numFmtId="0" fontId="1" fillId="0" borderId="0" xfId="0" applyFont="1" applyBorder="1" applyAlignment="1">
      <alignment horizontal="left" vertical="center" indent="1"/>
    </xf>
    <xf numFmtId="0" fontId="1" fillId="0" borderId="0" xfId="0" quotePrefix="1" applyFont="1" applyBorder="1" applyAlignment="1">
      <alignment horizontal="left" vertical="center" indent="1"/>
    </xf>
    <xf numFmtId="0" fontId="0" fillId="0" borderId="35" xfId="0" applyBorder="1"/>
    <xf numFmtId="0" fontId="114" fillId="0" borderId="35" xfId="0" applyFont="1" applyBorder="1" applyAlignment="1">
      <alignment horizontal="left" vertical="center" indent="5"/>
    </xf>
    <xf numFmtId="0" fontId="111" fillId="38" borderId="0" xfId="0" applyFont="1" applyFill="1" applyBorder="1" applyAlignment="1">
      <alignment vertical="center"/>
    </xf>
    <xf numFmtId="0" fontId="0" fillId="38" borderId="0" xfId="0" applyFill="1" applyBorder="1"/>
    <xf numFmtId="0" fontId="112" fillId="38" borderId="0" xfId="0" applyFont="1" applyFill="1" applyBorder="1" applyAlignment="1">
      <alignment vertical="center"/>
    </xf>
    <xf numFmtId="0" fontId="0" fillId="38" borderId="35" xfId="0" applyFill="1"/>
    <xf numFmtId="0" fontId="0" fillId="38" borderId="35" xfId="0" applyFill="1" applyAlignment="1">
      <alignment horizontal="left"/>
    </xf>
    <xf numFmtId="0" fontId="106" fillId="38" borderId="35" xfId="0" applyFont="1" applyFill="1"/>
    <xf numFmtId="0" fontId="0" fillId="38" borderId="32" xfId="0" applyFill="1" applyBorder="1"/>
    <xf numFmtId="0" fontId="1" fillId="0" borderId="0" xfId="0" applyFont="1" applyBorder="1"/>
    <xf numFmtId="0" fontId="1" fillId="0" borderId="0" xfId="0" applyFont="1" applyBorder="1" applyAlignment="1">
      <alignment horizontal="left" vertical="center" indent="2"/>
    </xf>
    <xf numFmtId="0" fontId="1" fillId="0" borderId="0" xfId="0" quotePrefix="1" applyFont="1" applyBorder="1"/>
    <xf numFmtId="0" fontId="1" fillId="0" borderId="35" xfId="0" applyFont="1" applyBorder="1"/>
    <xf numFmtId="0" fontId="111" fillId="0" borderId="0" xfId="0" applyFont="1" applyBorder="1"/>
    <xf numFmtId="0" fontId="0" fillId="35" borderId="0" xfId="0" applyFill="1" applyBorder="1"/>
    <xf numFmtId="0" fontId="116" fillId="19" borderId="35" xfId="0" applyFont="1" applyFill="1" applyAlignment="1">
      <alignment vertical="center"/>
    </xf>
    <xf numFmtId="0" fontId="0" fillId="35" borderId="35" xfId="0" applyFill="1" applyBorder="1"/>
    <xf numFmtId="0" fontId="0" fillId="35" borderId="41" xfId="0" applyFill="1" applyBorder="1"/>
    <xf numFmtId="0" fontId="0" fillId="35" borderId="40" xfId="0" applyFill="1" applyBorder="1"/>
    <xf numFmtId="0" fontId="0" fillId="35" borderId="35" xfId="0" applyFill="1"/>
    <xf numFmtId="0" fontId="0" fillId="35" borderId="35" xfId="0" applyFill="1" applyAlignment="1">
      <alignment horizontal="center" vertical="center" wrapText="1"/>
    </xf>
    <xf numFmtId="0" fontId="0" fillId="0" borderId="35" xfId="0" applyBorder="1" applyAlignment="1"/>
    <xf numFmtId="0" fontId="117" fillId="38" borderId="43" xfId="0" applyFont="1" applyFill="1" applyBorder="1" applyAlignment="1">
      <alignment vertical="center"/>
    </xf>
    <xf numFmtId="0" fontId="120" fillId="0" borderId="0" xfId="0" applyFont="1" applyBorder="1"/>
    <xf numFmtId="0" fontId="121" fillId="38" borderId="39" xfId="0" applyFont="1" applyFill="1" applyBorder="1" applyAlignment="1">
      <alignment vertical="center"/>
    </xf>
    <xf numFmtId="0" fontId="4" fillId="0" borderId="36" xfId="0" applyFont="1" applyBorder="1" applyAlignment="1">
      <alignment horizontal="left" vertical="center" wrapText="1"/>
    </xf>
    <xf numFmtId="0" fontId="5" fillId="0" borderId="36" xfId="0" applyFont="1" applyBorder="1" applyAlignment="1">
      <alignment horizontal="left" vertical="center" wrapText="1"/>
    </xf>
    <xf numFmtId="0" fontId="122" fillId="19" borderId="35" xfId="0" applyFont="1" applyFill="1" applyAlignment="1">
      <alignment vertical="center"/>
    </xf>
    <xf numFmtId="0" fontId="123" fillId="0" borderId="0" xfId="0" applyFont="1" applyBorder="1"/>
    <xf numFmtId="0" fontId="119" fillId="38" borderId="44" xfId="0" applyFont="1" applyFill="1" applyBorder="1" applyAlignment="1">
      <alignment vertical="center"/>
    </xf>
    <xf numFmtId="0" fontId="120" fillId="38" borderId="45" xfId="0" applyFont="1" applyFill="1" applyBorder="1" applyAlignment="1"/>
    <xf numFmtId="0" fontId="119" fillId="38" borderId="45" xfId="0" applyFont="1" applyFill="1" applyBorder="1" applyAlignment="1">
      <alignment vertical="center"/>
    </xf>
    <xf numFmtId="0" fontId="120" fillId="38" borderId="46" xfId="0" applyFont="1" applyFill="1" applyBorder="1" applyAlignment="1"/>
    <xf numFmtId="0" fontId="111" fillId="0" borderId="35" xfId="0" applyFont="1" applyBorder="1"/>
    <xf numFmtId="0" fontId="1" fillId="0" borderId="35" xfId="0" applyFont="1" applyBorder="1" applyAlignment="1">
      <alignment horizontal="left" vertical="center" indent="1"/>
    </xf>
    <xf numFmtId="0" fontId="112" fillId="0" borderId="35" xfId="0" applyFont="1" applyBorder="1" applyAlignment="1">
      <alignment vertical="center"/>
    </xf>
    <xf numFmtId="0" fontId="2" fillId="0" borderId="35" xfId="0" applyFont="1" applyBorder="1" applyAlignment="1">
      <alignment horizontal="left" vertical="center" indent="1"/>
    </xf>
    <xf numFmtId="0" fontId="2" fillId="0" borderId="35" xfId="0" applyFont="1" applyBorder="1" applyAlignment="1">
      <alignment horizontal="left" vertical="center" indent="2"/>
    </xf>
    <xf numFmtId="0" fontId="1" fillId="0" borderId="35" xfId="0" applyFont="1" applyBorder="1" applyAlignment="1">
      <alignment horizontal="left" vertical="center" indent="2"/>
    </xf>
    <xf numFmtId="0" fontId="0" fillId="0" borderId="35" xfId="0" applyBorder="1" applyAlignment="1">
      <alignment horizontal="left" vertical="center" indent="2"/>
    </xf>
    <xf numFmtId="0" fontId="101" fillId="31" borderId="40" xfId="0" applyFont="1" applyFill="1" applyBorder="1" applyAlignment="1">
      <alignment horizontal="center" vertical="center" wrapText="1"/>
    </xf>
    <xf numFmtId="0" fontId="120" fillId="38" borderId="45" xfId="0" applyFont="1" applyFill="1" applyBorder="1"/>
    <xf numFmtId="0" fontId="120" fillId="38" borderId="46" xfId="0" applyFont="1" applyFill="1" applyBorder="1"/>
    <xf numFmtId="0" fontId="124" fillId="0" borderId="32" xfId="0" applyFont="1" applyBorder="1"/>
    <xf numFmtId="0" fontId="124" fillId="0" borderId="35" xfId="0" applyFont="1"/>
    <xf numFmtId="0" fontId="124" fillId="0" borderId="35" xfId="0" applyFont="1" applyBorder="1"/>
    <xf numFmtId="0" fontId="121" fillId="38" borderId="38" xfId="0" applyFont="1" applyFill="1" applyBorder="1" applyAlignment="1">
      <alignment vertical="center"/>
    </xf>
    <xf numFmtId="0" fontId="118" fillId="38" borderId="38" xfId="0" applyFont="1" applyFill="1" applyBorder="1" applyAlignment="1">
      <alignment vertical="center"/>
    </xf>
    <xf numFmtId="0" fontId="118" fillId="38" borderId="39" xfId="0" applyFont="1" applyFill="1" applyBorder="1" applyAlignment="1">
      <alignment vertical="center"/>
    </xf>
    <xf numFmtId="0" fontId="118" fillId="0" borderId="0" xfId="0" applyFont="1" applyBorder="1" applyAlignment="1">
      <alignment vertical="center"/>
    </xf>
    <xf numFmtId="0" fontId="2" fillId="0" borderId="0" xfId="0" quotePrefix="1" applyFont="1" applyBorder="1" applyAlignment="1">
      <alignment horizontal="left" vertical="center" indent="1"/>
    </xf>
    <xf numFmtId="0" fontId="1" fillId="0" borderId="0" xfId="0" quotePrefix="1" applyFont="1" applyBorder="1" applyAlignment="1">
      <alignment horizontal="left" vertical="center" indent="2"/>
    </xf>
    <xf numFmtId="0" fontId="2" fillId="0" borderId="0" xfId="0" quotePrefix="1" applyFont="1" applyBorder="1" applyAlignment="1">
      <alignment horizontal="left" vertical="center" indent="2"/>
    </xf>
    <xf numFmtId="0" fontId="1" fillId="0" borderId="35" xfId="0" quotePrefix="1" applyFont="1" applyBorder="1" applyAlignment="1">
      <alignment horizontal="left" vertical="center" indent="2"/>
    </xf>
    <xf numFmtId="0" fontId="1" fillId="0" borderId="35" xfId="0" quotePrefix="1" applyFont="1"/>
    <xf numFmtId="0" fontId="1" fillId="0" borderId="35" xfId="0" quotePrefix="1" applyFont="1" applyBorder="1"/>
    <xf numFmtId="0" fontId="110" fillId="0" borderId="35" xfId="0" applyFont="1" applyBorder="1" applyAlignment="1">
      <alignment horizontal="left" vertical="center" indent="2"/>
    </xf>
    <xf numFmtId="0" fontId="0" fillId="35" borderId="32" xfId="0" applyFill="1" applyBorder="1"/>
    <xf numFmtId="0" fontId="124" fillId="35" borderId="32" xfId="0" applyFont="1" applyFill="1" applyBorder="1"/>
    <xf numFmtId="0" fontId="125" fillId="35" borderId="0" xfId="0" applyFont="1" applyFill="1" applyBorder="1" applyAlignment="1">
      <alignment vertical="center"/>
    </xf>
    <xf numFmtId="0" fontId="124" fillId="35" borderId="35" xfId="0" applyFont="1" applyFill="1"/>
    <xf numFmtId="0" fontId="129" fillId="35" borderId="32" xfId="0" applyFont="1" applyFill="1" applyBorder="1"/>
    <xf numFmtId="0" fontId="124" fillId="35" borderId="0" xfId="0" applyFont="1" applyFill="1" applyBorder="1"/>
    <xf numFmtId="0" fontId="124" fillId="35" borderId="0" xfId="0" applyFont="1" applyFill="1" applyBorder="1" applyAlignment="1">
      <alignment horizontal="left" vertical="center" indent="1"/>
    </xf>
    <xf numFmtId="0" fontId="124" fillId="35" borderId="35" xfId="0" applyFont="1" applyFill="1" applyBorder="1"/>
    <xf numFmtId="0" fontId="5" fillId="0" borderId="42" xfId="0" applyFont="1" applyBorder="1" applyAlignment="1">
      <alignment horizontal="left" vertical="center"/>
    </xf>
    <xf numFmtId="0" fontId="124" fillId="35" borderId="35" xfId="0" quotePrefix="1" applyFont="1" applyFill="1"/>
    <xf numFmtId="0" fontId="130" fillId="35" borderId="35" xfId="0" quotePrefix="1" applyFont="1" applyFill="1"/>
    <xf numFmtId="0" fontId="129" fillId="35" borderId="35" xfId="0" applyFont="1" applyFill="1" applyBorder="1"/>
    <xf numFmtId="0" fontId="124" fillId="35" borderId="30" xfId="0" applyFont="1" applyFill="1" applyBorder="1"/>
    <xf numFmtId="0" fontId="0" fillId="35" borderId="30" xfId="0" applyFill="1" applyBorder="1"/>
    <xf numFmtId="0" fontId="125" fillId="35" borderId="35" xfId="0" applyFont="1" applyFill="1" applyBorder="1" applyAlignment="1">
      <alignment vertical="center"/>
    </xf>
    <xf numFmtId="0" fontId="124" fillId="35" borderId="35" xfId="0" quotePrefix="1" applyFont="1" applyFill="1" applyBorder="1"/>
    <xf numFmtId="0" fontId="130" fillId="35" borderId="35" xfId="0" quotePrefix="1" applyFont="1" applyFill="1" applyBorder="1"/>
    <xf numFmtId="0" fontId="131" fillId="19" borderId="35" xfId="0" applyFont="1" applyFill="1" applyAlignment="1">
      <alignment vertical="center"/>
    </xf>
    <xf numFmtId="0" fontId="36" fillId="5" borderId="8" xfId="0" applyFont="1" applyFill="1" applyBorder="1" applyAlignment="1">
      <alignment horizontal="center" vertical="center" textRotation="90" wrapText="1"/>
    </xf>
    <xf numFmtId="0" fontId="1" fillId="35" borderId="0" xfId="0" applyFont="1" applyFill="1" applyBorder="1"/>
    <xf numFmtId="0" fontId="1" fillId="35" borderId="0" xfId="0" quotePrefix="1" applyFont="1" applyFill="1" applyBorder="1"/>
    <xf numFmtId="0" fontId="111" fillId="38" borderId="0" xfId="0" applyFont="1" applyFill="1" applyBorder="1"/>
    <xf numFmtId="0" fontId="2" fillId="35" borderId="0" xfId="0" applyFont="1" applyFill="1" applyBorder="1"/>
    <xf numFmtId="0" fontId="1" fillId="35" borderId="35" xfId="0" applyFont="1" applyFill="1" applyBorder="1"/>
    <xf numFmtId="0" fontId="53" fillId="3" borderId="3" xfId="0" applyFont="1" applyFill="1" applyBorder="1" applyAlignment="1">
      <alignment horizontal="center" vertical="center" textRotation="90" wrapText="1"/>
    </xf>
    <xf numFmtId="0" fontId="31" fillId="3" borderId="4" xfId="0" applyFont="1" applyFill="1" applyBorder="1" applyAlignment="1">
      <alignment horizontal="center" vertical="center" textRotation="90" wrapText="1"/>
    </xf>
    <xf numFmtId="0" fontId="32" fillId="3" borderId="4" xfId="0" applyFont="1" applyFill="1" applyBorder="1" applyAlignment="1">
      <alignment horizontal="center" vertical="center" textRotation="90" wrapText="1"/>
    </xf>
    <xf numFmtId="0" fontId="33" fillId="3" borderId="5" xfId="0" applyFont="1" applyFill="1" applyBorder="1" applyAlignment="1">
      <alignment horizontal="center" vertical="center" textRotation="90" wrapText="1"/>
    </xf>
    <xf numFmtId="0" fontId="31" fillId="3" borderId="8" xfId="0" applyFont="1" applyFill="1" applyBorder="1" applyAlignment="1">
      <alignment horizontal="center" vertical="center" textRotation="90" wrapText="1"/>
    </xf>
    <xf numFmtId="0" fontId="31" fillId="3" borderId="1" xfId="0" applyFont="1" applyFill="1" applyBorder="1" applyAlignment="1">
      <alignment horizontal="center" vertical="center" textRotation="90" wrapText="1"/>
    </xf>
    <xf numFmtId="0" fontId="31" fillId="3" borderId="2" xfId="0" applyFont="1" applyFill="1" applyBorder="1" applyAlignment="1">
      <alignment horizontal="center" vertical="center" textRotation="90" wrapText="1"/>
    </xf>
    <xf numFmtId="0" fontId="32" fillId="3" borderId="8" xfId="0" applyFont="1" applyFill="1" applyBorder="1" applyAlignment="1">
      <alignment horizontal="center" vertical="center" textRotation="90" wrapText="1"/>
    </xf>
    <xf numFmtId="0" fontId="32" fillId="3" borderId="1" xfId="0" applyFont="1" applyFill="1" applyBorder="1" applyAlignment="1">
      <alignment horizontal="center" vertical="center" textRotation="90" wrapText="1"/>
    </xf>
    <xf numFmtId="0" fontId="32" fillId="3" borderId="2" xfId="0" applyFont="1" applyFill="1" applyBorder="1" applyAlignment="1">
      <alignment horizontal="center" vertical="center" textRotation="90" wrapText="1"/>
    </xf>
    <xf numFmtId="0" fontId="33" fillId="3" borderId="8" xfId="0" applyFont="1" applyFill="1" applyBorder="1" applyAlignment="1">
      <alignment horizontal="center" vertical="center" textRotation="90" wrapText="1"/>
    </xf>
    <xf numFmtId="0" fontId="33" fillId="3" borderId="1" xfId="0" applyFont="1" applyFill="1" applyBorder="1" applyAlignment="1">
      <alignment horizontal="center" vertical="center" textRotation="90" wrapText="1"/>
    </xf>
    <xf numFmtId="0" fontId="33" fillId="3" borderId="2" xfId="0" applyFont="1" applyFill="1" applyBorder="1" applyAlignment="1">
      <alignment horizontal="center" vertical="center" textRotation="90" wrapText="1"/>
    </xf>
    <xf numFmtId="0" fontId="36" fillId="5" borderId="1" xfId="0" applyFont="1" applyFill="1" applyBorder="1" applyAlignment="1">
      <alignment horizontal="center" vertical="center" textRotation="90" wrapText="1"/>
    </xf>
    <xf numFmtId="0" fontId="36" fillId="5" borderId="2" xfId="0" applyFont="1" applyFill="1" applyBorder="1" applyAlignment="1">
      <alignment horizontal="center" vertical="center" textRotation="90" wrapText="1"/>
    </xf>
    <xf numFmtId="0" fontId="55" fillId="5" borderId="8" xfId="0" applyFont="1" applyFill="1" applyBorder="1" applyAlignment="1">
      <alignment horizontal="center" vertical="center" textRotation="90" wrapText="1"/>
    </xf>
    <xf numFmtId="0" fontId="55" fillId="5" borderId="1" xfId="0" applyFont="1" applyFill="1" applyBorder="1" applyAlignment="1">
      <alignment horizontal="center" vertical="center" textRotation="90" wrapText="1"/>
    </xf>
    <xf numFmtId="0" fontId="55" fillId="5" borderId="2" xfId="0" applyFont="1" applyFill="1" applyBorder="1" applyAlignment="1">
      <alignment horizontal="center" vertical="center" textRotation="90" wrapText="1"/>
    </xf>
    <xf numFmtId="0" fontId="56" fillId="5" borderId="8" xfId="0" applyFont="1" applyFill="1" applyBorder="1" applyAlignment="1">
      <alignment horizontal="center" vertical="center" textRotation="90" wrapText="1"/>
    </xf>
    <xf numFmtId="0" fontId="56" fillId="5" borderId="1" xfId="0" applyFont="1" applyFill="1" applyBorder="1" applyAlignment="1">
      <alignment horizontal="center" vertical="center" textRotation="90" wrapText="1"/>
    </xf>
    <xf numFmtId="0" fontId="56" fillId="5" borderId="2" xfId="0" applyFont="1" applyFill="1" applyBorder="1" applyAlignment="1">
      <alignment horizontal="center" vertical="center" textRotation="90" wrapText="1"/>
    </xf>
    <xf numFmtId="0" fontId="57" fillId="5" borderId="8" xfId="0" applyFont="1" applyFill="1" applyBorder="1" applyAlignment="1">
      <alignment horizontal="center" vertical="center" textRotation="90" wrapText="1"/>
    </xf>
    <xf numFmtId="0" fontId="57" fillId="5" borderId="2" xfId="0" applyFont="1" applyFill="1" applyBorder="1" applyAlignment="1">
      <alignment horizontal="center" vertical="center" textRotation="90" wrapText="1"/>
    </xf>
    <xf numFmtId="0" fontId="1" fillId="35" borderId="0" xfId="0" applyFont="1" applyFill="1" applyBorder="1" applyAlignment="1">
      <alignment horizontal="left"/>
    </xf>
    <xf numFmtId="0" fontId="1" fillId="0" borderId="0" xfId="0" applyFont="1" applyBorder="1" applyAlignment="1">
      <alignment horizontal="left"/>
    </xf>
    <xf numFmtId="0" fontId="2" fillId="35" borderId="0" xfId="0" applyFont="1" applyFill="1" applyBorder="1" applyAlignment="1">
      <alignment horizontal="left" vertical="center" indent="1"/>
    </xf>
    <xf numFmtId="0" fontId="1" fillId="35" borderId="0" xfId="0" applyFont="1" applyFill="1" applyBorder="1" applyAlignment="1">
      <alignment horizontal="left" vertical="center" indent="2"/>
    </xf>
    <xf numFmtId="0" fontId="136" fillId="0" borderId="0" xfId="0" applyFont="1" applyBorder="1"/>
    <xf numFmtId="0" fontId="1" fillId="35" borderId="0" xfId="0" applyFont="1" applyFill="1" applyBorder="1" applyAlignment="1">
      <alignment horizontal="left" vertical="center" indent="1"/>
    </xf>
    <xf numFmtId="0" fontId="136" fillId="35" borderId="0" xfId="0" applyFont="1" applyFill="1" applyBorder="1"/>
    <xf numFmtId="0" fontId="100" fillId="20" borderId="36" xfId="0" applyFont="1" applyFill="1" applyBorder="1" applyAlignment="1">
      <alignment horizontal="center" vertical="center" wrapText="1"/>
    </xf>
    <xf numFmtId="0" fontId="0" fillId="0" borderId="41" xfId="0" applyBorder="1"/>
    <xf numFmtId="0" fontId="0" fillId="0" borderId="40" xfId="0" applyBorder="1"/>
    <xf numFmtId="0" fontId="101" fillId="31" borderId="36" xfId="0" applyFont="1" applyFill="1" applyBorder="1" applyAlignment="1">
      <alignment horizontal="center" vertical="center" wrapText="1"/>
    </xf>
    <xf numFmtId="0" fontId="101" fillId="31" borderId="42" xfId="0" applyFont="1" applyFill="1" applyBorder="1" applyAlignment="1">
      <alignment horizontal="center" vertical="center" wrapText="1"/>
    </xf>
    <xf numFmtId="0" fontId="101" fillId="31" borderId="40" xfId="0" applyFont="1" applyFill="1" applyBorder="1" applyAlignment="1">
      <alignment horizontal="center" vertical="center" wrapText="1"/>
    </xf>
    <xf numFmtId="0" fontId="100" fillId="20" borderId="35" xfId="0" applyFont="1" applyFill="1" applyAlignment="1">
      <alignment horizontal="left" vertical="center" wrapText="1"/>
    </xf>
    <xf numFmtId="0" fontId="0" fillId="0" borderId="0" xfId="0" applyBorder="1"/>
    <xf numFmtId="0" fontId="115" fillId="0" borderId="35" xfId="0" applyFont="1" applyAlignment="1">
      <alignment horizontal="left" vertical="center" wrapText="1"/>
    </xf>
    <xf numFmtId="0" fontId="5" fillId="0" borderId="0" xfId="0" applyFont="1" applyBorder="1"/>
    <xf numFmtId="0" fontId="5" fillId="0" borderId="35" xfId="0" applyFont="1" applyBorder="1"/>
    <xf numFmtId="0" fontId="99" fillId="35" borderId="35" xfId="0" applyFont="1" applyFill="1" applyAlignment="1">
      <alignment horizontal="left" vertical="center" wrapText="1"/>
    </xf>
    <xf numFmtId="0" fontId="4" fillId="35" borderId="0" xfId="0" applyFont="1" applyFill="1" applyBorder="1"/>
    <xf numFmtId="0" fontId="115" fillId="35" borderId="35" xfId="0" applyFont="1" applyFill="1" applyAlignment="1">
      <alignment horizontal="left" vertical="center" wrapText="1"/>
    </xf>
    <xf numFmtId="0" fontId="5" fillId="35" borderId="0" xfId="0" applyFont="1" applyFill="1" applyBorder="1"/>
    <xf numFmtId="0" fontId="98" fillId="19" borderId="35" xfId="0" applyFont="1" applyFill="1" applyAlignment="1">
      <alignment horizontal="center" vertical="center" wrapText="1"/>
    </xf>
    <xf numFmtId="0" fontId="99" fillId="0" borderId="35" xfId="0" applyFont="1" applyAlignment="1">
      <alignment horizontal="left" vertical="center" wrapText="1"/>
    </xf>
    <xf numFmtId="0" fontId="100" fillId="20" borderId="37" xfId="0" applyFont="1" applyFill="1" applyBorder="1" applyAlignment="1">
      <alignment horizontal="center" vertical="center" wrapText="1"/>
    </xf>
    <xf numFmtId="0" fontId="0" fillId="0" borderId="38" xfId="0" applyBorder="1"/>
    <xf numFmtId="0" fontId="0" fillId="0" borderId="39" xfId="0" applyBorder="1"/>
  </cellXfs>
  <cellStyles count="4">
    <cellStyle name="Milliers" xfId="1" xr:uid="{00000000-0005-0000-0000-000001000000}"/>
    <cellStyle name="Normal" xfId="0" builtinId="0"/>
    <cellStyle name="Normal 3" xfId="3" xr:uid="{00000000-0005-0000-0000-000003000000}"/>
    <cellStyle name="Pourcentage" xfId="2" xr:uid="{00000000-0005-0000-0000-00000200000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a:defRPr sz="1200"/>
            </a:pPr>
            <a:r>
              <a:rPr lang="fr-FR" sz="1200"/>
              <a:t>Etablissements Tertiaires vs. Total -  2025</a:t>
            </a:r>
          </a:p>
        </c:rich>
      </c:tx>
      <c:layout>
        <c:manualLayout>
          <c:xMode val="edge"/>
          <c:yMode val="edge"/>
          <c:x val="0.11466671381530073"/>
          <c:y val="3.1659498207885307E-2"/>
        </c:manualLayout>
      </c:layout>
      <c:overlay val="1"/>
    </c:title>
    <c:autoTitleDeleted val="0"/>
    <c:plotArea>
      <c:layout/>
      <c:pieChart>
        <c:varyColors val="1"/>
        <c:ser>
          <c:idx val="0"/>
          <c:order val="0"/>
          <c:spPr>
            <a:ln>
              <a:prstDash val="solid"/>
            </a:ln>
          </c:spPr>
          <c:explosion val="8"/>
          <c:dPt>
            <c:idx val="0"/>
            <c:bubble3D val="0"/>
            <c:spPr>
              <a:solidFill>
                <a:srgbClr val="4472C4"/>
              </a:solidFill>
              <a:ln w="12700">
                <a:solidFill>
                  <a:srgbClr val="FFFFFF"/>
                </a:solidFill>
                <a:prstDash val="solid"/>
              </a:ln>
            </c:spPr>
            <c:extLst>
              <c:ext xmlns:c16="http://schemas.microsoft.com/office/drawing/2014/chart" uri="{C3380CC4-5D6E-409C-BE32-E72D297353CC}">
                <c16:uniqueId val="{00000001-7011-4924-BB5A-C05C81C6E9C0}"/>
              </c:ext>
            </c:extLst>
          </c:dPt>
          <c:dPt>
            <c:idx val="1"/>
            <c:bubble3D val="0"/>
            <c:spPr>
              <a:solidFill>
                <a:srgbClr val="A5A5A5"/>
              </a:solidFill>
              <a:ln w="12700">
                <a:solidFill>
                  <a:srgbClr val="FFFFFF"/>
                </a:solidFill>
                <a:prstDash val="solid"/>
              </a:ln>
            </c:spPr>
            <c:extLst>
              <c:ext xmlns:c16="http://schemas.microsoft.com/office/drawing/2014/chart" uri="{C3380CC4-5D6E-409C-BE32-E72D297353CC}">
                <c16:uniqueId val="{00000003-7011-4924-BB5A-C05C81C6E9C0}"/>
              </c:ext>
            </c:extLst>
          </c:dPt>
          <c:dLbls>
            <c:dLbl>
              <c:idx val="1"/>
              <c:layout>
                <c:manualLayout>
                  <c:x val="-0.15961355555555556"/>
                  <c:y val="-0.1327160556319335"/>
                </c:manualLayout>
              </c:layout>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7011-4924-BB5A-C05C81C6E9C0}"/>
                </c:ext>
              </c:extLst>
            </c:dLbl>
            <c:spPr>
              <a:noFill/>
              <a:ln>
                <a:noFill/>
                <a:prstDash val="solid"/>
              </a:ln>
            </c:spPr>
            <c:txPr>
              <a:bodyPr wrap="square" lIns="38100" tIns="19050" rIns="38100" bIns="19050" anchor="ctr">
                <a:spAutoFit/>
              </a:bodyPr>
              <a:lstStyle/>
              <a:p>
                <a:pPr>
                  <a:defRPr sz="1400" b="1"/>
                </a:pPr>
                <a:endParaRPr lang="fr-FR"/>
              </a:p>
            </c:txPr>
            <c:dLblPos val="bestFit"/>
            <c:showLegendKey val="0"/>
            <c:showVal val="0"/>
            <c:showCatName val="0"/>
            <c:showSerName val="0"/>
            <c:showPercent val="1"/>
            <c:showBubbleSize val="1"/>
            <c:showLeaderLines val="1"/>
            <c:extLst>
              <c:ext xmlns:c15="http://schemas.microsoft.com/office/drawing/2012/chart" uri="{CE6537A1-D6FC-4f65-9D91-7224C49458BB}"/>
            </c:extLst>
          </c:dLbls>
          <c:cat>
            <c:strRef>
              <c:f>'PARC TERTIAIRE vs. TOTAL'!$A$157:$A$158</c:f>
              <c:strCache>
                <c:ptCount val="2"/>
                <c:pt idx="0">
                  <c:v>1</c:v>
                </c:pt>
                <c:pt idx="1">
                  <c:v>2</c:v>
                </c:pt>
              </c:strCache>
            </c:strRef>
          </c:cat>
          <c:val>
            <c:numRef>
              <c:f>'PARC TERTIAIRE vs. TOTAL'!$B$157:$B$158</c:f>
              <c:numCache>
                <c:formatCode>#,##0</c:formatCode>
                <c:ptCount val="2"/>
                <c:pt idx="0">
                  <c:v>94469</c:v>
                </c:pt>
                <c:pt idx="1">
                  <c:v>544491</c:v>
                </c:pt>
              </c:numCache>
            </c:numRef>
          </c:val>
          <c:extLst>
            <c:ext xmlns:c16="http://schemas.microsoft.com/office/drawing/2014/chart" uri="{C3380CC4-5D6E-409C-BE32-E72D297353CC}">
              <c16:uniqueId val="{00000004-7011-4924-BB5A-C05C81C6E9C0}"/>
            </c:ext>
          </c:extLst>
        </c:ser>
        <c:dLbls>
          <c:showLegendKey val="0"/>
          <c:showVal val="0"/>
          <c:showCatName val="0"/>
          <c:showSerName val="0"/>
          <c:showPercent val="0"/>
          <c:showBubbleSize val="0"/>
          <c:showLeaderLines val="1"/>
        </c:dLbls>
        <c:firstSliceAng val="270"/>
      </c:pieChart>
    </c:plotArea>
    <c:legend>
      <c:legendPos val="r"/>
      <c:overlay val="1"/>
      <c:txPr>
        <a:bodyPr/>
        <a:lstStyle/>
        <a:p>
          <a:pPr>
            <a:defRPr sz="1200"/>
          </a:pPr>
          <a:endParaRPr lang="fr-FR"/>
        </a:p>
      </c:txPr>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a:defRPr sz="1100"/>
            </a:pPr>
            <a:r>
              <a:rPr lang="fr-FR" sz="1100" b="1" i="0" strike="noStrike" kern="1200" baseline="0">
                <a:solidFill>
                  <a:sysClr val="windowText" lastClr="000000"/>
                </a:solidFill>
              </a:rPr>
              <a:t>Volume Robi Lavabo Tertiaires vs. Total -  2025</a:t>
            </a:r>
          </a:p>
        </c:rich>
      </c:tx>
      <c:layout>
        <c:manualLayout>
          <c:xMode val="edge"/>
          <c:yMode val="edge"/>
          <c:x val="7.9074512747144499E-2"/>
          <c:y val="2.159274193548387E-2"/>
        </c:manualLayout>
      </c:layout>
      <c:overlay val="1"/>
    </c:title>
    <c:autoTitleDeleted val="0"/>
    <c:plotArea>
      <c:layout/>
      <c:pieChart>
        <c:varyColors val="1"/>
        <c:ser>
          <c:idx val="0"/>
          <c:order val="0"/>
          <c:spPr>
            <a:ln>
              <a:prstDash val="solid"/>
            </a:ln>
          </c:spPr>
          <c:dPt>
            <c:idx val="0"/>
            <c:bubble3D val="0"/>
            <c:spPr>
              <a:solidFill>
                <a:srgbClr val="4472C4"/>
              </a:solidFill>
              <a:ln w="12700">
                <a:solidFill>
                  <a:srgbClr val="FFFFFF"/>
                </a:solidFill>
                <a:prstDash val="solid"/>
              </a:ln>
            </c:spPr>
            <c:extLst>
              <c:ext xmlns:c16="http://schemas.microsoft.com/office/drawing/2014/chart" uri="{C3380CC4-5D6E-409C-BE32-E72D297353CC}">
                <c16:uniqueId val="{00000001-A0C9-4102-9255-573D59587E09}"/>
              </c:ext>
            </c:extLst>
          </c:dPt>
          <c:dPt>
            <c:idx val="1"/>
            <c:bubble3D val="0"/>
            <c:explosion val="11"/>
            <c:spPr>
              <a:solidFill>
                <a:srgbClr val="A5A5A5"/>
              </a:solidFill>
              <a:ln w="12700">
                <a:solidFill>
                  <a:srgbClr val="FFFFFF"/>
                </a:solidFill>
                <a:prstDash val="solid"/>
              </a:ln>
            </c:spPr>
            <c:extLst>
              <c:ext xmlns:c16="http://schemas.microsoft.com/office/drawing/2014/chart" uri="{C3380CC4-5D6E-409C-BE32-E72D297353CC}">
                <c16:uniqueId val="{00000003-A0C9-4102-9255-573D59587E09}"/>
              </c:ext>
            </c:extLst>
          </c:dPt>
          <c:dLbls>
            <c:dLbl>
              <c:idx val="1"/>
              <c:layout>
                <c:manualLayout>
                  <c:x val="-0.14658811111111111"/>
                  <c:y val="-0.18204562681112768"/>
                </c:manualLayout>
              </c:layout>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A0C9-4102-9255-573D59587E09}"/>
                </c:ext>
              </c:extLst>
            </c:dLbl>
            <c:spPr>
              <a:noFill/>
              <a:ln>
                <a:noFill/>
                <a:prstDash val="solid"/>
              </a:ln>
            </c:spPr>
            <c:txPr>
              <a:bodyPr wrap="square" lIns="38100" tIns="19050" rIns="38100" bIns="19050" anchor="ctr">
                <a:spAutoFit/>
              </a:bodyPr>
              <a:lstStyle/>
              <a:p>
                <a:pPr>
                  <a:defRPr sz="1400" b="1"/>
                </a:pPr>
                <a:endParaRPr lang="fr-FR"/>
              </a:p>
            </c:txPr>
            <c:dLblPos val="bestFit"/>
            <c:showLegendKey val="0"/>
            <c:showVal val="0"/>
            <c:showCatName val="0"/>
            <c:showSerName val="0"/>
            <c:showPercent val="1"/>
            <c:showBubbleSize val="1"/>
            <c:showLeaderLines val="1"/>
            <c:extLst>
              <c:ext xmlns:c15="http://schemas.microsoft.com/office/drawing/2012/chart" uri="{CE6537A1-D6FC-4f65-9D91-7224C49458BB}"/>
            </c:extLst>
          </c:dLbls>
          <c:cat>
            <c:strRef>
              <c:f>'PARC TERTIAIRE vs. TOTAL'!$D$157:$D$158</c:f>
              <c:strCache>
                <c:ptCount val="2"/>
                <c:pt idx="0">
                  <c:v>1</c:v>
                </c:pt>
                <c:pt idx="1">
                  <c:v>2</c:v>
                </c:pt>
              </c:strCache>
            </c:strRef>
          </c:cat>
          <c:val>
            <c:numRef>
              <c:f>'PARC TERTIAIRE vs. TOTAL'!$E$157:$E$158</c:f>
              <c:numCache>
                <c:formatCode>#,##0</c:formatCode>
                <c:ptCount val="2"/>
                <c:pt idx="0">
                  <c:v>1312073</c:v>
                </c:pt>
                <c:pt idx="1">
                  <c:v>4921806.5</c:v>
                </c:pt>
              </c:numCache>
            </c:numRef>
          </c:val>
          <c:extLst>
            <c:ext xmlns:c16="http://schemas.microsoft.com/office/drawing/2014/chart" uri="{C3380CC4-5D6E-409C-BE32-E72D297353CC}">
              <c16:uniqueId val="{00000004-A0C9-4102-9255-573D59587E09}"/>
            </c:ext>
          </c:extLst>
        </c:ser>
        <c:dLbls>
          <c:showLegendKey val="0"/>
          <c:showVal val="0"/>
          <c:showCatName val="0"/>
          <c:showSerName val="0"/>
          <c:showPercent val="0"/>
          <c:showBubbleSize val="0"/>
          <c:showLeaderLines val="1"/>
        </c:dLbls>
        <c:firstSliceAng val="270"/>
      </c:pieChart>
    </c:plotArea>
    <c:legend>
      <c:legendPos val="r"/>
      <c:overlay val="1"/>
      <c:txPr>
        <a:bodyPr/>
        <a:lstStyle/>
        <a:p>
          <a:pPr>
            <a:defRPr sz="1200"/>
          </a:pPr>
          <a:endParaRPr lang="fr-FR"/>
        </a:p>
      </c:txPr>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a:defRPr sz="1200"/>
            </a:pPr>
            <a:r>
              <a:rPr lang="fr-FR" sz="1200"/>
              <a:t>2025 – TERTIAIRE</a:t>
            </a:r>
          </a:p>
        </c:rich>
      </c:tx>
      <c:overlay val="1"/>
    </c:title>
    <c:autoTitleDeleted val="0"/>
    <c:plotArea>
      <c:layout/>
      <c:pieChart>
        <c:varyColors val="1"/>
        <c:ser>
          <c:idx val="0"/>
          <c:order val="0"/>
          <c:spPr>
            <a:ln>
              <a:prstDash val="solid"/>
            </a:ln>
          </c:spPr>
          <c:dPt>
            <c:idx val="0"/>
            <c:bubble3D val="0"/>
            <c:spPr>
              <a:solidFill>
                <a:srgbClr val="5B9BD5"/>
              </a:solidFill>
              <a:ln w="12700">
                <a:solidFill>
                  <a:srgbClr val="FFFFFF"/>
                </a:solidFill>
                <a:prstDash val="solid"/>
              </a:ln>
            </c:spPr>
            <c:extLst>
              <c:ext xmlns:c16="http://schemas.microsoft.com/office/drawing/2014/chart" uri="{C3380CC4-5D6E-409C-BE32-E72D297353CC}">
                <c16:uniqueId val="{00000001-20B2-4B2C-9AE3-49E674AA311E}"/>
              </c:ext>
            </c:extLst>
          </c:dPt>
          <c:dPt>
            <c:idx val="1"/>
            <c:bubble3D val="0"/>
            <c:spPr>
              <a:solidFill>
                <a:srgbClr val="70AD47"/>
              </a:solidFill>
              <a:ln w="12700">
                <a:solidFill>
                  <a:srgbClr val="FFFFFF"/>
                </a:solidFill>
                <a:prstDash val="solid"/>
              </a:ln>
            </c:spPr>
            <c:extLst>
              <c:ext xmlns:c16="http://schemas.microsoft.com/office/drawing/2014/chart" uri="{C3380CC4-5D6E-409C-BE32-E72D297353CC}">
                <c16:uniqueId val="{00000003-20B2-4B2C-9AE3-49E674AA311E}"/>
              </c:ext>
            </c:extLst>
          </c:dPt>
          <c:dPt>
            <c:idx val="2"/>
            <c:bubble3D val="0"/>
            <c:spPr>
              <a:solidFill>
                <a:srgbClr val="FFC000"/>
              </a:solidFill>
              <a:ln w="12700">
                <a:solidFill>
                  <a:srgbClr val="FFFFFF"/>
                </a:solidFill>
                <a:prstDash val="solid"/>
              </a:ln>
            </c:spPr>
            <c:extLst>
              <c:ext xmlns:c16="http://schemas.microsoft.com/office/drawing/2014/chart" uri="{C3380CC4-5D6E-409C-BE32-E72D297353CC}">
                <c16:uniqueId val="{00000005-20B2-4B2C-9AE3-49E674AA311E}"/>
              </c:ext>
            </c:extLst>
          </c:dPt>
          <c:dPt>
            <c:idx val="3"/>
            <c:bubble3D val="0"/>
            <c:spPr>
              <a:solidFill>
                <a:srgbClr val="ED7D31"/>
              </a:solidFill>
              <a:ln w="12700">
                <a:solidFill>
                  <a:srgbClr val="FFFFFF"/>
                </a:solidFill>
                <a:prstDash val="solid"/>
              </a:ln>
            </c:spPr>
            <c:extLst>
              <c:ext xmlns:c16="http://schemas.microsoft.com/office/drawing/2014/chart" uri="{C3380CC4-5D6E-409C-BE32-E72D297353CC}">
                <c16:uniqueId val="{00000007-20B2-4B2C-9AE3-49E674AA311E}"/>
              </c:ext>
            </c:extLst>
          </c:dPt>
          <c:dLbls>
            <c:dLbl>
              <c:idx val="0"/>
              <c:layout>
                <c:manualLayout>
                  <c:x val="5.2572555555555608E-2"/>
                  <c:y val="0.20667699430199429"/>
                </c:manualLayout>
              </c:layout>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20B2-4B2C-9AE3-49E674AA311E}"/>
                </c:ext>
              </c:extLst>
            </c:dLbl>
            <c:dLbl>
              <c:idx val="1"/>
              <c:layout>
                <c:manualLayout>
                  <c:x val="-0.13224022222222223"/>
                  <c:y val="-0.1425658831908832"/>
                </c:manualLayout>
              </c:layout>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20B2-4B2C-9AE3-49E674AA311E}"/>
                </c:ext>
              </c:extLst>
            </c:dLbl>
            <c:spPr>
              <a:noFill/>
              <a:ln>
                <a:noFill/>
                <a:prstDash val="solid"/>
              </a:ln>
            </c:spPr>
            <c:txPr>
              <a:bodyPr wrap="square" lIns="38100" tIns="19050" rIns="38100" bIns="19050" anchor="ctr">
                <a:spAutoFit/>
              </a:bodyPr>
              <a:lstStyle/>
              <a:p>
                <a:pPr>
                  <a:defRPr sz="1400" b="1"/>
                </a:pPr>
                <a:endParaRPr lang="fr-FR"/>
              </a:p>
            </c:txPr>
            <c:dLblPos val="bestFit"/>
            <c:showLegendKey val="0"/>
            <c:showVal val="0"/>
            <c:showCatName val="0"/>
            <c:showSerName val="0"/>
            <c:showPercent val="1"/>
            <c:showBubbleSize val="1"/>
            <c:showLeaderLines val="1"/>
            <c:extLst>
              <c:ext xmlns:c15="http://schemas.microsoft.com/office/drawing/2012/chart" uri="{CE6537A1-D6FC-4f65-9D91-7224C49458BB}"/>
            </c:extLst>
          </c:dLbls>
          <c:cat>
            <c:strRef>
              <c:f>'PARC TERTIAIRE vs. TOTAL'!$G$157:$G$160</c:f>
              <c:strCache>
                <c:ptCount val="4"/>
                <c:pt idx="0">
                  <c:v>Mitigeurs</c:v>
                </c:pt>
                <c:pt idx="1">
                  <c:v>Tempo. Méca</c:v>
                </c:pt>
                <c:pt idx="2">
                  <c:v>Tempo. Electro</c:v>
                </c:pt>
                <c:pt idx="3">
                  <c:v>Autres</c:v>
                </c:pt>
              </c:strCache>
            </c:strRef>
          </c:cat>
          <c:val>
            <c:numRef>
              <c:f>'PARC TERTIAIRE vs. TOTAL'!$H$157:$H$160</c:f>
              <c:numCache>
                <c:formatCode>0%</c:formatCode>
                <c:ptCount val="4"/>
                <c:pt idx="0">
                  <c:v>0.41255100897587255</c:v>
                </c:pt>
                <c:pt idx="1">
                  <c:v>0.38172798312289025</c:v>
                </c:pt>
                <c:pt idx="2">
                  <c:v>0.15714023533751553</c:v>
                </c:pt>
                <c:pt idx="3">
                  <c:v>4.8580772563721689E-2</c:v>
                </c:pt>
              </c:numCache>
            </c:numRef>
          </c:val>
          <c:extLst>
            <c:ext xmlns:c16="http://schemas.microsoft.com/office/drawing/2014/chart" uri="{C3380CC4-5D6E-409C-BE32-E72D297353CC}">
              <c16:uniqueId val="{00000008-20B2-4B2C-9AE3-49E674AA311E}"/>
            </c:ext>
          </c:extLst>
        </c:ser>
        <c:dLbls>
          <c:showLegendKey val="0"/>
          <c:showVal val="0"/>
          <c:showCatName val="0"/>
          <c:showSerName val="0"/>
          <c:showPercent val="0"/>
          <c:showBubbleSize val="0"/>
          <c:showLeaderLines val="1"/>
        </c:dLbls>
        <c:firstSliceAng val="270"/>
      </c:pieChart>
    </c:plotArea>
    <c:legend>
      <c:legendPos val="b"/>
      <c:overlay val="1"/>
      <c:txPr>
        <a:bodyPr/>
        <a:lstStyle/>
        <a:p>
          <a:pPr>
            <a:defRPr sz="1100"/>
          </a:pPr>
          <a:endParaRPr lang="fr-FR"/>
        </a:p>
      </c:txPr>
    </c:legend>
    <c:plotVisOnly val="1"/>
    <c:dispBlanksAs val="gap"/>
    <c:showDLblsOverMax val="1"/>
  </c:chart>
  <c:printSettings>
    <c:headerFooter/>
    <c:pageMargins b="0.75" l="0.7" r="0.7" t="0.75" header="0.3" footer="0.3"/>
    <c:pageSetup paperSize="9" orientation="landscape"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a:defRPr sz="1200"/>
            </a:pPr>
            <a:r>
              <a:rPr lang="fr-FR" sz="1200"/>
              <a:t>2030 – AUTRES SEGMENTS</a:t>
            </a:r>
          </a:p>
        </c:rich>
      </c:tx>
      <c:overlay val="1"/>
    </c:title>
    <c:autoTitleDeleted val="0"/>
    <c:plotArea>
      <c:layout/>
      <c:pieChart>
        <c:varyColors val="1"/>
        <c:ser>
          <c:idx val="0"/>
          <c:order val="0"/>
          <c:spPr>
            <a:ln>
              <a:prstDash val="solid"/>
            </a:ln>
          </c:spPr>
          <c:dPt>
            <c:idx val="0"/>
            <c:bubble3D val="0"/>
            <c:spPr>
              <a:solidFill>
                <a:srgbClr val="5B9BD5"/>
              </a:solidFill>
              <a:ln w="12700">
                <a:solidFill>
                  <a:srgbClr val="FFFFFF"/>
                </a:solidFill>
                <a:prstDash val="solid"/>
              </a:ln>
            </c:spPr>
            <c:extLst>
              <c:ext xmlns:c16="http://schemas.microsoft.com/office/drawing/2014/chart" uri="{C3380CC4-5D6E-409C-BE32-E72D297353CC}">
                <c16:uniqueId val="{00000001-8AE6-4B3A-89EE-53F297B436A0}"/>
              </c:ext>
            </c:extLst>
          </c:dPt>
          <c:dPt>
            <c:idx val="1"/>
            <c:bubble3D val="0"/>
            <c:spPr>
              <a:solidFill>
                <a:srgbClr val="70AD47"/>
              </a:solidFill>
              <a:ln w="12700">
                <a:solidFill>
                  <a:srgbClr val="FFFFFF"/>
                </a:solidFill>
                <a:prstDash val="solid"/>
              </a:ln>
            </c:spPr>
            <c:extLst>
              <c:ext xmlns:c16="http://schemas.microsoft.com/office/drawing/2014/chart" uri="{C3380CC4-5D6E-409C-BE32-E72D297353CC}">
                <c16:uniqueId val="{00000003-8AE6-4B3A-89EE-53F297B436A0}"/>
              </c:ext>
            </c:extLst>
          </c:dPt>
          <c:dPt>
            <c:idx val="2"/>
            <c:bubble3D val="0"/>
            <c:spPr>
              <a:solidFill>
                <a:srgbClr val="FFC000"/>
              </a:solidFill>
              <a:ln w="12700">
                <a:solidFill>
                  <a:srgbClr val="FFFFFF"/>
                </a:solidFill>
                <a:prstDash val="solid"/>
              </a:ln>
            </c:spPr>
            <c:extLst>
              <c:ext xmlns:c16="http://schemas.microsoft.com/office/drawing/2014/chart" uri="{C3380CC4-5D6E-409C-BE32-E72D297353CC}">
                <c16:uniqueId val="{00000005-8AE6-4B3A-89EE-53F297B436A0}"/>
              </c:ext>
            </c:extLst>
          </c:dPt>
          <c:dPt>
            <c:idx val="3"/>
            <c:bubble3D val="0"/>
            <c:spPr>
              <a:solidFill>
                <a:srgbClr val="ED7D31"/>
              </a:solidFill>
              <a:ln w="12700">
                <a:solidFill>
                  <a:srgbClr val="FFFFFF"/>
                </a:solidFill>
                <a:prstDash val="solid"/>
              </a:ln>
            </c:spPr>
            <c:extLst>
              <c:ext xmlns:c16="http://schemas.microsoft.com/office/drawing/2014/chart" uri="{C3380CC4-5D6E-409C-BE32-E72D297353CC}">
                <c16:uniqueId val="{00000007-8AE6-4B3A-89EE-53F297B436A0}"/>
              </c:ext>
            </c:extLst>
          </c:dPt>
          <c:dLbls>
            <c:dLbl>
              <c:idx val="0"/>
              <c:layout>
                <c:manualLayout>
                  <c:x val="0.10184644444444445"/>
                  <c:y val="0.17216702279202278"/>
                </c:manualLayout>
              </c:layout>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8AE6-4B3A-89EE-53F297B436A0}"/>
                </c:ext>
              </c:extLst>
            </c:dLbl>
            <c:dLbl>
              <c:idx val="1"/>
              <c:layout>
                <c:manualLayout>
                  <c:x val="-0.17162788888888889"/>
                  <c:y val="-7.2107905982905979E-2"/>
                </c:manualLayout>
              </c:layout>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8AE6-4B3A-89EE-53F297B436A0}"/>
                </c:ext>
              </c:extLst>
            </c:dLbl>
            <c:spPr>
              <a:noFill/>
              <a:ln>
                <a:noFill/>
                <a:prstDash val="solid"/>
              </a:ln>
            </c:spPr>
            <c:txPr>
              <a:bodyPr wrap="square" lIns="38100" tIns="19050" rIns="38100" bIns="19050" anchor="ctr">
                <a:spAutoFit/>
              </a:bodyPr>
              <a:lstStyle/>
              <a:p>
                <a:pPr>
                  <a:defRPr sz="1400" b="1"/>
                </a:pPr>
                <a:endParaRPr lang="fr-FR"/>
              </a:p>
            </c:txPr>
            <c:dLblPos val="bestFit"/>
            <c:showLegendKey val="0"/>
            <c:showVal val="0"/>
            <c:showCatName val="0"/>
            <c:showSerName val="0"/>
            <c:showPercent val="1"/>
            <c:showBubbleSize val="1"/>
            <c:showLeaderLines val="1"/>
            <c:extLst>
              <c:ext xmlns:c15="http://schemas.microsoft.com/office/drawing/2012/chart" uri="{CE6537A1-D6FC-4f65-9D91-7224C49458BB}"/>
            </c:extLst>
          </c:dLbls>
          <c:cat>
            <c:strRef>
              <c:f>'PARC TERTIAIRE vs. TOTAL'!$P$169:$P$172</c:f>
              <c:strCache>
                <c:ptCount val="4"/>
                <c:pt idx="0">
                  <c:v>Mitigeurs</c:v>
                </c:pt>
                <c:pt idx="1">
                  <c:v>Tempo. Méca</c:v>
                </c:pt>
                <c:pt idx="2">
                  <c:v>Tempo. Electro</c:v>
                </c:pt>
                <c:pt idx="3">
                  <c:v>Autres</c:v>
                </c:pt>
              </c:strCache>
            </c:strRef>
          </c:cat>
          <c:val>
            <c:numRef>
              <c:f>'PARC TERTIAIRE vs. TOTAL'!$Q$169:$Q$172</c:f>
              <c:numCache>
                <c:formatCode>0%</c:formatCode>
                <c:ptCount val="4"/>
                <c:pt idx="0">
                  <c:v>0.26362948546506182</c:v>
                </c:pt>
                <c:pt idx="1">
                  <c:v>0.55885723348901206</c:v>
                </c:pt>
                <c:pt idx="2">
                  <c:v>0.12087745739518101</c:v>
                </c:pt>
                <c:pt idx="3">
                  <c:v>5.66358236507453E-2</c:v>
                </c:pt>
              </c:numCache>
            </c:numRef>
          </c:val>
          <c:extLst>
            <c:ext xmlns:c16="http://schemas.microsoft.com/office/drawing/2014/chart" uri="{C3380CC4-5D6E-409C-BE32-E72D297353CC}">
              <c16:uniqueId val="{00000008-8AE6-4B3A-89EE-53F297B436A0}"/>
            </c:ext>
          </c:extLst>
        </c:ser>
        <c:dLbls>
          <c:showLegendKey val="0"/>
          <c:showVal val="0"/>
          <c:showCatName val="0"/>
          <c:showSerName val="0"/>
          <c:showPercent val="0"/>
          <c:showBubbleSize val="0"/>
          <c:showLeaderLines val="1"/>
        </c:dLbls>
        <c:firstSliceAng val="270"/>
      </c:pieChart>
    </c:plotArea>
    <c:legend>
      <c:legendPos val="b"/>
      <c:overlay val="1"/>
      <c:txPr>
        <a:bodyPr/>
        <a:lstStyle/>
        <a:p>
          <a:pPr>
            <a:defRPr sz="1100"/>
          </a:pPr>
          <a:endParaRPr lang="fr-FR"/>
        </a:p>
      </c:txPr>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a:defRPr sz="1200"/>
            </a:pPr>
            <a:r>
              <a:rPr lang="fr-FR" sz="1200"/>
              <a:t>2030 – TERTIAIRE</a:t>
            </a:r>
          </a:p>
        </c:rich>
      </c:tx>
      <c:overlay val="1"/>
    </c:title>
    <c:autoTitleDeleted val="0"/>
    <c:plotArea>
      <c:layout/>
      <c:pieChart>
        <c:varyColors val="1"/>
        <c:ser>
          <c:idx val="0"/>
          <c:order val="0"/>
          <c:spPr>
            <a:ln>
              <a:prstDash val="solid"/>
            </a:ln>
          </c:spPr>
          <c:dPt>
            <c:idx val="0"/>
            <c:bubble3D val="0"/>
            <c:spPr>
              <a:solidFill>
                <a:srgbClr val="5B9BD5"/>
              </a:solidFill>
              <a:ln w="12700">
                <a:solidFill>
                  <a:srgbClr val="FFFFFF"/>
                </a:solidFill>
                <a:prstDash val="solid"/>
              </a:ln>
            </c:spPr>
            <c:extLst>
              <c:ext xmlns:c16="http://schemas.microsoft.com/office/drawing/2014/chart" uri="{C3380CC4-5D6E-409C-BE32-E72D297353CC}">
                <c16:uniqueId val="{00000001-57FA-41AD-9F89-B66425EFCF6A}"/>
              </c:ext>
            </c:extLst>
          </c:dPt>
          <c:dPt>
            <c:idx val="1"/>
            <c:bubble3D val="0"/>
            <c:spPr>
              <a:solidFill>
                <a:srgbClr val="70AD47"/>
              </a:solidFill>
              <a:ln w="12700">
                <a:solidFill>
                  <a:srgbClr val="FFFFFF"/>
                </a:solidFill>
                <a:prstDash val="solid"/>
              </a:ln>
            </c:spPr>
            <c:extLst>
              <c:ext xmlns:c16="http://schemas.microsoft.com/office/drawing/2014/chart" uri="{C3380CC4-5D6E-409C-BE32-E72D297353CC}">
                <c16:uniqueId val="{00000003-57FA-41AD-9F89-B66425EFCF6A}"/>
              </c:ext>
            </c:extLst>
          </c:dPt>
          <c:dPt>
            <c:idx val="2"/>
            <c:bubble3D val="0"/>
            <c:spPr>
              <a:solidFill>
                <a:srgbClr val="FFC000"/>
              </a:solidFill>
              <a:ln w="12700">
                <a:solidFill>
                  <a:srgbClr val="FFFFFF"/>
                </a:solidFill>
                <a:prstDash val="solid"/>
              </a:ln>
            </c:spPr>
            <c:extLst>
              <c:ext xmlns:c16="http://schemas.microsoft.com/office/drawing/2014/chart" uri="{C3380CC4-5D6E-409C-BE32-E72D297353CC}">
                <c16:uniqueId val="{00000005-57FA-41AD-9F89-B66425EFCF6A}"/>
              </c:ext>
            </c:extLst>
          </c:dPt>
          <c:dPt>
            <c:idx val="3"/>
            <c:bubble3D val="0"/>
            <c:spPr>
              <a:solidFill>
                <a:srgbClr val="ED7D31"/>
              </a:solidFill>
              <a:ln w="12700">
                <a:solidFill>
                  <a:srgbClr val="FFFFFF"/>
                </a:solidFill>
                <a:prstDash val="solid"/>
              </a:ln>
            </c:spPr>
            <c:extLst>
              <c:ext xmlns:c16="http://schemas.microsoft.com/office/drawing/2014/chart" uri="{C3380CC4-5D6E-409C-BE32-E72D297353CC}">
                <c16:uniqueId val="{00000007-57FA-41AD-9F89-B66425EFCF6A}"/>
              </c:ext>
            </c:extLst>
          </c:dPt>
          <c:dLbls>
            <c:dLbl>
              <c:idx val="0"/>
              <c:layout>
                <c:manualLayout>
                  <c:x val="7.7294888888888885E-2"/>
                  <c:y val="0.18631623931623931"/>
                </c:manualLayout>
              </c:layout>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57FA-41AD-9F89-B66425EFCF6A}"/>
                </c:ext>
              </c:extLst>
            </c:dLbl>
            <c:dLbl>
              <c:idx val="1"/>
              <c:layout>
                <c:manualLayout>
                  <c:x val="-0.13854977777777777"/>
                  <c:y val="-9.3252849002848998E-2"/>
                </c:manualLayout>
              </c:layout>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57FA-41AD-9F89-B66425EFCF6A}"/>
                </c:ext>
              </c:extLst>
            </c:dLbl>
            <c:spPr>
              <a:noFill/>
              <a:ln>
                <a:noFill/>
                <a:prstDash val="solid"/>
              </a:ln>
            </c:spPr>
            <c:txPr>
              <a:bodyPr wrap="square" lIns="38100" tIns="19050" rIns="38100" bIns="19050" anchor="ctr">
                <a:spAutoFit/>
              </a:bodyPr>
              <a:lstStyle/>
              <a:p>
                <a:pPr>
                  <a:defRPr sz="1400" b="1"/>
                </a:pPr>
                <a:endParaRPr lang="fr-FR"/>
              </a:p>
            </c:txPr>
            <c:dLblPos val="bestFit"/>
            <c:showLegendKey val="0"/>
            <c:showVal val="0"/>
            <c:showCatName val="0"/>
            <c:showSerName val="0"/>
            <c:showPercent val="1"/>
            <c:showBubbleSize val="1"/>
            <c:showLeaderLines val="1"/>
            <c:extLst>
              <c:ext xmlns:c15="http://schemas.microsoft.com/office/drawing/2012/chart" uri="{CE6537A1-D6FC-4f65-9D91-7224C49458BB}"/>
            </c:extLst>
          </c:dLbls>
          <c:cat>
            <c:strRef>
              <c:f>'PARC TERTIAIRE vs. TOTAL'!$J$169:$J$172</c:f>
              <c:strCache>
                <c:ptCount val="4"/>
                <c:pt idx="0">
                  <c:v>Mitigeurs</c:v>
                </c:pt>
                <c:pt idx="1">
                  <c:v>Tempo. Méca</c:v>
                </c:pt>
                <c:pt idx="2">
                  <c:v>Tempo. Electro</c:v>
                </c:pt>
                <c:pt idx="3">
                  <c:v>Autres</c:v>
                </c:pt>
              </c:strCache>
            </c:strRef>
          </c:cat>
          <c:val>
            <c:numRef>
              <c:f>'PARC TERTIAIRE vs. TOTAL'!$K$169:$K$172</c:f>
              <c:numCache>
                <c:formatCode>0%</c:formatCode>
                <c:ptCount val="4"/>
                <c:pt idx="0">
                  <c:v>0.35908327472485696</c:v>
                </c:pt>
                <c:pt idx="1">
                  <c:v>0.38969085137523995</c:v>
                </c:pt>
                <c:pt idx="2">
                  <c:v>0.21378060788078085</c:v>
                </c:pt>
                <c:pt idx="3">
                  <c:v>3.7445266019122209E-2</c:v>
                </c:pt>
              </c:numCache>
            </c:numRef>
          </c:val>
          <c:extLst>
            <c:ext xmlns:c16="http://schemas.microsoft.com/office/drawing/2014/chart" uri="{C3380CC4-5D6E-409C-BE32-E72D297353CC}">
              <c16:uniqueId val="{00000008-57FA-41AD-9F89-B66425EFCF6A}"/>
            </c:ext>
          </c:extLst>
        </c:ser>
        <c:dLbls>
          <c:showLegendKey val="0"/>
          <c:showVal val="0"/>
          <c:showCatName val="0"/>
          <c:showSerName val="0"/>
          <c:showPercent val="0"/>
          <c:showBubbleSize val="0"/>
          <c:showLeaderLines val="1"/>
        </c:dLbls>
        <c:firstSliceAng val="270"/>
      </c:pieChart>
    </c:plotArea>
    <c:legend>
      <c:legendPos val="b"/>
      <c:overlay val="1"/>
      <c:txPr>
        <a:bodyPr/>
        <a:lstStyle/>
        <a:p>
          <a:pPr>
            <a:defRPr sz="1100"/>
          </a:pPr>
          <a:endParaRPr lang="fr-FR"/>
        </a:p>
      </c:txPr>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a:defRPr sz="1200"/>
            </a:pPr>
            <a:r>
              <a:rPr lang="fr-FR" sz="1200"/>
              <a:t>2025 – AUTRES SEGMENTS</a:t>
            </a:r>
          </a:p>
        </c:rich>
      </c:tx>
      <c:layout>
        <c:manualLayout>
          <c:xMode val="edge"/>
          <c:yMode val="edge"/>
          <c:x val="0.30210577777777781"/>
          <c:y val="2.7136752136752141E-2"/>
        </c:manualLayout>
      </c:layout>
      <c:overlay val="1"/>
    </c:title>
    <c:autoTitleDeleted val="0"/>
    <c:plotArea>
      <c:layout/>
      <c:pieChart>
        <c:varyColors val="1"/>
        <c:ser>
          <c:idx val="0"/>
          <c:order val="0"/>
          <c:spPr>
            <a:ln>
              <a:prstDash val="solid"/>
            </a:ln>
          </c:spPr>
          <c:dPt>
            <c:idx val="0"/>
            <c:bubble3D val="0"/>
            <c:spPr>
              <a:solidFill>
                <a:srgbClr val="5B9BD5"/>
              </a:solidFill>
              <a:ln w="12700">
                <a:solidFill>
                  <a:srgbClr val="FFFFFF"/>
                </a:solidFill>
                <a:prstDash val="solid"/>
              </a:ln>
            </c:spPr>
            <c:extLst>
              <c:ext xmlns:c16="http://schemas.microsoft.com/office/drawing/2014/chart" uri="{C3380CC4-5D6E-409C-BE32-E72D297353CC}">
                <c16:uniqueId val="{00000001-9884-4C2E-A1C1-71162AF2259A}"/>
              </c:ext>
            </c:extLst>
          </c:dPt>
          <c:dPt>
            <c:idx val="1"/>
            <c:bubble3D val="0"/>
            <c:spPr>
              <a:solidFill>
                <a:srgbClr val="70AD47"/>
              </a:solidFill>
              <a:ln w="12700">
                <a:solidFill>
                  <a:srgbClr val="FFFFFF"/>
                </a:solidFill>
                <a:prstDash val="solid"/>
              </a:ln>
            </c:spPr>
            <c:extLst>
              <c:ext xmlns:c16="http://schemas.microsoft.com/office/drawing/2014/chart" uri="{C3380CC4-5D6E-409C-BE32-E72D297353CC}">
                <c16:uniqueId val="{00000003-9884-4C2E-A1C1-71162AF2259A}"/>
              </c:ext>
            </c:extLst>
          </c:dPt>
          <c:dPt>
            <c:idx val="2"/>
            <c:bubble3D val="0"/>
            <c:spPr>
              <a:solidFill>
                <a:srgbClr val="FFC000"/>
              </a:solidFill>
              <a:ln w="12700">
                <a:solidFill>
                  <a:srgbClr val="FFFFFF"/>
                </a:solidFill>
                <a:prstDash val="solid"/>
              </a:ln>
            </c:spPr>
            <c:extLst>
              <c:ext xmlns:c16="http://schemas.microsoft.com/office/drawing/2014/chart" uri="{C3380CC4-5D6E-409C-BE32-E72D297353CC}">
                <c16:uniqueId val="{00000005-9884-4C2E-A1C1-71162AF2259A}"/>
              </c:ext>
            </c:extLst>
          </c:dPt>
          <c:dPt>
            <c:idx val="3"/>
            <c:bubble3D val="0"/>
            <c:spPr>
              <a:solidFill>
                <a:srgbClr val="ED7D31"/>
              </a:solidFill>
              <a:ln w="12700">
                <a:solidFill>
                  <a:srgbClr val="FFFFFF"/>
                </a:solidFill>
                <a:prstDash val="solid"/>
              </a:ln>
            </c:spPr>
            <c:extLst>
              <c:ext xmlns:c16="http://schemas.microsoft.com/office/drawing/2014/chart" uri="{C3380CC4-5D6E-409C-BE32-E72D297353CC}">
                <c16:uniqueId val="{00000007-9884-4C2E-A1C1-71162AF2259A}"/>
              </c:ext>
            </c:extLst>
          </c:dPt>
          <c:dLbls>
            <c:dLbl>
              <c:idx val="0"/>
              <c:layout>
                <c:manualLayout>
                  <c:x val="0.101899"/>
                  <c:y val="0.16134009971509972"/>
                </c:manualLayout>
              </c:layout>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9884-4C2E-A1C1-71162AF2259A}"/>
                </c:ext>
              </c:extLst>
            </c:dLbl>
            <c:dLbl>
              <c:idx val="1"/>
              <c:layout>
                <c:manualLayout>
                  <c:x val="-0.15313299999999999"/>
                  <c:y val="-0.11162072649572649"/>
                </c:manualLayout>
              </c:layout>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9884-4C2E-A1C1-71162AF2259A}"/>
                </c:ext>
              </c:extLst>
            </c:dLbl>
            <c:spPr>
              <a:noFill/>
              <a:ln>
                <a:noFill/>
                <a:prstDash val="solid"/>
              </a:ln>
            </c:spPr>
            <c:txPr>
              <a:bodyPr wrap="square" lIns="38100" tIns="19050" rIns="38100" bIns="19050" anchor="ctr">
                <a:spAutoFit/>
              </a:bodyPr>
              <a:lstStyle/>
              <a:p>
                <a:pPr>
                  <a:defRPr sz="1400" b="1"/>
                </a:pPr>
                <a:endParaRPr lang="fr-FR"/>
              </a:p>
            </c:txPr>
            <c:dLblPos val="bestFit"/>
            <c:showLegendKey val="0"/>
            <c:showVal val="0"/>
            <c:showCatName val="0"/>
            <c:showSerName val="0"/>
            <c:showPercent val="1"/>
            <c:showBubbleSize val="1"/>
            <c:showLeaderLines val="1"/>
            <c:extLst>
              <c:ext xmlns:c15="http://schemas.microsoft.com/office/drawing/2012/chart" uri="{CE6537A1-D6FC-4f65-9D91-7224C49458BB}"/>
            </c:extLst>
          </c:dLbls>
          <c:cat>
            <c:strRef>
              <c:f>'PARC TERTIAIRE vs. TOTAL'!$M$169:$M$172</c:f>
              <c:strCache>
                <c:ptCount val="4"/>
                <c:pt idx="0">
                  <c:v>Mitigeurs</c:v>
                </c:pt>
                <c:pt idx="1">
                  <c:v>Tempo. Méca</c:v>
                </c:pt>
                <c:pt idx="2">
                  <c:v>Tempo. Electro</c:v>
                </c:pt>
                <c:pt idx="3">
                  <c:v>Autres</c:v>
                </c:pt>
              </c:strCache>
            </c:strRef>
          </c:cat>
          <c:val>
            <c:numRef>
              <c:f>'PARC TERTIAIRE vs. TOTAL'!$N$169:$N$172</c:f>
              <c:numCache>
                <c:formatCode>0%</c:formatCode>
                <c:ptCount val="4"/>
                <c:pt idx="0">
                  <c:v>0.29347466693894231</c:v>
                </c:pt>
                <c:pt idx="1">
                  <c:v>0.55310217818615204</c:v>
                </c:pt>
                <c:pt idx="2">
                  <c:v>9.0947093218596856E-2</c:v>
                </c:pt>
                <c:pt idx="3">
                  <c:v>6.2476061656308909E-2</c:v>
                </c:pt>
              </c:numCache>
            </c:numRef>
          </c:val>
          <c:extLst>
            <c:ext xmlns:c16="http://schemas.microsoft.com/office/drawing/2014/chart" uri="{C3380CC4-5D6E-409C-BE32-E72D297353CC}">
              <c16:uniqueId val="{00000008-9884-4C2E-A1C1-71162AF2259A}"/>
            </c:ext>
          </c:extLst>
        </c:ser>
        <c:dLbls>
          <c:showLegendKey val="0"/>
          <c:showVal val="0"/>
          <c:showCatName val="0"/>
          <c:showSerName val="0"/>
          <c:showPercent val="0"/>
          <c:showBubbleSize val="0"/>
          <c:showLeaderLines val="1"/>
        </c:dLbls>
        <c:firstSliceAng val="270"/>
      </c:pieChart>
    </c:plotArea>
    <c:legend>
      <c:legendPos val="b"/>
      <c:overlay val="1"/>
      <c:txPr>
        <a:bodyPr/>
        <a:lstStyle/>
        <a:p>
          <a:pPr>
            <a:defRPr sz="1100"/>
          </a:pPr>
          <a:endParaRPr lang="fr-FR"/>
        </a:p>
      </c:txPr>
    </c:legend>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a:defRPr sz="1400"/>
            </a:pPr>
            <a:r>
              <a:rPr lang="fr-FR" sz="1400"/>
              <a:t>Nombre d’Etablissements </a:t>
            </a:r>
            <a:r>
              <a:rPr lang="fr-FR" sz="1400" b="1" i="0" strike="noStrike" kern="1200" baseline="0">
                <a:solidFill>
                  <a:sysClr val="windowText" lastClr="000000"/>
                </a:solidFill>
              </a:rPr>
              <a:t>TERTIAIRE </a:t>
            </a:r>
            <a:r>
              <a:rPr lang="fr-FR" sz="1400"/>
              <a:t>par Sous-segment</a:t>
            </a:r>
          </a:p>
        </c:rich>
      </c:tx>
      <c:layout>
        <c:manualLayout>
          <c:xMode val="edge"/>
          <c:yMode val="edge"/>
          <c:x val="0.1112317777777778"/>
          <c:y val="1.356837606837607E-2"/>
        </c:manualLayout>
      </c:layout>
      <c:overlay val="1"/>
    </c:title>
    <c:autoTitleDeleted val="0"/>
    <c:plotArea>
      <c:layout/>
      <c:pieChart>
        <c:varyColors val="1"/>
        <c:ser>
          <c:idx val="0"/>
          <c:order val="0"/>
          <c:spPr>
            <a:ln>
              <a:prstDash val="solid"/>
            </a:ln>
          </c:spPr>
          <c:dPt>
            <c:idx val="0"/>
            <c:bubble3D val="0"/>
            <c:spPr>
              <a:solidFill>
                <a:srgbClr val="4472C4"/>
              </a:solidFill>
              <a:ln w="12700">
                <a:solidFill>
                  <a:srgbClr val="FFFFFF"/>
                </a:solidFill>
                <a:prstDash val="solid"/>
              </a:ln>
            </c:spPr>
            <c:extLst>
              <c:ext xmlns:c16="http://schemas.microsoft.com/office/drawing/2014/chart" uri="{C3380CC4-5D6E-409C-BE32-E72D297353CC}">
                <c16:uniqueId val="{00000001-4339-441D-825C-54F89F44F25D}"/>
              </c:ext>
            </c:extLst>
          </c:dPt>
          <c:dPt>
            <c:idx val="1"/>
            <c:bubble3D val="0"/>
            <c:spPr>
              <a:solidFill>
                <a:srgbClr val="ED7D31"/>
              </a:solidFill>
              <a:ln w="12700">
                <a:solidFill>
                  <a:srgbClr val="FFFFFF"/>
                </a:solidFill>
                <a:prstDash val="solid"/>
              </a:ln>
            </c:spPr>
            <c:extLst>
              <c:ext xmlns:c16="http://schemas.microsoft.com/office/drawing/2014/chart" uri="{C3380CC4-5D6E-409C-BE32-E72D297353CC}">
                <c16:uniqueId val="{00000003-4339-441D-825C-54F89F44F25D}"/>
              </c:ext>
            </c:extLst>
          </c:dPt>
          <c:dPt>
            <c:idx val="2"/>
            <c:bubble3D val="0"/>
            <c:spPr>
              <a:solidFill>
                <a:srgbClr val="A5A5A5"/>
              </a:solidFill>
              <a:ln w="12700">
                <a:solidFill>
                  <a:srgbClr val="FFFFFF"/>
                </a:solidFill>
                <a:prstDash val="solid"/>
              </a:ln>
            </c:spPr>
            <c:extLst>
              <c:ext xmlns:c16="http://schemas.microsoft.com/office/drawing/2014/chart" uri="{C3380CC4-5D6E-409C-BE32-E72D297353CC}">
                <c16:uniqueId val="{00000005-4339-441D-825C-54F89F44F25D}"/>
              </c:ext>
            </c:extLst>
          </c:dPt>
          <c:dPt>
            <c:idx val="3"/>
            <c:bubble3D val="0"/>
            <c:spPr>
              <a:solidFill>
                <a:srgbClr val="FFC000"/>
              </a:solidFill>
              <a:ln w="12700">
                <a:solidFill>
                  <a:srgbClr val="FFFFFF"/>
                </a:solidFill>
                <a:prstDash val="solid"/>
              </a:ln>
            </c:spPr>
            <c:extLst>
              <c:ext xmlns:c16="http://schemas.microsoft.com/office/drawing/2014/chart" uri="{C3380CC4-5D6E-409C-BE32-E72D297353CC}">
                <c16:uniqueId val="{00000007-4339-441D-825C-54F89F44F25D}"/>
              </c:ext>
            </c:extLst>
          </c:dPt>
          <c:dPt>
            <c:idx val="4"/>
            <c:bubble3D val="0"/>
            <c:spPr>
              <a:solidFill>
                <a:srgbClr val="5B9BD5"/>
              </a:solidFill>
              <a:ln w="12700">
                <a:solidFill>
                  <a:srgbClr val="FFFFFF"/>
                </a:solidFill>
                <a:prstDash val="solid"/>
              </a:ln>
            </c:spPr>
            <c:extLst>
              <c:ext xmlns:c16="http://schemas.microsoft.com/office/drawing/2014/chart" uri="{C3380CC4-5D6E-409C-BE32-E72D297353CC}">
                <c16:uniqueId val="{00000009-4339-441D-825C-54F89F44F25D}"/>
              </c:ext>
            </c:extLst>
          </c:dPt>
          <c:dPt>
            <c:idx val="5"/>
            <c:bubble3D val="0"/>
            <c:spPr>
              <a:solidFill>
                <a:srgbClr val="70AD47"/>
              </a:solidFill>
              <a:ln w="12700">
                <a:solidFill>
                  <a:srgbClr val="FFFFFF"/>
                </a:solidFill>
                <a:prstDash val="solid"/>
              </a:ln>
            </c:spPr>
            <c:extLst>
              <c:ext xmlns:c16="http://schemas.microsoft.com/office/drawing/2014/chart" uri="{C3380CC4-5D6E-409C-BE32-E72D297353CC}">
                <c16:uniqueId val="{0000000B-4339-441D-825C-54F89F44F25D}"/>
              </c:ext>
            </c:extLst>
          </c:dPt>
          <c:dPt>
            <c:idx val="6"/>
            <c:bubble3D val="0"/>
            <c:spPr>
              <a:solidFill>
                <a:srgbClr val="264478"/>
              </a:solidFill>
              <a:ln w="12700">
                <a:solidFill>
                  <a:srgbClr val="FFFFFF"/>
                </a:solidFill>
                <a:prstDash val="solid"/>
              </a:ln>
            </c:spPr>
            <c:extLst>
              <c:ext xmlns:c16="http://schemas.microsoft.com/office/drawing/2014/chart" uri="{C3380CC4-5D6E-409C-BE32-E72D297353CC}">
                <c16:uniqueId val="{0000000D-4339-441D-825C-54F89F44F25D}"/>
              </c:ext>
            </c:extLst>
          </c:dPt>
          <c:dPt>
            <c:idx val="7"/>
            <c:bubble3D val="0"/>
            <c:spPr>
              <a:solidFill>
                <a:srgbClr val="9E480E"/>
              </a:solidFill>
              <a:ln w="12700">
                <a:solidFill>
                  <a:srgbClr val="FFFFFF"/>
                </a:solidFill>
                <a:prstDash val="solid"/>
              </a:ln>
            </c:spPr>
            <c:extLst>
              <c:ext xmlns:c16="http://schemas.microsoft.com/office/drawing/2014/chart" uri="{C3380CC4-5D6E-409C-BE32-E72D297353CC}">
                <c16:uniqueId val="{0000000F-4339-441D-825C-54F89F44F25D}"/>
              </c:ext>
            </c:extLst>
          </c:dPt>
          <c:dPt>
            <c:idx val="8"/>
            <c:bubble3D val="0"/>
            <c:spPr>
              <a:solidFill>
                <a:srgbClr val="636363"/>
              </a:solidFill>
              <a:ln w="12700">
                <a:solidFill>
                  <a:srgbClr val="FFFFFF"/>
                </a:solidFill>
                <a:prstDash val="solid"/>
              </a:ln>
            </c:spPr>
            <c:extLst>
              <c:ext xmlns:c16="http://schemas.microsoft.com/office/drawing/2014/chart" uri="{C3380CC4-5D6E-409C-BE32-E72D297353CC}">
                <c16:uniqueId val="{00000011-4339-441D-825C-54F89F44F25D}"/>
              </c:ext>
            </c:extLst>
          </c:dPt>
          <c:dLbls>
            <c:dLbl>
              <c:idx val="1"/>
              <c:layout>
                <c:manualLayout>
                  <c:x val="-7.3342768413941356E-3"/>
                  <c:y val="2.949477986745332E-2"/>
                </c:manualLayout>
              </c:layout>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4339-441D-825C-54F89F44F25D}"/>
                </c:ext>
              </c:extLst>
            </c:dLbl>
            <c:dLbl>
              <c:idx val="6"/>
              <c:layout>
                <c:manualLayout>
                  <c:x val="-2.9092031036611746E-2"/>
                  <c:y val="-3.8069717919404139E-2"/>
                </c:manualLayout>
              </c:layout>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D-4339-441D-825C-54F89F44F25D}"/>
                </c:ext>
              </c:extLst>
            </c:dLbl>
            <c:dLbl>
              <c:idx val="7"/>
              <c:layout>
                <c:manualLayout>
                  <c:x val="3.4668467749078857E-3"/>
                  <c:y val="3.928164881481009E-2"/>
                </c:manualLayout>
              </c:layout>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F-4339-441D-825C-54F89F44F25D}"/>
                </c:ext>
              </c:extLst>
            </c:dLbl>
            <c:dLbl>
              <c:idx val="8"/>
              <c:layout>
                <c:manualLayout>
                  <c:x val="1.1212035478723474E-2"/>
                  <c:y val="-6.1465626793976658E-2"/>
                </c:manualLayout>
              </c:layout>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11-4339-441D-825C-54F89F44F25D}"/>
                </c:ext>
              </c:extLst>
            </c:dLbl>
            <c:spPr>
              <a:solidFill>
                <a:sysClr val="window" lastClr="FFFFFF"/>
              </a:solidFill>
              <a:ln>
                <a:solidFill>
                  <a:sysClr val="windowText" lastClr="000000">
                    <a:lumOff val="35000"/>
                    <a:lumMod val="65000"/>
                  </a:sysClr>
                </a:solidFill>
                <a:prstDash val="solid"/>
              </a:ln>
            </c:spPr>
            <c:txPr>
              <a:bodyPr wrap="square" lIns="38100" tIns="19050" rIns="38100" bIns="19050" anchor="ctr">
                <a:spAutoFit/>
              </a:bodyPr>
              <a:lstStyle/>
              <a:p>
                <a:pPr>
                  <a:defRPr sz="1200" b="1"/>
                </a:pPr>
                <a:endParaRPr lang="fr-FR"/>
              </a:p>
            </c:txPr>
            <c:dLblPos val="outEnd"/>
            <c:showLegendKey val="0"/>
            <c:showVal val="0"/>
            <c:showCatName val="0"/>
            <c:showSerName val="0"/>
            <c:showPercent val="1"/>
            <c:showBubbleSize val="1"/>
            <c:showLeaderLines val="0"/>
            <c:extLst>
              <c:ext xmlns:c15="http://schemas.microsoft.com/office/drawing/2012/chart" uri="{CE6537A1-D6FC-4f65-9D91-7224C49458BB}"/>
            </c:extLst>
          </c:dLbls>
          <c:cat>
            <c:strRef>
              <c:f>'DETAIL PARC TERTIAIRE'!$A$212:$A$220</c:f>
              <c:strCache>
                <c:ptCount val="9"/>
                <c:pt idx="0">
                  <c:v>1</c:v>
                </c:pt>
                <c:pt idx="1">
                  <c:v>2</c:v>
                </c:pt>
                <c:pt idx="2">
                  <c:v>3</c:v>
                </c:pt>
                <c:pt idx="3">
                  <c:v>4</c:v>
                </c:pt>
                <c:pt idx="4">
                  <c:v>5</c:v>
                </c:pt>
                <c:pt idx="5">
                  <c:v>6</c:v>
                </c:pt>
                <c:pt idx="6">
                  <c:v>7</c:v>
                </c:pt>
                <c:pt idx="7">
                  <c:v>8</c:v>
                </c:pt>
                <c:pt idx="8">
                  <c:v>9</c:v>
                </c:pt>
              </c:strCache>
            </c:strRef>
          </c:cat>
          <c:val>
            <c:numRef>
              <c:f>'DETAIL PARC TERTIAIRE'!$B$212:$B$220</c:f>
              <c:numCache>
                <c:formatCode>#,##0</c:formatCode>
                <c:ptCount val="9"/>
                <c:pt idx="0">
                  <c:v>28100</c:v>
                </c:pt>
                <c:pt idx="1">
                  <c:v>3650</c:v>
                </c:pt>
                <c:pt idx="2">
                  <c:v>8700</c:v>
                </c:pt>
                <c:pt idx="3">
                  <c:v>5050</c:v>
                </c:pt>
                <c:pt idx="4">
                  <c:v>37496</c:v>
                </c:pt>
                <c:pt idx="5">
                  <c:v>10000</c:v>
                </c:pt>
                <c:pt idx="6">
                  <c:v>121</c:v>
                </c:pt>
                <c:pt idx="7">
                  <c:v>832</c:v>
                </c:pt>
                <c:pt idx="8">
                  <c:v>520</c:v>
                </c:pt>
              </c:numCache>
            </c:numRef>
          </c:val>
          <c:extLst>
            <c:ext xmlns:c16="http://schemas.microsoft.com/office/drawing/2014/chart" uri="{C3380CC4-5D6E-409C-BE32-E72D297353CC}">
              <c16:uniqueId val="{00000012-4339-441D-825C-54F89F44F25D}"/>
            </c:ext>
          </c:extLst>
        </c:ser>
        <c:dLbls>
          <c:showLegendKey val="0"/>
          <c:showVal val="0"/>
          <c:showCatName val="0"/>
          <c:showSerName val="0"/>
          <c:showPercent val="0"/>
          <c:showBubbleSize val="0"/>
          <c:showLeaderLines val="0"/>
        </c:dLbls>
        <c:firstSliceAng val="270"/>
      </c:pieChart>
    </c:plotArea>
    <c:legend>
      <c:legendPos val="r"/>
      <c:overlay val="0"/>
      <c:txPr>
        <a:bodyPr/>
        <a:lstStyle/>
        <a:p>
          <a:pPr>
            <a:defRPr sz="1400"/>
          </a:pPr>
          <a:endParaRPr lang="fr-FR"/>
        </a:p>
      </c:txPr>
    </c:legend>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a:defRPr sz="1400"/>
            </a:pPr>
            <a:r>
              <a:rPr lang="fr-FR" sz="1400" b="1" i="0" strike="noStrike" kern="1200" baseline="0">
                <a:solidFill>
                  <a:sysClr val="windowText" lastClr="000000"/>
                </a:solidFill>
              </a:rPr>
              <a:t>Volume Robinets Lavabo TERTIAIRE par Sous-segment</a:t>
            </a:r>
          </a:p>
        </c:rich>
      </c:tx>
      <c:overlay val="1"/>
    </c:title>
    <c:autoTitleDeleted val="0"/>
    <c:plotArea>
      <c:layout/>
      <c:pieChart>
        <c:varyColors val="1"/>
        <c:ser>
          <c:idx val="0"/>
          <c:order val="0"/>
          <c:spPr>
            <a:ln>
              <a:prstDash val="solid"/>
            </a:ln>
          </c:spPr>
          <c:dPt>
            <c:idx val="0"/>
            <c:bubble3D val="0"/>
            <c:spPr>
              <a:solidFill>
                <a:srgbClr val="4472C4"/>
              </a:solidFill>
              <a:ln w="12700">
                <a:solidFill>
                  <a:srgbClr val="FFFFFF"/>
                </a:solidFill>
                <a:prstDash val="solid"/>
              </a:ln>
            </c:spPr>
            <c:extLst>
              <c:ext xmlns:c16="http://schemas.microsoft.com/office/drawing/2014/chart" uri="{C3380CC4-5D6E-409C-BE32-E72D297353CC}">
                <c16:uniqueId val="{00000001-370A-4B43-98DC-268126391D91}"/>
              </c:ext>
            </c:extLst>
          </c:dPt>
          <c:dPt>
            <c:idx val="1"/>
            <c:bubble3D val="0"/>
            <c:spPr>
              <a:solidFill>
                <a:srgbClr val="ED7D31"/>
              </a:solidFill>
              <a:ln w="12700">
                <a:solidFill>
                  <a:srgbClr val="FFFFFF"/>
                </a:solidFill>
                <a:prstDash val="solid"/>
              </a:ln>
            </c:spPr>
            <c:extLst>
              <c:ext xmlns:c16="http://schemas.microsoft.com/office/drawing/2014/chart" uri="{C3380CC4-5D6E-409C-BE32-E72D297353CC}">
                <c16:uniqueId val="{00000003-370A-4B43-98DC-268126391D91}"/>
              </c:ext>
            </c:extLst>
          </c:dPt>
          <c:dPt>
            <c:idx val="2"/>
            <c:bubble3D val="0"/>
            <c:spPr>
              <a:solidFill>
                <a:srgbClr val="A5A5A5"/>
              </a:solidFill>
              <a:ln w="12700">
                <a:solidFill>
                  <a:srgbClr val="FFFFFF"/>
                </a:solidFill>
                <a:prstDash val="solid"/>
              </a:ln>
            </c:spPr>
            <c:extLst>
              <c:ext xmlns:c16="http://schemas.microsoft.com/office/drawing/2014/chart" uri="{C3380CC4-5D6E-409C-BE32-E72D297353CC}">
                <c16:uniqueId val="{00000005-370A-4B43-98DC-268126391D91}"/>
              </c:ext>
            </c:extLst>
          </c:dPt>
          <c:dPt>
            <c:idx val="3"/>
            <c:bubble3D val="0"/>
            <c:spPr>
              <a:solidFill>
                <a:srgbClr val="FFC000"/>
              </a:solidFill>
              <a:ln w="12700">
                <a:solidFill>
                  <a:srgbClr val="FFFFFF"/>
                </a:solidFill>
                <a:prstDash val="solid"/>
              </a:ln>
            </c:spPr>
            <c:extLst>
              <c:ext xmlns:c16="http://schemas.microsoft.com/office/drawing/2014/chart" uri="{C3380CC4-5D6E-409C-BE32-E72D297353CC}">
                <c16:uniqueId val="{00000007-370A-4B43-98DC-268126391D91}"/>
              </c:ext>
            </c:extLst>
          </c:dPt>
          <c:dPt>
            <c:idx val="4"/>
            <c:bubble3D val="0"/>
            <c:spPr>
              <a:solidFill>
                <a:srgbClr val="5B9BD5"/>
              </a:solidFill>
              <a:ln w="12700">
                <a:solidFill>
                  <a:srgbClr val="FFFFFF"/>
                </a:solidFill>
                <a:prstDash val="solid"/>
              </a:ln>
            </c:spPr>
            <c:extLst>
              <c:ext xmlns:c16="http://schemas.microsoft.com/office/drawing/2014/chart" uri="{C3380CC4-5D6E-409C-BE32-E72D297353CC}">
                <c16:uniqueId val="{00000009-370A-4B43-98DC-268126391D91}"/>
              </c:ext>
            </c:extLst>
          </c:dPt>
          <c:dPt>
            <c:idx val="5"/>
            <c:bubble3D val="0"/>
            <c:spPr>
              <a:solidFill>
                <a:srgbClr val="70AD47"/>
              </a:solidFill>
              <a:ln w="12700">
                <a:solidFill>
                  <a:srgbClr val="FFFFFF"/>
                </a:solidFill>
                <a:prstDash val="solid"/>
              </a:ln>
            </c:spPr>
            <c:extLst>
              <c:ext xmlns:c16="http://schemas.microsoft.com/office/drawing/2014/chart" uri="{C3380CC4-5D6E-409C-BE32-E72D297353CC}">
                <c16:uniqueId val="{0000000B-370A-4B43-98DC-268126391D91}"/>
              </c:ext>
            </c:extLst>
          </c:dPt>
          <c:dPt>
            <c:idx val="6"/>
            <c:bubble3D val="0"/>
            <c:spPr>
              <a:solidFill>
                <a:srgbClr val="264478"/>
              </a:solidFill>
              <a:ln w="12700">
                <a:solidFill>
                  <a:srgbClr val="FFFFFF"/>
                </a:solidFill>
                <a:prstDash val="solid"/>
              </a:ln>
            </c:spPr>
            <c:extLst>
              <c:ext xmlns:c16="http://schemas.microsoft.com/office/drawing/2014/chart" uri="{C3380CC4-5D6E-409C-BE32-E72D297353CC}">
                <c16:uniqueId val="{0000000D-370A-4B43-98DC-268126391D91}"/>
              </c:ext>
            </c:extLst>
          </c:dPt>
          <c:dPt>
            <c:idx val="7"/>
            <c:bubble3D val="0"/>
            <c:spPr>
              <a:solidFill>
                <a:srgbClr val="9E480E"/>
              </a:solidFill>
              <a:ln w="12700">
                <a:solidFill>
                  <a:srgbClr val="FFFFFF"/>
                </a:solidFill>
                <a:prstDash val="solid"/>
              </a:ln>
            </c:spPr>
            <c:extLst>
              <c:ext xmlns:c16="http://schemas.microsoft.com/office/drawing/2014/chart" uri="{C3380CC4-5D6E-409C-BE32-E72D297353CC}">
                <c16:uniqueId val="{0000000F-370A-4B43-98DC-268126391D91}"/>
              </c:ext>
            </c:extLst>
          </c:dPt>
          <c:dPt>
            <c:idx val="8"/>
            <c:bubble3D val="0"/>
            <c:spPr>
              <a:solidFill>
                <a:srgbClr val="636363"/>
              </a:solidFill>
              <a:ln w="12700">
                <a:solidFill>
                  <a:srgbClr val="FFFFFF"/>
                </a:solidFill>
                <a:prstDash val="solid"/>
              </a:ln>
            </c:spPr>
            <c:extLst>
              <c:ext xmlns:c16="http://schemas.microsoft.com/office/drawing/2014/chart" uri="{C3380CC4-5D6E-409C-BE32-E72D297353CC}">
                <c16:uniqueId val="{00000011-370A-4B43-98DC-268126391D91}"/>
              </c:ext>
            </c:extLst>
          </c:dPt>
          <c:dLbls>
            <c:dLbl>
              <c:idx val="0"/>
              <c:layout>
                <c:manualLayout>
                  <c:x val="-0.13862603617621022"/>
                  <c:y val="7.8766622159159347E-2"/>
                </c:manualLayout>
              </c:layout>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370A-4B43-98DC-268126391D91}"/>
                </c:ext>
              </c:extLst>
            </c:dLbl>
            <c:spPr>
              <a:noFill/>
              <a:ln>
                <a:solidFill>
                  <a:schemeClr val="tx1"/>
                </a:solidFill>
                <a:prstDash val="solid"/>
              </a:ln>
            </c:spPr>
            <c:txPr>
              <a:bodyPr wrap="square" lIns="38100" tIns="19050" rIns="38100" bIns="19050" anchor="ctr">
                <a:spAutoFit/>
              </a:bodyPr>
              <a:lstStyle/>
              <a:p>
                <a:pPr>
                  <a:defRPr sz="1200" b="1"/>
                </a:pPr>
                <a:endParaRPr lang="fr-FR"/>
              </a:p>
            </c:txPr>
            <c:dLblPos val="outEnd"/>
            <c:showLegendKey val="0"/>
            <c:showVal val="0"/>
            <c:showCatName val="0"/>
            <c:showSerName val="0"/>
            <c:showPercent val="1"/>
            <c:showBubbleSize val="1"/>
            <c:showLeaderLines val="1"/>
            <c:extLst>
              <c:ext xmlns:c15="http://schemas.microsoft.com/office/drawing/2012/chart" uri="{CE6537A1-D6FC-4f65-9D91-7224C49458BB}"/>
            </c:extLst>
          </c:dLbls>
          <c:cat>
            <c:strRef>
              <c:f>'DETAIL PARC TERTIAIRE'!$D$212:$D$220</c:f>
              <c:strCache>
                <c:ptCount val="9"/>
                <c:pt idx="0">
                  <c:v>1</c:v>
                </c:pt>
                <c:pt idx="1">
                  <c:v>2</c:v>
                </c:pt>
                <c:pt idx="2">
                  <c:v>3</c:v>
                </c:pt>
                <c:pt idx="3">
                  <c:v>4</c:v>
                </c:pt>
                <c:pt idx="4">
                  <c:v>5</c:v>
                </c:pt>
                <c:pt idx="5">
                  <c:v>6</c:v>
                </c:pt>
                <c:pt idx="6">
                  <c:v>7</c:v>
                </c:pt>
                <c:pt idx="7">
                  <c:v>8</c:v>
                </c:pt>
                <c:pt idx="8">
                  <c:v>9</c:v>
                </c:pt>
              </c:strCache>
            </c:strRef>
          </c:cat>
          <c:val>
            <c:numRef>
              <c:f>'DETAIL PARC TERTIAIRE'!$F$212:$F$220</c:f>
              <c:numCache>
                <c:formatCode>#,##0</c:formatCode>
                <c:ptCount val="9"/>
                <c:pt idx="0">
                  <c:v>618200</c:v>
                </c:pt>
                <c:pt idx="1">
                  <c:v>58400</c:v>
                </c:pt>
                <c:pt idx="2">
                  <c:v>217500</c:v>
                </c:pt>
                <c:pt idx="3">
                  <c:v>70700</c:v>
                </c:pt>
                <c:pt idx="4">
                  <c:v>112488</c:v>
                </c:pt>
                <c:pt idx="5">
                  <c:v>160000</c:v>
                </c:pt>
                <c:pt idx="6">
                  <c:v>3025</c:v>
                </c:pt>
                <c:pt idx="7">
                  <c:v>66560</c:v>
                </c:pt>
                <c:pt idx="8">
                  <c:v>5200</c:v>
                </c:pt>
              </c:numCache>
            </c:numRef>
          </c:val>
          <c:extLst>
            <c:ext xmlns:c16="http://schemas.microsoft.com/office/drawing/2014/chart" uri="{C3380CC4-5D6E-409C-BE32-E72D297353CC}">
              <c16:uniqueId val="{00000012-370A-4B43-98DC-268126391D91}"/>
            </c:ext>
          </c:extLst>
        </c:ser>
        <c:dLbls>
          <c:showLegendKey val="0"/>
          <c:showVal val="0"/>
          <c:showCatName val="0"/>
          <c:showSerName val="0"/>
          <c:showPercent val="0"/>
          <c:showBubbleSize val="0"/>
          <c:showLeaderLines val="1"/>
        </c:dLbls>
        <c:firstSliceAng val="270"/>
      </c:pieChart>
    </c:plotArea>
    <c:legend>
      <c:legendPos val="r"/>
      <c:overlay val="1"/>
      <c:txPr>
        <a:bodyPr/>
        <a:lstStyle/>
        <a:p>
          <a:pPr>
            <a:defRPr sz="1400"/>
          </a:pPr>
          <a:endParaRPr lang="fr-FR"/>
        </a:p>
      </c:txPr>
    </c:legend>
    <c:plotVisOnly val="1"/>
    <c:dispBlanksAs val="gap"/>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50"/>
            </a:pPr>
            <a:r>
              <a:rPr lang="fr-FR" sz="1150"/>
              <a:t>Ventes 2025-30 - GLOBAL - Tertiaire vs. Total</a:t>
            </a:r>
          </a:p>
        </c:rich>
      </c:tx>
      <c:layout>
        <c:manualLayout>
          <c:xMode val="edge"/>
          <c:yMode val="edge"/>
          <c:x val="0.13897565864833905"/>
          <c:y val="7.7333333333333117E-4"/>
        </c:manualLayout>
      </c:layout>
      <c:overlay val="1"/>
    </c:title>
    <c:autoTitleDeleted val="0"/>
    <c:plotArea>
      <c:layout/>
      <c:pieChart>
        <c:varyColors val="1"/>
        <c:ser>
          <c:idx val="0"/>
          <c:order val="0"/>
          <c:spPr>
            <a:ln>
              <a:prstDash val="solid"/>
            </a:ln>
          </c:spPr>
          <c:dPt>
            <c:idx val="0"/>
            <c:bubble3D val="0"/>
            <c:spPr>
              <a:solidFill>
                <a:srgbClr val="4472C4"/>
              </a:solidFill>
              <a:ln>
                <a:solidFill>
                  <a:srgbClr val="FFFFFF"/>
                </a:solidFill>
                <a:prstDash val="solid"/>
              </a:ln>
            </c:spPr>
            <c:extLst>
              <c:ext xmlns:c16="http://schemas.microsoft.com/office/drawing/2014/chart" uri="{C3380CC4-5D6E-409C-BE32-E72D297353CC}">
                <c16:uniqueId val="{00000001-2EBC-45A7-B1B6-5C690DD86D00}"/>
              </c:ext>
            </c:extLst>
          </c:dPt>
          <c:dPt>
            <c:idx val="1"/>
            <c:bubble3D val="0"/>
            <c:spPr>
              <a:solidFill>
                <a:srgbClr val="A5A5A5"/>
              </a:solidFill>
              <a:ln>
                <a:solidFill>
                  <a:srgbClr val="FFFFFF"/>
                </a:solidFill>
                <a:prstDash val="solid"/>
              </a:ln>
            </c:spPr>
            <c:extLst>
              <c:ext xmlns:c16="http://schemas.microsoft.com/office/drawing/2014/chart" uri="{C3380CC4-5D6E-409C-BE32-E72D297353CC}">
                <c16:uniqueId val="{00000003-2EBC-45A7-B1B6-5C690DD86D00}"/>
              </c:ext>
            </c:extLst>
          </c:dPt>
          <c:dLbls>
            <c:dLbl>
              <c:idx val="0"/>
              <c:layout>
                <c:manualLayout>
                  <c:x val="0.1065687321937322"/>
                  <c:y val="0.109587899543379"/>
                </c:manualLayout>
              </c:layout>
              <c:spPr>
                <a:noFill/>
                <a:ln>
                  <a:noFill/>
                </a:ln>
                <a:effectLst/>
              </c:spPr>
              <c:txPr>
                <a:bodyPr wrap="square" lIns="38100" tIns="19050" rIns="38100" bIns="19050" anchor="ctr">
                  <a:spAutoFit/>
                </a:bodyPr>
                <a:lstStyle/>
                <a:p>
                  <a:pPr>
                    <a:defRPr sz="1200" b="1"/>
                  </a:pPr>
                  <a:endParaRPr lang="fr-FR"/>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2EBC-45A7-B1B6-5C690DD86D00}"/>
                </c:ext>
              </c:extLst>
            </c:dLbl>
            <c:dLbl>
              <c:idx val="1"/>
              <c:layout>
                <c:manualLayout>
                  <c:x val="-0.15489981006647685"/>
                  <c:y val="-0.1493310502283105"/>
                </c:manualLayout>
              </c:layout>
              <c:spPr>
                <a:noFill/>
                <a:ln>
                  <a:noFill/>
                </a:ln>
                <a:effectLst/>
              </c:spPr>
              <c:txPr>
                <a:bodyPr wrap="square" lIns="38100" tIns="19050" rIns="38100" bIns="19050" anchor="ctr">
                  <a:spAutoFit/>
                </a:bodyPr>
                <a:lstStyle/>
                <a:p>
                  <a:pPr>
                    <a:defRPr sz="1200" b="1"/>
                  </a:pPr>
                  <a:endParaRPr lang="fr-FR"/>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2EBC-45A7-B1B6-5C690DD86D00}"/>
                </c:ext>
              </c:extLst>
            </c:dLbl>
            <c:spPr>
              <a:noFill/>
              <a:ln>
                <a:noFill/>
              </a:ln>
              <a:effectLst/>
            </c:spPr>
            <c:txPr>
              <a:bodyPr wrap="square" lIns="38100" tIns="19050" rIns="38100" bIns="19050" anchor="ctr">
                <a:spAutoFit/>
              </a:bodyPr>
              <a:lstStyle/>
              <a:p>
                <a:pPr>
                  <a:defRPr sz="1200"/>
                </a:pPr>
                <a:endParaRPr lang="fr-FR"/>
              </a:p>
            </c:txPr>
            <c:dLblPos val="bestFit"/>
            <c:showLegendKey val="0"/>
            <c:showVal val="0"/>
            <c:showCatName val="0"/>
            <c:showSerName val="0"/>
            <c:showPercent val="1"/>
            <c:showBubbleSize val="1"/>
            <c:showLeaderLines val="1"/>
            <c:extLst>
              <c:ext xmlns:c15="http://schemas.microsoft.com/office/drawing/2012/chart" uri="{CE6537A1-D6FC-4f65-9D91-7224C49458BB}"/>
            </c:extLst>
          </c:dLbls>
          <c:cat>
            <c:numRef>
              <c:f>'[1]VENTES - TOTAL vs TERT.'!$AA$6:$AA$7</c:f>
              <c:numCache>
                <c:formatCode>General</c:formatCode>
                <c:ptCount val="2"/>
                <c:pt idx="0">
                  <c:v>1</c:v>
                </c:pt>
                <c:pt idx="1">
                  <c:v>2</c:v>
                </c:pt>
              </c:numCache>
            </c:numRef>
          </c:cat>
          <c:val>
            <c:numRef>
              <c:f>'[1]VENTES - TOTAL vs TERT.'!$AB$6:$AB$7</c:f>
              <c:numCache>
                <c:formatCode>General</c:formatCode>
                <c:ptCount val="2"/>
                <c:pt idx="0">
                  <c:v>476551.75102705747</c:v>
                </c:pt>
                <c:pt idx="1">
                  <c:v>2024720.0497541884</c:v>
                </c:pt>
              </c:numCache>
            </c:numRef>
          </c:val>
          <c:extLst>
            <c:ext xmlns:c16="http://schemas.microsoft.com/office/drawing/2014/chart" uri="{C3380CC4-5D6E-409C-BE32-E72D297353CC}">
              <c16:uniqueId val="{00000004-2EBC-45A7-B1B6-5C690DD86D00}"/>
            </c:ext>
          </c:extLst>
        </c:ser>
        <c:dLbls>
          <c:dLblPos val="bestFit"/>
          <c:showLegendKey val="1"/>
          <c:showVal val="0"/>
          <c:showCatName val="0"/>
          <c:showSerName val="0"/>
          <c:showPercent val="1"/>
          <c:showBubbleSize val="1"/>
          <c:showLeaderLines val="1"/>
        </c:dLbls>
        <c:firstSliceAng val="270"/>
      </c:pieChart>
    </c:plotArea>
    <c:legend>
      <c:legendPos val="r"/>
      <c:overlay val="1"/>
      <c:txPr>
        <a:bodyPr/>
        <a:lstStyle/>
        <a:p>
          <a:pPr>
            <a:defRPr sz="1200"/>
          </a:pPr>
          <a:endParaRPr lang="fr-FR"/>
        </a:p>
      </c:txPr>
    </c:legend>
    <c:plotVisOnly val="1"/>
    <c:dispBlanksAs val="gap"/>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50"/>
            </a:pPr>
            <a:r>
              <a:rPr lang="fr-FR" sz="1150" b="1" i="0" u="none" strike="noStrike" kern="1200" baseline="0">
                <a:solidFill>
                  <a:sysClr val="windowText" lastClr="000000"/>
                </a:solidFill>
              </a:rPr>
              <a:t>Ventes 2025-30 - </a:t>
            </a:r>
            <a:r>
              <a:rPr lang="fr-FR" sz="1150" b="1" i="0" u="none" strike="noStrike" kern="1200" baseline="0">
                <a:solidFill>
                  <a:schemeClr val="bg2">
                    <a:lumMod val="50000"/>
                  </a:schemeClr>
                </a:solidFill>
              </a:rPr>
              <a:t>RENO</a:t>
            </a:r>
            <a:r>
              <a:rPr lang="fr-FR" sz="1150" b="1" i="0" u="none" strike="noStrike" kern="1200" baseline="0">
                <a:solidFill>
                  <a:sysClr val="windowText" lastClr="000000"/>
                </a:solidFill>
              </a:rPr>
              <a:t> - Tertiaire vs. Total</a:t>
            </a:r>
          </a:p>
        </c:rich>
      </c:tx>
      <c:layout>
        <c:manualLayout>
          <c:xMode val="edge"/>
          <c:yMode val="edge"/>
          <c:x val="0.1259372852233677"/>
          <c:y val="2.1166666666666667E-2"/>
        </c:manualLayout>
      </c:layout>
      <c:overlay val="1"/>
    </c:title>
    <c:autoTitleDeleted val="0"/>
    <c:plotArea>
      <c:layout/>
      <c:pieChart>
        <c:varyColors val="1"/>
        <c:ser>
          <c:idx val="0"/>
          <c:order val="0"/>
          <c:spPr>
            <a:ln>
              <a:prstDash val="solid"/>
            </a:ln>
          </c:spPr>
          <c:dPt>
            <c:idx val="0"/>
            <c:bubble3D val="0"/>
            <c:spPr>
              <a:solidFill>
                <a:srgbClr val="4472C4"/>
              </a:solidFill>
              <a:ln>
                <a:solidFill>
                  <a:srgbClr val="FFFFFF"/>
                </a:solidFill>
                <a:prstDash val="solid"/>
              </a:ln>
            </c:spPr>
            <c:extLst>
              <c:ext xmlns:c16="http://schemas.microsoft.com/office/drawing/2014/chart" uri="{C3380CC4-5D6E-409C-BE32-E72D297353CC}">
                <c16:uniqueId val="{00000001-778F-40BF-9FB8-2A6A1456FFDF}"/>
              </c:ext>
            </c:extLst>
          </c:dPt>
          <c:dPt>
            <c:idx val="1"/>
            <c:bubble3D val="0"/>
            <c:spPr>
              <a:solidFill>
                <a:srgbClr val="A5A5A5"/>
              </a:solidFill>
              <a:ln>
                <a:solidFill>
                  <a:srgbClr val="FFFFFF"/>
                </a:solidFill>
                <a:prstDash val="solid"/>
              </a:ln>
            </c:spPr>
            <c:extLst>
              <c:ext xmlns:c16="http://schemas.microsoft.com/office/drawing/2014/chart" uri="{C3380CC4-5D6E-409C-BE32-E72D297353CC}">
                <c16:uniqueId val="{00000003-778F-40BF-9FB8-2A6A1456FFDF}"/>
              </c:ext>
            </c:extLst>
          </c:dPt>
          <c:dLbls>
            <c:dLbl>
              <c:idx val="0"/>
              <c:layout>
                <c:manualLayout>
                  <c:x val="0.11111075498575498"/>
                  <c:y val="0.12704984779299847"/>
                </c:manualLayout>
              </c:layout>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778F-40BF-9FB8-2A6A1456FFDF}"/>
                </c:ext>
              </c:extLst>
            </c:dLbl>
            <c:dLbl>
              <c:idx val="1"/>
              <c:layout>
                <c:manualLayout>
                  <c:x val="-0.15454214150047482"/>
                  <c:y val="-0.1697648401826484"/>
                </c:manualLayout>
              </c:layout>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778F-40BF-9FB8-2A6A1456FFDF}"/>
                </c:ext>
              </c:extLst>
            </c:dLbl>
            <c:spPr>
              <a:noFill/>
              <a:ln>
                <a:noFill/>
              </a:ln>
              <a:effectLst/>
            </c:spPr>
            <c:txPr>
              <a:bodyPr wrap="square" lIns="38100" tIns="19050" rIns="38100" bIns="19050" anchor="ctr">
                <a:spAutoFit/>
              </a:bodyPr>
              <a:lstStyle/>
              <a:p>
                <a:pPr>
                  <a:defRPr sz="1200" b="1"/>
                </a:pPr>
                <a:endParaRPr lang="fr-FR"/>
              </a:p>
            </c:txPr>
            <c:dLblPos val="bestFit"/>
            <c:showLegendKey val="0"/>
            <c:showVal val="0"/>
            <c:showCatName val="0"/>
            <c:showSerName val="0"/>
            <c:showPercent val="1"/>
            <c:showBubbleSize val="1"/>
            <c:showLeaderLines val="1"/>
            <c:extLst>
              <c:ext xmlns:c15="http://schemas.microsoft.com/office/drawing/2012/chart" uri="{CE6537A1-D6FC-4f65-9D91-7224C49458BB}"/>
            </c:extLst>
          </c:dLbls>
          <c:cat>
            <c:numRef>
              <c:f>'[1]VENTES - TOTAL vs TERT.'!$AA$11:$AA$12</c:f>
              <c:numCache>
                <c:formatCode>General</c:formatCode>
                <c:ptCount val="2"/>
                <c:pt idx="0">
                  <c:v>1</c:v>
                </c:pt>
                <c:pt idx="1">
                  <c:v>2</c:v>
                </c:pt>
              </c:numCache>
            </c:numRef>
          </c:cat>
          <c:val>
            <c:numRef>
              <c:f>'[1]VENTES - TOTAL vs TERT.'!$AB$11:$AB$12</c:f>
              <c:numCache>
                <c:formatCode>General</c:formatCode>
                <c:ptCount val="2"/>
                <c:pt idx="0">
                  <c:v>390194.47162705747</c:v>
                </c:pt>
                <c:pt idx="1">
                  <c:v>1597458.4164991854</c:v>
                </c:pt>
              </c:numCache>
            </c:numRef>
          </c:val>
          <c:extLst>
            <c:ext xmlns:c16="http://schemas.microsoft.com/office/drawing/2014/chart" uri="{C3380CC4-5D6E-409C-BE32-E72D297353CC}">
              <c16:uniqueId val="{00000004-778F-40BF-9FB8-2A6A1456FFDF}"/>
            </c:ext>
          </c:extLst>
        </c:ser>
        <c:dLbls>
          <c:dLblPos val="bestFit"/>
          <c:showLegendKey val="1"/>
          <c:showVal val="0"/>
          <c:showCatName val="0"/>
          <c:showSerName val="0"/>
          <c:showPercent val="1"/>
          <c:showBubbleSize val="1"/>
          <c:showLeaderLines val="1"/>
        </c:dLbls>
        <c:firstSliceAng val="270"/>
      </c:pieChart>
    </c:plotArea>
    <c:legend>
      <c:legendPos val="r"/>
      <c:overlay val="1"/>
      <c:txPr>
        <a:bodyPr/>
        <a:lstStyle/>
        <a:p>
          <a:pPr>
            <a:defRPr sz="1200"/>
          </a:pPr>
          <a:endParaRPr lang="fr-FR"/>
        </a:p>
      </c:txPr>
    </c:legend>
    <c:plotVisOnly val="1"/>
    <c:dispBlanksAs val="gap"/>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50"/>
            </a:pPr>
            <a:r>
              <a:rPr lang="fr-FR" sz="1150" b="1" i="0" u="none" strike="noStrike" kern="1200" baseline="0">
                <a:solidFill>
                  <a:sysClr val="windowText" lastClr="000000"/>
                </a:solidFill>
              </a:rPr>
              <a:t>Ventes 2025-30 - </a:t>
            </a:r>
            <a:r>
              <a:rPr lang="fr-FR" sz="1150" b="1" i="0" u="none" strike="noStrike" kern="1200" baseline="0">
                <a:solidFill>
                  <a:schemeClr val="accent1"/>
                </a:solidFill>
              </a:rPr>
              <a:t>NEUF</a:t>
            </a:r>
            <a:r>
              <a:rPr lang="fr-FR" sz="1150" b="1" i="0" u="none" strike="noStrike" kern="1200" baseline="0">
                <a:solidFill>
                  <a:sysClr val="windowText" lastClr="000000"/>
                </a:solidFill>
              </a:rPr>
              <a:t> - Tertiaire vs. Total</a:t>
            </a:r>
          </a:p>
        </c:rich>
      </c:tx>
      <c:layout>
        <c:manualLayout>
          <c:xMode val="edge"/>
          <c:yMode val="edge"/>
          <c:x val="0.12855584192439862"/>
          <c:y val="1.4111111111111111E-2"/>
        </c:manualLayout>
      </c:layout>
      <c:overlay val="1"/>
    </c:title>
    <c:autoTitleDeleted val="0"/>
    <c:plotArea>
      <c:layout/>
      <c:pieChart>
        <c:varyColors val="1"/>
        <c:ser>
          <c:idx val="0"/>
          <c:order val="0"/>
          <c:spPr>
            <a:ln>
              <a:prstDash val="solid"/>
            </a:ln>
          </c:spPr>
          <c:dPt>
            <c:idx val="0"/>
            <c:bubble3D val="0"/>
            <c:spPr>
              <a:solidFill>
                <a:srgbClr val="4472C4"/>
              </a:solidFill>
              <a:ln>
                <a:solidFill>
                  <a:srgbClr val="FFFFFF"/>
                </a:solidFill>
                <a:prstDash val="solid"/>
              </a:ln>
            </c:spPr>
            <c:extLst>
              <c:ext xmlns:c16="http://schemas.microsoft.com/office/drawing/2014/chart" uri="{C3380CC4-5D6E-409C-BE32-E72D297353CC}">
                <c16:uniqueId val="{00000001-9987-49B3-AD84-2E4CC876C338}"/>
              </c:ext>
            </c:extLst>
          </c:dPt>
          <c:dPt>
            <c:idx val="1"/>
            <c:bubble3D val="0"/>
            <c:spPr>
              <a:solidFill>
                <a:srgbClr val="A5A5A5"/>
              </a:solidFill>
              <a:ln>
                <a:solidFill>
                  <a:srgbClr val="FFFFFF"/>
                </a:solidFill>
                <a:prstDash val="solid"/>
              </a:ln>
            </c:spPr>
            <c:extLst>
              <c:ext xmlns:c16="http://schemas.microsoft.com/office/drawing/2014/chart" uri="{C3380CC4-5D6E-409C-BE32-E72D297353CC}">
                <c16:uniqueId val="{00000003-9987-49B3-AD84-2E4CC876C338}"/>
              </c:ext>
            </c:extLst>
          </c:dPt>
          <c:dLbls>
            <c:dLbl>
              <c:idx val="0"/>
              <c:layout>
                <c:manualLayout>
                  <c:x val="0.11715871320037986"/>
                  <c:y val="0.10814459665144596"/>
                </c:manualLayout>
              </c:layout>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9987-49B3-AD84-2E4CC876C338}"/>
                </c:ext>
              </c:extLst>
            </c:dLbl>
            <c:dLbl>
              <c:idx val="1"/>
              <c:layout>
                <c:manualLayout>
                  <c:x val="-0.15380591168091168"/>
                  <c:y val="-0.12790487062404871"/>
                </c:manualLayout>
              </c:layout>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9987-49B3-AD84-2E4CC876C338}"/>
                </c:ext>
              </c:extLst>
            </c:dLbl>
            <c:spPr>
              <a:noFill/>
              <a:ln>
                <a:noFill/>
              </a:ln>
              <a:effectLst/>
            </c:spPr>
            <c:txPr>
              <a:bodyPr wrap="square" lIns="38100" tIns="19050" rIns="38100" bIns="19050" anchor="ctr">
                <a:spAutoFit/>
              </a:bodyPr>
              <a:lstStyle/>
              <a:p>
                <a:pPr>
                  <a:defRPr sz="1200" b="1"/>
                </a:pPr>
                <a:endParaRPr lang="fr-FR"/>
              </a:p>
            </c:txPr>
            <c:dLblPos val="bestFit"/>
            <c:showLegendKey val="0"/>
            <c:showVal val="0"/>
            <c:showCatName val="0"/>
            <c:showSerName val="0"/>
            <c:showPercent val="1"/>
            <c:showBubbleSize val="1"/>
            <c:showLeaderLines val="1"/>
            <c:extLst>
              <c:ext xmlns:c15="http://schemas.microsoft.com/office/drawing/2012/chart" uri="{CE6537A1-D6FC-4f65-9D91-7224C49458BB}"/>
            </c:extLst>
          </c:dLbls>
          <c:cat>
            <c:numRef>
              <c:f>'[1]VENTES - TOTAL vs TERT.'!$AA$16:$AA$17</c:f>
              <c:numCache>
                <c:formatCode>General</c:formatCode>
                <c:ptCount val="2"/>
                <c:pt idx="0">
                  <c:v>1</c:v>
                </c:pt>
                <c:pt idx="1">
                  <c:v>2</c:v>
                </c:pt>
              </c:numCache>
            </c:numRef>
          </c:cat>
          <c:val>
            <c:numRef>
              <c:f>'[1]VENTES - TOTAL vs TERT.'!$AB$16:$AB$17</c:f>
              <c:numCache>
                <c:formatCode>General</c:formatCode>
                <c:ptCount val="2"/>
                <c:pt idx="0">
                  <c:v>86357.279399999985</c:v>
                </c:pt>
                <c:pt idx="1">
                  <c:v>427261.63325499982</c:v>
                </c:pt>
              </c:numCache>
            </c:numRef>
          </c:val>
          <c:extLst>
            <c:ext xmlns:c16="http://schemas.microsoft.com/office/drawing/2014/chart" uri="{C3380CC4-5D6E-409C-BE32-E72D297353CC}">
              <c16:uniqueId val="{00000004-9987-49B3-AD84-2E4CC876C338}"/>
            </c:ext>
          </c:extLst>
        </c:ser>
        <c:dLbls>
          <c:dLblPos val="bestFit"/>
          <c:showLegendKey val="1"/>
          <c:showVal val="0"/>
          <c:showCatName val="0"/>
          <c:showSerName val="0"/>
          <c:showPercent val="1"/>
          <c:showBubbleSize val="1"/>
          <c:showLeaderLines val="1"/>
        </c:dLbls>
        <c:firstSliceAng val="270"/>
      </c:pieChart>
    </c:plotArea>
    <c:legend>
      <c:legendPos val="r"/>
      <c:overlay val="1"/>
      <c:txPr>
        <a:bodyPr/>
        <a:lstStyle/>
        <a:p>
          <a:pPr>
            <a:defRPr sz="1200"/>
          </a:pPr>
          <a:endParaRPr lang="fr-FR"/>
        </a:p>
      </c:txPr>
    </c:legend>
    <c:plotVisOnly val="1"/>
    <c:dispBlanksAs val="gap"/>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fr-FR" sz="1100"/>
              <a:t>Ventes 2025-30 - </a:t>
            </a:r>
            <a:r>
              <a:rPr lang="fr-FR" sz="1100">
                <a:solidFill>
                  <a:sysClr val="windowText" lastClr="000000"/>
                </a:solidFill>
              </a:rPr>
              <a:t>GLOBAL</a:t>
            </a:r>
            <a:r>
              <a:rPr lang="fr-FR" sz="1100"/>
              <a:t> - par sous-segment</a:t>
            </a:r>
          </a:p>
        </c:rich>
      </c:tx>
      <c:layout>
        <c:manualLayout>
          <c:xMode val="edge"/>
          <c:yMode val="edge"/>
          <c:x val="0.1157359679266896"/>
          <c:y val="1.7638888888888888E-2"/>
        </c:manualLayout>
      </c:layout>
      <c:overlay val="1"/>
    </c:title>
    <c:autoTitleDeleted val="0"/>
    <c:plotArea>
      <c:layout/>
      <c:pieChart>
        <c:varyColors val="1"/>
        <c:ser>
          <c:idx val="0"/>
          <c:order val="0"/>
          <c:spPr>
            <a:ln>
              <a:prstDash val="solid"/>
            </a:ln>
          </c:spPr>
          <c:dPt>
            <c:idx val="0"/>
            <c:bubble3D val="0"/>
            <c:spPr>
              <a:solidFill>
                <a:srgbClr val="4472C4"/>
              </a:solidFill>
              <a:ln>
                <a:solidFill>
                  <a:srgbClr val="FFFFFF"/>
                </a:solidFill>
                <a:prstDash val="solid"/>
              </a:ln>
            </c:spPr>
            <c:extLst>
              <c:ext xmlns:c16="http://schemas.microsoft.com/office/drawing/2014/chart" uri="{C3380CC4-5D6E-409C-BE32-E72D297353CC}">
                <c16:uniqueId val="{00000001-3F3A-4F9A-9ACB-AB60B77DE307}"/>
              </c:ext>
            </c:extLst>
          </c:dPt>
          <c:dPt>
            <c:idx val="1"/>
            <c:bubble3D val="0"/>
            <c:spPr>
              <a:solidFill>
                <a:srgbClr val="ED7D31"/>
              </a:solidFill>
              <a:ln>
                <a:solidFill>
                  <a:srgbClr val="FFFFFF"/>
                </a:solidFill>
                <a:prstDash val="solid"/>
              </a:ln>
            </c:spPr>
            <c:extLst>
              <c:ext xmlns:c16="http://schemas.microsoft.com/office/drawing/2014/chart" uri="{C3380CC4-5D6E-409C-BE32-E72D297353CC}">
                <c16:uniqueId val="{00000003-3F3A-4F9A-9ACB-AB60B77DE307}"/>
              </c:ext>
            </c:extLst>
          </c:dPt>
          <c:dPt>
            <c:idx val="2"/>
            <c:bubble3D val="0"/>
            <c:spPr>
              <a:solidFill>
                <a:srgbClr val="A5A5A5"/>
              </a:solidFill>
              <a:ln>
                <a:solidFill>
                  <a:srgbClr val="FFFFFF"/>
                </a:solidFill>
                <a:prstDash val="solid"/>
              </a:ln>
            </c:spPr>
            <c:extLst>
              <c:ext xmlns:c16="http://schemas.microsoft.com/office/drawing/2014/chart" uri="{C3380CC4-5D6E-409C-BE32-E72D297353CC}">
                <c16:uniqueId val="{00000005-3F3A-4F9A-9ACB-AB60B77DE307}"/>
              </c:ext>
            </c:extLst>
          </c:dPt>
          <c:dPt>
            <c:idx val="3"/>
            <c:bubble3D val="0"/>
            <c:spPr>
              <a:solidFill>
                <a:srgbClr val="FFC000"/>
              </a:solidFill>
              <a:ln>
                <a:solidFill>
                  <a:srgbClr val="FFFFFF"/>
                </a:solidFill>
                <a:prstDash val="solid"/>
              </a:ln>
            </c:spPr>
            <c:extLst>
              <c:ext xmlns:c16="http://schemas.microsoft.com/office/drawing/2014/chart" uri="{C3380CC4-5D6E-409C-BE32-E72D297353CC}">
                <c16:uniqueId val="{00000007-3F3A-4F9A-9ACB-AB60B77DE307}"/>
              </c:ext>
            </c:extLst>
          </c:dPt>
          <c:dPt>
            <c:idx val="4"/>
            <c:bubble3D val="0"/>
            <c:spPr>
              <a:solidFill>
                <a:srgbClr val="5B9BD5"/>
              </a:solidFill>
              <a:ln>
                <a:solidFill>
                  <a:srgbClr val="FFFFFF"/>
                </a:solidFill>
                <a:prstDash val="solid"/>
              </a:ln>
            </c:spPr>
            <c:extLst>
              <c:ext xmlns:c16="http://schemas.microsoft.com/office/drawing/2014/chart" uri="{C3380CC4-5D6E-409C-BE32-E72D297353CC}">
                <c16:uniqueId val="{00000009-3F3A-4F9A-9ACB-AB60B77DE307}"/>
              </c:ext>
            </c:extLst>
          </c:dPt>
          <c:dPt>
            <c:idx val="5"/>
            <c:bubble3D val="0"/>
            <c:spPr>
              <a:solidFill>
                <a:srgbClr val="70AD47"/>
              </a:solidFill>
              <a:ln>
                <a:solidFill>
                  <a:srgbClr val="FFFFFF"/>
                </a:solidFill>
                <a:prstDash val="solid"/>
              </a:ln>
            </c:spPr>
            <c:extLst>
              <c:ext xmlns:c16="http://schemas.microsoft.com/office/drawing/2014/chart" uri="{C3380CC4-5D6E-409C-BE32-E72D297353CC}">
                <c16:uniqueId val="{0000000B-3F3A-4F9A-9ACB-AB60B77DE307}"/>
              </c:ext>
            </c:extLst>
          </c:dPt>
          <c:dPt>
            <c:idx val="6"/>
            <c:bubble3D val="0"/>
            <c:spPr>
              <a:solidFill>
                <a:srgbClr val="264478"/>
              </a:solidFill>
              <a:ln>
                <a:solidFill>
                  <a:srgbClr val="FFFFFF"/>
                </a:solidFill>
                <a:prstDash val="solid"/>
              </a:ln>
            </c:spPr>
            <c:extLst>
              <c:ext xmlns:c16="http://schemas.microsoft.com/office/drawing/2014/chart" uri="{C3380CC4-5D6E-409C-BE32-E72D297353CC}">
                <c16:uniqueId val="{0000000D-3F3A-4F9A-9ACB-AB60B77DE307}"/>
              </c:ext>
            </c:extLst>
          </c:dPt>
          <c:dPt>
            <c:idx val="7"/>
            <c:bubble3D val="0"/>
            <c:spPr>
              <a:solidFill>
                <a:srgbClr val="9E480E"/>
              </a:solidFill>
              <a:ln>
                <a:solidFill>
                  <a:srgbClr val="FFFFFF"/>
                </a:solidFill>
                <a:prstDash val="solid"/>
              </a:ln>
            </c:spPr>
            <c:extLst>
              <c:ext xmlns:c16="http://schemas.microsoft.com/office/drawing/2014/chart" uri="{C3380CC4-5D6E-409C-BE32-E72D297353CC}">
                <c16:uniqueId val="{0000000F-3F3A-4F9A-9ACB-AB60B77DE307}"/>
              </c:ext>
            </c:extLst>
          </c:dPt>
          <c:dPt>
            <c:idx val="8"/>
            <c:bubble3D val="0"/>
            <c:spPr>
              <a:solidFill>
                <a:srgbClr val="636363"/>
              </a:solidFill>
              <a:ln>
                <a:solidFill>
                  <a:srgbClr val="FFFFFF"/>
                </a:solidFill>
                <a:prstDash val="solid"/>
              </a:ln>
            </c:spPr>
            <c:extLst>
              <c:ext xmlns:c16="http://schemas.microsoft.com/office/drawing/2014/chart" uri="{C3380CC4-5D6E-409C-BE32-E72D297353CC}">
                <c16:uniqueId val="{00000011-3F3A-4F9A-9ACB-AB60B77DE307}"/>
              </c:ext>
            </c:extLst>
          </c:dPt>
          <c:dLbls>
            <c:dLbl>
              <c:idx val="0"/>
              <c:layout>
                <c:manualLayout>
                  <c:x val="-0.11601832760595651"/>
                  <c:y val="0.10425074074074074"/>
                </c:manualLayout>
              </c:layout>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3F3A-4F9A-9ACB-AB60B77DE307}"/>
                </c:ext>
              </c:extLst>
            </c:dLbl>
            <c:dLbl>
              <c:idx val="1"/>
              <c:layout>
                <c:manualLayout>
                  <c:x val="-1.8303550973654065E-2"/>
                  <c:y val="1.3143055555555555E-2"/>
                </c:manualLayout>
              </c:layout>
              <c:spPr>
                <a:noFill/>
                <a:ln>
                  <a:noFill/>
                </a:ln>
                <a:effectLst/>
              </c:spPr>
              <c:txPr>
                <a:bodyPr wrap="square" lIns="38100" tIns="19050" rIns="38100" bIns="19050" anchor="ctr">
                  <a:noAutofit/>
                </a:bodyPr>
                <a:lstStyle/>
                <a:p>
                  <a:pPr>
                    <a:defRPr sz="1100" b="1"/>
                  </a:pPr>
                  <a:endParaRPr lang="fr-FR"/>
                </a:p>
              </c:txPr>
              <c:dLblPos val="bestFit"/>
              <c:showLegendKey val="0"/>
              <c:showVal val="0"/>
              <c:showCatName val="0"/>
              <c:showSerName val="0"/>
              <c:showPercent val="1"/>
              <c:showBubbleSize val="1"/>
              <c:extLst>
                <c:ext xmlns:c15="http://schemas.microsoft.com/office/drawing/2012/chart" uri="{CE6537A1-D6FC-4f65-9D91-7224C49458BB}">
                  <c15:layout>
                    <c:manualLayout>
                      <c:w val="8.5087086954108854E-2"/>
                      <c:h val="7.9229738562091492E-2"/>
                    </c:manualLayout>
                  </c15:layout>
                </c:ext>
                <c:ext xmlns:c16="http://schemas.microsoft.com/office/drawing/2014/chart" uri="{C3380CC4-5D6E-409C-BE32-E72D297353CC}">
                  <c16:uniqueId val="{00000003-3F3A-4F9A-9ACB-AB60B77DE307}"/>
                </c:ext>
              </c:extLst>
            </c:dLbl>
            <c:dLbl>
              <c:idx val="2"/>
              <c:layout>
                <c:manualLayout>
                  <c:x val="-1.4696735395189004E-2"/>
                  <c:y val="0"/>
                </c:manualLayout>
              </c:layout>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5-3F3A-4F9A-9ACB-AB60B77DE307}"/>
                </c:ext>
              </c:extLst>
            </c:dLbl>
            <c:spPr>
              <a:noFill/>
              <a:ln>
                <a:noFill/>
              </a:ln>
              <a:effectLst/>
            </c:spPr>
            <c:txPr>
              <a:bodyPr wrap="square" lIns="38100" tIns="19050" rIns="38100" bIns="19050" anchor="ctr">
                <a:spAutoFit/>
              </a:bodyPr>
              <a:lstStyle/>
              <a:p>
                <a:pPr>
                  <a:defRPr sz="1100" b="1"/>
                </a:pPr>
                <a:endParaRPr lang="fr-FR"/>
              </a:p>
            </c:txPr>
            <c:dLblPos val="outEnd"/>
            <c:showLegendKey val="0"/>
            <c:showVal val="0"/>
            <c:showCatName val="0"/>
            <c:showSerName val="0"/>
            <c:showPercent val="1"/>
            <c:showBubbleSize val="1"/>
            <c:showLeaderLines val="1"/>
            <c:extLst>
              <c:ext xmlns:c15="http://schemas.microsoft.com/office/drawing/2012/chart" uri="{CE6537A1-D6FC-4f65-9D91-7224C49458BB}"/>
            </c:extLst>
          </c:dLbls>
          <c:cat>
            <c:numRef>
              <c:f>'[1]VENTES - SS-SEG TERT.'!$AA$6:$AA$14</c:f>
              <c:numCache>
                <c:formatCode>General</c:formatCode>
                <c:ptCount val="9"/>
                <c:pt idx="0">
                  <c:v>1</c:v>
                </c:pt>
                <c:pt idx="1">
                  <c:v>2</c:v>
                </c:pt>
                <c:pt idx="2">
                  <c:v>3</c:v>
                </c:pt>
                <c:pt idx="3">
                  <c:v>4</c:v>
                </c:pt>
                <c:pt idx="4">
                  <c:v>5</c:v>
                </c:pt>
                <c:pt idx="5">
                  <c:v>6</c:v>
                </c:pt>
                <c:pt idx="6">
                  <c:v>7</c:v>
                </c:pt>
                <c:pt idx="7">
                  <c:v>8</c:v>
                </c:pt>
                <c:pt idx="8">
                  <c:v>9</c:v>
                </c:pt>
              </c:numCache>
            </c:numRef>
          </c:cat>
          <c:val>
            <c:numRef>
              <c:f>'[1]VENTES - SS-SEG TERT.'!$AB$6:$AB$14</c:f>
              <c:numCache>
                <c:formatCode>General</c:formatCode>
                <c:ptCount val="9"/>
                <c:pt idx="0">
                  <c:v>203059.86842589744</c:v>
                </c:pt>
                <c:pt idx="1">
                  <c:v>24951.837842707693</c:v>
                </c:pt>
                <c:pt idx="2">
                  <c:v>87461.963544184982</c:v>
                </c:pt>
                <c:pt idx="3">
                  <c:v>35390.163128066437</c:v>
                </c:pt>
                <c:pt idx="4">
                  <c:v>38986.352534185717</c:v>
                </c:pt>
                <c:pt idx="5">
                  <c:v>53104.421000000002</c:v>
                </c:pt>
                <c:pt idx="6">
                  <c:v>1138.41374</c:v>
                </c:pt>
                <c:pt idx="7">
                  <c:v>29560.093572727274</c:v>
                </c:pt>
                <c:pt idx="8">
                  <c:v>2898.6372392878784</c:v>
                </c:pt>
              </c:numCache>
            </c:numRef>
          </c:val>
          <c:extLst>
            <c:ext xmlns:c16="http://schemas.microsoft.com/office/drawing/2014/chart" uri="{C3380CC4-5D6E-409C-BE32-E72D297353CC}">
              <c16:uniqueId val="{00000012-3F3A-4F9A-9ACB-AB60B77DE307}"/>
            </c:ext>
          </c:extLst>
        </c:ser>
        <c:dLbls>
          <c:dLblPos val="bestFit"/>
          <c:showLegendKey val="1"/>
          <c:showVal val="0"/>
          <c:showCatName val="0"/>
          <c:showSerName val="0"/>
          <c:showPercent val="1"/>
          <c:showBubbleSize val="1"/>
          <c:showLeaderLines val="1"/>
        </c:dLbls>
        <c:firstSliceAng val="270"/>
      </c:pieChart>
    </c:plotArea>
    <c:legend>
      <c:legendPos val="r"/>
      <c:overlay val="1"/>
      <c:txPr>
        <a:bodyPr/>
        <a:lstStyle/>
        <a:p>
          <a:pPr>
            <a:defRPr sz="900"/>
          </a:pPr>
          <a:endParaRPr lang="fr-FR"/>
        </a:p>
      </c:txPr>
    </c:legend>
    <c:plotVisOnly val="1"/>
    <c:dispBlanksAs val="gap"/>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fr-FR" sz="1100" b="1" i="0" u="none" strike="noStrike" kern="1200" baseline="0">
                <a:solidFill>
                  <a:sysClr val="windowText" lastClr="000000"/>
                </a:solidFill>
              </a:rPr>
              <a:t>Ventes 2025-30 - </a:t>
            </a:r>
            <a:r>
              <a:rPr lang="fr-FR" sz="1100" b="1" i="0" u="none" strike="noStrike" kern="1200" baseline="0">
                <a:solidFill>
                  <a:schemeClr val="bg2">
                    <a:lumMod val="50000"/>
                  </a:schemeClr>
                </a:solidFill>
              </a:rPr>
              <a:t>RENO</a:t>
            </a:r>
            <a:r>
              <a:rPr lang="fr-FR" sz="1100" b="1" i="0" u="none" strike="noStrike" kern="1200" baseline="0">
                <a:solidFill>
                  <a:sysClr val="windowText" lastClr="000000"/>
                </a:solidFill>
              </a:rPr>
              <a:t> - par </a:t>
            </a:r>
            <a:r>
              <a:rPr lang="fr-FR" sz="1150" b="1" i="0" u="none" strike="noStrike" kern="1200" baseline="0">
                <a:solidFill>
                  <a:sysClr val="windowText" lastClr="000000"/>
                </a:solidFill>
              </a:rPr>
              <a:t>sous-segment</a:t>
            </a:r>
          </a:p>
        </c:rich>
      </c:tx>
      <c:layout>
        <c:manualLayout>
          <c:xMode val="edge"/>
          <c:yMode val="edge"/>
          <c:x val="0.10919323671497584"/>
          <c:y val="1.7638888888888888E-2"/>
        </c:manualLayout>
      </c:layout>
      <c:overlay val="1"/>
    </c:title>
    <c:autoTitleDeleted val="0"/>
    <c:plotArea>
      <c:layout/>
      <c:pieChart>
        <c:varyColors val="1"/>
        <c:ser>
          <c:idx val="0"/>
          <c:order val="0"/>
          <c:spPr>
            <a:ln>
              <a:prstDash val="solid"/>
            </a:ln>
          </c:spPr>
          <c:dPt>
            <c:idx val="0"/>
            <c:bubble3D val="0"/>
            <c:spPr>
              <a:solidFill>
                <a:srgbClr val="4472C4"/>
              </a:solidFill>
              <a:ln>
                <a:solidFill>
                  <a:srgbClr val="FFFFFF"/>
                </a:solidFill>
                <a:prstDash val="solid"/>
              </a:ln>
            </c:spPr>
            <c:extLst>
              <c:ext xmlns:c16="http://schemas.microsoft.com/office/drawing/2014/chart" uri="{C3380CC4-5D6E-409C-BE32-E72D297353CC}">
                <c16:uniqueId val="{00000001-4773-4B7A-B10E-AA95392F120B}"/>
              </c:ext>
            </c:extLst>
          </c:dPt>
          <c:dPt>
            <c:idx val="1"/>
            <c:bubble3D val="0"/>
            <c:spPr>
              <a:solidFill>
                <a:srgbClr val="ED7D31"/>
              </a:solidFill>
              <a:ln>
                <a:solidFill>
                  <a:srgbClr val="FFFFFF"/>
                </a:solidFill>
                <a:prstDash val="solid"/>
              </a:ln>
            </c:spPr>
            <c:extLst>
              <c:ext xmlns:c16="http://schemas.microsoft.com/office/drawing/2014/chart" uri="{C3380CC4-5D6E-409C-BE32-E72D297353CC}">
                <c16:uniqueId val="{00000003-4773-4B7A-B10E-AA95392F120B}"/>
              </c:ext>
            </c:extLst>
          </c:dPt>
          <c:dPt>
            <c:idx val="2"/>
            <c:bubble3D val="0"/>
            <c:spPr>
              <a:solidFill>
                <a:srgbClr val="A5A5A5"/>
              </a:solidFill>
              <a:ln>
                <a:solidFill>
                  <a:srgbClr val="FFFFFF"/>
                </a:solidFill>
                <a:prstDash val="solid"/>
              </a:ln>
            </c:spPr>
            <c:extLst>
              <c:ext xmlns:c16="http://schemas.microsoft.com/office/drawing/2014/chart" uri="{C3380CC4-5D6E-409C-BE32-E72D297353CC}">
                <c16:uniqueId val="{00000005-4773-4B7A-B10E-AA95392F120B}"/>
              </c:ext>
            </c:extLst>
          </c:dPt>
          <c:dPt>
            <c:idx val="3"/>
            <c:bubble3D val="0"/>
            <c:spPr>
              <a:solidFill>
                <a:srgbClr val="FFC000"/>
              </a:solidFill>
              <a:ln>
                <a:solidFill>
                  <a:srgbClr val="FFFFFF"/>
                </a:solidFill>
                <a:prstDash val="solid"/>
              </a:ln>
            </c:spPr>
            <c:extLst>
              <c:ext xmlns:c16="http://schemas.microsoft.com/office/drawing/2014/chart" uri="{C3380CC4-5D6E-409C-BE32-E72D297353CC}">
                <c16:uniqueId val="{00000007-4773-4B7A-B10E-AA95392F120B}"/>
              </c:ext>
            </c:extLst>
          </c:dPt>
          <c:dPt>
            <c:idx val="4"/>
            <c:bubble3D val="0"/>
            <c:spPr>
              <a:solidFill>
                <a:srgbClr val="5B9BD5"/>
              </a:solidFill>
              <a:ln>
                <a:solidFill>
                  <a:srgbClr val="FFFFFF"/>
                </a:solidFill>
                <a:prstDash val="solid"/>
              </a:ln>
            </c:spPr>
            <c:extLst>
              <c:ext xmlns:c16="http://schemas.microsoft.com/office/drawing/2014/chart" uri="{C3380CC4-5D6E-409C-BE32-E72D297353CC}">
                <c16:uniqueId val="{00000009-4773-4B7A-B10E-AA95392F120B}"/>
              </c:ext>
            </c:extLst>
          </c:dPt>
          <c:dPt>
            <c:idx val="5"/>
            <c:bubble3D val="0"/>
            <c:spPr>
              <a:solidFill>
                <a:srgbClr val="70AD47"/>
              </a:solidFill>
              <a:ln>
                <a:solidFill>
                  <a:srgbClr val="FFFFFF"/>
                </a:solidFill>
                <a:prstDash val="solid"/>
              </a:ln>
            </c:spPr>
            <c:extLst>
              <c:ext xmlns:c16="http://schemas.microsoft.com/office/drawing/2014/chart" uri="{C3380CC4-5D6E-409C-BE32-E72D297353CC}">
                <c16:uniqueId val="{0000000B-4773-4B7A-B10E-AA95392F120B}"/>
              </c:ext>
            </c:extLst>
          </c:dPt>
          <c:dPt>
            <c:idx val="6"/>
            <c:bubble3D val="0"/>
            <c:spPr>
              <a:solidFill>
                <a:srgbClr val="264478"/>
              </a:solidFill>
              <a:ln>
                <a:solidFill>
                  <a:srgbClr val="FFFFFF"/>
                </a:solidFill>
                <a:prstDash val="solid"/>
              </a:ln>
            </c:spPr>
            <c:extLst>
              <c:ext xmlns:c16="http://schemas.microsoft.com/office/drawing/2014/chart" uri="{C3380CC4-5D6E-409C-BE32-E72D297353CC}">
                <c16:uniqueId val="{0000000D-4773-4B7A-B10E-AA95392F120B}"/>
              </c:ext>
            </c:extLst>
          </c:dPt>
          <c:dPt>
            <c:idx val="7"/>
            <c:bubble3D val="0"/>
            <c:spPr>
              <a:solidFill>
                <a:srgbClr val="9E480E"/>
              </a:solidFill>
              <a:ln>
                <a:solidFill>
                  <a:srgbClr val="FFFFFF"/>
                </a:solidFill>
                <a:prstDash val="solid"/>
              </a:ln>
            </c:spPr>
            <c:extLst>
              <c:ext xmlns:c16="http://schemas.microsoft.com/office/drawing/2014/chart" uri="{C3380CC4-5D6E-409C-BE32-E72D297353CC}">
                <c16:uniqueId val="{0000000F-4773-4B7A-B10E-AA95392F120B}"/>
              </c:ext>
            </c:extLst>
          </c:dPt>
          <c:dPt>
            <c:idx val="8"/>
            <c:bubble3D val="0"/>
            <c:spPr>
              <a:solidFill>
                <a:srgbClr val="636363"/>
              </a:solidFill>
              <a:ln>
                <a:solidFill>
                  <a:srgbClr val="FFFFFF"/>
                </a:solidFill>
                <a:prstDash val="solid"/>
              </a:ln>
            </c:spPr>
            <c:extLst>
              <c:ext xmlns:c16="http://schemas.microsoft.com/office/drawing/2014/chart" uri="{C3380CC4-5D6E-409C-BE32-E72D297353CC}">
                <c16:uniqueId val="{00000011-4773-4B7A-B10E-AA95392F120B}"/>
              </c:ext>
            </c:extLst>
          </c:dPt>
          <c:dLbls>
            <c:dLbl>
              <c:idx val="0"/>
              <c:layout>
                <c:manualLayout>
                  <c:x val="-0.1386989553656221"/>
                  <c:y val="0.11598173515981736"/>
                </c:manualLayout>
              </c:layout>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4773-4B7A-B10E-AA95392F120B}"/>
                </c:ext>
              </c:extLst>
            </c:dLbl>
            <c:dLbl>
              <c:idx val="1"/>
              <c:layout>
                <c:manualLayout>
                  <c:x val="-1.7529287439613527E-2"/>
                  <c:y val="-1.1759259259259313E-2"/>
                </c:manualLayout>
              </c:layout>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4773-4B7A-B10E-AA95392F120B}"/>
                </c:ext>
              </c:extLst>
            </c:dLbl>
            <c:dLbl>
              <c:idx val="2"/>
              <c:layout>
                <c:manualLayout>
                  <c:x val="-3.7839371980676328E-2"/>
                  <c:y val="8.3004629629629626E-3"/>
                </c:manualLayout>
              </c:layout>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5-4773-4B7A-B10E-AA95392F120B}"/>
                </c:ext>
              </c:extLst>
            </c:dLbl>
            <c:spPr>
              <a:noFill/>
              <a:ln>
                <a:noFill/>
              </a:ln>
              <a:effectLst/>
            </c:spPr>
            <c:txPr>
              <a:bodyPr wrap="square" lIns="38100" tIns="19050" rIns="38100" bIns="19050" anchor="ctr">
                <a:spAutoFit/>
              </a:bodyPr>
              <a:lstStyle/>
              <a:p>
                <a:pPr>
                  <a:defRPr sz="1100" b="1"/>
                </a:pPr>
                <a:endParaRPr lang="fr-FR"/>
              </a:p>
            </c:txPr>
            <c:dLblPos val="outEnd"/>
            <c:showLegendKey val="0"/>
            <c:showVal val="0"/>
            <c:showCatName val="0"/>
            <c:showSerName val="0"/>
            <c:showPercent val="1"/>
            <c:showBubbleSize val="1"/>
            <c:showLeaderLines val="1"/>
            <c:extLst>
              <c:ext xmlns:c15="http://schemas.microsoft.com/office/drawing/2012/chart" uri="{CE6537A1-D6FC-4f65-9D91-7224C49458BB}"/>
            </c:extLst>
          </c:dLbls>
          <c:cat>
            <c:numRef>
              <c:f>'[1]VENTES - SS-SEG TERT.'!$AA$18:$AA$26</c:f>
              <c:numCache>
                <c:formatCode>General</c:formatCode>
                <c:ptCount val="9"/>
                <c:pt idx="0">
                  <c:v>1</c:v>
                </c:pt>
                <c:pt idx="1">
                  <c:v>2</c:v>
                </c:pt>
                <c:pt idx="2">
                  <c:v>3</c:v>
                </c:pt>
                <c:pt idx="3">
                  <c:v>4</c:v>
                </c:pt>
                <c:pt idx="4">
                  <c:v>5</c:v>
                </c:pt>
                <c:pt idx="5">
                  <c:v>6</c:v>
                </c:pt>
                <c:pt idx="6">
                  <c:v>7</c:v>
                </c:pt>
                <c:pt idx="7">
                  <c:v>8</c:v>
                </c:pt>
                <c:pt idx="8">
                  <c:v>9</c:v>
                </c:pt>
              </c:numCache>
            </c:numRef>
          </c:cat>
          <c:val>
            <c:numRef>
              <c:f>'[1]VENTES - SS-SEG TERT.'!$AB$18:$AB$26</c:f>
              <c:numCache>
                <c:formatCode>General</c:formatCode>
                <c:ptCount val="9"/>
                <c:pt idx="0">
                  <c:v>174313.56842589745</c:v>
                </c:pt>
                <c:pt idx="1">
                  <c:v>12654.685842707693</c:v>
                </c:pt>
                <c:pt idx="2">
                  <c:v>68598.213544184982</c:v>
                </c:pt>
                <c:pt idx="3">
                  <c:v>26049.734128066437</c:v>
                </c:pt>
                <c:pt idx="4">
                  <c:v>34171.866134185715</c:v>
                </c:pt>
                <c:pt idx="5">
                  <c:v>46256.421000000002</c:v>
                </c:pt>
                <c:pt idx="6">
                  <c:v>1008.94374</c:v>
                </c:pt>
                <c:pt idx="7">
                  <c:v>25025.693572727272</c:v>
                </c:pt>
                <c:pt idx="8">
                  <c:v>2115.3452392878785</c:v>
                </c:pt>
              </c:numCache>
            </c:numRef>
          </c:val>
          <c:extLst>
            <c:ext xmlns:c16="http://schemas.microsoft.com/office/drawing/2014/chart" uri="{C3380CC4-5D6E-409C-BE32-E72D297353CC}">
              <c16:uniqueId val="{00000012-4773-4B7A-B10E-AA95392F120B}"/>
            </c:ext>
          </c:extLst>
        </c:ser>
        <c:dLbls>
          <c:dLblPos val="bestFit"/>
          <c:showLegendKey val="1"/>
          <c:showVal val="0"/>
          <c:showCatName val="0"/>
          <c:showSerName val="0"/>
          <c:showPercent val="1"/>
          <c:showBubbleSize val="1"/>
          <c:showLeaderLines val="1"/>
        </c:dLbls>
        <c:firstSliceAng val="270"/>
      </c:pieChart>
    </c:plotArea>
    <c:legend>
      <c:legendPos val="r"/>
      <c:overlay val="1"/>
      <c:txPr>
        <a:bodyPr/>
        <a:lstStyle/>
        <a:p>
          <a:pPr>
            <a:defRPr sz="900"/>
          </a:pPr>
          <a:endParaRPr lang="fr-FR"/>
        </a:p>
      </c:txPr>
    </c:legend>
    <c:plotVisOnly val="1"/>
    <c:dispBlanksAs val="gap"/>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50"/>
            </a:pPr>
            <a:r>
              <a:rPr lang="fr-FR" sz="1150" b="1" i="0" u="none" strike="noStrike" kern="1200" baseline="0">
                <a:solidFill>
                  <a:sysClr val="windowText" lastClr="000000"/>
                </a:solidFill>
              </a:rPr>
              <a:t>Ventes 2025-30 - </a:t>
            </a:r>
            <a:r>
              <a:rPr lang="fr-FR" sz="1150" b="1" i="0" u="none" strike="noStrike" kern="1200" baseline="0">
                <a:solidFill>
                  <a:schemeClr val="accent1"/>
                </a:solidFill>
              </a:rPr>
              <a:t>NEUF</a:t>
            </a:r>
            <a:r>
              <a:rPr lang="fr-FR" sz="1150" b="1" i="0" u="none" strike="noStrike" kern="1200" baseline="0">
                <a:solidFill>
                  <a:sysClr val="windowText" lastClr="000000"/>
                </a:solidFill>
              </a:rPr>
              <a:t> - par sous-segment</a:t>
            </a:r>
          </a:p>
        </c:rich>
      </c:tx>
      <c:layout>
        <c:manualLayout>
          <c:xMode val="edge"/>
          <c:yMode val="edge"/>
          <c:x val="0.10052717391304347"/>
          <c:y val="0"/>
        </c:manualLayout>
      </c:layout>
      <c:overlay val="1"/>
    </c:title>
    <c:autoTitleDeleted val="0"/>
    <c:plotArea>
      <c:layout/>
      <c:pieChart>
        <c:varyColors val="1"/>
        <c:ser>
          <c:idx val="0"/>
          <c:order val="0"/>
          <c:spPr>
            <a:ln>
              <a:prstDash val="solid"/>
            </a:ln>
          </c:spPr>
          <c:dPt>
            <c:idx val="0"/>
            <c:bubble3D val="0"/>
            <c:spPr>
              <a:solidFill>
                <a:srgbClr val="4472C4"/>
              </a:solidFill>
              <a:ln>
                <a:solidFill>
                  <a:srgbClr val="FFFFFF"/>
                </a:solidFill>
                <a:prstDash val="solid"/>
              </a:ln>
            </c:spPr>
            <c:extLst>
              <c:ext xmlns:c16="http://schemas.microsoft.com/office/drawing/2014/chart" uri="{C3380CC4-5D6E-409C-BE32-E72D297353CC}">
                <c16:uniqueId val="{00000001-3C05-4D5D-BA39-7B217DFC4B72}"/>
              </c:ext>
            </c:extLst>
          </c:dPt>
          <c:dPt>
            <c:idx val="1"/>
            <c:bubble3D val="0"/>
            <c:spPr>
              <a:solidFill>
                <a:srgbClr val="ED7D31"/>
              </a:solidFill>
              <a:ln>
                <a:solidFill>
                  <a:srgbClr val="FFFFFF"/>
                </a:solidFill>
                <a:prstDash val="solid"/>
              </a:ln>
            </c:spPr>
            <c:extLst>
              <c:ext xmlns:c16="http://schemas.microsoft.com/office/drawing/2014/chart" uri="{C3380CC4-5D6E-409C-BE32-E72D297353CC}">
                <c16:uniqueId val="{00000003-3C05-4D5D-BA39-7B217DFC4B72}"/>
              </c:ext>
            </c:extLst>
          </c:dPt>
          <c:dPt>
            <c:idx val="2"/>
            <c:bubble3D val="0"/>
            <c:spPr>
              <a:solidFill>
                <a:srgbClr val="A5A5A5"/>
              </a:solidFill>
              <a:ln>
                <a:solidFill>
                  <a:srgbClr val="FFFFFF"/>
                </a:solidFill>
                <a:prstDash val="solid"/>
              </a:ln>
            </c:spPr>
            <c:extLst>
              <c:ext xmlns:c16="http://schemas.microsoft.com/office/drawing/2014/chart" uri="{C3380CC4-5D6E-409C-BE32-E72D297353CC}">
                <c16:uniqueId val="{00000005-3C05-4D5D-BA39-7B217DFC4B72}"/>
              </c:ext>
            </c:extLst>
          </c:dPt>
          <c:dPt>
            <c:idx val="3"/>
            <c:bubble3D val="0"/>
            <c:spPr>
              <a:solidFill>
                <a:srgbClr val="FFC000"/>
              </a:solidFill>
              <a:ln>
                <a:solidFill>
                  <a:srgbClr val="FFFFFF"/>
                </a:solidFill>
                <a:prstDash val="solid"/>
              </a:ln>
            </c:spPr>
            <c:extLst>
              <c:ext xmlns:c16="http://schemas.microsoft.com/office/drawing/2014/chart" uri="{C3380CC4-5D6E-409C-BE32-E72D297353CC}">
                <c16:uniqueId val="{00000007-3C05-4D5D-BA39-7B217DFC4B72}"/>
              </c:ext>
            </c:extLst>
          </c:dPt>
          <c:dPt>
            <c:idx val="4"/>
            <c:bubble3D val="0"/>
            <c:spPr>
              <a:solidFill>
                <a:srgbClr val="5B9BD5"/>
              </a:solidFill>
              <a:ln>
                <a:solidFill>
                  <a:srgbClr val="FFFFFF"/>
                </a:solidFill>
                <a:prstDash val="solid"/>
              </a:ln>
            </c:spPr>
            <c:extLst>
              <c:ext xmlns:c16="http://schemas.microsoft.com/office/drawing/2014/chart" uri="{C3380CC4-5D6E-409C-BE32-E72D297353CC}">
                <c16:uniqueId val="{00000009-3C05-4D5D-BA39-7B217DFC4B72}"/>
              </c:ext>
            </c:extLst>
          </c:dPt>
          <c:dPt>
            <c:idx val="5"/>
            <c:bubble3D val="0"/>
            <c:spPr>
              <a:solidFill>
                <a:srgbClr val="70AD47"/>
              </a:solidFill>
              <a:ln>
                <a:solidFill>
                  <a:srgbClr val="FFFFFF"/>
                </a:solidFill>
                <a:prstDash val="solid"/>
              </a:ln>
            </c:spPr>
            <c:extLst>
              <c:ext xmlns:c16="http://schemas.microsoft.com/office/drawing/2014/chart" uri="{C3380CC4-5D6E-409C-BE32-E72D297353CC}">
                <c16:uniqueId val="{0000000B-3C05-4D5D-BA39-7B217DFC4B72}"/>
              </c:ext>
            </c:extLst>
          </c:dPt>
          <c:dPt>
            <c:idx val="6"/>
            <c:bubble3D val="0"/>
            <c:spPr>
              <a:solidFill>
                <a:srgbClr val="264478"/>
              </a:solidFill>
              <a:ln>
                <a:solidFill>
                  <a:srgbClr val="FFFFFF"/>
                </a:solidFill>
                <a:prstDash val="solid"/>
              </a:ln>
            </c:spPr>
            <c:extLst>
              <c:ext xmlns:c16="http://schemas.microsoft.com/office/drawing/2014/chart" uri="{C3380CC4-5D6E-409C-BE32-E72D297353CC}">
                <c16:uniqueId val="{0000000D-3C05-4D5D-BA39-7B217DFC4B72}"/>
              </c:ext>
            </c:extLst>
          </c:dPt>
          <c:dPt>
            <c:idx val="7"/>
            <c:bubble3D val="0"/>
            <c:spPr>
              <a:solidFill>
                <a:srgbClr val="9E480E"/>
              </a:solidFill>
              <a:ln>
                <a:solidFill>
                  <a:srgbClr val="FFFFFF"/>
                </a:solidFill>
                <a:prstDash val="solid"/>
              </a:ln>
            </c:spPr>
            <c:extLst>
              <c:ext xmlns:c16="http://schemas.microsoft.com/office/drawing/2014/chart" uri="{C3380CC4-5D6E-409C-BE32-E72D297353CC}">
                <c16:uniqueId val="{0000000F-3C05-4D5D-BA39-7B217DFC4B72}"/>
              </c:ext>
            </c:extLst>
          </c:dPt>
          <c:dPt>
            <c:idx val="8"/>
            <c:bubble3D val="0"/>
            <c:spPr>
              <a:solidFill>
                <a:srgbClr val="636363"/>
              </a:solidFill>
              <a:ln>
                <a:solidFill>
                  <a:srgbClr val="FFFFFF"/>
                </a:solidFill>
                <a:prstDash val="solid"/>
              </a:ln>
            </c:spPr>
            <c:extLst>
              <c:ext xmlns:c16="http://schemas.microsoft.com/office/drawing/2014/chart" uri="{C3380CC4-5D6E-409C-BE32-E72D297353CC}">
                <c16:uniqueId val="{00000011-3C05-4D5D-BA39-7B217DFC4B72}"/>
              </c:ext>
            </c:extLst>
          </c:dPt>
          <c:dLbls>
            <c:dLbl>
              <c:idx val="0"/>
              <c:layout>
                <c:manualLayout>
                  <c:x val="-3.0151946818613485E-2"/>
                  <c:y val="6.7656012176560115E-2"/>
                </c:manualLayout>
              </c:layout>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3C05-4D5D-BA39-7B217DFC4B72}"/>
                </c:ext>
              </c:extLst>
            </c:dLbl>
            <c:dLbl>
              <c:idx val="1"/>
              <c:layout>
                <c:manualLayout>
                  <c:x val="-4.0005727376861394E-2"/>
                  <c:y val="-1.2450980392156863E-2"/>
                </c:manualLayout>
              </c:layout>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3C05-4D5D-BA39-7B217DFC4B72}"/>
                </c:ext>
              </c:extLst>
            </c:dLbl>
            <c:dLbl>
              <c:idx val="2"/>
              <c:layout>
                <c:manualLayout>
                  <c:x val="-4.7279495990836196E-2"/>
                  <c:y val="3.7352941176470436E-2"/>
                </c:manualLayout>
              </c:layout>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5-3C05-4D5D-BA39-7B217DFC4B72}"/>
                </c:ext>
              </c:extLst>
            </c:dLbl>
            <c:spPr>
              <a:noFill/>
              <a:ln>
                <a:noFill/>
              </a:ln>
              <a:effectLst/>
            </c:spPr>
            <c:txPr>
              <a:bodyPr wrap="square" lIns="38100" tIns="19050" rIns="38100" bIns="19050" anchor="ctr">
                <a:spAutoFit/>
              </a:bodyPr>
              <a:lstStyle/>
              <a:p>
                <a:pPr>
                  <a:defRPr sz="1100" b="1"/>
                </a:pPr>
                <a:endParaRPr lang="fr-FR"/>
              </a:p>
            </c:txPr>
            <c:dLblPos val="outEnd"/>
            <c:showLegendKey val="0"/>
            <c:showVal val="0"/>
            <c:showCatName val="0"/>
            <c:showSerName val="0"/>
            <c:showPercent val="1"/>
            <c:showBubbleSize val="1"/>
            <c:showLeaderLines val="1"/>
            <c:extLst>
              <c:ext xmlns:c15="http://schemas.microsoft.com/office/drawing/2012/chart" uri="{CE6537A1-D6FC-4f65-9D91-7224C49458BB}"/>
            </c:extLst>
          </c:dLbls>
          <c:cat>
            <c:numRef>
              <c:f>'[1]VENTES - SS-SEG TERT.'!$AA$30:$AA$38</c:f>
              <c:numCache>
                <c:formatCode>General</c:formatCode>
                <c:ptCount val="9"/>
                <c:pt idx="0">
                  <c:v>1</c:v>
                </c:pt>
                <c:pt idx="1">
                  <c:v>2</c:v>
                </c:pt>
                <c:pt idx="2">
                  <c:v>3</c:v>
                </c:pt>
                <c:pt idx="3">
                  <c:v>4</c:v>
                </c:pt>
                <c:pt idx="4">
                  <c:v>5</c:v>
                </c:pt>
                <c:pt idx="5">
                  <c:v>6</c:v>
                </c:pt>
                <c:pt idx="6">
                  <c:v>7</c:v>
                </c:pt>
                <c:pt idx="7">
                  <c:v>8</c:v>
                </c:pt>
                <c:pt idx="8">
                  <c:v>9</c:v>
                </c:pt>
              </c:numCache>
            </c:numRef>
          </c:cat>
          <c:val>
            <c:numRef>
              <c:f>'[1]VENTES - SS-SEG TERT.'!$AB$30:$AB$38</c:f>
              <c:numCache>
                <c:formatCode>General</c:formatCode>
                <c:ptCount val="9"/>
                <c:pt idx="0">
                  <c:v>28746.3</c:v>
                </c:pt>
                <c:pt idx="1">
                  <c:v>12297.152</c:v>
                </c:pt>
                <c:pt idx="2">
                  <c:v>18863.75</c:v>
                </c:pt>
                <c:pt idx="3">
                  <c:v>9340.4290000000001</c:v>
                </c:pt>
                <c:pt idx="4">
                  <c:v>4814.4863999999998</c:v>
                </c:pt>
                <c:pt idx="5">
                  <c:v>6848</c:v>
                </c:pt>
                <c:pt idx="6">
                  <c:v>129.47</c:v>
                </c:pt>
                <c:pt idx="7">
                  <c:v>4534.3999999999996</c:v>
                </c:pt>
                <c:pt idx="8">
                  <c:v>783.29199999999992</c:v>
                </c:pt>
              </c:numCache>
            </c:numRef>
          </c:val>
          <c:extLst>
            <c:ext xmlns:c16="http://schemas.microsoft.com/office/drawing/2014/chart" uri="{C3380CC4-5D6E-409C-BE32-E72D297353CC}">
              <c16:uniqueId val="{00000012-3C05-4D5D-BA39-7B217DFC4B72}"/>
            </c:ext>
          </c:extLst>
        </c:ser>
        <c:dLbls>
          <c:dLblPos val="bestFit"/>
          <c:showLegendKey val="1"/>
          <c:showVal val="0"/>
          <c:showCatName val="0"/>
          <c:showSerName val="0"/>
          <c:showPercent val="1"/>
          <c:showBubbleSize val="1"/>
          <c:showLeaderLines val="1"/>
        </c:dLbls>
        <c:firstSliceAng val="270"/>
      </c:pieChart>
    </c:plotArea>
    <c:legend>
      <c:legendPos val="r"/>
      <c:overlay val="1"/>
      <c:txPr>
        <a:bodyPr/>
        <a:lstStyle/>
        <a:p>
          <a:pPr>
            <a:defRPr sz="900"/>
          </a:pPr>
          <a:endParaRPr lang="fr-FR"/>
        </a:p>
      </c:txPr>
    </c:legend>
    <c:plotVisOnly val="1"/>
    <c:dispBlanksAs val="gap"/>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a:defRPr/>
            </a:pPr>
            <a:r>
              <a:rPr lang="fr-FR"/>
              <a:t>Nombre d’Etablissements 2025</a:t>
            </a:r>
          </a:p>
        </c:rich>
      </c:tx>
      <c:overlay val="1"/>
    </c:title>
    <c:autoTitleDeleted val="0"/>
    <c:plotArea>
      <c:layout/>
      <c:pieChart>
        <c:varyColors val="1"/>
        <c:ser>
          <c:idx val="0"/>
          <c:order val="0"/>
          <c:spPr>
            <a:ln>
              <a:prstDash val="solid"/>
            </a:ln>
          </c:spPr>
          <c:dPt>
            <c:idx val="0"/>
            <c:bubble3D val="0"/>
            <c:spPr>
              <a:solidFill>
                <a:srgbClr val="4472C4"/>
              </a:solidFill>
              <a:ln w="12700">
                <a:solidFill>
                  <a:srgbClr val="FFFFFF"/>
                </a:solidFill>
                <a:prstDash val="solid"/>
              </a:ln>
            </c:spPr>
            <c:extLst>
              <c:ext xmlns:c16="http://schemas.microsoft.com/office/drawing/2014/chart" uri="{C3380CC4-5D6E-409C-BE32-E72D297353CC}">
                <c16:uniqueId val="{00000001-D296-4200-B15E-58FA8AC5D412}"/>
              </c:ext>
            </c:extLst>
          </c:dPt>
          <c:dPt>
            <c:idx val="1"/>
            <c:bubble3D val="0"/>
            <c:spPr>
              <a:solidFill>
                <a:srgbClr val="A5A5A5"/>
              </a:solidFill>
              <a:ln w="12700">
                <a:solidFill>
                  <a:srgbClr val="FFFFFF"/>
                </a:solidFill>
                <a:prstDash val="solid"/>
              </a:ln>
            </c:spPr>
            <c:extLst>
              <c:ext xmlns:c16="http://schemas.microsoft.com/office/drawing/2014/chart" uri="{C3380CC4-5D6E-409C-BE32-E72D297353CC}">
                <c16:uniqueId val="{00000003-D296-4200-B15E-58FA8AC5D412}"/>
              </c:ext>
            </c:extLst>
          </c:dPt>
          <c:dLbls>
            <c:spPr>
              <a:noFill/>
              <a:ln>
                <a:noFill/>
                <a:prstDash val="solid"/>
              </a:ln>
            </c:spPr>
            <c:dLblPos val="bestFit"/>
            <c:showLegendKey val="0"/>
            <c:showVal val="0"/>
            <c:showCatName val="1"/>
            <c:showSerName val="1"/>
            <c:showPercent val="1"/>
            <c:showBubbleSize val="1"/>
            <c:showLeaderLines val="1"/>
            <c:extLst>
              <c:ext xmlns:c15="http://schemas.microsoft.com/office/drawing/2012/chart" uri="{CE6537A1-D6FC-4f65-9D91-7224C49458BB}"/>
            </c:extLst>
          </c:dLbls>
          <c:cat>
            <c:strRef>
              <c:f>'PARC TERTIAIRE vs. TOTAL - OLD'!$A$50:$A$51</c:f>
              <c:strCache>
                <c:ptCount val="2"/>
                <c:pt idx="0">
                  <c:v>1</c:v>
                </c:pt>
                <c:pt idx="1">
                  <c:v>2</c:v>
                </c:pt>
              </c:strCache>
            </c:strRef>
          </c:cat>
          <c:val>
            <c:numRef>
              <c:f>'PARC TERTIAIRE vs. TOTAL - OLD'!$B$50:$B$51</c:f>
              <c:numCache>
                <c:formatCode>#,##0</c:formatCode>
                <c:ptCount val="2"/>
                <c:pt idx="0">
                  <c:v>94469</c:v>
                </c:pt>
                <c:pt idx="1">
                  <c:v>544491</c:v>
                </c:pt>
              </c:numCache>
            </c:numRef>
          </c:val>
          <c:extLst>
            <c:ext xmlns:c16="http://schemas.microsoft.com/office/drawing/2014/chart" uri="{C3380CC4-5D6E-409C-BE32-E72D297353CC}">
              <c16:uniqueId val="{00000004-D296-4200-B15E-58FA8AC5D412}"/>
            </c:ext>
          </c:extLst>
        </c:ser>
        <c:dLbls>
          <c:showLegendKey val="0"/>
          <c:showVal val="0"/>
          <c:showCatName val="0"/>
          <c:showSerName val="0"/>
          <c:showPercent val="0"/>
          <c:showBubbleSize val="0"/>
          <c:showLeaderLines val="1"/>
        </c:dLbls>
        <c:firstSliceAng val="27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a:defRPr/>
            </a:pPr>
            <a:r>
              <a:rPr lang="fr-FR"/>
              <a:t>Nombre Robinets Lavabo 2025</a:t>
            </a:r>
          </a:p>
        </c:rich>
      </c:tx>
      <c:overlay val="1"/>
    </c:title>
    <c:autoTitleDeleted val="0"/>
    <c:plotArea>
      <c:layout/>
      <c:pieChart>
        <c:varyColors val="1"/>
        <c:ser>
          <c:idx val="0"/>
          <c:order val="0"/>
          <c:spPr>
            <a:ln>
              <a:prstDash val="solid"/>
            </a:ln>
          </c:spPr>
          <c:dPt>
            <c:idx val="0"/>
            <c:bubble3D val="0"/>
            <c:spPr>
              <a:solidFill>
                <a:srgbClr val="4472C4"/>
              </a:solidFill>
              <a:ln w="12700">
                <a:solidFill>
                  <a:srgbClr val="FFFFFF"/>
                </a:solidFill>
                <a:prstDash val="solid"/>
              </a:ln>
            </c:spPr>
            <c:extLst>
              <c:ext xmlns:c16="http://schemas.microsoft.com/office/drawing/2014/chart" uri="{C3380CC4-5D6E-409C-BE32-E72D297353CC}">
                <c16:uniqueId val="{00000001-E312-4D2C-AC67-7C1EAB15477A}"/>
              </c:ext>
            </c:extLst>
          </c:dPt>
          <c:dPt>
            <c:idx val="1"/>
            <c:bubble3D val="0"/>
            <c:spPr>
              <a:solidFill>
                <a:srgbClr val="A5A5A5"/>
              </a:solidFill>
              <a:ln w="12700">
                <a:solidFill>
                  <a:srgbClr val="FFFFFF"/>
                </a:solidFill>
                <a:prstDash val="solid"/>
              </a:ln>
            </c:spPr>
            <c:extLst>
              <c:ext xmlns:c16="http://schemas.microsoft.com/office/drawing/2014/chart" uri="{C3380CC4-5D6E-409C-BE32-E72D297353CC}">
                <c16:uniqueId val="{00000003-E312-4D2C-AC67-7C1EAB15477A}"/>
              </c:ext>
            </c:extLst>
          </c:dPt>
          <c:dLbls>
            <c:spPr>
              <a:noFill/>
              <a:ln>
                <a:noFill/>
                <a:prstDash val="solid"/>
              </a:ln>
            </c:spPr>
            <c:dLblPos val="bestFit"/>
            <c:showLegendKey val="0"/>
            <c:showVal val="0"/>
            <c:showCatName val="1"/>
            <c:showSerName val="1"/>
            <c:showPercent val="1"/>
            <c:showBubbleSize val="1"/>
            <c:showLeaderLines val="1"/>
            <c:extLst>
              <c:ext xmlns:c15="http://schemas.microsoft.com/office/drawing/2012/chart" uri="{CE6537A1-D6FC-4f65-9D91-7224C49458BB}"/>
            </c:extLst>
          </c:dLbls>
          <c:cat>
            <c:strRef>
              <c:f>'PARC TERTIAIRE vs. TOTAL - OLD'!$D$50:$D$51</c:f>
              <c:strCache>
                <c:ptCount val="2"/>
                <c:pt idx="0">
                  <c:v>1</c:v>
                </c:pt>
                <c:pt idx="1">
                  <c:v>2</c:v>
                </c:pt>
              </c:strCache>
            </c:strRef>
          </c:cat>
          <c:val>
            <c:numRef>
              <c:f>'PARC TERTIAIRE vs. TOTAL - OLD'!$E$50:$E$51</c:f>
              <c:numCache>
                <c:formatCode>#,##0</c:formatCode>
                <c:ptCount val="2"/>
                <c:pt idx="0">
                  <c:v>1312073</c:v>
                </c:pt>
                <c:pt idx="1">
                  <c:v>4921806.5</c:v>
                </c:pt>
              </c:numCache>
            </c:numRef>
          </c:val>
          <c:extLst>
            <c:ext xmlns:c16="http://schemas.microsoft.com/office/drawing/2014/chart" uri="{C3380CC4-5D6E-409C-BE32-E72D297353CC}">
              <c16:uniqueId val="{00000004-E312-4D2C-AC67-7C1EAB15477A}"/>
            </c:ext>
          </c:extLst>
        </c:ser>
        <c:dLbls>
          <c:showLegendKey val="0"/>
          <c:showVal val="0"/>
          <c:showCatName val="0"/>
          <c:showSerName val="0"/>
          <c:showPercent val="0"/>
          <c:showBubbleSize val="0"/>
          <c:showLeaderLines val="1"/>
        </c:dLbls>
        <c:firstSliceAng val="27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a:defRPr/>
            </a:pPr>
            <a:r>
              <a:rPr lang="fr-FR"/>
              <a:t>Mix Techno. Robinets Lavabo 2025 – TERTIAIRE</a:t>
            </a:r>
          </a:p>
        </c:rich>
      </c:tx>
      <c:overlay val="1"/>
    </c:title>
    <c:autoTitleDeleted val="0"/>
    <c:plotArea>
      <c:layout/>
      <c:pieChart>
        <c:varyColors val="1"/>
        <c:ser>
          <c:idx val="0"/>
          <c:order val="0"/>
          <c:spPr>
            <a:ln>
              <a:prstDash val="solid"/>
            </a:ln>
          </c:spPr>
          <c:dPt>
            <c:idx val="0"/>
            <c:bubble3D val="0"/>
            <c:spPr>
              <a:solidFill>
                <a:srgbClr val="5B9BD5"/>
              </a:solidFill>
              <a:ln w="12700">
                <a:solidFill>
                  <a:srgbClr val="FFFFFF"/>
                </a:solidFill>
                <a:prstDash val="solid"/>
              </a:ln>
            </c:spPr>
            <c:extLst>
              <c:ext xmlns:c16="http://schemas.microsoft.com/office/drawing/2014/chart" uri="{C3380CC4-5D6E-409C-BE32-E72D297353CC}">
                <c16:uniqueId val="{00000001-A8B1-44E5-BE72-8D024025CF35}"/>
              </c:ext>
            </c:extLst>
          </c:dPt>
          <c:dPt>
            <c:idx val="1"/>
            <c:bubble3D val="0"/>
            <c:spPr>
              <a:solidFill>
                <a:srgbClr val="70AD47"/>
              </a:solidFill>
              <a:ln w="12700">
                <a:solidFill>
                  <a:srgbClr val="FFFFFF"/>
                </a:solidFill>
                <a:prstDash val="solid"/>
              </a:ln>
            </c:spPr>
            <c:extLst>
              <c:ext xmlns:c16="http://schemas.microsoft.com/office/drawing/2014/chart" uri="{C3380CC4-5D6E-409C-BE32-E72D297353CC}">
                <c16:uniqueId val="{00000003-A8B1-44E5-BE72-8D024025CF35}"/>
              </c:ext>
            </c:extLst>
          </c:dPt>
          <c:dPt>
            <c:idx val="2"/>
            <c:bubble3D val="0"/>
            <c:spPr>
              <a:solidFill>
                <a:srgbClr val="FFC000"/>
              </a:solidFill>
              <a:ln w="12700">
                <a:solidFill>
                  <a:srgbClr val="FFFFFF"/>
                </a:solidFill>
                <a:prstDash val="solid"/>
              </a:ln>
            </c:spPr>
            <c:extLst>
              <c:ext xmlns:c16="http://schemas.microsoft.com/office/drawing/2014/chart" uri="{C3380CC4-5D6E-409C-BE32-E72D297353CC}">
                <c16:uniqueId val="{00000005-A8B1-44E5-BE72-8D024025CF35}"/>
              </c:ext>
            </c:extLst>
          </c:dPt>
          <c:dPt>
            <c:idx val="3"/>
            <c:bubble3D val="0"/>
            <c:spPr>
              <a:solidFill>
                <a:srgbClr val="ED7D31"/>
              </a:solidFill>
              <a:ln w="12700">
                <a:solidFill>
                  <a:srgbClr val="FFFFFF"/>
                </a:solidFill>
                <a:prstDash val="solid"/>
              </a:ln>
            </c:spPr>
            <c:extLst>
              <c:ext xmlns:c16="http://schemas.microsoft.com/office/drawing/2014/chart" uri="{C3380CC4-5D6E-409C-BE32-E72D297353CC}">
                <c16:uniqueId val="{00000007-A8B1-44E5-BE72-8D024025CF35}"/>
              </c:ext>
            </c:extLst>
          </c:dPt>
          <c:dLbls>
            <c:spPr>
              <a:noFill/>
              <a:ln>
                <a:noFill/>
                <a:prstDash val="solid"/>
              </a:ln>
            </c:spPr>
            <c:dLblPos val="bestFit"/>
            <c:showLegendKey val="0"/>
            <c:showVal val="0"/>
            <c:showCatName val="1"/>
            <c:showSerName val="1"/>
            <c:showPercent val="1"/>
            <c:showBubbleSize val="1"/>
            <c:showLeaderLines val="1"/>
            <c:extLst>
              <c:ext xmlns:c15="http://schemas.microsoft.com/office/drawing/2012/chart" uri="{CE6537A1-D6FC-4f65-9D91-7224C49458BB}"/>
            </c:extLst>
          </c:dLbls>
          <c:cat>
            <c:strRef>
              <c:f>'PARC TERTIAIRE vs. TOTAL - OLD'!$G$50:$G$53</c:f>
              <c:strCache>
                <c:ptCount val="4"/>
                <c:pt idx="0">
                  <c:v>Mitigeurs</c:v>
                </c:pt>
                <c:pt idx="1">
                  <c:v>Tempo. Méca</c:v>
                </c:pt>
                <c:pt idx="2">
                  <c:v>Tempo. Electro</c:v>
                </c:pt>
                <c:pt idx="3">
                  <c:v>Autres</c:v>
                </c:pt>
              </c:strCache>
            </c:strRef>
          </c:cat>
          <c:val>
            <c:numRef>
              <c:f>'PARC TERTIAIRE vs. TOTAL - OLD'!$H$50:$H$53</c:f>
              <c:numCache>
                <c:formatCode>0.0%</c:formatCode>
                <c:ptCount val="4"/>
                <c:pt idx="0">
                  <c:v>0.31680240352480388</c:v>
                </c:pt>
                <c:pt idx="1">
                  <c:v>0.48141795464124332</c:v>
                </c:pt>
                <c:pt idx="2">
                  <c:v>0.15951406667159521</c:v>
                </c:pt>
                <c:pt idx="3">
                  <c:v>4.2265575162357592E-2</c:v>
                </c:pt>
              </c:numCache>
            </c:numRef>
          </c:val>
          <c:extLst>
            <c:ext xmlns:c16="http://schemas.microsoft.com/office/drawing/2014/chart" uri="{C3380CC4-5D6E-409C-BE32-E72D297353CC}">
              <c16:uniqueId val="{00000008-A8B1-44E5-BE72-8D024025CF35}"/>
            </c:ext>
          </c:extLst>
        </c:ser>
        <c:dLbls>
          <c:showLegendKey val="0"/>
          <c:showVal val="0"/>
          <c:showCatName val="0"/>
          <c:showSerName val="0"/>
          <c:showPercent val="0"/>
          <c:showBubbleSize val="0"/>
          <c:showLeaderLines val="1"/>
        </c:dLbls>
        <c:firstSliceAng val="27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a:defRPr/>
            </a:pPr>
            <a:r>
              <a:rPr lang="fr-FR"/>
              <a:t>Mix Techno. Robinets Lavabo 2025 – AUTRES SEGMENTS</a:t>
            </a:r>
          </a:p>
        </c:rich>
      </c:tx>
      <c:overlay val="1"/>
    </c:title>
    <c:autoTitleDeleted val="0"/>
    <c:plotArea>
      <c:layout/>
      <c:pieChart>
        <c:varyColors val="1"/>
        <c:ser>
          <c:idx val="0"/>
          <c:order val="0"/>
          <c:spPr>
            <a:ln>
              <a:prstDash val="solid"/>
            </a:ln>
          </c:spPr>
          <c:dPt>
            <c:idx val="0"/>
            <c:bubble3D val="0"/>
            <c:spPr>
              <a:solidFill>
                <a:srgbClr val="5B9BD5"/>
              </a:solidFill>
              <a:ln w="12700">
                <a:solidFill>
                  <a:srgbClr val="FFFFFF"/>
                </a:solidFill>
                <a:prstDash val="solid"/>
              </a:ln>
            </c:spPr>
            <c:extLst>
              <c:ext xmlns:c16="http://schemas.microsoft.com/office/drawing/2014/chart" uri="{C3380CC4-5D6E-409C-BE32-E72D297353CC}">
                <c16:uniqueId val="{00000001-33B5-43B7-8D36-91465433859A}"/>
              </c:ext>
            </c:extLst>
          </c:dPt>
          <c:dPt>
            <c:idx val="1"/>
            <c:bubble3D val="0"/>
            <c:spPr>
              <a:solidFill>
                <a:srgbClr val="70AD47"/>
              </a:solidFill>
              <a:ln w="12700">
                <a:solidFill>
                  <a:srgbClr val="FFFFFF"/>
                </a:solidFill>
                <a:prstDash val="solid"/>
              </a:ln>
            </c:spPr>
            <c:extLst>
              <c:ext xmlns:c16="http://schemas.microsoft.com/office/drawing/2014/chart" uri="{C3380CC4-5D6E-409C-BE32-E72D297353CC}">
                <c16:uniqueId val="{00000003-33B5-43B7-8D36-91465433859A}"/>
              </c:ext>
            </c:extLst>
          </c:dPt>
          <c:dPt>
            <c:idx val="2"/>
            <c:bubble3D val="0"/>
            <c:spPr>
              <a:solidFill>
                <a:srgbClr val="FFC000"/>
              </a:solidFill>
              <a:ln w="12700">
                <a:solidFill>
                  <a:srgbClr val="FFFFFF"/>
                </a:solidFill>
                <a:prstDash val="solid"/>
              </a:ln>
            </c:spPr>
            <c:extLst>
              <c:ext xmlns:c16="http://schemas.microsoft.com/office/drawing/2014/chart" uri="{C3380CC4-5D6E-409C-BE32-E72D297353CC}">
                <c16:uniqueId val="{00000005-33B5-43B7-8D36-91465433859A}"/>
              </c:ext>
            </c:extLst>
          </c:dPt>
          <c:dPt>
            <c:idx val="3"/>
            <c:bubble3D val="0"/>
            <c:spPr>
              <a:solidFill>
                <a:srgbClr val="ED7D31"/>
              </a:solidFill>
              <a:ln w="12700">
                <a:solidFill>
                  <a:srgbClr val="FFFFFF"/>
                </a:solidFill>
                <a:prstDash val="solid"/>
              </a:ln>
            </c:spPr>
            <c:extLst>
              <c:ext xmlns:c16="http://schemas.microsoft.com/office/drawing/2014/chart" uri="{C3380CC4-5D6E-409C-BE32-E72D297353CC}">
                <c16:uniqueId val="{00000007-33B5-43B7-8D36-91465433859A}"/>
              </c:ext>
            </c:extLst>
          </c:dPt>
          <c:dLbls>
            <c:spPr>
              <a:noFill/>
              <a:ln>
                <a:noFill/>
                <a:prstDash val="solid"/>
              </a:ln>
            </c:spPr>
            <c:dLblPos val="bestFit"/>
            <c:showLegendKey val="0"/>
            <c:showVal val="0"/>
            <c:showCatName val="1"/>
            <c:showSerName val="1"/>
            <c:showPercent val="1"/>
            <c:showBubbleSize val="1"/>
            <c:showLeaderLines val="1"/>
            <c:extLst>
              <c:ext xmlns:c15="http://schemas.microsoft.com/office/drawing/2012/chart" uri="{CE6537A1-D6FC-4f65-9D91-7224C49458BB}"/>
            </c:extLst>
          </c:dLbls>
          <c:cat>
            <c:strRef>
              <c:f>'PARC TERTIAIRE vs. TOTAL - OLD'!$J$50:$J$53</c:f>
              <c:strCache>
                <c:ptCount val="4"/>
                <c:pt idx="0">
                  <c:v>Mitigeurs</c:v>
                </c:pt>
                <c:pt idx="1">
                  <c:v>Tempo. Méca</c:v>
                </c:pt>
                <c:pt idx="2">
                  <c:v>Tempo. Electro</c:v>
                </c:pt>
                <c:pt idx="3">
                  <c:v>Autres</c:v>
                </c:pt>
              </c:strCache>
            </c:strRef>
          </c:cat>
          <c:val>
            <c:numRef>
              <c:f>'PARC TERTIAIRE vs. TOTAL - OLD'!$K$50:$K$53</c:f>
              <c:numCache>
                <c:formatCode>0.0%</c:formatCode>
                <c:ptCount val="4"/>
                <c:pt idx="0">
                  <c:v>0.28725587444366207</c:v>
                </c:pt>
                <c:pt idx="1">
                  <c:v>0.5722120180872613</c:v>
                </c:pt>
                <c:pt idx="2">
                  <c:v>7.2668261135418452E-2</c:v>
                </c:pt>
                <c:pt idx="3">
                  <c:v>6.786384633365819E-2</c:v>
                </c:pt>
              </c:numCache>
            </c:numRef>
          </c:val>
          <c:extLst>
            <c:ext xmlns:c16="http://schemas.microsoft.com/office/drawing/2014/chart" uri="{C3380CC4-5D6E-409C-BE32-E72D297353CC}">
              <c16:uniqueId val="{00000008-33B5-43B7-8D36-91465433859A}"/>
            </c:ext>
          </c:extLst>
        </c:ser>
        <c:dLbls>
          <c:showLegendKey val="0"/>
          <c:showVal val="0"/>
          <c:showCatName val="0"/>
          <c:showSerName val="0"/>
          <c:showPercent val="0"/>
          <c:showBubbleSize val="0"/>
          <c:showLeaderLines val="1"/>
        </c:dLbls>
        <c:firstSliceAng val="27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a:defRPr/>
            </a:pPr>
            <a:r>
              <a:rPr lang="fr-FR"/>
              <a:t>Niveau de Gammes 2025 – TERTIAIRE</a:t>
            </a:r>
          </a:p>
        </c:rich>
      </c:tx>
      <c:overlay val="1"/>
    </c:title>
    <c:autoTitleDeleted val="0"/>
    <c:plotArea>
      <c:layout/>
      <c:pieChart>
        <c:varyColors val="1"/>
        <c:ser>
          <c:idx val="0"/>
          <c:order val="0"/>
          <c:spPr>
            <a:ln>
              <a:prstDash val="solid"/>
            </a:ln>
          </c:spPr>
          <c:dPt>
            <c:idx val="0"/>
            <c:bubble3D val="0"/>
            <c:spPr>
              <a:solidFill>
                <a:srgbClr val="9E480E"/>
              </a:solidFill>
              <a:ln w="12700">
                <a:solidFill>
                  <a:srgbClr val="FFFFFF"/>
                </a:solidFill>
                <a:prstDash val="solid"/>
              </a:ln>
            </c:spPr>
            <c:extLst>
              <c:ext xmlns:c16="http://schemas.microsoft.com/office/drawing/2014/chart" uri="{C3380CC4-5D6E-409C-BE32-E72D297353CC}">
                <c16:uniqueId val="{00000001-C07E-4DAD-ADC6-39F19D83C747}"/>
              </c:ext>
            </c:extLst>
          </c:dPt>
          <c:dPt>
            <c:idx val="1"/>
            <c:bubble3D val="0"/>
            <c:spPr>
              <a:solidFill>
                <a:srgbClr val="F4B183"/>
              </a:solidFill>
              <a:ln w="12700">
                <a:solidFill>
                  <a:srgbClr val="FFFFFF"/>
                </a:solidFill>
                <a:prstDash val="solid"/>
              </a:ln>
            </c:spPr>
            <c:extLst>
              <c:ext xmlns:c16="http://schemas.microsoft.com/office/drawing/2014/chart" uri="{C3380CC4-5D6E-409C-BE32-E72D297353CC}">
                <c16:uniqueId val="{00000003-C07E-4DAD-ADC6-39F19D83C747}"/>
              </c:ext>
            </c:extLst>
          </c:dPt>
          <c:dPt>
            <c:idx val="2"/>
            <c:bubble3D val="0"/>
            <c:spPr>
              <a:solidFill>
                <a:srgbClr val="FFD966"/>
              </a:solidFill>
              <a:ln w="12700">
                <a:solidFill>
                  <a:srgbClr val="FFFFFF"/>
                </a:solidFill>
                <a:prstDash val="solid"/>
              </a:ln>
            </c:spPr>
            <c:extLst>
              <c:ext xmlns:c16="http://schemas.microsoft.com/office/drawing/2014/chart" uri="{C3380CC4-5D6E-409C-BE32-E72D297353CC}">
                <c16:uniqueId val="{00000005-C07E-4DAD-ADC6-39F19D83C747}"/>
              </c:ext>
            </c:extLst>
          </c:dPt>
          <c:dPt>
            <c:idx val="3"/>
            <c:bubble3D val="0"/>
            <c:spPr>
              <a:solidFill>
                <a:srgbClr val="70AD47"/>
              </a:solidFill>
              <a:ln w="12700">
                <a:solidFill>
                  <a:srgbClr val="FFFFFF"/>
                </a:solidFill>
                <a:prstDash val="solid"/>
              </a:ln>
            </c:spPr>
            <c:extLst>
              <c:ext xmlns:c16="http://schemas.microsoft.com/office/drawing/2014/chart" uri="{C3380CC4-5D6E-409C-BE32-E72D297353CC}">
                <c16:uniqueId val="{00000007-C07E-4DAD-ADC6-39F19D83C747}"/>
              </c:ext>
            </c:extLst>
          </c:dPt>
          <c:dPt>
            <c:idx val="4"/>
            <c:bubble3D val="0"/>
            <c:spPr>
              <a:solidFill>
                <a:srgbClr val="5B9BD5"/>
              </a:solidFill>
              <a:ln w="12700">
                <a:solidFill>
                  <a:srgbClr val="FFFFFF"/>
                </a:solidFill>
                <a:prstDash val="solid"/>
              </a:ln>
            </c:spPr>
            <c:extLst>
              <c:ext xmlns:c16="http://schemas.microsoft.com/office/drawing/2014/chart" uri="{C3380CC4-5D6E-409C-BE32-E72D297353CC}">
                <c16:uniqueId val="{00000009-C07E-4DAD-ADC6-39F19D83C747}"/>
              </c:ext>
            </c:extLst>
          </c:dPt>
          <c:dLbls>
            <c:spPr>
              <a:noFill/>
              <a:ln>
                <a:noFill/>
                <a:prstDash val="solid"/>
              </a:ln>
            </c:spPr>
            <c:dLblPos val="bestFit"/>
            <c:showLegendKey val="0"/>
            <c:showVal val="0"/>
            <c:showCatName val="1"/>
            <c:showSerName val="1"/>
            <c:showPercent val="1"/>
            <c:showBubbleSize val="1"/>
            <c:showLeaderLines val="1"/>
            <c:extLst>
              <c:ext xmlns:c15="http://schemas.microsoft.com/office/drawing/2012/chart" uri="{CE6537A1-D6FC-4f65-9D91-7224C49458BB}"/>
            </c:extLst>
          </c:dLbls>
          <c:cat>
            <c:strRef>
              <c:f>'PARC TERTIAIRE vs. TOTAL - OLD'!$M$50:$M$54</c:f>
              <c:strCache>
                <c:ptCount val="5"/>
                <c:pt idx="0">
                  <c:v>Entrée</c:v>
                </c:pt>
                <c:pt idx="1">
                  <c:v>Basique</c:v>
                </c:pt>
                <c:pt idx="2">
                  <c:v>Moyen</c:v>
                </c:pt>
                <c:pt idx="3">
                  <c:v>Premium</c:v>
                </c:pt>
                <c:pt idx="4">
                  <c:v>Luxe</c:v>
                </c:pt>
              </c:strCache>
            </c:strRef>
          </c:cat>
          <c:val>
            <c:numRef>
              <c:f>'PARC TERTIAIRE vs. TOTAL - OLD'!$N$50:$N$54</c:f>
              <c:numCache>
                <c:formatCode>0.0%</c:formatCode>
                <c:ptCount val="5"/>
                <c:pt idx="0">
                  <c:v>3.3790101617821568E-2</c:v>
                </c:pt>
                <c:pt idx="1">
                  <c:v>0.39809399324580258</c:v>
                </c:pt>
                <c:pt idx="2">
                  <c:v>0.48806545824813102</c:v>
                </c:pt>
                <c:pt idx="3">
                  <c:v>7.8456450212754936E-2</c:v>
                </c:pt>
                <c:pt idx="4">
                  <c:v>1.5939966754898551E-3</c:v>
                </c:pt>
              </c:numCache>
            </c:numRef>
          </c:val>
          <c:extLst>
            <c:ext xmlns:c16="http://schemas.microsoft.com/office/drawing/2014/chart" uri="{C3380CC4-5D6E-409C-BE32-E72D297353CC}">
              <c16:uniqueId val="{0000000A-C07E-4DAD-ADC6-39F19D83C747}"/>
            </c:ext>
          </c:extLst>
        </c:ser>
        <c:dLbls>
          <c:showLegendKey val="0"/>
          <c:showVal val="0"/>
          <c:showCatName val="0"/>
          <c:showSerName val="0"/>
          <c:showPercent val="0"/>
          <c:showBubbleSize val="0"/>
          <c:showLeaderLines val="1"/>
        </c:dLbls>
        <c:firstSliceAng val="27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a:defRPr/>
            </a:pPr>
            <a:r>
              <a:rPr lang="fr-FR"/>
              <a:t>Niveau de Gammes 2025 – AUTRES SEGMENTS</a:t>
            </a:r>
          </a:p>
        </c:rich>
      </c:tx>
      <c:overlay val="1"/>
    </c:title>
    <c:autoTitleDeleted val="0"/>
    <c:plotArea>
      <c:layout/>
      <c:pieChart>
        <c:varyColors val="1"/>
        <c:ser>
          <c:idx val="0"/>
          <c:order val="0"/>
          <c:spPr>
            <a:ln>
              <a:prstDash val="solid"/>
            </a:ln>
          </c:spPr>
          <c:dPt>
            <c:idx val="0"/>
            <c:bubble3D val="0"/>
            <c:spPr>
              <a:solidFill>
                <a:srgbClr val="9E480E"/>
              </a:solidFill>
              <a:ln w="12700">
                <a:solidFill>
                  <a:srgbClr val="FFFFFF"/>
                </a:solidFill>
                <a:prstDash val="solid"/>
              </a:ln>
            </c:spPr>
            <c:extLst>
              <c:ext xmlns:c16="http://schemas.microsoft.com/office/drawing/2014/chart" uri="{C3380CC4-5D6E-409C-BE32-E72D297353CC}">
                <c16:uniqueId val="{00000001-F6CD-46D3-9BBE-EEE3322C585D}"/>
              </c:ext>
            </c:extLst>
          </c:dPt>
          <c:dPt>
            <c:idx val="1"/>
            <c:bubble3D val="0"/>
            <c:spPr>
              <a:solidFill>
                <a:srgbClr val="F4B183"/>
              </a:solidFill>
              <a:ln w="12700">
                <a:solidFill>
                  <a:srgbClr val="FFFFFF"/>
                </a:solidFill>
                <a:prstDash val="solid"/>
              </a:ln>
            </c:spPr>
            <c:extLst>
              <c:ext xmlns:c16="http://schemas.microsoft.com/office/drawing/2014/chart" uri="{C3380CC4-5D6E-409C-BE32-E72D297353CC}">
                <c16:uniqueId val="{00000003-F6CD-46D3-9BBE-EEE3322C585D}"/>
              </c:ext>
            </c:extLst>
          </c:dPt>
          <c:dPt>
            <c:idx val="2"/>
            <c:bubble3D val="0"/>
            <c:spPr>
              <a:solidFill>
                <a:srgbClr val="FFD966"/>
              </a:solidFill>
              <a:ln w="12700">
                <a:solidFill>
                  <a:srgbClr val="FFFFFF"/>
                </a:solidFill>
                <a:prstDash val="solid"/>
              </a:ln>
            </c:spPr>
            <c:extLst>
              <c:ext xmlns:c16="http://schemas.microsoft.com/office/drawing/2014/chart" uri="{C3380CC4-5D6E-409C-BE32-E72D297353CC}">
                <c16:uniqueId val="{00000005-F6CD-46D3-9BBE-EEE3322C585D}"/>
              </c:ext>
            </c:extLst>
          </c:dPt>
          <c:dPt>
            <c:idx val="3"/>
            <c:bubble3D val="0"/>
            <c:spPr>
              <a:solidFill>
                <a:srgbClr val="70AD47"/>
              </a:solidFill>
              <a:ln w="12700">
                <a:solidFill>
                  <a:srgbClr val="FFFFFF"/>
                </a:solidFill>
                <a:prstDash val="solid"/>
              </a:ln>
            </c:spPr>
            <c:extLst>
              <c:ext xmlns:c16="http://schemas.microsoft.com/office/drawing/2014/chart" uri="{C3380CC4-5D6E-409C-BE32-E72D297353CC}">
                <c16:uniqueId val="{00000007-F6CD-46D3-9BBE-EEE3322C585D}"/>
              </c:ext>
            </c:extLst>
          </c:dPt>
          <c:dPt>
            <c:idx val="4"/>
            <c:bubble3D val="0"/>
            <c:spPr>
              <a:solidFill>
                <a:srgbClr val="5B9BD5"/>
              </a:solidFill>
              <a:ln w="12700">
                <a:solidFill>
                  <a:srgbClr val="FFFFFF"/>
                </a:solidFill>
                <a:prstDash val="solid"/>
              </a:ln>
            </c:spPr>
            <c:extLst>
              <c:ext xmlns:c16="http://schemas.microsoft.com/office/drawing/2014/chart" uri="{C3380CC4-5D6E-409C-BE32-E72D297353CC}">
                <c16:uniqueId val="{00000009-F6CD-46D3-9BBE-EEE3322C585D}"/>
              </c:ext>
            </c:extLst>
          </c:dPt>
          <c:dLbls>
            <c:spPr>
              <a:noFill/>
              <a:ln>
                <a:noFill/>
                <a:prstDash val="solid"/>
              </a:ln>
            </c:spPr>
            <c:dLblPos val="bestFit"/>
            <c:showLegendKey val="0"/>
            <c:showVal val="0"/>
            <c:showCatName val="1"/>
            <c:showSerName val="1"/>
            <c:showPercent val="1"/>
            <c:showBubbleSize val="1"/>
            <c:showLeaderLines val="1"/>
            <c:extLst>
              <c:ext xmlns:c15="http://schemas.microsoft.com/office/drawing/2012/chart" uri="{CE6537A1-D6FC-4f65-9D91-7224C49458BB}"/>
            </c:extLst>
          </c:dLbls>
          <c:cat>
            <c:strRef>
              <c:f>'PARC TERTIAIRE vs. TOTAL - OLD'!$A$62:$A$66</c:f>
              <c:strCache>
                <c:ptCount val="5"/>
                <c:pt idx="0">
                  <c:v>Entrée</c:v>
                </c:pt>
                <c:pt idx="1">
                  <c:v>Basique</c:v>
                </c:pt>
                <c:pt idx="2">
                  <c:v>Moyen</c:v>
                </c:pt>
                <c:pt idx="3">
                  <c:v>Premium</c:v>
                </c:pt>
                <c:pt idx="4">
                  <c:v>Luxe</c:v>
                </c:pt>
              </c:strCache>
            </c:strRef>
          </c:cat>
          <c:val>
            <c:numRef>
              <c:f>'PARC TERTIAIRE vs. TOTAL - OLD'!$B$62:$B$66</c:f>
              <c:numCache>
                <c:formatCode>0.0%</c:formatCode>
                <c:ptCount val="5"/>
                <c:pt idx="0">
                  <c:v>5.5207901946165497E-2</c:v>
                </c:pt>
                <c:pt idx="1">
                  <c:v>0.33578568713540452</c:v>
                </c:pt>
                <c:pt idx="2">
                  <c:v>0.41692720874947042</c:v>
                </c:pt>
                <c:pt idx="3">
                  <c:v>0.16869236349498909</c:v>
                </c:pt>
                <c:pt idx="4">
                  <c:v>2.3386838673970629E-2</c:v>
                </c:pt>
              </c:numCache>
            </c:numRef>
          </c:val>
          <c:extLst>
            <c:ext xmlns:c16="http://schemas.microsoft.com/office/drawing/2014/chart" uri="{C3380CC4-5D6E-409C-BE32-E72D297353CC}">
              <c16:uniqueId val="{0000000A-F6CD-46D3-9BBE-EEE3322C585D}"/>
            </c:ext>
          </c:extLst>
        </c:ser>
        <c:dLbls>
          <c:showLegendKey val="0"/>
          <c:showVal val="0"/>
          <c:showCatName val="0"/>
          <c:showSerName val="0"/>
          <c:showPercent val="0"/>
          <c:showBubbleSize val="0"/>
          <c:showLeaderLines val="1"/>
        </c:dLbls>
        <c:firstSliceAng val="27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a:defRPr/>
            </a:pPr>
            <a:r>
              <a:rPr lang="fr-FR"/>
              <a:t>Nombre d’Etablissements 2030</a:t>
            </a:r>
          </a:p>
        </c:rich>
      </c:tx>
      <c:overlay val="1"/>
    </c:title>
    <c:autoTitleDeleted val="0"/>
    <c:plotArea>
      <c:layout/>
      <c:pieChart>
        <c:varyColors val="1"/>
        <c:ser>
          <c:idx val="0"/>
          <c:order val="0"/>
          <c:spPr>
            <a:ln>
              <a:prstDash val="solid"/>
            </a:ln>
          </c:spPr>
          <c:dPt>
            <c:idx val="0"/>
            <c:bubble3D val="0"/>
            <c:spPr>
              <a:solidFill>
                <a:srgbClr val="4472C4"/>
              </a:solidFill>
              <a:ln w="12700">
                <a:solidFill>
                  <a:srgbClr val="FFFFFF"/>
                </a:solidFill>
                <a:prstDash val="solid"/>
              </a:ln>
            </c:spPr>
            <c:extLst>
              <c:ext xmlns:c16="http://schemas.microsoft.com/office/drawing/2014/chart" uri="{C3380CC4-5D6E-409C-BE32-E72D297353CC}">
                <c16:uniqueId val="{00000001-EB6E-4D8B-ACAE-9290E91C7E60}"/>
              </c:ext>
            </c:extLst>
          </c:dPt>
          <c:dPt>
            <c:idx val="1"/>
            <c:bubble3D val="0"/>
            <c:spPr>
              <a:solidFill>
                <a:srgbClr val="A5A5A5"/>
              </a:solidFill>
              <a:ln w="12700">
                <a:solidFill>
                  <a:srgbClr val="FFFFFF"/>
                </a:solidFill>
                <a:prstDash val="solid"/>
              </a:ln>
            </c:spPr>
            <c:extLst>
              <c:ext xmlns:c16="http://schemas.microsoft.com/office/drawing/2014/chart" uri="{C3380CC4-5D6E-409C-BE32-E72D297353CC}">
                <c16:uniqueId val="{00000003-EB6E-4D8B-ACAE-9290E91C7E60}"/>
              </c:ext>
            </c:extLst>
          </c:dPt>
          <c:dLbls>
            <c:spPr>
              <a:noFill/>
              <a:ln>
                <a:noFill/>
                <a:prstDash val="solid"/>
              </a:ln>
            </c:spPr>
            <c:dLblPos val="bestFit"/>
            <c:showLegendKey val="0"/>
            <c:showVal val="0"/>
            <c:showCatName val="1"/>
            <c:showSerName val="1"/>
            <c:showPercent val="1"/>
            <c:showBubbleSize val="1"/>
            <c:showLeaderLines val="1"/>
            <c:extLst>
              <c:ext xmlns:c15="http://schemas.microsoft.com/office/drawing/2012/chart" uri="{CE6537A1-D6FC-4f65-9D91-7224C49458BB}"/>
            </c:extLst>
          </c:dLbls>
          <c:cat>
            <c:strRef>
              <c:f>'PARC TERTIAIRE vs. TOTAL - OLD'!$D$62:$D$63</c:f>
              <c:strCache>
                <c:ptCount val="2"/>
                <c:pt idx="0">
                  <c:v>1</c:v>
                </c:pt>
                <c:pt idx="1">
                  <c:v>2</c:v>
                </c:pt>
              </c:strCache>
            </c:strRef>
          </c:cat>
          <c:val>
            <c:numRef>
              <c:f>'PARC TERTIAIRE vs. TOTAL - OLD'!$E$62:$E$63</c:f>
              <c:numCache>
                <c:formatCode>#,##0</c:formatCode>
                <c:ptCount val="2"/>
                <c:pt idx="0">
                  <c:v>94614</c:v>
                </c:pt>
                <c:pt idx="1">
                  <c:v>553326</c:v>
                </c:pt>
              </c:numCache>
            </c:numRef>
          </c:val>
          <c:extLst>
            <c:ext xmlns:c16="http://schemas.microsoft.com/office/drawing/2014/chart" uri="{C3380CC4-5D6E-409C-BE32-E72D297353CC}">
              <c16:uniqueId val="{00000004-EB6E-4D8B-ACAE-9290E91C7E60}"/>
            </c:ext>
          </c:extLst>
        </c:ser>
        <c:dLbls>
          <c:showLegendKey val="0"/>
          <c:showVal val="0"/>
          <c:showCatName val="0"/>
          <c:showSerName val="0"/>
          <c:showPercent val="0"/>
          <c:showBubbleSize val="0"/>
          <c:showLeaderLines val="1"/>
        </c:dLbls>
        <c:firstSliceAng val="27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a:defRPr/>
            </a:pPr>
            <a:r>
              <a:rPr lang="fr-FR"/>
              <a:t>Nombre Robinets Lavabo 2030</a:t>
            </a:r>
          </a:p>
        </c:rich>
      </c:tx>
      <c:overlay val="1"/>
    </c:title>
    <c:autoTitleDeleted val="0"/>
    <c:plotArea>
      <c:layout/>
      <c:pieChart>
        <c:varyColors val="1"/>
        <c:ser>
          <c:idx val="0"/>
          <c:order val="0"/>
          <c:spPr>
            <a:ln>
              <a:prstDash val="solid"/>
            </a:ln>
          </c:spPr>
          <c:dPt>
            <c:idx val="0"/>
            <c:bubble3D val="0"/>
            <c:spPr>
              <a:solidFill>
                <a:srgbClr val="4472C4"/>
              </a:solidFill>
              <a:ln w="12700">
                <a:solidFill>
                  <a:srgbClr val="FFFFFF"/>
                </a:solidFill>
                <a:prstDash val="solid"/>
              </a:ln>
            </c:spPr>
            <c:extLst>
              <c:ext xmlns:c16="http://schemas.microsoft.com/office/drawing/2014/chart" uri="{C3380CC4-5D6E-409C-BE32-E72D297353CC}">
                <c16:uniqueId val="{00000001-B390-45C4-9911-61F87A0CFF56}"/>
              </c:ext>
            </c:extLst>
          </c:dPt>
          <c:dPt>
            <c:idx val="1"/>
            <c:bubble3D val="0"/>
            <c:spPr>
              <a:solidFill>
                <a:srgbClr val="A5A5A5"/>
              </a:solidFill>
              <a:ln w="12700">
                <a:solidFill>
                  <a:srgbClr val="FFFFFF"/>
                </a:solidFill>
                <a:prstDash val="solid"/>
              </a:ln>
            </c:spPr>
            <c:extLst>
              <c:ext xmlns:c16="http://schemas.microsoft.com/office/drawing/2014/chart" uri="{C3380CC4-5D6E-409C-BE32-E72D297353CC}">
                <c16:uniqueId val="{00000003-B390-45C4-9911-61F87A0CFF56}"/>
              </c:ext>
            </c:extLst>
          </c:dPt>
          <c:dLbls>
            <c:spPr>
              <a:noFill/>
              <a:ln>
                <a:noFill/>
                <a:prstDash val="solid"/>
              </a:ln>
            </c:spPr>
            <c:dLblPos val="bestFit"/>
            <c:showLegendKey val="0"/>
            <c:showVal val="0"/>
            <c:showCatName val="1"/>
            <c:showSerName val="1"/>
            <c:showPercent val="1"/>
            <c:showBubbleSize val="1"/>
            <c:showLeaderLines val="1"/>
            <c:extLst>
              <c:ext xmlns:c15="http://schemas.microsoft.com/office/drawing/2012/chart" uri="{CE6537A1-D6FC-4f65-9D91-7224C49458BB}"/>
            </c:extLst>
          </c:dLbls>
          <c:cat>
            <c:strRef>
              <c:f>'PARC TERTIAIRE vs. TOTAL - OLD'!$G$62:$G$63</c:f>
              <c:strCache>
                <c:ptCount val="2"/>
                <c:pt idx="0">
                  <c:v>1</c:v>
                </c:pt>
                <c:pt idx="1">
                  <c:v>2</c:v>
                </c:pt>
              </c:strCache>
            </c:strRef>
          </c:cat>
          <c:val>
            <c:numRef>
              <c:f>'PARC TERTIAIRE vs. TOTAL - OLD'!$H$62:$H$63</c:f>
              <c:numCache>
                <c:formatCode>#,##0</c:formatCode>
                <c:ptCount val="2"/>
                <c:pt idx="0">
                  <c:v>1315225</c:v>
                </c:pt>
                <c:pt idx="1">
                  <c:v>4970801</c:v>
                </c:pt>
              </c:numCache>
            </c:numRef>
          </c:val>
          <c:extLst>
            <c:ext xmlns:c16="http://schemas.microsoft.com/office/drawing/2014/chart" uri="{C3380CC4-5D6E-409C-BE32-E72D297353CC}">
              <c16:uniqueId val="{00000004-B390-45C4-9911-61F87A0CFF56}"/>
            </c:ext>
          </c:extLst>
        </c:ser>
        <c:dLbls>
          <c:showLegendKey val="0"/>
          <c:showVal val="0"/>
          <c:showCatName val="0"/>
          <c:showSerName val="0"/>
          <c:showPercent val="0"/>
          <c:showBubbleSize val="0"/>
          <c:showLeaderLines val="1"/>
        </c:dLbls>
        <c:firstSliceAng val="27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a:defRPr/>
            </a:pPr>
            <a:r>
              <a:rPr lang="fr-FR"/>
              <a:t>Mix Techno. Robinets Lavabo 2030 – TERTIAIRE</a:t>
            </a:r>
          </a:p>
        </c:rich>
      </c:tx>
      <c:overlay val="1"/>
    </c:title>
    <c:autoTitleDeleted val="0"/>
    <c:plotArea>
      <c:layout/>
      <c:pieChart>
        <c:varyColors val="1"/>
        <c:ser>
          <c:idx val="0"/>
          <c:order val="0"/>
          <c:spPr>
            <a:ln>
              <a:prstDash val="solid"/>
            </a:ln>
          </c:spPr>
          <c:dPt>
            <c:idx val="0"/>
            <c:bubble3D val="0"/>
            <c:spPr>
              <a:solidFill>
                <a:srgbClr val="5B9BD5"/>
              </a:solidFill>
              <a:ln w="12700">
                <a:solidFill>
                  <a:srgbClr val="FFFFFF"/>
                </a:solidFill>
                <a:prstDash val="solid"/>
              </a:ln>
            </c:spPr>
            <c:extLst>
              <c:ext xmlns:c16="http://schemas.microsoft.com/office/drawing/2014/chart" uri="{C3380CC4-5D6E-409C-BE32-E72D297353CC}">
                <c16:uniqueId val="{00000001-600E-4677-8DEC-F21DCD04F084}"/>
              </c:ext>
            </c:extLst>
          </c:dPt>
          <c:dPt>
            <c:idx val="1"/>
            <c:bubble3D val="0"/>
            <c:spPr>
              <a:solidFill>
                <a:srgbClr val="70AD47"/>
              </a:solidFill>
              <a:ln w="12700">
                <a:solidFill>
                  <a:srgbClr val="FFFFFF"/>
                </a:solidFill>
                <a:prstDash val="solid"/>
              </a:ln>
            </c:spPr>
            <c:extLst>
              <c:ext xmlns:c16="http://schemas.microsoft.com/office/drawing/2014/chart" uri="{C3380CC4-5D6E-409C-BE32-E72D297353CC}">
                <c16:uniqueId val="{00000003-600E-4677-8DEC-F21DCD04F084}"/>
              </c:ext>
            </c:extLst>
          </c:dPt>
          <c:dPt>
            <c:idx val="2"/>
            <c:bubble3D val="0"/>
            <c:spPr>
              <a:solidFill>
                <a:srgbClr val="FFC000"/>
              </a:solidFill>
              <a:ln w="12700">
                <a:solidFill>
                  <a:srgbClr val="FFFFFF"/>
                </a:solidFill>
                <a:prstDash val="solid"/>
              </a:ln>
            </c:spPr>
            <c:extLst>
              <c:ext xmlns:c16="http://schemas.microsoft.com/office/drawing/2014/chart" uri="{C3380CC4-5D6E-409C-BE32-E72D297353CC}">
                <c16:uniqueId val="{00000005-600E-4677-8DEC-F21DCD04F084}"/>
              </c:ext>
            </c:extLst>
          </c:dPt>
          <c:dPt>
            <c:idx val="3"/>
            <c:bubble3D val="0"/>
            <c:spPr>
              <a:solidFill>
                <a:srgbClr val="ED7D31"/>
              </a:solidFill>
              <a:ln w="12700">
                <a:solidFill>
                  <a:srgbClr val="FFFFFF"/>
                </a:solidFill>
                <a:prstDash val="solid"/>
              </a:ln>
            </c:spPr>
            <c:extLst>
              <c:ext xmlns:c16="http://schemas.microsoft.com/office/drawing/2014/chart" uri="{C3380CC4-5D6E-409C-BE32-E72D297353CC}">
                <c16:uniqueId val="{00000007-600E-4677-8DEC-F21DCD04F084}"/>
              </c:ext>
            </c:extLst>
          </c:dPt>
          <c:dLbls>
            <c:spPr>
              <a:noFill/>
              <a:ln>
                <a:noFill/>
                <a:prstDash val="solid"/>
              </a:ln>
            </c:spPr>
            <c:dLblPos val="bestFit"/>
            <c:showLegendKey val="0"/>
            <c:showVal val="0"/>
            <c:showCatName val="1"/>
            <c:showSerName val="1"/>
            <c:showPercent val="1"/>
            <c:showBubbleSize val="1"/>
            <c:showLeaderLines val="1"/>
            <c:extLst>
              <c:ext xmlns:c15="http://schemas.microsoft.com/office/drawing/2012/chart" uri="{CE6537A1-D6FC-4f65-9D91-7224C49458BB}"/>
            </c:extLst>
          </c:dLbls>
          <c:cat>
            <c:strRef>
              <c:f>'PARC TERTIAIRE vs. TOTAL - OLD'!$J$62:$J$65</c:f>
              <c:strCache>
                <c:ptCount val="4"/>
                <c:pt idx="0">
                  <c:v>Mitigeurs</c:v>
                </c:pt>
                <c:pt idx="1">
                  <c:v>Tempo. Méca</c:v>
                </c:pt>
                <c:pt idx="2">
                  <c:v>Tempo. Electro</c:v>
                </c:pt>
                <c:pt idx="3">
                  <c:v>Autres</c:v>
                </c:pt>
              </c:strCache>
            </c:strRef>
          </c:cat>
          <c:val>
            <c:numRef>
              <c:f>'PARC TERTIAIRE vs. TOTAL - OLD'!$K$62:$K$65</c:f>
              <c:numCache>
                <c:formatCode>0.0%</c:formatCode>
                <c:ptCount val="4"/>
                <c:pt idx="0">
                  <c:v>0.27338558041399758</c:v>
                </c:pt>
                <c:pt idx="1">
                  <c:v>0.49094455321332853</c:v>
                </c:pt>
                <c:pt idx="2">
                  <c:v>0.20291125092664761</c:v>
                </c:pt>
                <c:pt idx="3">
                  <c:v>3.2758615446026353E-2</c:v>
                </c:pt>
              </c:numCache>
            </c:numRef>
          </c:val>
          <c:extLst>
            <c:ext xmlns:c16="http://schemas.microsoft.com/office/drawing/2014/chart" uri="{C3380CC4-5D6E-409C-BE32-E72D297353CC}">
              <c16:uniqueId val="{00000008-600E-4677-8DEC-F21DCD04F084}"/>
            </c:ext>
          </c:extLst>
        </c:ser>
        <c:dLbls>
          <c:showLegendKey val="0"/>
          <c:showVal val="0"/>
          <c:showCatName val="0"/>
          <c:showSerName val="0"/>
          <c:showPercent val="0"/>
          <c:showBubbleSize val="0"/>
          <c:showLeaderLines val="1"/>
        </c:dLbls>
        <c:firstSliceAng val="27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a:defRPr/>
            </a:pPr>
            <a:r>
              <a:rPr lang="fr-FR"/>
              <a:t>Mix Techno. Robinets Lavabo 2030 – AUTRES SEGMENTS</a:t>
            </a:r>
          </a:p>
        </c:rich>
      </c:tx>
      <c:overlay val="1"/>
    </c:title>
    <c:autoTitleDeleted val="0"/>
    <c:plotArea>
      <c:layout/>
      <c:pieChart>
        <c:varyColors val="1"/>
        <c:ser>
          <c:idx val="0"/>
          <c:order val="0"/>
          <c:spPr>
            <a:ln>
              <a:prstDash val="solid"/>
            </a:ln>
          </c:spPr>
          <c:dPt>
            <c:idx val="0"/>
            <c:bubble3D val="0"/>
            <c:spPr>
              <a:solidFill>
                <a:srgbClr val="5B9BD5"/>
              </a:solidFill>
              <a:ln w="12700">
                <a:solidFill>
                  <a:srgbClr val="FFFFFF"/>
                </a:solidFill>
                <a:prstDash val="solid"/>
              </a:ln>
            </c:spPr>
            <c:extLst>
              <c:ext xmlns:c16="http://schemas.microsoft.com/office/drawing/2014/chart" uri="{C3380CC4-5D6E-409C-BE32-E72D297353CC}">
                <c16:uniqueId val="{00000001-1CD2-4824-A3A9-F763FE27FEBD}"/>
              </c:ext>
            </c:extLst>
          </c:dPt>
          <c:dPt>
            <c:idx val="1"/>
            <c:bubble3D val="0"/>
            <c:spPr>
              <a:solidFill>
                <a:srgbClr val="70AD47"/>
              </a:solidFill>
              <a:ln w="12700">
                <a:solidFill>
                  <a:srgbClr val="FFFFFF"/>
                </a:solidFill>
                <a:prstDash val="solid"/>
              </a:ln>
            </c:spPr>
            <c:extLst>
              <c:ext xmlns:c16="http://schemas.microsoft.com/office/drawing/2014/chart" uri="{C3380CC4-5D6E-409C-BE32-E72D297353CC}">
                <c16:uniqueId val="{00000003-1CD2-4824-A3A9-F763FE27FEBD}"/>
              </c:ext>
            </c:extLst>
          </c:dPt>
          <c:dPt>
            <c:idx val="2"/>
            <c:bubble3D val="0"/>
            <c:spPr>
              <a:solidFill>
                <a:srgbClr val="FFC000"/>
              </a:solidFill>
              <a:ln w="12700">
                <a:solidFill>
                  <a:srgbClr val="FFFFFF"/>
                </a:solidFill>
                <a:prstDash val="solid"/>
              </a:ln>
            </c:spPr>
            <c:extLst>
              <c:ext xmlns:c16="http://schemas.microsoft.com/office/drawing/2014/chart" uri="{C3380CC4-5D6E-409C-BE32-E72D297353CC}">
                <c16:uniqueId val="{00000005-1CD2-4824-A3A9-F763FE27FEBD}"/>
              </c:ext>
            </c:extLst>
          </c:dPt>
          <c:dPt>
            <c:idx val="3"/>
            <c:bubble3D val="0"/>
            <c:spPr>
              <a:solidFill>
                <a:srgbClr val="ED7D31"/>
              </a:solidFill>
              <a:ln w="12700">
                <a:solidFill>
                  <a:srgbClr val="FFFFFF"/>
                </a:solidFill>
                <a:prstDash val="solid"/>
              </a:ln>
            </c:spPr>
            <c:extLst>
              <c:ext xmlns:c16="http://schemas.microsoft.com/office/drawing/2014/chart" uri="{C3380CC4-5D6E-409C-BE32-E72D297353CC}">
                <c16:uniqueId val="{00000007-1CD2-4824-A3A9-F763FE27FEBD}"/>
              </c:ext>
            </c:extLst>
          </c:dPt>
          <c:dLbls>
            <c:spPr>
              <a:noFill/>
              <a:ln>
                <a:noFill/>
                <a:prstDash val="solid"/>
              </a:ln>
            </c:spPr>
            <c:dLblPos val="bestFit"/>
            <c:showLegendKey val="0"/>
            <c:showVal val="0"/>
            <c:showCatName val="1"/>
            <c:showSerName val="1"/>
            <c:showPercent val="1"/>
            <c:showBubbleSize val="1"/>
            <c:showLeaderLines val="1"/>
            <c:extLst>
              <c:ext xmlns:c15="http://schemas.microsoft.com/office/drawing/2012/chart" uri="{CE6537A1-D6FC-4f65-9D91-7224C49458BB}"/>
            </c:extLst>
          </c:dLbls>
          <c:cat>
            <c:strRef>
              <c:f>'PARC TERTIAIRE vs. TOTAL - OLD'!$M$62:$M$65</c:f>
              <c:strCache>
                <c:ptCount val="4"/>
                <c:pt idx="0">
                  <c:v>Mitigeurs</c:v>
                </c:pt>
                <c:pt idx="1">
                  <c:v>Tempo. Méca</c:v>
                </c:pt>
                <c:pt idx="2">
                  <c:v>Tempo. Electro</c:v>
                </c:pt>
                <c:pt idx="3">
                  <c:v>Autres</c:v>
                </c:pt>
              </c:strCache>
            </c:strRef>
          </c:cat>
          <c:val>
            <c:numRef>
              <c:f>'PARC TERTIAIRE vs. TOTAL - OLD'!$N$62:$N$65</c:f>
              <c:numCache>
                <c:formatCode>0.0%</c:formatCode>
                <c:ptCount val="4"/>
                <c:pt idx="0">
                  <c:v>0.26104811880419282</c:v>
                </c:pt>
                <c:pt idx="1">
                  <c:v>0.57682625999310788</c:v>
                </c:pt>
                <c:pt idx="2">
                  <c:v>9.9172123366032927E-2</c:v>
                </c:pt>
                <c:pt idx="3">
                  <c:v>6.2953497836666539E-2</c:v>
                </c:pt>
              </c:numCache>
            </c:numRef>
          </c:val>
          <c:extLst>
            <c:ext xmlns:c16="http://schemas.microsoft.com/office/drawing/2014/chart" uri="{C3380CC4-5D6E-409C-BE32-E72D297353CC}">
              <c16:uniqueId val="{00000008-1CD2-4824-A3A9-F763FE27FEBD}"/>
            </c:ext>
          </c:extLst>
        </c:ser>
        <c:dLbls>
          <c:showLegendKey val="0"/>
          <c:showVal val="0"/>
          <c:showCatName val="0"/>
          <c:showSerName val="0"/>
          <c:showPercent val="0"/>
          <c:showBubbleSize val="0"/>
          <c:showLeaderLines val="1"/>
        </c:dLbls>
        <c:firstSliceAng val="27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a:defRPr sz="1100"/>
            </a:pPr>
            <a:r>
              <a:rPr lang="fr-FR" sz="1100"/>
              <a:t>Nombre d’Etablissements </a:t>
            </a:r>
            <a:r>
              <a:rPr lang="fr-FR" sz="1100" b="1" i="0" strike="noStrike" kern="1200" baseline="0">
                <a:solidFill>
                  <a:sysClr val="windowText" lastClr="000000"/>
                </a:solidFill>
              </a:rPr>
              <a:t>TERTIAIRE </a:t>
            </a:r>
            <a:r>
              <a:rPr lang="fr-FR" sz="1100"/>
              <a:t>par Sous-segment</a:t>
            </a:r>
          </a:p>
        </c:rich>
      </c:tx>
      <c:layout>
        <c:manualLayout>
          <c:xMode val="edge"/>
          <c:yMode val="edge"/>
          <c:x val="0.1112317777777778"/>
          <c:y val="1.356837606837607E-2"/>
        </c:manualLayout>
      </c:layout>
      <c:overlay val="1"/>
    </c:title>
    <c:autoTitleDeleted val="0"/>
    <c:plotArea>
      <c:layout/>
      <c:pieChart>
        <c:varyColors val="1"/>
        <c:ser>
          <c:idx val="0"/>
          <c:order val="0"/>
          <c:spPr>
            <a:ln>
              <a:prstDash val="solid"/>
            </a:ln>
          </c:spPr>
          <c:dPt>
            <c:idx val="0"/>
            <c:bubble3D val="0"/>
            <c:spPr>
              <a:solidFill>
                <a:srgbClr val="4472C4"/>
              </a:solidFill>
              <a:ln w="12700">
                <a:solidFill>
                  <a:srgbClr val="FFFFFF"/>
                </a:solidFill>
                <a:prstDash val="solid"/>
              </a:ln>
            </c:spPr>
            <c:extLst>
              <c:ext xmlns:c16="http://schemas.microsoft.com/office/drawing/2014/chart" uri="{C3380CC4-5D6E-409C-BE32-E72D297353CC}">
                <c16:uniqueId val="{00000001-0A93-4FCA-B8DE-9E780CEDD92F}"/>
              </c:ext>
            </c:extLst>
          </c:dPt>
          <c:dPt>
            <c:idx val="1"/>
            <c:bubble3D val="0"/>
            <c:spPr>
              <a:solidFill>
                <a:srgbClr val="ED7D31"/>
              </a:solidFill>
              <a:ln w="12700">
                <a:solidFill>
                  <a:srgbClr val="FFFFFF"/>
                </a:solidFill>
                <a:prstDash val="solid"/>
              </a:ln>
            </c:spPr>
            <c:extLst>
              <c:ext xmlns:c16="http://schemas.microsoft.com/office/drawing/2014/chart" uri="{C3380CC4-5D6E-409C-BE32-E72D297353CC}">
                <c16:uniqueId val="{00000003-0A93-4FCA-B8DE-9E780CEDD92F}"/>
              </c:ext>
            </c:extLst>
          </c:dPt>
          <c:dPt>
            <c:idx val="2"/>
            <c:bubble3D val="0"/>
            <c:spPr>
              <a:solidFill>
                <a:srgbClr val="A5A5A5"/>
              </a:solidFill>
              <a:ln w="12700">
                <a:solidFill>
                  <a:srgbClr val="FFFFFF"/>
                </a:solidFill>
                <a:prstDash val="solid"/>
              </a:ln>
            </c:spPr>
            <c:extLst>
              <c:ext xmlns:c16="http://schemas.microsoft.com/office/drawing/2014/chart" uri="{C3380CC4-5D6E-409C-BE32-E72D297353CC}">
                <c16:uniqueId val="{00000005-0A93-4FCA-B8DE-9E780CEDD92F}"/>
              </c:ext>
            </c:extLst>
          </c:dPt>
          <c:dPt>
            <c:idx val="3"/>
            <c:bubble3D val="0"/>
            <c:spPr>
              <a:solidFill>
                <a:srgbClr val="FFC000"/>
              </a:solidFill>
              <a:ln w="12700">
                <a:solidFill>
                  <a:srgbClr val="FFFFFF"/>
                </a:solidFill>
                <a:prstDash val="solid"/>
              </a:ln>
            </c:spPr>
            <c:extLst>
              <c:ext xmlns:c16="http://schemas.microsoft.com/office/drawing/2014/chart" uri="{C3380CC4-5D6E-409C-BE32-E72D297353CC}">
                <c16:uniqueId val="{00000007-0A93-4FCA-B8DE-9E780CEDD92F}"/>
              </c:ext>
            </c:extLst>
          </c:dPt>
          <c:dPt>
            <c:idx val="4"/>
            <c:bubble3D val="0"/>
            <c:spPr>
              <a:solidFill>
                <a:srgbClr val="5B9BD5"/>
              </a:solidFill>
              <a:ln w="12700">
                <a:solidFill>
                  <a:srgbClr val="FFFFFF"/>
                </a:solidFill>
                <a:prstDash val="solid"/>
              </a:ln>
            </c:spPr>
            <c:extLst>
              <c:ext xmlns:c16="http://schemas.microsoft.com/office/drawing/2014/chart" uri="{C3380CC4-5D6E-409C-BE32-E72D297353CC}">
                <c16:uniqueId val="{00000009-0A93-4FCA-B8DE-9E780CEDD92F}"/>
              </c:ext>
            </c:extLst>
          </c:dPt>
          <c:dPt>
            <c:idx val="5"/>
            <c:bubble3D val="0"/>
            <c:spPr>
              <a:solidFill>
                <a:srgbClr val="70AD47"/>
              </a:solidFill>
              <a:ln w="12700">
                <a:solidFill>
                  <a:srgbClr val="FFFFFF"/>
                </a:solidFill>
                <a:prstDash val="solid"/>
              </a:ln>
            </c:spPr>
            <c:extLst>
              <c:ext xmlns:c16="http://schemas.microsoft.com/office/drawing/2014/chart" uri="{C3380CC4-5D6E-409C-BE32-E72D297353CC}">
                <c16:uniqueId val="{0000000B-0A93-4FCA-B8DE-9E780CEDD92F}"/>
              </c:ext>
            </c:extLst>
          </c:dPt>
          <c:dPt>
            <c:idx val="6"/>
            <c:bubble3D val="0"/>
            <c:spPr>
              <a:solidFill>
                <a:srgbClr val="264478"/>
              </a:solidFill>
              <a:ln w="12700">
                <a:solidFill>
                  <a:srgbClr val="FFFFFF"/>
                </a:solidFill>
                <a:prstDash val="solid"/>
              </a:ln>
            </c:spPr>
            <c:extLst>
              <c:ext xmlns:c16="http://schemas.microsoft.com/office/drawing/2014/chart" uri="{C3380CC4-5D6E-409C-BE32-E72D297353CC}">
                <c16:uniqueId val="{0000000D-0A93-4FCA-B8DE-9E780CEDD92F}"/>
              </c:ext>
            </c:extLst>
          </c:dPt>
          <c:dPt>
            <c:idx val="7"/>
            <c:bubble3D val="0"/>
            <c:spPr>
              <a:solidFill>
                <a:srgbClr val="9E480E"/>
              </a:solidFill>
              <a:ln w="12700">
                <a:solidFill>
                  <a:srgbClr val="FFFFFF"/>
                </a:solidFill>
                <a:prstDash val="solid"/>
              </a:ln>
            </c:spPr>
            <c:extLst>
              <c:ext xmlns:c16="http://schemas.microsoft.com/office/drawing/2014/chart" uri="{C3380CC4-5D6E-409C-BE32-E72D297353CC}">
                <c16:uniqueId val="{0000000F-0A93-4FCA-B8DE-9E780CEDD92F}"/>
              </c:ext>
            </c:extLst>
          </c:dPt>
          <c:dPt>
            <c:idx val="8"/>
            <c:bubble3D val="0"/>
            <c:spPr>
              <a:solidFill>
                <a:srgbClr val="636363"/>
              </a:solidFill>
              <a:ln w="12700">
                <a:solidFill>
                  <a:srgbClr val="FFFFFF"/>
                </a:solidFill>
                <a:prstDash val="solid"/>
              </a:ln>
            </c:spPr>
            <c:extLst>
              <c:ext xmlns:c16="http://schemas.microsoft.com/office/drawing/2014/chart" uri="{C3380CC4-5D6E-409C-BE32-E72D297353CC}">
                <c16:uniqueId val="{00000011-0A93-4FCA-B8DE-9E780CEDD92F}"/>
              </c:ext>
            </c:extLst>
          </c:dPt>
          <c:dLbls>
            <c:dLbl>
              <c:idx val="1"/>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0A93-4FCA-B8DE-9E780CEDD92F}"/>
                </c:ext>
              </c:extLst>
            </c:dLbl>
            <c:dLbl>
              <c:idx val="6"/>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D-0A93-4FCA-B8DE-9E780CEDD92F}"/>
                </c:ext>
              </c:extLst>
            </c:dLbl>
            <c:dLbl>
              <c:idx val="7"/>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F-0A93-4FCA-B8DE-9E780CEDD92F}"/>
                </c:ext>
              </c:extLst>
            </c:dLbl>
            <c:dLbl>
              <c:idx val="8"/>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11-0A93-4FCA-B8DE-9E780CEDD92F}"/>
                </c:ext>
              </c:extLst>
            </c:dLbl>
            <c:spPr>
              <a:solidFill>
                <a:sysClr val="window" lastClr="FFFFFF"/>
              </a:solidFill>
              <a:ln>
                <a:solidFill>
                  <a:sysClr val="windowText" lastClr="000000">
                    <a:lumOff val="35000"/>
                    <a:lumMod val="65000"/>
                  </a:sysClr>
                </a:solidFill>
                <a:prstDash val="solid"/>
              </a:ln>
            </c:spPr>
            <c:txPr>
              <a:bodyPr wrap="square" lIns="38100" tIns="19050" rIns="38100" bIns="19050" anchor="ctr">
                <a:spAutoFit/>
              </a:bodyPr>
              <a:lstStyle/>
              <a:p>
                <a:pPr>
                  <a:defRPr b="1"/>
                </a:pPr>
                <a:endParaRPr lang="fr-FR"/>
              </a:p>
            </c:txPr>
            <c:dLblPos val="outEnd"/>
            <c:showLegendKey val="0"/>
            <c:showVal val="0"/>
            <c:showCatName val="0"/>
            <c:showSerName val="0"/>
            <c:showPercent val="1"/>
            <c:showBubbleSize val="1"/>
            <c:showLeaderLines val="0"/>
            <c:extLst>
              <c:ext xmlns:c15="http://schemas.microsoft.com/office/drawing/2012/chart" uri="{CE6537A1-D6FC-4f65-9D91-7224C49458BB}"/>
            </c:extLst>
          </c:dLbls>
          <c:cat>
            <c:strRef>
              <c:f>'DETAIL PARC TERTIAIREprevious'!$A$69:$A$77</c:f>
              <c:strCache>
                <c:ptCount val="9"/>
                <c:pt idx="0">
                  <c:v>1</c:v>
                </c:pt>
                <c:pt idx="1">
                  <c:v>2</c:v>
                </c:pt>
                <c:pt idx="2">
                  <c:v>3</c:v>
                </c:pt>
                <c:pt idx="3">
                  <c:v>4</c:v>
                </c:pt>
                <c:pt idx="4">
                  <c:v>5</c:v>
                </c:pt>
                <c:pt idx="5">
                  <c:v>6</c:v>
                </c:pt>
                <c:pt idx="6">
                  <c:v>7</c:v>
                </c:pt>
                <c:pt idx="7">
                  <c:v>8</c:v>
                </c:pt>
                <c:pt idx="8">
                  <c:v>9</c:v>
                </c:pt>
              </c:strCache>
            </c:strRef>
          </c:cat>
          <c:val>
            <c:numRef>
              <c:f>'DETAIL PARC TERTIAIREprevious'!$B$69:$B$77</c:f>
              <c:numCache>
                <c:formatCode>#,##0</c:formatCode>
                <c:ptCount val="9"/>
                <c:pt idx="0">
                  <c:v>28100</c:v>
                </c:pt>
                <c:pt idx="1">
                  <c:v>3650</c:v>
                </c:pt>
                <c:pt idx="2">
                  <c:v>8700</c:v>
                </c:pt>
                <c:pt idx="3">
                  <c:v>5050</c:v>
                </c:pt>
                <c:pt idx="4">
                  <c:v>37496</c:v>
                </c:pt>
                <c:pt idx="5">
                  <c:v>10000</c:v>
                </c:pt>
                <c:pt idx="6">
                  <c:v>121</c:v>
                </c:pt>
                <c:pt idx="7">
                  <c:v>832</c:v>
                </c:pt>
                <c:pt idx="8">
                  <c:v>520</c:v>
                </c:pt>
              </c:numCache>
            </c:numRef>
          </c:val>
          <c:extLst>
            <c:ext xmlns:c16="http://schemas.microsoft.com/office/drawing/2014/chart" uri="{C3380CC4-5D6E-409C-BE32-E72D297353CC}">
              <c16:uniqueId val="{00000012-0A93-4FCA-B8DE-9E780CEDD92F}"/>
            </c:ext>
          </c:extLst>
        </c:ser>
        <c:dLbls>
          <c:showLegendKey val="0"/>
          <c:showVal val="0"/>
          <c:showCatName val="0"/>
          <c:showSerName val="0"/>
          <c:showPercent val="0"/>
          <c:showBubbleSize val="0"/>
          <c:showLeaderLines val="0"/>
        </c:dLbls>
        <c:firstSliceAng val="270"/>
      </c:pieChart>
    </c:plotArea>
    <c:legend>
      <c:legendPos val="r"/>
      <c:overlay val="0"/>
    </c:legend>
    <c:plotVisOnly val="1"/>
    <c:dispBlanksAs val="gap"/>
    <c:showDLblsOverMax val="1"/>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a:defRPr sz="1100"/>
            </a:pPr>
            <a:r>
              <a:rPr lang="fr-FR" sz="1100" b="1" i="0" strike="noStrike" kern="1200" baseline="0">
                <a:solidFill>
                  <a:sysClr val="windowText" lastClr="000000"/>
                </a:solidFill>
              </a:rPr>
              <a:t>Volume Robinets Lavabo TERTIAIRE par Sous-segment</a:t>
            </a:r>
          </a:p>
        </c:rich>
      </c:tx>
      <c:overlay val="1"/>
    </c:title>
    <c:autoTitleDeleted val="0"/>
    <c:plotArea>
      <c:layout/>
      <c:pieChart>
        <c:varyColors val="1"/>
        <c:ser>
          <c:idx val="0"/>
          <c:order val="0"/>
          <c:spPr>
            <a:ln>
              <a:prstDash val="solid"/>
            </a:ln>
          </c:spPr>
          <c:dPt>
            <c:idx val="0"/>
            <c:bubble3D val="0"/>
            <c:spPr>
              <a:solidFill>
                <a:srgbClr val="4472C4"/>
              </a:solidFill>
              <a:ln w="12700">
                <a:solidFill>
                  <a:srgbClr val="FFFFFF"/>
                </a:solidFill>
                <a:prstDash val="solid"/>
              </a:ln>
            </c:spPr>
            <c:extLst>
              <c:ext xmlns:c16="http://schemas.microsoft.com/office/drawing/2014/chart" uri="{C3380CC4-5D6E-409C-BE32-E72D297353CC}">
                <c16:uniqueId val="{00000001-68DF-40FC-A6F1-C1C87A8759C5}"/>
              </c:ext>
            </c:extLst>
          </c:dPt>
          <c:dPt>
            <c:idx val="1"/>
            <c:bubble3D val="0"/>
            <c:spPr>
              <a:solidFill>
                <a:srgbClr val="ED7D31"/>
              </a:solidFill>
              <a:ln w="12700">
                <a:solidFill>
                  <a:srgbClr val="FFFFFF"/>
                </a:solidFill>
                <a:prstDash val="solid"/>
              </a:ln>
            </c:spPr>
            <c:extLst>
              <c:ext xmlns:c16="http://schemas.microsoft.com/office/drawing/2014/chart" uri="{C3380CC4-5D6E-409C-BE32-E72D297353CC}">
                <c16:uniqueId val="{00000003-68DF-40FC-A6F1-C1C87A8759C5}"/>
              </c:ext>
            </c:extLst>
          </c:dPt>
          <c:dPt>
            <c:idx val="2"/>
            <c:bubble3D val="0"/>
            <c:spPr>
              <a:solidFill>
                <a:srgbClr val="A5A5A5"/>
              </a:solidFill>
              <a:ln w="12700">
                <a:solidFill>
                  <a:srgbClr val="FFFFFF"/>
                </a:solidFill>
                <a:prstDash val="solid"/>
              </a:ln>
            </c:spPr>
            <c:extLst>
              <c:ext xmlns:c16="http://schemas.microsoft.com/office/drawing/2014/chart" uri="{C3380CC4-5D6E-409C-BE32-E72D297353CC}">
                <c16:uniqueId val="{00000005-68DF-40FC-A6F1-C1C87A8759C5}"/>
              </c:ext>
            </c:extLst>
          </c:dPt>
          <c:dPt>
            <c:idx val="3"/>
            <c:bubble3D val="0"/>
            <c:spPr>
              <a:solidFill>
                <a:srgbClr val="FFC000"/>
              </a:solidFill>
              <a:ln w="12700">
                <a:solidFill>
                  <a:srgbClr val="FFFFFF"/>
                </a:solidFill>
                <a:prstDash val="solid"/>
              </a:ln>
            </c:spPr>
            <c:extLst>
              <c:ext xmlns:c16="http://schemas.microsoft.com/office/drawing/2014/chart" uri="{C3380CC4-5D6E-409C-BE32-E72D297353CC}">
                <c16:uniqueId val="{00000007-68DF-40FC-A6F1-C1C87A8759C5}"/>
              </c:ext>
            </c:extLst>
          </c:dPt>
          <c:dPt>
            <c:idx val="4"/>
            <c:bubble3D val="0"/>
            <c:spPr>
              <a:solidFill>
                <a:srgbClr val="5B9BD5"/>
              </a:solidFill>
              <a:ln w="12700">
                <a:solidFill>
                  <a:srgbClr val="FFFFFF"/>
                </a:solidFill>
                <a:prstDash val="solid"/>
              </a:ln>
            </c:spPr>
            <c:extLst>
              <c:ext xmlns:c16="http://schemas.microsoft.com/office/drawing/2014/chart" uri="{C3380CC4-5D6E-409C-BE32-E72D297353CC}">
                <c16:uniqueId val="{00000009-68DF-40FC-A6F1-C1C87A8759C5}"/>
              </c:ext>
            </c:extLst>
          </c:dPt>
          <c:dPt>
            <c:idx val="5"/>
            <c:bubble3D val="0"/>
            <c:spPr>
              <a:solidFill>
                <a:srgbClr val="70AD47"/>
              </a:solidFill>
              <a:ln w="12700">
                <a:solidFill>
                  <a:srgbClr val="FFFFFF"/>
                </a:solidFill>
                <a:prstDash val="solid"/>
              </a:ln>
            </c:spPr>
            <c:extLst>
              <c:ext xmlns:c16="http://schemas.microsoft.com/office/drawing/2014/chart" uri="{C3380CC4-5D6E-409C-BE32-E72D297353CC}">
                <c16:uniqueId val="{0000000B-68DF-40FC-A6F1-C1C87A8759C5}"/>
              </c:ext>
            </c:extLst>
          </c:dPt>
          <c:dPt>
            <c:idx val="6"/>
            <c:bubble3D val="0"/>
            <c:spPr>
              <a:solidFill>
                <a:srgbClr val="264478"/>
              </a:solidFill>
              <a:ln w="12700">
                <a:solidFill>
                  <a:srgbClr val="FFFFFF"/>
                </a:solidFill>
                <a:prstDash val="solid"/>
              </a:ln>
            </c:spPr>
            <c:extLst>
              <c:ext xmlns:c16="http://schemas.microsoft.com/office/drawing/2014/chart" uri="{C3380CC4-5D6E-409C-BE32-E72D297353CC}">
                <c16:uniqueId val="{0000000D-68DF-40FC-A6F1-C1C87A8759C5}"/>
              </c:ext>
            </c:extLst>
          </c:dPt>
          <c:dPt>
            <c:idx val="7"/>
            <c:bubble3D val="0"/>
            <c:spPr>
              <a:solidFill>
                <a:srgbClr val="9E480E"/>
              </a:solidFill>
              <a:ln w="12700">
                <a:solidFill>
                  <a:srgbClr val="FFFFFF"/>
                </a:solidFill>
                <a:prstDash val="solid"/>
              </a:ln>
            </c:spPr>
            <c:extLst>
              <c:ext xmlns:c16="http://schemas.microsoft.com/office/drawing/2014/chart" uri="{C3380CC4-5D6E-409C-BE32-E72D297353CC}">
                <c16:uniqueId val="{0000000F-68DF-40FC-A6F1-C1C87A8759C5}"/>
              </c:ext>
            </c:extLst>
          </c:dPt>
          <c:dPt>
            <c:idx val="8"/>
            <c:bubble3D val="0"/>
            <c:spPr>
              <a:solidFill>
                <a:srgbClr val="636363"/>
              </a:solidFill>
              <a:ln w="12700">
                <a:solidFill>
                  <a:srgbClr val="FFFFFF"/>
                </a:solidFill>
                <a:prstDash val="solid"/>
              </a:ln>
            </c:spPr>
            <c:extLst>
              <c:ext xmlns:c16="http://schemas.microsoft.com/office/drawing/2014/chart" uri="{C3380CC4-5D6E-409C-BE32-E72D297353CC}">
                <c16:uniqueId val="{00000011-68DF-40FC-A6F1-C1C87A8759C5}"/>
              </c:ext>
            </c:extLst>
          </c:dPt>
          <c:dLbls>
            <c:dLbl>
              <c:idx val="0"/>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68DF-40FC-A6F1-C1C87A8759C5}"/>
                </c:ext>
              </c:extLst>
            </c:dLbl>
            <c:spPr>
              <a:noFill/>
              <a:ln>
                <a:solidFill>
                  <a:schemeClr val="tx1"/>
                </a:solidFill>
                <a:prstDash val="solid"/>
              </a:ln>
            </c:spPr>
            <c:txPr>
              <a:bodyPr wrap="square" lIns="38100" tIns="19050" rIns="38100" bIns="19050" anchor="ctr">
                <a:spAutoFit/>
              </a:bodyPr>
              <a:lstStyle/>
              <a:p>
                <a:pPr>
                  <a:defRPr b="1"/>
                </a:pPr>
                <a:endParaRPr lang="fr-FR"/>
              </a:p>
            </c:txPr>
            <c:dLblPos val="outEnd"/>
            <c:showLegendKey val="0"/>
            <c:showVal val="0"/>
            <c:showCatName val="0"/>
            <c:showSerName val="0"/>
            <c:showPercent val="1"/>
            <c:showBubbleSize val="1"/>
            <c:showLeaderLines val="1"/>
            <c:extLst>
              <c:ext xmlns:c15="http://schemas.microsoft.com/office/drawing/2012/chart" uri="{CE6537A1-D6FC-4f65-9D91-7224C49458BB}"/>
            </c:extLst>
          </c:dLbls>
          <c:cat>
            <c:strRef>
              <c:f>'DETAIL PARC TERTIAIREprevious'!$D$69:$D$77</c:f>
              <c:strCache>
                <c:ptCount val="9"/>
                <c:pt idx="0">
                  <c:v>1</c:v>
                </c:pt>
                <c:pt idx="1">
                  <c:v>2</c:v>
                </c:pt>
                <c:pt idx="2">
                  <c:v>3</c:v>
                </c:pt>
                <c:pt idx="3">
                  <c:v>4</c:v>
                </c:pt>
                <c:pt idx="4">
                  <c:v>5</c:v>
                </c:pt>
                <c:pt idx="5">
                  <c:v>6</c:v>
                </c:pt>
                <c:pt idx="6">
                  <c:v>7</c:v>
                </c:pt>
                <c:pt idx="7">
                  <c:v>8</c:v>
                </c:pt>
                <c:pt idx="8">
                  <c:v>9</c:v>
                </c:pt>
              </c:strCache>
            </c:strRef>
          </c:cat>
          <c:val>
            <c:numRef>
              <c:f>'DETAIL PARC TERTIAIREprevious'!$E$69:$E$77</c:f>
              <c:numCache>
                <c:formatCode>#,##0</c:formatCode>
                <c:ptCount val="9"/>
                <c:pt idx="0">
                  <c:v>618200</c:v>
                </c:pt>
                <c:pt idx="1">
                  <c:v>58400</c:v>
                </c:pt>
                <c:pt idx="2">
                  <c:v>217500</c:v>
                </c:pt>
                <c:pt idx="3">
                  <c:v>70700</c:v>
                </c:pt>
                <c:pt idx="4">
                  <c:v>112488</c:v>
                </c:pt>
                <c:pt idx="5">
                  <c:v>160000</c:v>
                </c:pt>
                <c:pt idx="6">
                  <c:v>3025</c:v>
                </c:pt>
                <c:pt idx="7">
                  <c:v>66560</c:v>
                </c:pt>
                <c:pt idx="8">
                  <c:v>5200</c:v>
                </c:pt>
              </c:numCache>
            </c:numRef>
          </c:val>
          <c:extLst>
            <c:ext xmlns:c16="http://schemas.microsoft.com/office/drawing/2014/chart" uri="{C3380CC4-5D6E-409C-BE32-E72D297353CC}">
              <c16:uniqueId val="{00000012-68DF-40FC-A6F1-C1C87A8759C5}"/>
            </c:ext>
          </c:extLst>
        </c:ser>
        <c:dLbls>
          <c:showLegendKey val="0"/>
          <c:showVal val="0"/>
          <c:showCatName val="0"/>
          <c:showSerName val="0"/>
          <c:showPercent val="0"/>
          <c:showBubbleSize val="0"/>
          <c:showLeaderLines val="1"/>
        </c:dLbls>
        <c:firstSliceAng val="27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a:defRPr/>
            </a:pPr>
            <a:r>
              <a:rPr lang="fr-FR"/>
              <a:t>Mix Techno. Robinets Lavabo 2025 – TERTIAIRE</a:t>
            </a:r>
          </a:p>
        </c:rich>
      </c:tx>
      <c:overlay val="1"/>
    </c:title>
    <c:autoTitleDeleted val="0"/>
    <c:plotArea>
      <c:layout/>
      <c:pieChart>
        <c:varyColors val="1"/>
        <c:ser>
          <c:idx val="0"/>
          <c:order val="0"/>
          <c:spPr>
            <a:ln>
              <a:prstDash val="solid"/>
            </a:ln>
          </c:spPr>
          <c:dPt>
            <c:idx val="0"/>
            <c:bubble3D val="0"/>
            <c:spPr>
              <a:solidFill>
                <a:srgbClr val="5B9BD5"/>
              </a:solidFill>
              <a:ln w="12700">
                <a:solidFill>
                  <a:srgbClr val="FFFFFF"/>
                </a:solidFill>
                <a:prstDash val="solid"/>
              </a:ln>
            </c:spPr>
            <c:extLst>
              <c:ext xmlns:c16="http://schemas.microsoft.com/office/drawing/2014/chart" uri="{C3380CC4-5D6E-409C-BE32-E72D297353CC}">
                <c16:uniqueId val="{00000001-5CEE-497E-9BD0-82E0549CF7DB}"/>
              </c:ext>
            </c:extLst>
          </c:dPt>
          <c:dPt>
            <c:idx val="1"/>
            <c:bubble3D val="0"/>
            <c:spPr>
              <a:solidFill>
                <a:srgbClr val="70AD47"/>
              </a:solidFill>
              <a:ln w="12700">
                <a:solidFill>
                  <a:srgbClr val="FFFFFF"/>
                </a:solidFill>
                <a:prstDash val="solid"/>
              </a:ln>
            </c:spPr>
            <c:extLst>
              <c:ext xmlns:c16="http://schemas.microsoft.com/office/drawing/2014/chart" uri="{C3380CC4-5D6E-409C-BE32-E72D297353CC}">
                <c16:uniqueId val="{00000003-5CEE-497E-9BD0-82E0549CF7DB}"/>
              </c:ext>
            </c:extLst>
          </c:dPt>
          <c:dPt>
            <c:idx val="2"/>
            <c:bubble3D val="0"/>
            <c:spPr>
              <a:solidFill>
                <a:srgbClr val="FFC000"/>
              </a:solidFill>
              <a:ln w="12700">
                <a:solidFill>
                  <a:srgbClr val="FFFFFF"/>
                </a:solidFill>
                <a:prstDash val="solid"/>
              </a:ln>
            </c:spPr>
            <c:extLst>
              <c:ext xmlns:c16="http://schemas.microsoft.com/office/drawing/2014/chart" uri="{C3380CC4-5D6E-409C-BE32-E72D297353CC}">
                <c16:uniqueId val="{00000005-5CEE-497E-9BD0-82E0549CF7DB}"/>
              </c:ext>
            </c:extLst>
          </c:dPt>
          <c:dPt>
            <c:idx val="3"/>
            <c:bubble3D val="0"/>
            <c:spPr>
              <a:solidFill>
                <a:srgbClr val="ED7D31"/>
              </a:solidFill>
              <a:ln w="12700">
                <a:solidFill>
                  <a:srgbClr val="FFFFFF"/>
                </a:solidFill>
                <a:prstDash val="solid"/>
              </a:ln>
            </c:spPr>
            <c:extLst>
              <c:ext xmlns:c16="http://schemas.microsoft.com/office/drawing/2014/chart" uri="{C3380CC4-5D6E-409C-BE32-E72D297353CC}">
                <c16:uniqueId val="{00000007-5CEE-497E-9BD0-82E0549CF7DB}"/>
              </c:ext>
            </c:extLst>
          </c:dPt>
          <c:dLbls>
            <c:spPr>
              <a:noFill/>
              <a:ln>
                <a:noFill/>
                <a:prstDash val="solid"/>
              </a:ln>
            </c:spPr>
            <c:dLblPos val="bestFit"/>
            <c:showLegendKey val="0"/>
            <c:showVal val="0"/>
            <c:showCatName val="1"/>
            <c:showSerName val="1"/>
            <c:showPercent val="1"/>
            <c:showBubbleSize val="1"/>
            <c:showLeaderLines val="1"/>
            <c:extLst>
              <c:ext xmlns:c15="http://schemas.microsoft.com/office/drawing/2012/chart" uri="{CE6537A1-D6FC-4f65-9D91-7224C49458BB}"/>
            </c:extLst>
          </c:dLbls>
          <c:cat>
            <c:strRef>
              <c:f>'DETAIL PARC TERTIAIREprevious'!$G$69:$G$72</c:f>
              <c:strCache>
                <c:ptCount val="4"/>
                <c:pt idx="0">
                  <c:v>Mitigeurs</c:v>
                </c:pt>
                <c:pt idx="1">
                  <c:v>Tempo. Méca</c:v>
                </c:pt>
                <c:pt idx="2">
                  <c:v>Tempo. Electro</c:v>
                </c:pt>
                <c:pt idx="3">
                  <c:v>Autres</c:v>
                </c:pt>
              </c:strCache>
            </c:strRef>
          </c:cat>
          <c:val>
            <c:numRef>
              <c:f>'DETAIL PARC TERTIAIREprevious'!$H$69:$H$72</c:f>
              <c:numCache>
                <c:formatCode>0.0%</c:formatCode>
                <c:ptCount val="4"/>
                <c:pt idx="0">
                  <c:v>0.31680240352480388</c:v>
                </c:pt>
                <c:pt idx="1">
                  <c:v>0.48141795464124332</c:v>
                </c:pt>
                <c:pt idx="2">
                  <c:v>0.15951406667159521</c:v>
                </c:pt>
                <c:pt idx="3">
                  <c:v>4.2265575162357592E-2</c:v>
                </c:pt>
              </c:numCache>
            </c:numRef>
          </c:val>
          <c:extLst>
            <c:ext xmlns:c16="http://schemas.microsoft.com/office/drawing/2014/chart" uri="{C3380CC4-5D6E-409C-BE32-E72D297353CC}">
              <c16:uniqueId val="{00000008-5CEE-497E-9BD0-82E0549CF7DB}"/>
            </c:ext>
          </c:extLst>
        </c:ser>
        <c:dLbls>
          <c:showLegendKey val="0"/>
          <c:showVal val="0"/>
          <c:showCatName val="0"/>
          <c:showSerName val="0"/>
          <c:showPercent val="0"/>
          <c:showBubbleSize val="0"/>
          <c:showLeaderLines val="1"/>
        </c:dLbls>
        <c:firstSliceAng val="27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a:defRPr/>
            </a:pPr>
            <a:r>
              <a:rPr lang="fr-FR"/>
              <a:t>Mix Techno. Robinets Lavabo 2025 – AUTRES SEGMENTS</a:t>
            </a:r>
          </a:p>
        </c:rich>
      </c:tx>
      <c:overlay val="1"/>
    </c:title>
    <c:autoTitleDeleted val="0"/>
    <c:plotArea>
      <c:layout/>
      <c:pieChart>
        <c:varyColors val="1"/>
        <c:ser>
          <c:idx val="0"/>
          <c:order val="0"/>
          <c:spPr>
            <a:ln>
              <a:prstDash val="solid"/>
            </a:ln>
          </c:spPr>
          <c:dPt>
            <c:idx val="0"/>
            <c:bubble3D val="0"/>
            <c:spPr>
              <a:solidFill>
                <a:srgbClr val="5B9BD5"/>
              </a:solidFill>
              <a:ln w="12700">
                <a:solidFill>
                  <a:srgbClr val="FFFFFF"/>
                </a:solidFill>
                <a:prstDash val="solid"/>
              </a:ln>
            </c:spPr>
            <c:extLst>
              <c:ext xmlns:c16="http://schemas.microsoft.com/office/drawing/2014/chart" uri="{C3380CC4-5D6E-409C-BE32-E72D297353CC}">
                <c16:uniqueId val="{00000001-654A-4228-BE0B-DCA143029B33}"/>
              </c:ext>
            </c:extLst>
          </c:dPt>
          <c:dPt>
            <c:idx val="1"/>
            <c:bubble3D val="0"/>
            <c:spPr>
              <a:solidFill>
                <a:srgbClr val="70AD47"/>
              </a:solidFill>
              <a:ln w="12700">
                <a:solidFill>
                  <a:srgbClr val="FFFFFF"/>
                </a:solidFill>
                <a:prstDash val="solid"/>
              </a:ln>
            </c:spPr>
            <c:extLst>
              <c:ext xmlns:c16="http://schemas.microsoft.com/office/drawing/2014/chart" uri="{C3380CC4-5D6E-409C-BE32-E72D297353CC}">
                <c16:uniqueId val="{00000003-654A-4228-BE0B-DCA143029B33}"/>
              </c:ext>
            </c:extLst>
          </c:dPt>
          <c:dPt>
            <c:idx val="2"/>
            <c:bubble3D val="0"/>
            <c:spPr>
              <a:solidFill>
                <a:srgbClr val="FFC000"/>
              </a:solidFill>
              <a:ln w="12700">
                <a:solidFill>
                  <a:srgbClr val="FFFFFF"/>
                </a:solidFill>
                <a:prstDash val="solid"/>
              </a:ln>
            </c:spPr>
            <c:extLst>
              <c:ext xmlns:c16="http://schemas.microsoft.com/office/drawing/2014/chart" uri="{C3380CC4-5D6E-409C-BE32-E72D297353CC}">
                <c16:uniqueId val="{00000005-654A-4228-BE0B-DCA143029B33}"/>
              </c:ext>
            </c:extLst>
          </c:dPt>
          <c:dPt>
            <c:idx val="3"/>
            <c:bubble3D val="0"/>
            <c:spPr>
              <a:solidFill>
                <a:srgbClr val="ED7D31"/>
              </a:solidFill>
              <a:ln w="12700">
                <a:solidFill>
                  <a:srgbClr val="FFFFFF"/>
                </a:solidFill>
                <a:prstDash val="solid"/>
              </a:ln>
            </c:spPr>
            <c:extLst>
              <c:ext xmlns:c16="http://schemas.microsoft.com/office/drawing/2014/chart" uri="{C3380CC4-5D6E-409C-BE32-E72D297353CC}">
                <c16:uniqueId val="{00000007-654A-4228-BE0B-DCA143029B33}"/>
              </c:ext>
            </c:extLst>
          </c:dPt>
          <c:dLbls>
            <c:spPr>
              <a:noFill/>
              <a:ln>
                <a:noFill/>
                <a:prstDash val="solid"/>
              </a:ln>
            </c:spPr>
            <c:dLblPos val="bestFit"/>
            <c:showLegendKey val="0"/>
            <c:showVal val="0"/>
            <c:showCatName val="1"/>
            <c:showSerName val="1"/>
            <c:showPercent val="1"/>
            <c:showBubbleSize val="1"/>
            <c:showLeaderLines val="1"/>
            <c:extLst>
              <c:ext xmlns:c15="http://schemas.microsoft.com/office/drawing/2012/chart" uri="{CE6537A1-D6FC-4f65-9D91-7224C49458BB}"/>
            </c:extLst>
          </c:dLbls>
          <c:cat>
            <c:strRef>
              <c:f>'DETAIL PARC TERTIAIREprevious'!$J$69:$J$72</c:f>
              <c:strCache>
                <c:ptCount val="4"/>
                <c:pt idx="0">
                  <c:v>Mitigeurs</c:v>
                </c:pt>
                <c:pt idx="1">
                  <c:v>Tempo. Méca</c:v>
                </c:pt>
                <c:pt idx="2">
                  <c:v>Tempo. Electro</c:v>
                </c:pt>
                <c:pt idx="3">
                  <c:v>Autres</c:v>
                </c:pt>
              </c:strCache>
            </c:strRef>
          </c:cat>
          <c:val>
            <c:numRef>
              <c:f>'DETAIL PARC TERTIAIREprevious'!$K$69:$K$72</c:f>
              <c:numCache>
                <c:formatCode>0.0%</c:formatCode>
                <c:ptCount val="4"/>
                <c:pt idx="0">
                  <c:v>0.28725587444366207</c:v>
                </c:pt>
                <c:pt idx="1">
                  <c:v>0.5722120180872613</c:v>
                </c:pt>
                <c:pt idx="2">
                  <c:v>7.2668261135418452E-2</c:v>
                </c:pt>
                <c:pt idx="3">
                  <c:v>6.786384633365819E-2</c:v>
                </c:pt>
              </c:numCache>
            </c:numRef>
          </c:val>
          <c:extLst>
            <c:ext xmlns:c16="http://schemas.microsoft.com/office/drawing/2014/chart" uri="{C3380CC4-5D6E-409C-BE32-E72D297353CC}">
              <c16:uniqueId val="{00000008-654A-4228-BE0B-DCA143029B33}"/>
            </c:ext>
          </c:extLst>
        </c:ser>
        <c:dLbls>
          <c:showLegendKey val="0"/>
          <c:showVal val="0"/>
          <c:showCatName val="0"/>
          <c:showSerName val="0"/>
          <c:showPercent val="0"/>
          <c:showBubbleSize val="0"/>
          <c:showLeaderLines val="1"/>
        </c:dLbls>
        <c:firstSliceAng val="27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a:defRPr/>
            </a:pPr>
            <a:r>
              <a:rPr lang="fr-FR"/>
              <a:t>Niveau de Gammes 2025 – TERTIAIRE</a:t>
            </a:r>
          </a:p>
        </c:rich>
      </c:tx>
      <c:overlay val="1"/>
    </c:title>
    <c:autoTitleDeleted val="0"/>
    <c:plotArea>
      <c:layout/>
      <c:pieChart>
        <c:varyColors val="1"/>
        <c:ser>
          <c:idx val="0"/>
          <c:order val="0"/>
          <c:spPr>
            <a:ln>
              <a:prstDash val="solid"/>
            </a:ln>
          </c:spPr>
          <c:dPt>
            <c:idx val="0"/>
            <c:bubble3D val="0"/>
            <c:spPr>
              <a:solidFill>
                <a:srgbClr val="9E480E"/>
              </a:solidFill>
              <a:ln w="12700">
                <a:solidFill>
                  <a:srgbClr val="FFFFFF"/>
                </a:solidFill>
                <a:prstDash val="solid"/>
              </a:ln>
            </c:spPr>
            <c:extLst>
              <c:ext xmlns:c16="http://schemas.microsoft.com/office/drawing/2014/chart" uri="{C3380CC4-5D6E-409C-BE32-E72D297353CC}">
                <c16:uniqueId val="{00000001-5B71-4CFA-AD75-7E8D9A005C47}"/>
              </c:ext>
            </c:extLst>
          </c:dPt>
          <c:dPt>
            <c:idx val="1"/>
            <c:bubble3D val="0"/>
            <c:spPr>
              <a:solidFill>
                <a:srgbClr val="F4B183"/>
              </a:solidFill>
              <a:ln w="12700">
                <a:solidFill>
                  <a:srgbClr val="FFFFFF"/>
                </a:solidFill>
                <a:prstDash val="solid"/>
              </a:ln>
            </c:spPr>
            <c:extLst>
              <c:ext xmlns:c16="http://schemas.microsoft.com/office/drawing/2014/chart" uri="{C3380CC4-5D6E-409C-BE32-E72D297353CC}">
                <c16:uniqueId val="{00000003-5B71-4CFA-AD75-7E8D9A005C47}"/>
              </c:ext>
            </c:extLst>
          </c:dPt>
          <c:dPt>
            <c:idx val="2"/>
            <c:bubble3D val="0"/>
            <c:spPr>
              <a:solidFill>
                <a:srgbClr val="FFD966"/>
              </a:solidFill>
              <a:ln w="12700">
                <a:solidFill>
                  <a:srgbClr val="FFFFFF"/>
                </a:solidFill>
                <a:prstDash val="solid"/>
              </a:ln>
            </c:spPr>
            <c:extLst>
              <c:ext xmlns:c16="http://schemas.microsoft.com/office/drawing/2014/chart" uri="{C3380CC4-5D6E-409C-BE32-E72D297353CC}">
                <c16:uniqueId val="{00000005-5B71-4CFA-AD75-7E8D9A005C47}"/>
              </c:ext>
            </c:extLst>
          </c:dPt>
          <c:dPt>
            <c:idx val="3"/>
            <c:bubble3D val="0"/>
            <c:spPr>
              <a:solidFill>
                <a:srgbClr val="70AD47"/>
              </a:solidFill>
              <a:ln w="12700">
                <a:solidFill>
                  <a:srgbClr val="FFFFFF"/>
                </a:solidFill>
                <a:prstDash val="solid"/>
              </a:ln>
            </c:spPr>
            <c:extLst>
              <c:ext xmlns:c16="http://schemas.microsoft.com/office/drawing/2014/chart" uri="{C3380CC4-5D6E-409C-BE32-E72D297353CC}">
                <c16:uniqueId val="{00000007-5B71-4CFA-AD75-7E8D9A005C47}"/>
              </c:ext>
            </c:extLst>
          </c:dPt>
          <c:dPt>
            <c:idx val="4"/>
            <c:bubble3D val="0"/>
            <c:spPr>
              <a:solidFill>
                <a:srgbClr val="5B9BD5"/>
              </a:solidFill>
              <a:ln w="12700">
                <a:solidFill>
                  <a:srgbClr val="FFFFFF"/>
                </a:solidFill>
                <a:prstDash val="solid"/>
              </a:ln>
            </c:spPr>
            <c:extLst>
              <c:ext xmlns:c16="http://schemas.microsoft.com/office/drawing/2014/chart" uri="{C3380CC4-5D6E-409C-BE32-E72D297353CC}">
                <c16:uniqueId val="{00000009-5B71-4CFA-AD75-7E8D9A005C47}"/>
              </c:ext>
            </c:extLst>
          </c:dPt>
          <c:dLbls>
            <c:spPr>
              <a:noFill/>
              <a:ln>
                <a:noFill/>
                <a:prstDash val="solid"/>
              </a:ln>
            </c:spPr>
            <c:dLblPos val="bestFit"/>
            <c:showLegendKey val="0"/>
            <c:showVal val="0"/>
            <c:showCatName val="1"/>
            <c:showSerName val="1"/>
            <c:showPercent val="1"/>
            <c:showBubbleSize val="1"/>
            <c:showLeaderLines val="1"/>
            <c:extLst>
              <c:ext xmlns:c15="http://schemas.microsoft.com/office/drawing/2012/chart" uri="{CE6537A1-D6FC-4f65-9D91-7224C49458BB}"/>
            </c:extLst>
          </c:dLbls>
          <c:cat>
            <c:strRef>
              <c:f>'DETAIL PARC TERTIAIREprevious'!$M$69:$M$73</c:f>
              <c:strCache>
                <c:ptCount val="5"/>
                <c:pt idx="0">
                  <c:v>Entrée</c:v>
                </c:pt>
                <c:pt idx="1">
                  <c:v>Basique</c:v>
                </c:pt>
                <c:pt idx="2">
                  <c:v>Moyen</c:v>
                </c:pt>
                <c:pt idx="3">
                  <c:v>Premium</c:v>
                </c:pt>
                <c:pt idx="4">
                  <c:v>Luxe</c:v>
                </c:pt>
              </c:strCache>
            </c:strRef>
          </c:cat>
          <c:val>
            <c:numRef>
              <c:f>'DETAIL PARC TERTIAIREprevious'!$N$69:$N$73</c:f>
              <c:numCache>
                <c:formatCode>0.0%</c:formatCode>
                <c:ptCount val="5"/>
                <c:pt idx="0">
                  <c:v>3.3790101617821568E-2</c:v>
                </c:pt>
                <c:pt idx="1">
                  <c:v>0.39809399324580258</c:v>
                </c:pt>
                <c:pt idx="2">
                  <c:v>0.48806545824813102</c:v>
                </c:pt>
                <c:pt idx="3">
                  <c:v>7.8456450212754936E-2</c:v>
                </c:pt>
                <c:pt idx="4">
                  <c:v>1.5939966754898551E-3</c:v>
                </c:pt>
              </c:numCache>
            </c:numRef>
          </c:val>
          <c:extLst>
            <c:ext xmlns:c16="http://schemas.microsoft.com/office/drawing/2014/chart" uri="{C3380CC4-5D6E-409C-BE32-E72D297353CC}">
              <c16:uniqueId val="{0000000A-5B71-4CFA-AD75-7E8D9A005C47}"/>
            </c:ext>
          </c:extLst>
        </c:ser>
        <c:dLbls>
          <c:showLegendKey val="0"/>
          <c:showVal val="0"/>
          <c:showCatName val="0"/>
          <c:showSerName val="0"/>
          <c:showPercent val="0"/>
          <c:showBubbleSize val="0"/>
          <c:showLeaderLines val="1"/>
        </c:dLbls>
        <c:firstSliceAng val="27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a:defRPr/>
            </a:pPr>
            <a:r>
              <a:rPr lang="fr-FR"/>
              <a:t>Niveau de Gammes 2025 – AUTRES SEGMENTS</a:t>
            </a:r>
          </a:p>
        </c:rich>
      </c:tx>
      <c:overlay val="1"/>
    </c:title>
    <c:autoTitleDeleted val="0"/>
    <c:plotArea>
      <c:layout/>
      <c:pieChart>
        <c:varyColors val="1"/>
        <c:ser>
          <c:idx val="0"/>
          <c:order val="0"/>
          <c:spPr>
            <a:ln>
              <a:prstDash val="solid"/>
            </a:ln>
          </c:spPr>
          <c:dPt>
            <c:idx val="0"/>
            <c:bubble3D val="0"/>
            <c:spPr>
              <a:solidFill>
                <a:srgbClr val="9E480E"/>
              </a:solidFill>
              <a:ln w="12700">
                <a:solidFill>
                  <a:srgbClr val="FFFFFF"/>
                </a:solidFill>
                <a:prstDash val="solid"/>
              </a:ln>
            </c:spPr>
            <c:extLst>
              <c:ext xmlns:c16="http://schemas.microsoft.com/office/drawing/2014/chart" uri="{C3380CC4-5D6E-409C-BE32-E72D297353CC}">
                <c16:uniqueId val="{00000001-1B9A-4839-9B3A-7D8A458DC7F8}"/>
              </c:ext>
            </c:extLst>
          </c:dPt>
          <c:dPt>
            <c:idx val="1"/>
            <c:bubble3D val="0"/>
            <c:spPr>
              <a:solidFill>
                <a:srgbClr val="F4B183"/>
              </a:solidFill>
              <a:ln w="12700">
                <a:solidFill>
                  <a:srgbClr val="FFFFFF"/>
                </a:solidFill>
                <a:prstDash val="solid"/>
              </a:ln>
            </c:spPr>
            <c:extLst>
              <c:ext xmlns:c16="http://schemas.microsoft.com/office/drawing/2014/chart" uri="{C3380CC4-5D6E-409C-BE32-E72D297353CC}">
                <c16:uniqueId val="{00000003-1B9A-4839-9B3A-7D8A458DC7F8}"/>
              </c:ext>
            </c:extLst>
          </c:dPt>
          <c:dPt>
            <c:idx val="2"/>
            <c:bubble3D val="0"/>
            <c:spPr>
              <a:solidFill>
                <a:srgbClr val="FFD966"/>
              </a:solidFill>
              <a:ln w="12700">
                <a:solidFill>
                  <a:srgbClr val="FFFFFF"/>
                </a:solidFill>
                <a:prstDash val="solid"/>
              </a:ln>
            </c:spPr>
            <c:extLst>
              <c:ext xmlns:c16="http://schemas.microsoft.com/office/drawing/2014/chart" uri="{C3380CC4-5D6E-409C-BE32-E72D297353CC}">
                <c16:uniqueId val="{00000005-1B9A-4839-9B3A-7D8A458DC7F8}"/>
              </c:ext>
            </c:extLst>
          </c:dPt>
          <c:dPt>
            <c:idx val="3"/>
            <c:bubble3D val="0"/>
            <c:spPr>
              <a:solidFill>
                <a:srgbClr val="70AD47"/>
              </a:solidFill>
              <a:ln w="12700">
                <a:solidFill>
                  <a:srgbClr val="FFFFFF"/>
                </a:solidFill>
                <a:prstDash val="solid"/>
              </a:ln>
            </c:spPr>
            <c:extLst>
              <c:ext xmlns:c16="http://schemas.microsoft.com/office/drawing/2014/chart" uri="{C3380CC4-5D6E-409C-BE32-E72D297353CC}">
                <c16:uniqueId val="{00000007-1B9A-4839-9B3A-7D8A458DC7F8}"/>
              </c:ext>
            </c:extLst>
          </c:dPt>
          <c:dPt>
            <c:idx val="4"/>
            <c:bubble3D val="0"/>
            <c:spPr>
              <a:solidFill>
                <a:srgbClr val="5B9BD5"/>
              </a:solidFill>
              <a:ln w="12700">
                <a:solidFill>
                  <a:srgbClr val="FFFFFF"/>
                </a:solidFill>
                <a:prstDash val="solid"/>
              </a:ln>
            </c:spPr>
            <c:extLst>
              <c:ext xmlns:c16="http://schemas.microsoft.com/office/drawing/2014/chart" uri="{C3380CC4-5D6E-409C-BE32-E72D297353CC}">
                <c16:uniqueId val="{00000009-1B9A-4839-9B3A-7D8A458DC7F8}"/>
              </c:ext>
            </c:extLst>
          </c:dPt>
          <c:dLbls>
            <c:spPr>
              <a:noFill/>
              <a:ln>
                <a:noFill/>
                <a:prstDash val="solid"/>
              </a:ln>
            </c:spPr>
            <c:dLblPos val="bestFit"/>
            <c:showLegendKey val="0"/>
            <c:showVal val="0"/>
            <c:showCatName val="1"/>
            <c:showSerName val="1"/>
            <c:showPercent val="1"/>
            <c:showBubbleSize val="1"/>
            <c:showLeaderLines val="1"/>
            <c:extLst>
              <c:ext xmlns:c15="http://schemas.microsoft.com/office/drawing/2012/chart" uri="{CE6537A1-D6FC-4f65-9D91-7224C49458BB}"/>
            </c:extLst>
          </c:dLbls>
          <c:cat>
            <c:strRef>
              <c:f>'DETAIL PARC TERTIAIREprevious'!$A$83:$A$87</c:f>
              <c:strCache>
                <c:ptCount val="5"/>
                <c:pt idx="0">
                  <c:v>Entrée</c:v>
                </c:pt>
                <c:pt idx="1">
                  <c:v>Basique</c:v>
                </c:pt>
                <c:pt idx="2">
                  <c:v>Moyen</c:v>
                </c:pt>
                <c:pt idx="3">
                  <c:v>Premium</c:v>
                </c:pt>
                <c:pt idx="4">
                  <c:v>Luxe</c:v>
                </c:pt>
              </c:strCache>
            </c:strRef>
          </c:cat>
          <c:val>
            <c:numRef>
              <c:f>'DETAIL PARC TERTIAIREprevious'!$B$83:$B$87</c:f>
              <c:numCache>
                <c:formatCode>0.0%</c:formatCode>
                <c:ptCount val="5"/>
                <c:pt idx="0">
                  <c:v>5.5207901946165497E-2</c:v>
                </c:pt>
                <c:pt idx="1">
                  <c:v>0.33578568713540452</c:v>
                </c:pt>
                <c:pt idx="2">
                  <c:v>0.41692720874947042</c:v>
                </c:pt>
                <c:pt idx="3">
                  <c:v>0.16869236349498909</c:v>
                </c:pt>
                <c:pt idx="4">
                  <c:v>2.3386838673970629E-2</c:v>
                </c:pt>
              </c:numCache>
            </c:numRef>
          </c:val>
          <c:extLst>
            <c:ext xmlns:c16="http://schemas.microsoft.com/office/drawing/2014/chart" uri="{C3380CC4-5D6E-409C-BE32-E72D297353CC}">
              <c16:uniqueId val="{0000000A-1B9A-4839-9B3A-7D8A458DC7F8}"/>
            </c:ext>
          </c:extLst>
        </c:ser>
        <c:dLbls>
          <c:showLegendKey val="0"/>
          <c:showVal val="0"/>
          <c:showCatName val="0"/>
          <c:showSerName val="0"/>
          <c:showPercent val="0"/>
          <c:showBubbleSize val="0"/>
          <c:showLeaderLines val="1"/>
        </c:dLbls>
        <c:firstSliceAng val="27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a:defRPr/>
            </a:pPr>
            <a:r>
              <a:rPr lang="fr-FR"/>
              <a:t>Nombre d’Etablissements 2030 – sous-segments TERTIAIRE</a:t>
            </a:r>
          </a:p>
        </c:rich>
      </c:tx>
      <c:overlay val="1"/>
    </c:title>
    <c:autoTitleDeleted val="0"/>
    <c:plotArea>
      <c:layout/>
      <c:pieChart>
        <c:varyColors val="1"/>
        <c:ser>
          <c:idx val="0"/>
          <c:order val="0"/>
          <c:spPr>
            <a:ln>
              <a:prstDash val="solid"/>
            </a:ln>
          </c:spPr>
          <c:dPt>
            <c:idx val="0"/>
            <c:bubble3D val="0"/>
            <c:spPr>
              <a:solidFill>
                <a:srgbClr val="4472C4"/>
              </a:solidFill>
              <a:ln w="12700">
                <a:solidFill>
                  <a:srgbClr val="FFFFFF"/>
                </a:solidFill>
                <a:prstDash val="solid"/>
              </a:ln>
            </c:spPr>
            <c:extLst>
              <c:ext xmlns:c16="http://schemas.microsoft.com/office/drawing/2014/chart" uri="{C3380CC4-5D6E-409C-BE32-E72D297353CC}">
                <c16:uniqueId val="{00000001-D1F2-47B0-8A4B-03D3C8D144A0}"/>
              </c:ext>
            </c:extLst>
          </c:dPt>
          <c:dPt>
            <c:idx val="1"/>
            <c:bubble3D val="0"/>
            <c:spPr>
              <a:solidFill>
                <a:srgbClr val="ED7D31"/>
              </a:solidFill>
              <a:ln w="12700">
                <a:solidFill>
                  <a:srgbClr val="FFFFFF"/>
                </a:solidFill>
                <a:prstDash val="solid"/>
              </a:ln>
            </c:spPr>
            <c:extLst>
              <c:ext xmlns:c16="http://schemas.microsoft.com/office/drawing/2014/chart" uri="{C3380CC4-5D6E-409C-BE32-E72D297353CC}">
                <c16:uniqueId val="{00000003-D1F2-47B0-8A4B-03D3C8D144A0}"/>
              </c:ext>
            </c:extLst>
          </c:dPt>
          <c:dPt>
            <c:idx val="2"/>
            <c:bubble3D val="0"/>
            <c:spPr>
              <a:solidFill>
                <a:srgbClr val="A5A5A5"/>
              </a:solidFill>
              <a:ln w="12700">
                <a:solidFill>
                  <a:srgbClr val="FFFFFF"/>
                </a:solidFill>
                <a:prstDash val="solid"/>
              </a:ln>
            </c:spPr>
            <c:extLst>
              <c:ext xmlns:c16="http://schemas.microsoft.com/office/drawing/2014/chart" uri="{C3380CC4-5D6E-409C-BE32-E72D297353CC}">
                <c16:uniqueId val="{00000005-D1F2-47B0-8A4B-03D3C8D144A0}"/>
              </c:ext>
            </c:extLst>
          </c:dPt>
          <c:dPt>
            <c:idx val="3"/>
            <c:bubble3D val="0"/>
            <c:spPr>
              <a:solidFill>
                <a:srgbClr val="FFC000"/>
              </a:solidFill>
              <a:ln w="12700">
                <a:solidFill>
                  <a:srgbClr val="FFFFFF"/>
                </a:solidFill>
                <a:prstDash val="solid"/>
              </a:ln>
            </c:spPr>
            <c:extLst>
              <c:ext xmlns:c16="http://schemas.microsoft.com/office/drawing/2014/chart" uri="{C3380CC4-5D6E-409C-BE32-E72D297353CC}">
                <c16:uniqueId val="{00000007-D1F2-47B0-8A4B-03D3C8D144A0}"/>
              </c:ext>
            </c:extLst>
          </c:dPt>
          <c:dPt>
            <c:idx val="4"/>
            <c:bubble3D val="0"/>
            <c:spPr>
              <a:solidFill>
                <a:srgbClr val="5B9BD5"/>
              </a:solidFill>
              <a:ln w="12700">
                <a:solidFill>
                  <a:srgbClr val="FFFFFF"/>
                </a:solidFill>
                <a:prstDash val="solid"/>
              </a:ln>
            </c:spPr>
            <c:extLst>
              <c:ext xmlns:c16="http://schemas.microsoft.com/office/drawing/2014/chart" uri="{C3380CC4-5D6E-409C-BE32-E72D297353CC}">
                <c16:uniqueId val="{00000009-D1F2-47B0-8A4B-03D3C8D144A0}"/>
              </c:ext>
            </c:extLst>
          </c:dPt>
          <c:dPt>
            <c:idx val="5"/>
            <c:bubble3D val="0"/>
            <c:spPr>
              <a:solidFill>
                <a:srgbClr val="70AD47"/>
              </a:solidFill>
              <a:ln w="12700">
                <a:solidFill>
                  <a:srgbClr val="FFFFFF"/>
                </a:solidFill>
                <a:prstDash val="solid"/>
              </a:ln>
            </c:spPr>
            <c:extLst>
              <c:ext xmlns:c16="http://schemas.microsoft.com/office/drawing/2014/chart" uri="{C3380CC4-5D6E-409C-BE32-E72D297353CC}">
                <c16:uniqueId val="{0000000B-D1F2-47B0-8A4B-03D3C8D144A0}"/>
              </c:ext>
            </c:extLst>
          </c:dPt>
          <c:dPt>
            <c:idx val="6"/>
            <c:bubble3D val="0"/>
            <c:spPr>
              <a:solidFill>
                <a:srgbClr val="264478"/>
              </a:solidFill>
              <a:ln w="12700">
                <a:solidFill>
                  <a:srgbClr val="FFFFFF"/>
                </a:solidFill>
                <a:prstDash val="solid"/>
              </a:ln>
            </c:spPr>
            <c:extLst>
              <c:ext xmlns:c16="http://schemas.microsoft.com/office/drawing/2014/chart" uri="{C3380CC4-5D6E-409C-BE32-E72D297353CC}">
                <c16:uniqueId val="{0000000D-D1F2-47B0-8A4B-03D3C8D144A0}"/>
              </c:ext>
            </c:extLst>
          </c:dPt>
          <c:dPt>
            <c:idx val="7"/>
            <c:bubble3D val="0"/>
            <c:spPr>
              <a:solidFill>
                <a:srgbClr val="9E480E"/>
              </a:solidFill>
              <a:ln w="12700">
                <a:solidFill>
                  <a:srgbClr val="FFFFFF"/>
                </a:solidFill>
                <a:prstDash val="solid"/>
              </a:ln>
            </c:spPr>
            <c:extLst>
              <c:ext xmlns:c16="http://schemas.microsoft.com/office/drawing/2014/chart" uri="{C3380CC4-5D6E-409C-BE32-E72D297353CC}">
                <c16:uniqueId val="{0000000F-D1F2-47B0-8A4B-03D3C8D144A0}"/>
              </c:ext>
            </c:extLst>
          </c:dPt>
          <c:dPt>
            <c:idx val="8"/>
            <c:bubble3D val="0"/>
            <c:spPr>
              <a:solidFill>
                <a:srgbClr val="636363"/>
              </a:solidFill>
              <a:ln w="12700">
                <a:solidFill>
                  <a:srgbClr val="FFFFFF"/>
                </a:solidFill>
                <a:prstDash val="solid"/>
              </a:ln>
            </c:spPr>
            <c:extLst>
              <c:ext xmlns:c16="http://schemas.microsoft.com/office/drawing/2014/chart" uri="{C3380CC4-5D6E-409C-BE32-E72D297353CC}">
                <c16:uniqueId val="{00000011-D1F2-47B0-8A4B-03D3C8D144A0}"/>
              </c:ext>
            </c:extLst>
          </c:dPt>
          <c:dLbls>
            <c:spPr>
              <a:noFill/>
              <a:ln>
                <a:noFill/>
                <a:prstDash val="solid"/>
              </a:ln>
            </c:spPr>
            <c:dLblPos val="bestFit"/>
            <c:showLegendKey val="0"/>
            <c:showVal val="0"/>
            <c:showCatName val="1"/>
            <c:showSerName val="1"/>
            <c:showPercent val="1"/>
            <c:showBubbleSize val="1"/>
            <c:showLeaderLines val="1"/>
            <c:extLst>
              <c:ext xmlns:c15="http://schemas.microsoft.com/office/drawing/2012/chart" uri="{CE6537A1-D6FC-4f65-9D91-7224C49458BB}"/>
            </c:extLst>
          </c:dLbls>
          <c:cat>
            <c:strRef>
              <c:f>'DETAIL PARC TERTIAIREprevious'!$D$83:$D$91</c:f>
              <c:strCache>
                <c:ptCount val="9"/>
                <c:pt idx="0">
                  <c:v>1</c:v>
                </c:pt>
                <c:pt idx="1">
                  <c:v>2</c:v>
                </c:pt>
                <c:pt idx="2">
                  <c:v>3</c:v>
                </c:pt>
                <c:pt idx="3">
                  <c:v>4</c:v>
                </c:pt>
                <c:pt idx="4">
                  <c:v>5</c:v>
                </c:pt>
                <c:pt idx="5">
                  <c:v>6</c:v>
                </c:pt>
                <c:pt idx="6">
                  <c:v>7</c:v>
                </c:pt>
                <c:pt idx="7">
                  <c:v>8</c:v>
                </c:pt>
                <c:pt idx="8">
                  <c:v>9</c:v>
                </c:pt>
              </c:strCache>
            </c:strRef>
          </c:cat>
          <c:val>
            <c:numRef>
              <c:f>'DETAIL PARC TERTIAIREprevious'!$E$83:$E$91</c:f>
              <c:numCache>
                <c:formatCode>#,##0</c:formatCode>
                <c:ptCount val="9"/>
                <c:pt idx="0">
                  <c:v>27600</c:v>
                </c:pt>
                <c:pt idx="1">
                  <c:v>4100</c:v>
                </c:pt>
                <c:pt idx="2">
                  <c:v>9050</c:v>
                </c:pt>
                <c:pt idx="3">
                  <c:v>5230</c:v>
                </c:pt>
                <c:pt idx="4">
                  <c:v>37460</c:v>
                </c:pt>
                <c:pt idx="5">
                  <c:v>9650</c:v>
                </c:pt>
                <c:pt idx="6">
                  <c:v>119</c:v>
                </c:pt>
                <c:pt idx="7">
                  <c:v>845</c:v>
                </c:pt>
                <c:pt idx="8">
                  <c:v>560</c:v>
                </c:pt>
              </c:numCache>
            </c:numRef>
          </c:val>
          <c:extLst>
            <c:ext xmlns:c16="http://schemas.microsoft.com/office/drawing/2014/chart" uri="{C3380CC4-5D6E-409C-BE32-E72D297353CC}">
              <c16:uniqueId val="{00000012-D1F2-47B0-8A4B-03D3C8D144A0}"/>
            </c:ext>
          </c:extLst>
        </c:ser>
        <c:dLbls>
          <c:showLegendKey val="0"/>
          <c:showVal val="0"/>
          <c:showCatName val="0"/>
          <c:showSerName val="0"/>
          <c:showPercent val="0"/>
          <c:showBubbleSize val="0"/>
          <c:showLeaderLines val="1"/>
        </c:dLbls>
        <c:firstSliceAng val="27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a:defRPr/>
            </a:pPr>
            <a:r>
              <a:rPr lang="fr-FR"/>
              <a:t>Nombre Robinets Lavabo 2030 – sous-segments TERTIAIRE</a:t>
            </a:r>
          </a:p>
        </c:rich>
      </c:tx>
      <c:overlay val="1"/>
    </c:title>
    <c:autoTitleDeleted val="0"/>
    <c:plotArea>
      <c:layout/>
      <c:pieChart>
        <c:varyColors val="1"/>
        <c:ser>
          <c:idx val="0"/>
          <c:order val="0"/>
          <c:spPr>
            <a:ln>
              <a:prstDash val="solid"/>
            </a:ln>
          </c:spPr>
          <c:dPt>
            <c:idx val="0"/>
            <c:bubble3D val="0"/>
            <c:spPr>
              <a:solidFill>
                <a:srgbClr val="4472C4"/>
              </a:solidFill>
              <a:ln w="12700">
                <a:solidFill>
                  <a:srgbClr val="FFFFFF"/>
                </a:solidFill>
                <a:prstDash val="solid"/>
              </a:ln>
            </c:spPr>
            <c:extLst>
              <c:ext xmlns:c16="http://schemas.microsoft.com/office/drawing/2014/chart" uri="{C3380CC4-5D6E-409C-BE32-E72D297353CC}">
                <c16:uniqueId val="{00000001-52B0-410A-BC7E-332197F2A351}"/>
              </c:ext>
            </c:extLst>
          </c:dPt>
          <c:dPt>
            <c:idx val="1"/>
            <c:bubble3D val="0"/>
            <c:spPr>
              <a:solidFill>
                <a:srgbClr val="ED7D31"/>
              </a:solidFill>
              <a:ln w="12700">
                <a:solidFill>
                  <a:srgbClr val="FFFFFF"/>
                </a:solidFill>
                <a:prstDash val="solid"/>
              </a:ln>
            </c:spPr>
            <c:extLst>
              <c:ext xmlns:c16="http://schemas.microsoft.com/office/drawing/2014/chart" uri="{C3380CC4-5D6E-409C-BE32-E72D297353CC}">
                <c16:uniqueId val="{00000003-52B0-410A-BC7E-332197F2A351}"/>
              </c:ext>
            </c:extLst>
          </c:dPt>
          <c:dPt>
            <c:idx val="2"/>
            <c:bubble3D val="0"/>
            <c:spPr>
              <a:solidFill>
                <a:srgbClr val="A5A5A5"/>
              </a:solidFill>
              <a:ln w="12700">
                <a:solidFill>
                  <a:srgbClr val="FFFFFF"/>
                </a:solidFill>
                <a:prstDash val="solid"/>
              </a:ln>
            </c:spPr>
            <c:extLst>
              <c:ext xmlns:c16="http://schemas.microsoft.com/office/drawing/2014/chart" uri="{C3380CC4-5D6E-409C-BE32-E72D297353CC}">
                <c16:uniqueId val="{00000005-52B0-410A-BC7E-332197F2A351}"/>
              </c:ext>
            </c:extLst>
          </c:dPt>
          <c:dPt>
            <c:idx val="3"/>
            <c:bubble3D val="0"/>
            <c:spPr>
              <a:solidFill>
                <a:srgbClr val="FFC000"/>
              </a:solidFill>
              <a:ln w="12700">
                <a:solidFill>
                  <a:srgbClr val="FFFFFF"/>
                </a:solidFill>
                <a:prstDash val="solid"/>
              </a:ln>
            </c:spPr>
            <c:extLst>
              <c:ext xmlns:c16="http://schemas.microsoft.com/office/drawing/2014/chart" uri="{C3380CC4-5D6E-409C-BE32-E72D297353CC}">
                <c16:uniqueId val="{00000007-52B0-410A-BC7E-332197F2A351}"/>
              </c:ext>
            </c:extLst>
          </c:dPt>
          <c:dPt>
            <c:idx val="4"/>
            <c:bubble3D val="0"/>
            <c:spPr>
              <a:solidFill>
                <a:srgbClr val="5B9BD5"/>
              </a:solidFill>
              <a:ln w="12700">
                <a:solidFill>
                  <a:srgbClr val="FFFFFF"/>
                </a:solidFill>
                <a:prstDash val="solid"/>
              </a:ln>
            </c:spPr>
            <c:extLst>
              <c:ext xmlns:c16="http://schemas.microsoft.com/office/drawing/2014/chart" uri="{C3380CC4-5D6E-409C-BE32-E72D297353CC}">
                <c16:uniqueId val="{00000009-52B0-410A-BC7E-332197F2A351}"/>
              </c:ext>
            </c:extLst>
          </c:dPt>
          <c:dPt>
            <c:idx val="5"/>
            <c:bubble3D val="0"/>
            <c:spPr>
              <a:solidFill>
                <a:srgbClr val="70AD47"/>
              </a:solidFill>
              <a:ln w="12700">
                <a:solidFill>
                  <a:srgbClr val="FFFFFF"/>
                </a:solidFill>
                <a:prstDash val="solid"/>
              </a:ln>
            </c:spPr>
            <c:extLst>
              <c:ext xmlns:c16="http://schemas.microsoft.com/office/drawing/2014/chart" uri="{C3380CC4-5D6E-409C-BE32-E72D297353CC}">
                <c16:uniqueId val="{0000000B-52B0-410A-BC7E-332197F2A351}"/>
              </c:ext>
            </c:extLst>
          </c:dPt>
          <c:dPt>
            <c:idx val="6"/>
            <c:bubble3D val="0"/>
            <c:spPr>
              <a:solidFill>
                <a:srgbClr val="264478"/>
              </a:solidFill>
              <a:ln w="12700">
                <a:solidFill>
                  <a:srgbClr val="FFFFFF"/>
                </a:solidFill>
                <a:prstDash val="solid"/>
              </a:ln>
            </c:spPr>
            <c:extLst>
              <c:ext xmlns:c16="http://schemas.microsoft.com/office/drawing/2014/chart" uri="{C3380CC4-5D6E-409C-BE32-E72D297353CC}">
                <c16:uniqueId val="{0000000D-52B0-410A-BC7E-332197F2A351}"/>
              </c:ext>
            </c:extLst>
          </c:dPt>
          <c:dPt>
            <c:idx val="7"/>
            <c:bubble3D val="0"/>
            <c:spPr>
              <a:solidFill>
                <a:srgbClr val="9E480E"/>
              </a:solidFill>
              <a:ln w="12700">
                <a:solidFill>
                  <a:srgbClr val="FFFFFF"/>
                </a:solidFill>
                <a:prstDash val="solid"/>
              </a:ln>
            </c:spPr>
            <c:extLst>
              <c:ext xmlns:c16="http://schemas.microsoft.com/office/drawing/2014/chart" uri="{C3380CC4-5D6E-409C-BE32-E72D297353CC}">
                <c16:uniqueId val="{0000000F-52B0-410A-BC7E-332197F2A351}"/>
              </c:ext>
            </c:extLst>
          </c:dPt>
          <c:dPt>
            <c:idx val="8"/>
            <c:bubble3D val="0"/>
            <c:spPr>
              <a:solidFill>
                <a:srgbClr val="636363"/>
              </a:solidFill>
              <a:ln w="12700">
                <a:solidFill>
                  <a:srgbClr val="FFFFFF"/>
                </a:solidFill>
                <a:prstDash val="solid"/>
              </a:ln>
            </c:spPr>
            <c:extLst>
              <c:ext xmlns:c16="http://schemas.microsoft.com/office/drawing/2014/chart" uri="{C3380CC4-5D6E-409C-BE32-E72D297353CC}">
                <c16:uniqueId val="{00000011-52B0-410A-BC7E-332197F2A351}"/>
              </c:ext>
            </c:extLst>
          </c:dPt>
          <c:dLbls>
            <c:spPr>
              <a:noFill/>
              <a:ln>
                <a:noFill/>
                <a:prstDash val="solid"/>
              </a:ln>
            </c:spPr>
            <c:dLblPos val="bestFit"/>
            <c:showLegendKey val="0"/>
            <c:showVal val="0"/>
            <c:showCatName val="1"/>
            <c:showSerName val="1"/>
            <c:showPercent val="1"/>
            <c:showBubbleSize val="1"/>
            <c:showLeaderLines val="1"/>
            <c:extLst>
              <c:ext xmlns:c15="http://schemas.microsoft.com/office/drawing/2012/chart" uri="{CE6537A1-D6FC-4f65-9D91-7224C49458BB}"/>
            </c:extLst>
          </c:dLbls>
          <c:cat>
            <c:strRef>
              <c:f>'DETAIL PARC TERTIAIREprevious'!$G$83:$G$91</c:f>
              <c:strCache>
                <c:ptCount val="9"/>
                <c:pt idx="0">
                  <c:v>1</c:v>
                </c:pt>
                <c:pt idx="1">
                  <c:v>2</c:v>
                </c:pt>
                <c:pt idx="2">
                  <c:v>3</c:v>
                </c:pt>
                <c:pt idx="3">
                  <c:v>4</c:v>
                </c:pt>
                <c:pt idx="4">
                  <c:v>5</c:v>
                </c:pt>
                <c:pt idx="5">
                  <c:v>6</c:v>
                </c:pt>
                <c:pt idx="6">
                  <c:v>7</c:v>
                </c:pt>
                <c:pt idx="7">
                  <c:v>8</c:v>
                </c:pt>
                <c:pt idx="8">
                  <c:v>9</c:v>
                </c:pt>
              </c:strCache>
            </c:strRef>
          </c:cat>
          <c:val>
            <c:numRef>
              <c:f>'DETAIL PARC TERTIAIREprevious'!$H$83:$H$91</c:f>
              <c:numCache>
                <c:formatCode>#,##0</c:formatCode>
                <c:ptCount val="9"/>
                <c:pt idx="0">
                  <c:v>607200</c:v>
                </c:pt>
                <c:pt idx="1">
                  <c:v>65600</c:v>
                </c:pt>
                <c:pt idx="2">
                  <c:v>226250</c:v>
                </c:pt>
                <c:pt idx="3">
                  <c:v>73220</c:v>
                </c:pt>
                <c:pt idx="4">
                  <c:v>112380</c:v>
                </c:pt>
                <c:pt idx="5">
                  <c:v>154400</c:v>
                </c:pt>
                <c:pt idx="6">
                  <c:v>2975</c:v>
                </c:pt>
                <c:pt idx="7">
                  <c:v>67600</c:v>
                </c:pt>
                <c:pt idx="8">
                  <c:v>5600</c:v>
                </c:pt>
              </c:numCache>
            </c:numRef>
          </c:val>
          <c:extLst>
            <c:ext xmlns:c16="http://schemas.microsoft.com/office/drawing/2014/chart" uri="{C3380CC4-5D6E-409C-BE32-E72D297353CC}">
              <c16:uniqueId val="{00000012-52B0-410A-BC7E-332197F2A351}"/>
            </c:ext>
          </c:extLst>
        </c:ser>
        <c:dLbls>
          <c:showLegendKey val="0"/>
          <c:showVal val="0"/>
          <c:showCatName val="0"/>
          <c:showSerName val="0"/>
          <c:showPercent val="0"/>
          <c:showBubbleSize val="0"/>
          <c:showLeaderLines val="1"/>
        </c:dLbls>
        <c:firstSliceAng val="27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a:defRPr/>
            </a:pPr>
            <a:r>
              <a:rPr lang="fr-FR"/>
              <a:t>Mix Techno. Robinets Lavabo 2030 – TERTIAIRE</a:t>
            </a:r>
          </a:p>
        </c:rich>
      </c:tx>
      <c:overlay val="1"/>
    </c:title>
    <c:autoTitleDeleted val="0"/>
    <c:plotArea>
      <c:layout/>
      <c:pieChart>
        <c:varyColors val="1"/>
        <c:ser>
          <c:idx val="0"/>
          <c:order val="0"/>
          <c:spPr>
            <a:ln>
              <a:prstDash val="solid"/>
            </a:ln>
          </c:spPr>
          <c:dPt>
            <c:idx val="0"/>
            <c:bubble3D val="0"/>
            <c:spPr>
              <a:solidFill>
                <a:srgbClr val="5B9BD5"/>
              </a:solidFill>
              <a:ln w="12700">
                <a:solidFill>
                  <a:srgbClr val="FFFFFF"/>
                </a:solidFill>
                <a:prstDash val="solid"/>
              </a:ln>
            </c:spPr>
            <c:extLst>
              <c:ext xmlns:c16="http://schemas.microsoft.com/office/drawing/2014/chart" uri="{C3380CC4-5D6E-409C-BE32-E72D297353CC}">
                <c16:uniqueId val="{00000001-D31D-484B-B8A1-0DFEE621749B}"/>
              </c:ext>
            </c:extLst>
          </c:dPt>
          <c:dPt>
            <c:idx val="1"/>
            <c:bubble3D val="0"/>
            <c:spPr>
              <a:solidFill>
                <a:srgbClr val="70AD47"/>
              </a:solidFill>
              <a:ln w="12700">
                <a:solidFill>
                  <a:srgbClr val="FFFFFF"/>
                </a:solidFill>
                <a:prstDash val="solid"/>
              </a:ln>
            </c:spPr>
            <c:extLst>
              <c:ext xmlns:c16="http://schemas.microsoft.com/office/drawing/2014/chart" uri="{C3380CC4-5D6E-409C-BE32-E72D297353CC}">
                <c16:uniqueId val="{00000003-D31D-484B-B8A1-0DFEE621749B}"/>
              </c:ext>
            </c:extLst>
          </c:dPt>
          <c:dPt>
            <c:idx val="2"/>
            <c:bubble3D val="0"/>
            <c:spPr>
              <a:solidFill>
                <a:srgbClr val="FFC000"/>
              </a:solidFill>
              <a:ln w="12700">
                <a:solidFill>
                  <a:srgbClr val="FFFFFF"/>
                </a:solidFill>
                <a:prstDash val="solid"/>
              </a:ln>
            </c:spPr>
            <c:extLst>
              <c:ext xmlns:c16="http://schemas.microsoft.com/office/drawing/2014/chart" uri="{C3380CC4-5D6E-409C-BE32-E72D297353CC}">
                <c16:uniqueId val="{00000005-D31D-484B-B8A1-0DFEE621749B}"/>
              </c:ext>
            </c:extLst>
          </c:dPt>
          <c:dPt>
            <c:idx val="3"/>
            <c:bubble3D val="0"/>
            <c:spPr>
              <a:solidFill>
                <a:srgbClr val="ED7D31"/>
              </a:solidFill>
              <a:ln w="12700">
                <a:solidFill>
                  <a:srgbClr val="FFFFFF"/>
                </a:solidFill>
                <a:prstDash val="solid"/>
              </a:ln>
            </c:spPr>
            <c:extLst>
              <c:ext xmlns:c16="http://schemas.microsoft.com/office/drawing/2014/chart" uri="{C3380CC4-5D6E-409C-BE32-E72D297353CC}">
                <c16:uniqueId val="{00000007-D31D-484B-B8A1-0DFEE621749B}"/>
              </c:ext>
            </c:extLst>
          </c:dPt>
          <c:dLbls>
            <c:spPr>
              <a:noFill/>
              <a:ln>
                <a:noFill/>
                <a:prstDash val="solid"/>
              </a:ln>
            </c:spPr>
            <c:dLblPos val="bestFit"/>
            <c:showLegendKey val="0"/>
            <c:showVal val="0"/>
            <c:showCatName val="1"/>
            <c:showSerName val="1"/>
            <c:showPercent val="1"/>
            <c:showBubbleSize val="1"/>
            <c:showLeaderLines val="1"/>
            <c:extLst>
              <c:ext xmlns:c15="http://schemas.microsoft.com/office/drawing/2012/chart" uri="{CE6537A1-D6FC-4f65-9D91-7224C49458BB}"/>
            </c:extLst>
          </c:dLbls>
          <c:cat>
            <c:strRef>
              <c:f>'DETAIL PARC TERTIAIREprevious'!$J$83:$J$86</c:f>
              <c:strCache>
                <c:ptCount val="4"/>
                <c:pt idx="0">
                  <c:v>Mitigeurs</c:v>
                </c:pt>
                <c:pt idx="1">
                  <c:v>Tempo. Méca</c:v>
                </c:pt>
                <c:pt idx="2">
                  <c:v>Tempo. Electro</c:v>
                </c:pt>
                <c:pt idx="3">
                  <c:v>Autres</c:v>
                </c:pt>
              </c:strCache>
            </c:strRef>
          </c:cat>
          <c:val>
            <c:numRef>
              <c:f>'DETAIL PARC TERTIAIREprevious'!$K$83:$K$86</c:f>
              <c:numCache>
                <c:formatCode>0.0%</c:formatCode>
                <c:ptCount val="4"/>
                <c:pt idx="0">
                  <c:v>0.27338558041399758</c:v>
                </c:pt>
                <c:pt idx="1">
                  <c:v>0.49094455321332853</c:v>
                </c:pt>
                <c:pt idx="2">
                  <c:v>0.20291125092664761</c:v>
                </c:pt>
                <c:pt idx="3">
                  <c:v>3.2758615446026353E-2</c:v>
                </c:pt>
              </c:numCache>
            </c:numRef>
          </c:val>
          <c:extLst>
            <c:ext xmlns:c16="http://schemas.microsoft.com/office/drawing/2014/chart" uri="{C3380CC4-5D6E-409C-BE32-E72D297353CC}">
              <c16:uniqueId val="{00000008-D31D-484B-B8A1-0DFEE621749B}"/>
            </c:ext>
          </c:extLst>
        </c:ser>
        <c:dLbls>
          <c:showLegendKey val="0"/>
          <c:showVal val="0"/>
          <c:showCatName val="0"/>
          <c:showSerName val="0"/>
          <c:showPercent val="0"/>
          <c:showBubbleSize val="0"/>
          <c:showLeaderLines val="1"/>
        </c:dLbls>
        <c:firstSliceAng val="27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a:defRPr/>
            </a:pPr>
            <a:r>
              <a:rPr lang="fr-FR"/>
              <a:t>Mix Techno. Robinets Lavabo 2030 – AUTRES SEGMENTS</a:t>
            </a:r>
          </a:p>
        </c:rich>
      </c:tx>
      <c:overlay val="1"/>
    </c:title>
    <c:autoTitleDeleted val="0"/>
    <c:plotArea>
      <c:layout/>
      <c:pieChart>
        <c:varyColors val="1"/>
        <c:ser>
          <c:idx val="0"/>
          <c:order val="0"/>
          <c:spPr>
            <a:ln>
              <a:prstDash val="solid"/>
            </a:ln>
          </c:spPr>
          <c:dPt>
            <c:idx val="0"/>
            <c:bubble3D val="0"/>
            <c:spPr>
              <a:solidFill>
                <a:srgbClr val="5B9BD5"/>
              </a:solidFill>
              <a:ln w="12700">
                <a:solidFill>
                  <a:srgbClr val="FFFFFF"/>
                </a:solidFill>
                <a:prstDash val="solid"/>
              </a:ln>
            </c:spPr>
            <c:extLst>
              <c:ext xmlns:c16="http://schemas.microsoft.com/office/drawing/2014/chart" uri="{C3380CC4-5D6E-409C-BE32-E72D297353CC}">
                <c16:uniqueId val="{00000001-EB50-44A0-A8C8-A76AE40EBDC0}"/>
              </c:ext>
            </c:extLst>
          </c:dPt>
          <c:dPt>
            <c:idx val="1"/>
            <c:bubble3D val="0"/>
            <c:spPr>
              <a:solidFill>
                <a:srgbClr val="70AD47"/>
              </a:solidFill>
              <a:ln w="12700">
                <a:solidFill>
                  <a:srgbClr val="FFFFFF"/>
                </a:solidFill>
                <a:prstDash val="solid"/>
              </a:ln>
            </c:spPr>
            <c:extLst>
              <c:ext xmlns:c16="http://schemas.microsoft.com/office/drawing/2014/chart" uri="{C3380CC4-5D6E-409C-BE32-E72D297353CC}">
                <c16:uniqueId val="{00000003-EB50-44A0-A8C8-A76AE40EBDC0}"/>
              </c:ext>
            </c:extLst>
          </c:dPt>
          <c:dPt>
            <c:idx val="2"/>
            <c:bubble3D val="0"/>
            <c:spPr>
              <a:solidFill>
                <a:srgbClr val="FFC000"/>
              </a:solidFill>
              <a:ln w="12700">
                <a:solidFill>
                  <a:srgbClr val="FFFFFF"/>
                </a:solidFill>
                <a:prstDash val="solid"/>
              </a:ln>
            </c:spPr>
            <c:extLst>
              <c:ext xmlns:c16="http://schemas.microsoft.com/office/drawing/2014/chart" uri="{C3380CC4-5D6E-409C-BE32-E72D297353CC}">
                <c16:uniqueId val="{00000005-EB50-44A0-A8C8-A76AE40EBDC0}"/>
              </c:ext>
            </c:extLst>
          </c:dPt>
          <c:dPt>
            <c:idx val="3"/>
            <c:bubble3D val="0"/>
            <c:spPr>
              <a:solidFill>
                <a:srgbClr val="ED7D31"/>
              </a:solidFill>
              <a:ln w="12700">
                <a:solidFill>
                  <a:srgbClr val="FFFFFF"/>
                </a:solidFill>
                <a:prstDash val="solid"/>
              </a:ln>
            </c:spPr>
            <c:extLst>
              <c:ext xmlns:c16="http://schemas.microsoft.com/office/drawing/2014/chart" uri="{C3380CC4-5D6E-409C-BE32-E72D297353CC}">
                <c16:uniqueId val="{00000007-EB50-44A0-A8C8-A76AE40EBDC0}"/>
              </c:ext>
            </c:extLst>
          </c:dPt>
          <c:dLbls>
            <c:spPr>
              <a:noFill/>
              <a:ln>
                <a:noFill/>
                <a:prstDash val="solid"/>
              </a:ln>
            </c:spPr>
            <c:dLblPos val="bestFit"/>
            <c:showLegendKey val="0"/>
            <c:showVal val="0"/>
            <c:showCatName val="1"/>
            <c:showSerName val="1"/>
            <c:showPercent val="1"/>
            <c:showBubbleSize val="1"/>
            <c:showLeaderLines val="1"/>
            <c:extLst>
              <c:ext xmlns:c15="http://schemas.microsoft.com/office/drawing/2012/chart" uri="{CE6537A1-D6FC-4f65-9D91-7224C49458BB}"/>
            </c:extLst>
          </c:dLbls>
          <c:cat>
            <c:strRef>
              <c:f>'DETAIL PARC TERTIAIREprevious'!$M$83:$M$86</c:f>
              <c:strCache>
                <c:ptCount val="4"/>
                <c:pt idx="0">
                  <c:v>Mitigeurs</c:v>
                </c:pt>
                <c:pt idx="1">
                  <c:v>Tempo. Méca</c:v>
                </c:pt>
                <c:pt idx="2">
                  <c:v>Tempo. Electro</c:v>
                </c:pt>
                <c:pt idx="3">
                  <c:v>Autres</c:v>
                </c:pt>
              </c:strCache>
            </c:strRef>
          </c:cat>
          <c:val>
            <c:numRef>
              <c:f>'DETAIL PARC TERTIAIREprevious'!$N$83:$N$86</c:f>
              <c:numCache>
                <c:formatCode>0.0%</c:formatCode>
                <c:ptCount val="4"/>
                <c:pt idx="0">
                  <c:v>0.26104811880419282</c:v>
                </c:pt>
                <c:pt idx="1">
                  <c:v>0.57682625999310788</c:v>
                </c:pt>
                <c:pt idx="2">
                  <c:v>9.9172123366032927E-2</c:v>
                </c:pt>
                <c:pt idx="3">
                  <c:v>6.2953497836666539E-2</c:v>
                </c:pt>
              </c:numCache>
            </c:numRef>
          </c:val>
          <c:extLst>
            <c:ext xmlns:c16="http://schemas.microsoft.com/office/drawing/2014/chart" uri="{C3380CC4-5D6E-409C-BE32-E72D297353CC}">
              <c16:uniqueId val="{00000008-EB50-44A0-A8C8-A76AE40EBDC0}"/>
            </c:ext>
          </c:extLst>
        </c:ser>
        <c:dLbls>
          <c:showLegendKey val="0"/>
          <c:showVal val="0"/>
          <c:showCatName val="0"/>
          <c:showSerName val="0"/>
          <c:showPercent val="0"/>
          <c:showBubbleSize val="0"/>
          <c:showLeaderLines val="1"/>
        </c:dLbls>
        <c:firstSliceAng val="270"/>
      </c:pieChart>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image" Target="../media/image4.pn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2.xml"/><Relationship Id="rId3" Type="http://schemas.openxmlformats.org/officeDocument/2006/relationships/chart" Target="../charts/chart17.xml"/><Relationship Id="rId7" Type="http://schemas.openxmlformats.org/officeDocument/2006/relationships/chart" Target="../charts/chart21.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s>
</file>

<file path=xl/drawings/_rels/drawing6.xml.rels><?xml version="1.0" encoding="UTF-8" standalone="yes"?>
<Relationships xmlns="http://schemas.openxmlformats.org/package/2006/relationships"><Relationship Id="rId8" Type="http://schemas.openxmlformats.org/officeDocument/2006/relationships/chart" Target="../charts/chart32.xml"/><Relationship Id="rId3" Type="http://schemas.openxmlformats.org/officeDocument/2006/relationships/chart" Target="../charts/chart27.xml"/><Relationship Id="rId7" Type="http://schemas.openxmlformats.org/officeDocument/2006/relationships/chart" Target="../charts/chart31.xml"/><Relationship Id="rId2" Type="http://schemas.openxmlformats.org/officeDocument/2006/relationships/chart" Target="../charts/chart26.xml"/><Relationship Id="rId1" Type="http://schemas.openxmlformats.org/officeDocument/2006/relationships/chart" Target="../charts/chart25.xml"/><Relationship Id="rId6" Type="http://schemas.openxmlformats.org/officeDocument/2006/relationships/chart" Target="../charts/chart30.xml"/><Relationship Id="rId5" Type="http://schemas.openxmlformats.org/officeDocument/2006/relationships/chart" Target="../charts/chart29.xml"/><Relationship Id="rId10" Type="http://schemas.openxmlformats.org/officeDocument/2006/relationships/chart" Target="../charts/chart34.xml"/><Relationship Id="rId4" Type="http://schemas.openxmlformats.org/officeDocument/2006/relationships/chart" Target="../charts/chart28.xml"/><Relationship Id="rId9" Type="http://schemas.openxmlformats.org/officeDocument/2006/relationships/chart" Target="../charts/chart33.xml"/></Relationships>
</file>

<file path=xl/drawings/drawing1.xml><?xml version="1.0" encoding="utf-8"?>
<xdr:wsDr xmlns:xdr="http://schemas.openxmlformats.org/drawingml/2006/spreadsheetDrawing" xmlns:a="http://schemas.openxmlformats.org/drawingml/2006/main">
  <xdr:twoCellAnchor editAs="oneCell">
    <xdr:from>
      <xdr:col>5</xdr:col>
      <xdr:colOff>19051</xdr:colOff>
      <xdr:row>0</xdr:row>
      <xdr:rowOff>152400</xdr:rowOff>
    </xdr:from>
    <xdr:to>
      <xdr:col>13</xdr:col>
      <xdr:colOff>9525</xdr:colOff>
      <xdr:row>6</xdr:row>
      <xdr:rowOff>638175</xdr:rowOff>
    </xdr:to>
    <xdr:pic>
      <xdr:nvPicPr>
        <xdr:cNvPr id="2" name="/xl/media/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a:ln>
          <a:prstDash val="solid"/>
        </a:ln>
      </xdr:spPr>
    </xdr:pic>
    <xdr:clientData/>
  </xdr:twoCellAnchor>
  <xdr:twoCellAnchor editAs="oneCell">
    <xdr:from>
      <xdr:col>5</xdr:col>
      <xdr:colOff>47625</xdr:colOff>
      <xdr:row>6</xdr:row>
      <xdr:rowOff>428625</xdr:rowOff>
    </xdr:from>
    <xdr:to>
      <xdr:col>12</xdr:col>
      <xdr:colOff>57150</xdr:colOff>
      <xdr:row>14</xdr:row>
      <xdr:rowOff>104776</xdr:rowOff>
    </xdr:to>
    <xdr:pic>
      <xdr:nvPicPr>
        <xdr:cNvPr id="3" name="/xl/media/image2.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3</xdr:row>
      <xdr:rowOff>44824</xdr:rowOff>
    </xdr:from>
    <xdr:ext cx="3506641" cy="2232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1</xdr:colOff>
      <xdr:row>18</xdr:row>
      <xdr:rowOff>120122</xdr:rowOff>
    </xdr:from>
    <xdr:ext cx="3496234" cy="2232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19051</xdr:colOff>
      <xdr:row>42</xdr:row>
      <xdr:rowOff>19050</xdr:rowOff>
    </xdr:from>
    <xdr:ext cx="3528000" cy="3600000"/>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4</xdr:col>
      <xdr:colOff>163604</xdr:colOff>
      <xdr:row>65</xdr:row>
      <xdr:rowOff>68923</xdr:rowOff>
    </xdr:from>
    <xdr:ext cx="3528000" cy="3600000"/>
    <xdr:graphicFrame macro="">
      <xdr:nvGraphicFramePr>
        <xdr:cNvPr id="8" name="Chart 7">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19049</xdr:colOff>
      <xdr:row>65</xdr:row>
      <xdr:rowOff>69825</xdr:rowOff>
    </xdr:from>
    <xdr:ext cx="3528000" cy="3600000"/>
    <xdr:graphicFrame macro="">
      <xdr:nvGraphicFramePr>
        <xdr:cNvPr id="9" name="Chart 8">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4</xdr:col>
      <xdr:colOff>163605</xdr:colOff>
      <xdr:row>42</xdr:row>
      <xdr:rowOff>17369</xdr:rowOff>
    </xdr:from>
    <xdr:ext cx="3528000" cy="3600000"/>
    <xdr:graphicFrame macro="">
      <xdr:nvGraphicFramePr>
        <xdr:cNvPr id="10" name="Chart 9">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7</xdr:col>
      <xdr:colOff>958358</xdr:colOff>
      <xdr:row>4</xdr:row>
      <xdr:rowOff>33610</xdr:rowOff>
    </xdr:from>
    <xdr:ext cx="5220000" cy="3466274"/>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16</xdr:col>
      <xdr:colOff>295072</xdr:colOff>
      <xdr:row>4</xdr:row>
      <xdr:rowOff>22410</xdr:rowOff>
    </xdr:from>
    <xdr:ext cx="5220000" cy="3477473"/>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twoCellAnchor editAs="oneCell">
    <xdr:from>
      <xdr:col>0</xdr:col>
      <xdr:colOff>11204</xdr:colOff>
      <xdr:row>41</xdr:row>
      <xdr:rowOff>78443</xdr:rowOff>
    </xdr:from>
    <xdr:to>
      <xdr:col>2</xdr:col>
      <xdr:colOff>3523282</xdr:colOff>
      <xdr:row>82</xdr:row>
      <xdr:rowOff>-1</xdr:rowOff>
    </xdr:to>
    <xdr:pic>
      <xdr:nvPicPr>
        <xdr:cNvPr id="10" name="Image 9">
          <a:extLst>
            <a:ext uri="{FF2B5EF4-FFF2-40B4-BE49-F238E27FC236}">
              <a16:creationId xmlns:a16="http://schemas.microsoft.com/office/drawing/2014/main" id="{76710E6C-421E-3E2D-1A62-9B5C07C95329}"/>
            </a:ext>
          </a:extLst>
        </xdr:cNvPr>
        <xdr:cNvPicPr>
          <a:picLocks noChangeAspect="1"/>
        </xdr:cNvPicPr>
      </xdr:nvPicPr>
      <xdr:blipFill>
        <a:blip xmlns:r="http://schemas.openxmlformats.org/officeDocument/2006/relationships" r:embed="rId3"/>
        <a:stretch>
          <a:fillRect/>
        </a:stretch>
      </xdr:blipFill>
      <xdr:spPr>
        <a:xfrm>
          <a:off x="11204" y="7255420"/>
          <a:ext cx="5849026" cy="766338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21166</xdr:colOff>
      <xdr:row>2</xdr:row>
      <xdr:rowOff>18804</xdr:rowOff>
    </xdr:from>
    <xdr:ext cx="3492000" cy="1800000"/>
    <xdr:graphicFrame macro="">
      <xdr:nvGraphicFramePr>
        <xdr:cNvPr id="2" name="Chart 1">
          <a:extLst>
            <a:ext uri="{FF2B5EF4-FFF2-40B4-BE49-F238E27FC236}">
              <a16:creationId xmlns:a16="http://schemas.microsoft.com/office/drawing/2014/main" id="{0DA84436-D9CC-450C-A21F-4BD85314E4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5</xdr:col>
      <xdr:colOff>22653</xdr:colOff>
      <xdr:row>14</xdr:row>
      <xdr:rowOff>111488</xdr:rowOff>
    </xdr:from>
    <xdr:ext cx="3312000" cy="1800000"/>
    <xdr:graphicFrame macro="">
      <xdr:nvGraphicFramePr>
        <xdr:cNvPr id="4" name="Chart 2">
          <a:extLst>
            <a:ext uri="{FF2B5EF4-FFF2-40B4-BE49-F238E27FC236}">
              <a16:creationId xmlns:a16="http://schemas.microsoft.com/office/drawing/2014/main" id="{81A17A3D-92A3-4735-8F5B-02CDB62EAF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5</xdr:col>
      <xdr:colOff>36239</xdr:colOff>
      <xdr:row>2</xdr:row>
      <xdr:rowOff>10583</xdr:rowOff>
    </xdr:from>
    <xdr:ext cx="3312000" cy="1800000"/>
    <xdr:graphicFrame macro="">
      <xdr:nvGraphicFramePr>
        <xdr:cNvPr id="5" name="Chart 3">
          <a:extLst>
            <a:ext uri="{FF2B5EF4-FFF2-40B4-BE49-F238E27FC236}">
              <a16:creationId xmlns:a16="http://schemas.microsoft.com/office/drawing/2014/main" id="{E4C18D10-1499-4A42-8A6F-FCDFB7893E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0</xdr:col>
      <xdr:colOff>21166</xdr:colOff>
      <xdr:row>25</xdr:row>
      <xdr:rowOff>167024</xdr:rowOff>
    </xdr:from>
    <xdr:ext cx="3492000" cy="2160000"/>
    <xdr:graphicFrame macro="">
      <xdr:nvGraphicFramePr>
        <xdr:cNvPr id="6" name="Chart 1">
          <a:extLst>
            <a:ext uri="{FF2B5EF4-FFF2-40B4-BE49-F238E27FC236}">
              <a16:creationId xmlns:a16="http://schemas.microsoft.com/office/drawing/2014/main" id="{C6F4DB77-5884-4F39-95AF-6731E9E06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5</xdr:col>
      <xdr:colOff>18143</xdr:colOff>
      <xdr:row>26</xdr:row>
      <xdr:rowOff>4771</xdr:rowOff>
    </xdr:from>
    <xdr:ext cx="3312000" cy="2160000"/>
    <xdr:graphicFrame macro="">
      <xdr:nvGraphicFramePr>
        <xdr:cNvPr id="7" name="Chart 2">
          <a:extLst>
            <a:ext uri="{FF2B5EF4-FFF2-40B4-BE49-F238E27FC236}">
              <a16:creationId xmlns:a16="http://schemas.microsoft.com/office/drawing/2014/main" id="{FB60307E-3C6D-4560-9123-155F594B0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5</xdr:col>
      <xdr:colOff>27403</xdr:colOff>
      <xdr:row>40</xdr:row>
      <xdr:rowOff>42552</xdr:rowOff>
    </xdr:from>
    <xdr:ext cx="3312000" cy="2160000"/>
    <xdr:graphicFrame macro="">
      <xdr:nvGraphicFramePr>
        <xdr:cNvPr id="8" name="Chart 3">
          <a:extLst>
            <a:ext uri="{FF2B5EF4-FFF2-40B4-BE49-F238E27FC236}">
              <a16:creationId xmlns:a16="http://schemas.microsoft.com/office/drawing/2014/main" id="{F3DF63EA-95CB-4A7F-9D2A-BBF605E3C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twoCellAnchor editAs="oneCell">
    <xdr:from>
      <xdr:col>0</xdr:col>
      <xdr:colOff>42332</xdr:colOff>
      <xdr:row>54</xdr:row>
      <xdr:rowOff>68931</xdr:rowOff>
    </xdr:from>
    <xdr:to>
      <xdr:col>9</xdr:col>
      <xdr:colOff>385675</xdr:colOff>
      <xdr:row>88</xdr:row>
      <xdr:rowOff>10352</xdr:rowOff>
    </xdr:to>
    <xdr:pic>
      <xdr:nvPicPr>
        <xdr:cNvPr id="9" name="Image 8">
          <a:extLst>
            <a:ext uri="{FF2B5EF4-FFF2-40B4-BE49-F238E27FC236}">
              <a16:creationId xmlns:a16="http://schemas.microsoft.com/office/drawing/2014/main" id="{F92E18C4-A657-4C72-E65F-9E1247916CAD}"/>
            </a:ext>
          </a:extLst>
        </xdr:cNvPr>
        <xdr:cNvPicPr>
          <a:picLocks noChangeAspect="1"/>
        </xdr:cNvPicPr>
      </xdr:nvPicPr>
      <xdr:blipFill>
        <a:blip xmlns:r="http://schemas.openxmlformats.org/officeDocument/2006/relationships" r:embed="rId7"/>
        <a:stretch>
          <a:fillRect/>
        </a:stretch>
      </xdr:blipFill>
      <xdr:spPr>
        <a:xfrm>
          <a:off x="42332" y="8558605"/>
          <a:ext cx="6814131" cy="570818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0</xdr:colOff>
      <xdr:row>9</xdr:row>
      <xdr:rowOff>0</xdr:rowOff>
    </xdr:from>
    <xdr:ext cx="4500000" cy="2808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5</xdr:col>
      <xdr:colOff>161925</xdr:colOff>
      <xdr:row>9</xdr:row>
      <xdr:rowOff>9525</xdr:rowOff>
    </xdr:from>
    <xdr:ext cx="4500000" cy="2808000"/>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14</xdr:col>
      <xdr:colOff>0</xdr:colOff>
      <xdr:row>9</xdr:row>
      <xdr:rowOff>0</xdr:rowOff>
    </xdr:from>
    <xdr:ext cx="4500000" cy="2808000"/>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21</xdr:col>
      <xdr:colOff>0</xdr:colOff>
      <xdr:row>9</xdr:row>
      <xdr:rowOff>0</xdr:rowOff>
    </xdr:from>
    <xdr:ext cx="4500000" cy="2808000"/>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28</xdr:col>
      <xdr:colOff>0</xdr:colOff>
      <xdr:row>9</xdr:row>
      <xdr:rowOff>0</xdr:rowOff>
    </xdr:from>
    <xdr:ext cx="4500000" cy="2808000"/>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35</xdr:col>
      <xdr:colOff>0</xdr:colOff>
      <xdr:row>9</xdr:row>
      <xdr:rowOff>0</xdr:rowOff>
    </xdr:from>
    <xdr:ext cx="4500000" cy="2808000"/>
    <xdr:graphicFrame macro="">
      <xdr:nvGraphicFramePr>
        <xdr:cNvPr id="7" name="Chart 6">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0</xdr:col>
      <xdr:colOff>0</xdr:colOff>
      <xdr:row>28</xdr:row>
      <xdr:rowOff>0</xdr:rowOff>
    </xdr:from>
    <xdr:ext cx="4500000" cy="2808000"/>
    <xdr:graphicFrame macro="">
      <xdr:nvGraphicFramePr>
        <xdr:cNvPr id="8" name="Chart 7">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7</xdr:col>
      <xdr:colOff>0</xdr:colOff>
      <xdr:row>28</xdr:row>
      <xdr:rowOff>0</xdr:rowOff>
    </xdr:from>
    <xdr:ext cx="4500000" cy="2808000"/>
    <xdr:graphicFrame macro="">
      <xdr:nvGraphicFramePr>
        <xdr:cNvPr id="9" name="Chart 8">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oneCellAnchor>
    <xdr:from>
      <xdr:col>14</xdr:col>
      <xdr:colOff>0</xdr:colOff>
      <xdr:row>28</xdr:row>
      <xdr:rowOff>0</xdr:rowOff>
    </xdr:from>
    <xdr:ext cx="4500000" cy="2808000"/>
    <xdr:graphicFrame macro="">
      <xdr:nvGraphicFramePr>
        <xdr:cNvPr id="10" name="Chart 9">
          <a:extLst>
            <a:ext uri="{FF2B5EF4-FFF2-40B4-BE49-F238E27FC236}">
              <a16:creationId xmlns:a16="http://schemas.microsoft.com/office/drawing/2014/main" id="{00000000-0008-0000-0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oneCellAnchor>
  <xdr:oneCellAnchor>
    <xdr:from>
      <xdr:col>21</xdr:col>
      <xdr:colOff>0</xdr:colOff>
      <xdr:row>28</xdr:row>
      <xdr:rowOff>0</xdr:rowOff>
    </xdr:from>
    <xdr:ext cx="4500000" cy="2808000"/>
    <xdr:graphicFrame macro="">
      <xdr:nvGraphicFramePr>
        <xdr:cNvPr id="11" name="Chart 10">
          <a:extLst>
            <a:ext uri="{FF2B5EF4-FFF2-40B4-BE49-F238E27FC236}">
              <a16:creationId xmlns:a16="http://schemas.microsoft.com/office/drawing/2014/main" id="{00000000-0008-0000-04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14</xdr:row>
      <xdr:rowOff>0</xdr:rowOff>
    </xdr:from>
    <xdr:ext cx="4500000" cy="2808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28</xdr:row>
      <xdr:rowOff>171450</xdr:rowOff>
    </xdr:from>
    <xdr:ext cx="4500000" cy="2808000"/>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14</xdr:col>
      <xdr:colOff>0</xdr:colOff>
      <xdr:row>14</xdr:row>
      <xdr:rowOff>0</xdr:rowOff>
    </xdr:from>
    <xdr:ext cx="4500000" cy="2808000"/>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21</xdr:col>
      <xdr:colOff>0</xdr:colOff>
      <xdr:row>14</xdr:row>
      <xdr:rowOff>0</xdr:rowOff>
    </xdr:from>
    <xdr:ext cx="4500000" cy="2808000"/>
    <xdr:graphicFrame macro="">
      <xdr:nvGraphicFramePr>
        <xdr:cNvPr id="5" name="Chart 4">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28</xdr:col>
      <xdr:colOff>0</xdr:colOff>
      <xdr:row>14</xdr:row>
      <xdr:rowOff>0</xdr:rowOff>
    </xdr:from>
    <xdr:ext cx="4500000" cy="2808000"/>
    <xdr:graphicFrame macro="">
      <xdr:nvGraphicFramePr>
        <xdr:cNvPr id="6" name="Chart 5">
          <a:extLst>
            <a:ext uri="{FF2B5EF4-FFF2-40B4-BE49-F238E27FC236}">
              <a16:creationId xmlns:a16="http://schemas.microsoft.com/office/drawing/2014/main" id="{00000000-0008-0000-05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35</xdr:col>
      <xdr:colOff>0</xdr:colOff>
      <xdr:row>14</xdr:row>
      <xdr:rowOff>0</xdr:rowOff>
    </xdr:from>
    <xdr:ext cx="4500000" cy="2808000"/>
    <xdr:graphicFrame macro="">
      <xdr:nvGraphicFramePr>
        <xdr:cNvPr id="7" name="Chart 6">
          <a:extLst>
            <a:ext uri="{FF2B5EF4-FFF2-40B4-BE49-F238E27FC236}">
              <a16:creationId xmlns:a16="http://schemas.microsoft.com/office/drawing/2014/main" id="{00000000-0008-0000-05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0</xdr:col>
      <xdr:colOff>0</xdr:colOff>
      <xdr:row>46</xdr:row>
      <xdr:rowOff>0</xdr:rowOff>
    </xdr:from>
    <xdr:ext cx="4500000" cy="2808000"/>
    <xdr:graphicFrame macro="">
      <xdr:nvGraphicFramePr>
        <xdr:cNvPr id="8" name="Chart 7">
          <a:extLst>
            <a:ext uri="{FF2B5EF4-FFF2-40B4-BE49-F238E27FC236}">
              <a16:creationId xmlns:a16="http://schemas.microsoft.com/office/drawing/2014/main" id="{00000000-0008-0000-0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7</xdr:col>
      <xdr:colOff>0</xdr:colOff>
      <xdr:row>46</xdr:row>
      <xdr:rowOff>0</xdr:rowOff>
    </xdr:from>
    <xdr:ext cx="4500000" cy="2808000"/>
    <xdr:graphicFrame macro="">
      <xdr:nvGraphicFramePr>
        <xdr:cNvPr id="9" name="Chart 8">
          <a:extLst>
            <a:ext uri="{FF2B5EF4-FFF2-40B4-BE49-F238E27FC236}">
              <a16:creationId xmlns:a16="http://schemas.microsoft.com/office/drawing/2014/main" id="{00000000-0008-0000-05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oneCellAnchor>
    <xdr:from>
      <xdr:col>14</xdr:col>
      <xdr:colOff>0</xdr:colOff>
      <xdr:row>46</xdr:row>
      <xdr:rowOff>0</xdr:rowOff>
    </xdr:from>
    <xdr:ext cx="4500000" cy="2808000"/>
    <xdr:graphicFrame macro="">
      <xdr:nvGraphicFramePr>
        <xdr:cNvPr id="10" name="Chart 9">
          <a:extLst>
            <a:ext uri="{FF2B5EF4-FFF2-40B4-BE49-F238E27FC236}">
              <a16:creationId xmlns:a16="http://schemas.microsoft.com/office/drawing/2014/main" id="{00000000-0008-0000-05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oneCellAnchor>
  <xdr:oneCellAnchor>
    <xdr:from>
      <xdr:col>21</xdr:col>
      <xdr:colOff>0</xdr:colOff>
      <xdr:row>46</xdr:row>
      <xdr:rowOff>0</xdr:rowOff>
    </xdr:from>
    <xdr:ext cx="4500000" cy="2808000"/>
    <xdr:graphicFrame macro="">
      <xdr:nvGraphicFramePr>
        <xdr:cNvPr id="11" name="Chart 10">
          <a:extLst>
            <a:ext uri="{FF2B5EF4-FFF2-40B4-BE49-F238E27FC236}">
              <a16:creationId xmlns:a16="http://schemas.microsoft.com/office/drawing/2014/main" id="{00000000-0008-0000-05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prestnov-my.sharepoint.com/personal/a_bedos_presto_fr/Documents/Poids%20&amp;%20Potentiel%20par%20pays/Objectif%20-%20March&#233;%20FRANCE/FOCUS%20TERTAIRE%20-%20Sophie/FOCUS_TERTIAIRE_V2_V32_VENTES.xlsx" TargetMode="External"/><Relationship Id="rId1" Type="http://schemas.openxmlformats.org/officeDocument/2006/relationships/externalLinkPath" Target="FOCUS_TERTIAIRE_V2_V32_VEN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érimètre TERTIAIRE"/>
      <sheetName val="DATA - ANALYSE - TERTIAIRE"/>
      <sheetName val="PARC TERTIAIRE vs. TOTAL"/>
      <sheetName val="DETAIL PARC TERTIAIRE"/>
      <sheetName val="PARC TERTIAIRE vs. TOTAL - OLD"/>
      <sheetName val="DETAIL PARC TERTIAIREprevious"/>
      <sheetName val="VENTES - TOTAL vs TERT."/>
      <sheetName val="VENTES - SS-SEG TERT."/>
      <sheetName val="VENTES - TECHNO"/>
      <sheetName val="POTENTIEL VENTES"/>
    </sheetNames>
    <sheetDataSet>
      <sheetData sheetId="0"/>
      <sheetData sheetId="1"/>
      <sheetData sheetId="2"/>
      <sheetData sheetId="3"/>
      <sheetData sheetId="4"/>
      <sheetData sheetId="5"/>
      <sheetData sheetId="6">
        <row r="6">
          <cell r="AA6">
            <v>1</v>
          </cell>
          <cell r="AB6">
            <v>476551.75102705747</v>
          </cell>
        </row>
        <row r="7">
          <cell r="AA7">
            <v>2</v>
          </cell>
          <cell r="AB7">
            <v>2024720.0497541884</v>
          </cell>
        </row>
        <row r="11">
          <cell r="AA11">
            <v>1</v>
          </cell>
          <cell r="AB11">
            <v>390194.47162705747</v>
          </cell>
        </row>
        <row r="12">
          <cell r="AA12">
            <v>2</v>
          </cell>
          <cell r="AB12">
            <v>1597458.4164991854</v>
          </cell>
        </row>
        <row r="16">
          <cell r="AA16">
            <v>1</v>
          </cell>
          <cell r="AB16">
            <v>86357.279399999985</v>
          </cell>
        </row>
        <row r="17">
          <cell r="AA17">
            <v>2</v>
          </cell>
          <cell r="AB17">
            <v>427261.63325499982</v>
          </cell>
        </row>
      </sheetData>
      <sheetData sheetId="7">
        <row r="6">
          <cell r="AA6">
            <v>1</v>
          </cell>
          <cell r="AB6">
            <v>203059.86842589744</v>
          </cell>
        </row>
        <row r="7">
          <cell r="AA7">
            <v>2</v>
          </cell>
          <cell r="AB7">
            <v>24951.837842707693</v>
          </cell>
        </row>
        <row r="8">
          <cell r="AA8">
            <v>3</v>
          </cell>
          <cell r="AB8">
            <v>87461.963544184982</v>
          </cell>
        </row>
        <row r="9">
          <cell r="AA9">
            <v>4</v>
          </cell>
          <cell r="AB9">
            <v>35390.163128066437</v>
          </cell>
        </row>
        <row r="10">
          <cell r="AA10">
            <v>5</v>
          </cell>
          <cell r="AB10">
            <v>38986.352534185717</v>
          </cell>
        </row>
        <row r="11">
          <cell r="AA11">
            <v>6</v>
          </cell>
          <cell r="AB11">
            <v>53104.421000000002</v>
          </cell>
        </row>
        <row r="12">
          <cell r="AA12">
            <v>7</v>
          </cell>
          <cell r="AB12">
            <v>1138.41374</v>
          </cell>
        </row>
        <row r="13">
          <cell r="AA13">
            <v>8</v>
          </cell>
          <cell r="AB13">
            <v>29560.093572727274</v>
          </cell>
        </row>
        <row r="14">
          <cell r="AA14">
            <v>9</v>
          </cell>
          <cell r="AB14">
            <v>2898.6372392878784</v>
          </cell>
        </row>
        <row r="18">
          <cell r="AA18">
            <v>1</v>
          </cell>
          <cell r="AB18">
            <v>174313.56842589745</v>
          </cell>
        </row>
        <row r="19">
          <cell r="AA19">
            <v>2</v>
          </cell>
          <cell r="AB19">
            <v>12654.685842707693</v>
          </cell>
        </row>
        <row r="20">
          <cell r="AA20">
            <v>3</v>
          </cell>
          <cell r="AB20">
            <v>68598.213544184982</v>
          </cell>
        </row>
        <row r="21">
          <cell r="AA21">
            <v>4</v>
          </cell>
          <cell r="AB21">
            <v>26049.734128066437</v>
          </cell>
        </row>
        <row r="22">
          <cell r="AA22">
            <v>5</v>
          </cell>
          <cell r="AB22">
            <v>34171.866134185715</v>
          </cell>
        </row>
        <row r="23">
          <cell r="AA23">
            <v>6</v>
          </cell>
          <cell r="AB23">
            <v>46256.421000000002</v>
          </cell>
        </row>
        <row r="24">
          <cell r="AA24">
            <v>7</v>
          </cell>
          <cell r="AB24">
            <v>1008.94374</v>
          </cell>
        </row>
        <row r="25">
          <cell r="AA25">
            <v>8</v>
          </cell>
          <cell r="AB25">
            <v>25025.693572727272</v>
          </cell>
        </row>
        <row r="26">
          <cell r="AA26">
            <v>9</v>
          </cell>
          <cell r="AB26">
            <v>2115.3452392878785</v>
          </cell>
        </row>
        <row r="30">
          <cell r="AA30">
            <v>1</v>
          </cell>
          <cell r="AB30">
            <v>28746.3</v>
          </cell>
        </row>
        <row r="31">
          <cell r="AA31">
            <v>2</v>
          </cell>
          <cell r="AB31">
            <v>12297.152</v>
          </cell>
        </row>
        <row r="32">
          <cell r="AA32">
            <v>3</v>
          </cell>
          <cell r="AB32">
            <v>18863.75</v>
          </cell>
        </row>
        <row r="33">
          <cell r="AA33">
            <v>4</v>
          </cell>
          <cell r="AB33">
            <v>9340.4290000000001</v>
          </cell>
        </row>
        <row r="34">
          <cell r="AA34">
            <v>5</v>
          </cell>
          <cell r="AB34">
            <v>4814.4863999999998</v>
          </cell>
        </row>
        <row r="35">
          <cell r="AA35">
            <v>6</v>
          </cell>
          <cell r="AB35">
            <v>6848</v>
          </cell>
        </row>
        <row r="36">
          <cell r="AA36">
            <v>7</v>
          </cell>
          <cell r="AB36">
            <v>129.47</v>
          </cell>
        </row>
        <row r="37">
          <cell r="AA37">
            <v>8</v>
          </cell>
          <cell r="AB37">
            <v>4534.3999999999996</v>
          </cell>
        </row>
        <row r="38">
          <cell r="AA38">
            <v>9</v>
          </cell>
          <cell r="AB38">
            <v>783.29199999999992</v>
          </cell>
        </row>
      </sheetData>
      <sheetData sheetId="8"/>
      <sheetData sheetId="9"/>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Q149"/>
  <sheetViews>
    <sheetView topLeftCell="B1" zoomScale="115" zoomScaleNormal="115" workbookViewId="0">
      <selection activeCell="D7" sqref="D7"/>
    </sheetView>
  </sheetViews>
  <sheetFormatPr baseColWidth="10" defaultRowHeight="15" x14ac:dyDescent="0.25"/>
  <cols>
    <col min="3" max="3" width="14.7109375" style="439" customWidth="1"/>
    <col min="4" max="4" width="23.42578125" style="439" customWidth="1"/>
    <col min="5" max="5" width="42.140625" style="439" customWidth="1"/>
    <col min="12" max="12" width="6" style="439" customWidth="1"/>
    <col min="13" max="13" width="1.140625" style="439" customWidth="1"/>
    <col min="17" max="17" width="48.7109375" style="439" customWidth="1"/>
  </cols>
  <sheetData>
    <row r="2" spans="2:17" ht="25.5" customHeight="1" x14ac:dyDescent="0.25">
      <c r="C2" s="129" t="s">
        <v>0</v>
      </c>
      <c r="D2" s="129" t="s">
        <v>1</v>
      </c>
      <c r="E2" s="129" t="s">
        <v>2</v>
      </c>
      <c r="Q2" s="438" t="s">
        <v>3</v>
      </c>
    </row>
    <row r="3" spans="2:17" ht="38.25" customHeight="1" x14ac:dyDescent="0.25">
      <c r="B3" s="279">
        <v>75</v>
      </c>
      <c r="C3" s="280" t="s">
        <v>4</v>
      </c>
      <c r="D3" s="280" t="s">
        <v>5</v>
      </c>
      <c r="E3" s="282" t="s">
        <v>6</v>
      </c>
      <c r="Q3" s="433" t="s">
        <v>7</v>
      </c>
    </row>
    <row r="4" spans="2:17" ht="51" customHeight="1" x14ac:dyDescent="0.25">
      <c r="B4" s="323">
        <v>76</v>
      </c>
      <c r="C4" s="324" t="s">
        <v>8</v>
      </c>
      <c r="D4" s="325" t="s">
        <v>9</v>
      </c>
      <c r="E4" s="327" t="s">
        <v>10</v>
      </c>
      <c r="Q4" s="434" t="s">
        <v>11</v>
      </c>
    </row>
    <row r="5" spans="2:17" ht="38.25" customHeight="1" x14ac:dyDescent="0.25">
      <c r="B5" s="279">
        <v>77</v>
      </c>
      <c r="C5" s="280" t="s">
        <v>12</v>
      </c>
      <c r="D5" s="280" t="s">
        <v>13</v>
      </c>
      <c r="E5" s="282" t="s">
        <v>14</v>
      </c>
      <c r="Q5" s="433" t="s">
        <v>15</v>
      </c>
    </row>
    <row r="6" spans="2:17" ht="38.25" customHeight="1" x14ac:dyDescent="0.25">
      <c r="B6" s="323">
        <v>78</v>
      </c>
      <c r="C6" s="324" t="s">
        <v>12</v>
      </c>
      <c r="D6" s="325" t="s">
        <v>16</v>
      </c>
      <c r="E6" s="327" t="s">
        <v>17</v>
      </c>
      <c r="Q6" s="434" t="s">
        <v>18</v>
      </c>
    </row>
    <row r="7" spans="2:17" ht="84" customHeight="1" x14ac:dyDescent="0.25">
      <c r="B7" s="279">
        <v>95</v>
      </c>
      <c r="C7" s="280" t="s">
        <v>19</v>
      </c>
      <c r="D7" s="280" t="s">
        <v>20</v>
      </c>
      <c r="E7" s="282" t="s">
        <v>21</v>
      </c>
      <c r="Q7" s="433" t="s">
        <v>22</v>
      </c>
    </row>
    <row r="8" spans="2:17" ht="25.5" customHeight="1" x14ac:dyDescent="0.25">
      <c r="B8" s="323">
        <v>94</v>
      </c>
      <c r="C8" s="324" t="s">
        <v>19</v>
      </c>
      <c r="D8" s="325" t="s">
        <v>23</v>
      </c>
      <c r="E8" s="327" t="s">
        <v>24</v>
      </c>
      <c r="Q8" s="434" t="s">
        <v>25</v>
      </c>
    </row>
    <row r="9" spans="2:17" ht="51" customHeight="1" x14ac:dyDescent="0.25">
      <c r="B9" s="279">
        <v>96</v>
      </c>
      <c r="C9" s="280" t="s">
        <v>19</v>
      </c>
      <c r="D9" s="280" t="s">
        <v>26</v>
      </c>
      <c r="E9" s="282" t="s">
        <v>27</v>
      </c>
      <c r="Q9" s="433" t="s">
        <v>28</v>
      </c>
    </row>
    <row r="10" spans="2:17" ht="21.75" customHeight="1" x14ac:dyDescent="0.25">
      <c r="Q10" s="434" t="s">
        <v>29</v>
      </c>
    </row>
    <row r="11" spans="2:17" ht="25.5" customHeight="1" x14ac:dyDescent="0.25">
      <c r="C11" s="129" t="s">
        <v>0</v>
      </c>
      <c r="D11" s="129" t="s">
        <v>1</v>
      </c>
      <c r="E11" s="129" t="s">
        <v>2</v>
      </c>
      <c r="Q11" s="433" t="s">
        <v>30</v>
      </c>
    </row>
    <row r="12" spans="2:17" ht="36" customHeight="1" x14ac:dyDescent="0.25">
      <c r="B12" s="323">
        <v>72</v>
      </c>
      <c r="C12" s="324" t="s">
        <v>31</v>
      </c>
      <c r="D12" s="325" t="s">
        <v>32</v>
      </c>
      <c r="E12" s="327" t="s">
        <v>33</v>
      </c>
      <c r="Q12" s="434" t="s">
        <v>34</v>
      </c>
    </row>
    <row r="13" spans="2:17" x14ac:dyDescent="0.25">
      <c r="B13" s="279">
        <v>74</v>
      </c>
      <c r="C13" s="280" t="s">
        <v>31</v>
      </c>
      <c r="D13" s="280" t="s">
        <v>35</v>
      </c>
      <c r="E13" s="282" t="s">
        <v>36</v>
      </c>
      <c r="Q13" s="433" t="s">
        <v>37</v>
      </c>
    </row>
    <row r="14" spans="2:17" x14ac:dyDescent="0.25">
      <c r="Q14" s="434" t="s">
        <v>38</v>
      </c>
    </row>
    <row r="15" spans="2:17" ht="25.5" x14ac:dyDescent="0.25">
      <c r="Q15" s="433" t="s">
        <v>39</v>
      </c>
    </row>
    <row r="16" spans="2:17" ht="25.5" customHeight="1" x14ac:dyDescent="0.25">
      <c r="Q16" s="434" t="s">
        <v>40</v>
      </c>
    </row>
    <row r="17" spans="17:17" x14ac:dyDescent="0.25">
      <c r="Q17" s="433" t="s">
        <v>41</v>
      </c>
    </row>
    <row r="18" spans="17:17" x14ac:dyDescent="0.25">
      <c r="Q18" s="434" t="s">
        <v>42</v>
      </c>
    </row>
    <row r="19" spans="17:17" x14ac:dyDescent="0.25">
      <c r="Q19" s="433" t="s">
        <v>43</v>
      </c>
    </row>
    <row r="20" spans="17:17" ht="25.5" customHeight="1" x14ac:dyDescent="0.25">
      <c r="Q20" s="434" t="s">
        <v>44</v>
      </c>
    </row>
    <row r="21" spans="17:17" x14ac:dyDescent="0.25">
      <c r="Q21" s="433" t="s">
        <v>45</v>
      </c>
    </row>
    <row r="22" spans="17:17" ht="25.5" customHeight="1" x14ac:dyDescent="0.25">
      <c r="Q22" s="434" t="s">
        <v>46</v>
      </c>
    </row>
    <row r="23" spans="17:17" ht="25.5" customHeight="1" x14ac:dyDescent="0.25">
      <c r="Q23" s="433" t="s">
        <v>47</v>
      </c>
    </row>
    <row r="24" spans="17:17" ht="25.5" customHeight="1" x14ac:dyDescent="0.25">
      <c r="Q24" s="434" t="s">
        <v>48</v>
      </c>
    </row>
    <row r="25" spans="17:17" x14ac:dyDescent="0.25">
      <c r="Q25" s="433" t="s">
        <v>49</v>
      </c>
    </row>
    <row r="26" spans="17:17" ht="38.25" customHeight="1" x14ac:dyDescent="0.25">
      <c r="Q26" s="434" t="s">
        <v>50</v>
      </c>
    </row>
    <row r="27" spans="17:17" ht="25.5" customHeight="1" x14ac:dyDescent="0.25">
      <c r="Q27" s="433" t="s">
        <v>51</v>
      </c>
    </row>
    <row r="28" spans="17:17" x14ac:dyDescent="0.25">
      <c r="Q28" s="434" t="s">
        <v>52</v>
      </c>
    </row>
    <row r="29" spans="17:17" x14ac:dyDescent="0.25">
      <c r="Q29" s="433" t="s">
        <v>53</v>
      </c>
    </row>
    <row r="30" spans="17:17" x14ac:dyDescent="0.25">
      <c r="Q30" s="434" t="s">
        <v>54</v>
      </c>
    </row>
    <row r="31" spans="17:17" x14ac:dyDescent="0.25">
      <c r="Q31" s="433" t="s">
        <v>55</v>
      </c>
    </row>
    <row r="32" spans="17:17" x14ac:dyDescent="0.25">
      <c r="Q32" s="434" t="s">
        <v>56</v>
      </c>
    </row>
    <row r="33" spans="17:17" x14ac:dyDescent="0.25">
      <c r="Q33" s="433" t="s">
        <v>57</v>
      </c>
    </row>
    <row r="34" spans="17:17" x14ac:dyDescent="0.25">
      <c r="Q34" s="434" t="s">
        <v>58</v>
      </c>
    </row>
    <row r="35" spans="17:17" x14ac:dyDescent="0.25">
      <c r="Q35" s="433" t="s">
        <v>59</v>
      </c>
    </row>
    <row r="36" spans="17:17" x14ac:dyDescent="0.25">
      <c r="Q36" s="434" t="s">
        <v>60</v>
      </c>
    </row>
    <row r="37" spans="17:17" x14ac:dyDescent="0.25">
      <c r="Q37" s="433" t="s">
        <v>61</v>
      </c>
    </row>
    <row r="38" spans="17:17" x14ac:dyDescent="0.25">
      <c r="Q38" s="434" t="s">
        <v>62</v>
      </c>
    </row>
    <row r="39" spans="17:17" ht="25.5" customHeight="1" x14ac:dyDescent="0.25">
      <c r="Q39" s="433" t="s">
        <v>63</v>
      </c>
    </row>
    <row r="40" spans="17:17" x14ac:dyDescent="0.25">
      <c r="Q40" s="434" t="s">
        <v>64</v>
      </c>
    </row>
    <row r="41" spans="17:17" x14ac:dyDescent="0.25">
      <c r="Q41" s="433" t="s">
        <v>65</v>
      </c>
    </row>
    <row r="42" spans="17:17" ht="25.5" customHeight="1" x14ac:dyDescent="0.25">
      <c r="Q42" s="434" t="s">
        <v>66</v>
      </c>
    </row>
    <row r="43" spans="17:17" x14ac:dyDescent="0.25">
      <c r="Q43" s="433" t="s">
        <v>67</v>
      </c>
    </row>
    <row r="44" spans="17:17" x14ac:dyDescent="0.25">
      <c r="Q44" s="435" t="s">
        <v>68</v>
      </c>
    </row>
    <row r="45" spans="17:17" x14ac:dyDescent="0.25">
      <c r="Q45" s="436" t="s">
        <v>69</v>
      </c>
    </row>
    <row r="46" spans="17:17" x14ac:dyDescent="0.25">
      <c r="Q46" s="435" t="s">
        <v>70</v>
      </c>
    </row>
    <row r="47" spans="17:17" x14ac:dyDescent="0.25">
      <c r="Q47" s="433" t="s">
        <v>71</v>
      </c>
    </row>
    <row r="48" spans="17:17" x14ac:dyDescent="0.25">
      <c r="Q48" s="434" t="s">
        <v>72</v>
      </c>
    </row>
    <row r="49" spans="17:17" x14ac:dyDescent="0.25">
      <c r="Q49" s="433" t="s">
        <v>73</v>
      </c>
    </row>
    <row r="50" spans="17:17" x14ac:dyDescent="0.25">
      <c r="Q50" s="434" t="s">
        <v>74</v>
      </c>
    </row>
    <row r="51" spans="17:17" x14ac:dyDescent="0.25">
      <c r="Q51" s="433" t="s">
        <v>75</v>
      </c>
    </row>
    <row r="52" spans="17:17" ht="38.25" customHeight="1" x14ac:dyDescent="0.25">
      <c r="Q52" s="434" t="s">
        <v>76</v>
      </c>
    </row>
    <row r="53" spans="17:17" x14ac:dyDescent="0.25">
      <c r="Q53" s="433" t="s">
        <v>77</v>
      </c>
    </row>
    <row r="54" spans="17:17" x14ac:dyDescent="0.25">
      <c r="Q54" s="434" t="s">
        <v>78</v>
      </c>
    </row>
    <row r="55" spans="17:17" ht="38.25" customHeight="1" x14ac:dyDescent="0.25">
      <c r="Q55" s="433" t="s">
        <v>79</v>
      </c>
    </row>
    <row r="56" spans="17:17" ht="25.5" customHeight="1" x14ac:dyDescent="0.25">
      <c r="Q56" s="434" t="s">
        <v>80</v>
      </c>
    </row>
    <row r="57" spans="17:17" x14ac:dyDescent="0.25">
      <c r="Q57" s="433" t="s">
        <v>81</v>
      </c>
    </row>
    <row r="58" spans="17:17" x14ac:dyDescent="0.25">
      <c r="Q58" s="434" t="s">
        <v>82</v>
      </c>
    </row>
    <row r="59" spans="17:17" x14ac:dyDescent="0.25">
      <c r="Q59" s="433" t="s">
        <v>83</v>
      </c>
    </row>
    <row r="60" spans="17:17" x14ac:dyDescent="0.25">
      <c r="Q60" s="434" t="s">
        <v>84</v>
      </c>
    </row>
    <row r="61" spans="17:17" x14ac:dyDescent="0.25">
      <c r="Q61" s="433" t="s">
        <v>85</v>
      </c>
    </row>
    <row r="62" spans="17:17" x14ac:dyDescent="0.25">
      <c r="Q62" s="434" t="s">
        <v>86</v>
      </c>
    </row>
    <row r="63" spans="17:17" x14ac:dyDescent="0.25">
      <c r="Q63" s="433" t="s">
        <v>87</v>
      </c>
    </row>
    <row r="64" spans="17:17" ht="25.5" customHeight="1" x14ac:dyDescent="0.25">
      <c r="Q64" s="434" t="s">
        <v>88</v>
      </c>
    </row>
    <row r="65" spans="17:17" x14ac:dyDescent="0.25">
      <c r="Q65" s="433" t="s">
        <v>89</v>
      </c>
    </row>
    <row r="66" spans="17:17" x14ac:dyDescent="0.25">
      <c r="Q66" s="434" t="s">
        <v>90</v>
      </c>
    </row>
    <row r="67" spans="17:17" x14ac:dyDescent="0.25">
      <c r="Q67" s="433" t="s">
        <v>91</v>
      </c>
    </row>
    <row r="68" spans="17:17" x14ac:dyDescent="0.25">
      <c r="Q68" s="434" t="s">
        <v>92</v>
      </c>
    </row>
    <row r="69" spans="17:17" ht="25.5" customHeight="1" x14ac:dyDescent="0.25">
      <c r="Q69" s="433" t="s">
        <v>93</v>
      </c>
    </row>
    <row r="70" spans="17:17" ht="25.5" customHeight="1" x14ac:dyDescent="0.25">
      <c r="Q70" s="434" t="s">
        <v>94</v>
      </c>
    </row>
    <row r="71" spans="17:17" x14ac:dyDescent="0.25">
      <c r="Q71" s="433" t="s">
        <v>95</v>
      </c>
    </row>
    <row r="72" spans="17:17" x14ac:dyDescent="0.25">
      <c r="Q72" s="434" t="s">
        <v>96</v>
      </c>
    </row>
    <row r="73" spans="17:17" x14ac:dyDescent="0.25">
      <c r="Q73" s="433" t="s">
        <v>97</v>
      </c>
    </row>
    <row r="74" spans="17:17" ht="25.5" customHeight="1" x14ac:dyDescent="0.25">
      <c r="Q74" s="434" t="s">
        <v>98</v>
      </c>
    </row>
    <row r="75" spans="17:17" ht="25.5" customHeight="1" x14ac:dyDescent="0.25">
      <c r="Q75" s="433" t="s">
        <v>99</v>
      </c>
    </row>
    <row r="76" spans="17:17" x14ac:dyDescent="0.25">
      <c r="Q76" s="434" t="s">
        <v>35</v>
      </c>
    </row>
    <row r="77" spans="17:17" ht="25.5" customHeight="1" x14ac:dyDescent="0.25">
      <c r="Q77" s="433" t="s">
        <v>5</v>
      </c>
    </row>
    <row r="78" spans="17:17" ht="25.5" customHeight="1" x14ac:dyDescent="0.25">
      <c r="Q78" s="434" t="s">
        <v>9</v>
      </c>
    </row>
    <row r="79" spans="17:17" ht="38.25" customHeight="1" x14ac:dyDescent="0.25">
      <c r="Q79" s="433" t="s">
        <v>13</v>
      </c>
    </row>
    <row r="80" spans="17:17" x14ac:dyDescent="0.25">
      <c r="Q80" s="434" t="s">
        <v>16</v>
      </c>
    </row>
    <row r="81" spans="17:17" ht="25.5" customHeight="1" x14ac:dyDescent="0.25">
      <c r="Q81" s="433" t="s">
        <v>100</v>
      </c>
    </row>
    <row r="82" spans="17:17" ht="25.5" customHeight="1" x14ac:dyDescent="0.25">
      <c r="Q82" s="434" t="s">
        <v>101</v>
      </c>
    </row>
    <row r="83" spans="17:17" ht="25.5" customHeight="1" x14ac:dyDescent="0.25">
      <c r="Q83" s="433" t="s">
        <v>102</v>
      </c>
    </row>
    <row r="84" spans="17:17" x14ac:dyDescent="0.25">
      <c r="Q84" s="434" t="s">
        <v>103</v>
      </c>
    </row>
    <row r="85" spans="17:17" x14ac:dyDescent="0.25">
      <c r="Q85" s="433" t="s">
        <v>104</v>
      </c>
    </row>
    <row r="86" spans="17:17" x14ac:dyDescent="0.25">
      <c r="Q86" s="434" t="s">
        <v>105</v>
      </c>
    </row>
    <row r="87" spans="17:17" x14ac:dyDescent="0.25">
      <c r="Q87" s="433" t="s">
        <v>106</v>
      </c>
    </row>
    <row r="88" spans="17:17" x14ac:dyDescent="0.25">
      <c r="Q88" s="434" t="s">
        <v>107</v>
      </c>
    </row>
    <row r="89" spans="17:17" x14ac:dyDescent="0.25">
      <c r="Q89" s="433" t="s">
        <v>108</v>
      </c>
    </row>
    <row r="90" spans="17:17" x14ac:dyDescent="0.25">
      <c r="Q90" s="434" t="s">
        <v>109</v>
      </c>
    </row>
    <row r="91" spans="17:17" x14ac:dyDescent="0.25">
      <c r="Q91" s="433" t="s">
        <v>110</v>
      </c>
    </row>
    <row r="92" spans="17:17" x14ac:dyDescent="0.25">
      <c r="Q92" s="434" t="s">
        <v>111</v>
      </c>
    </row>
    <row r="93" spans="17:17" x14ac:dyDescent="0.25">
      <c r="Q93" s="433" t="s">
        <v>112</v>
      </c>
    </row>
    <row r="94" spans="17:17" ht="25.5" customHeight="1" x14ac:dyDescent="0.25">
      <c r="Q94" s="434" t="s">
        <v>113</v>
      </c>
    </row>
    <row r="95" spans="17:17" ht="25.5" customHeight="1" x14ac:dyDescent="0.25">
      <c r="Q95" s="433" t="s">
        <v>114</v>
      </c>
    </row>
    <row r="96" spans="17:17" x14ac:dyDescent="0.25">
      <c r="Q96" s="434" t="s">
        <v>23</v>
      </c>
    </row>
    <row r="97" spans="17:17" x14ac:dyDescent="0.25">
      <c r="Q97" s="433" t="s">
        <v>20</v>
      </c>
    </row>
    <row r="98" spans="17:17" ht="38.25" customHeight="1" x14ac:dyDescent="0.25">
      <c r="Q98" s="434" t="s">
        <v>26</v>
      </c>
    </row>
    <row r="99" spans="17:17" ht="25.5" customHeight="1" x14ac:dyDescent="0.25">
      <c r="Q99" s="433" t="s">
        <v>115</v>
      </c>
    </row>
    <row r="100" spans="17:17" x14ac:dyDescent="0.25">
      <c r="Q100" s="434" t="s">
        <v>116</v>
      </c>
    </row>
    <row r="101" spans="17:17" ht="25.5" customHeight="1" x14ac:dyDescent="0.25">
      <c r="Q101" s="433" t="s">
        <v>117</v>
      </c>
    </row>
    <row r="102" spans="17:17" x14ac:dyDescent="0.25">
      <c r="Q102" s="434" t="s">
        <v>118</v>
      </c>
    </row>
    <row r="103" spans="17:17" ht="25.5" customHeight="1" x14ac:dyDescent="0.25">
      <c r="Q103" s="433" t="s">
        <v>119</v>
      </c>
    </row>
    <row r="104" spans="17:17" ht="25.5" customHeight="1" x14ac:dyDescent="0.25">
      <c r="Q104" s="434" t="s">
        <v>120</v>
      </c>
    </row>
    <row r="105" spans="17:17" x14ac:dyDescent="0.25">
      <c r="Q105" s="433" t="s">
        <v>121</v>
      </c>
    </row>
    <row r="106" spans="17:17" ht="25.5" customHeight="1" x14ac:dyDescent="0.25">
      <c r="Q106" s="434" t="s">
        <v>122</v>
      </c>
    </row>
    <row r="107" spans="17:17" x14ac:dyDescent="0.25">
      <c r="Q107" s="433" t="s">
        <v>123</v>
      </c>
    </row>
    <row r="108" spans="17:17" ht="25.5" customHeight="1" x14ac:dyDescent="0.25">
      <c r="Q108" s="434" t="s">
        <v>124</v>
      </c>
    </row>
    <row r="109" spans="17:17" x14ac:dyDescent="0.25">
      <c r="Q109" s="433" t="s">
        <v>125</v>
      </c>
    </row>
    <row r="110" spans="17:17" ht="25.5" customHeight="1" x14ac:dyDescent="0.25">
      <c r="Q110" s="434" t="s">
        <v>126</v>
      </c>
    </row>
    <row r="111" spans="17:17" x14ac:dyDescent="0.25">
      <c r="Q111" s="433" t="s">
        <v>127</v>
      </c>
    </row>
    <row r="112" spans="17:17" x14ac:dyDescent="0.25">
      <c r="Q112" s="434" t="s">
        <v>128</v>
      </c>
    </row>
    <row r="113" spans="17:17" ht="25.5" customHeight="1" x14ac:dyDescent="0.25">
      <c r="Q113" s="433" t="s">
        <v>129</v>
      </c>
    </row>
    <row r="114" spans="17:17" ht="25.5" customHeight="1" x14ac:dyDescent="0.25">
      <c r="Q114" s="434" t="s">
        <v>130</v>
      </c>
    </row>
    <row r="115" spans="17:17" x14ac:dyDescent="0.25">
      <c r="Q115" s="433" t="s">
        <v>131</v>
      </c>
    </row>
    <row r="116" spans="17:17" ht="25.5" customHeight="1" x14ac:dyDescent="0.25">
      <c r="Q116" s="434" t="s">
        <v>132</v>
      </c>
    </row>
    <row r="117" spans="17:17" ht="25.5" customHeight="1" x14ac:dyDescent="0.25">
      <c r="Q117" s="433" t="s">
        <v>133</v>
      </c>
    </row>
    <row r="118" spans="17:17" x14ac:dyDescent="0.25">
      <c r="Q118" s="434" t="s">
        <v>134</v>
      </c>
    </row>
    <row r="119" spans="17:17" ht="25.5" customHeight="1" x14ac:dyDescent="0.25">
      <c r="Q119" s="433" t="s">
        <v>135</v>
      </c>
    </row>
    <row r="120" spans="17:17" ht="25.5" customHeight="1" x14ac:dyDescent="0.25">
      <c r="Q120" s="434" t="s">
        <v>136</v>
      </c>
    </row>
    <row r="121" spans="17:17" x14ac:dyDescent="0.25">
      <c r="Q121" s="433" t="s">
        <v>137</v>
      </c>
    </row>
    <row r="122" spans="17:17" x14ac:dyDescent="0.25">
      <c r="Q122" s="434" t="s">
        <v>138</v>
      </c>
    </row>
    <row r="123" spans="17:17" x14ac:dyDescent="0.25">
      <c r="Q123" s="433" t="s">
        <v>139</v>
      </c>
    </row>
    <row r="124" spans="17:17" x14ac:dyDescent="0.25">
      <c r="Q124" s="434" t="s">
        <v>140</v>
      </c>
    </row>
    <row r="125" spans="17:17" x14ac:dyDescent="0.25">
      <c r="Q125" s="433" t="s">
        <v>141</v>
      </c>
    </row>
    <row r="126" spans="17:17" ht="25.5" customHeight="1" x14ac:dyDescent="0.25">
      <c r="Q126" s="434" t="s">
        <v>142</v>
      </c>
    </row>
    <row r="127" spans="17:17" x14ac:dyDescent="0.25">
      <c r="Q127" s="433" t="s">
        <v>143</v>
      </c>
    </row>
    <row r="128" spans="17:17" x14ac:dyDescent="0.25">
      <c r="Q128" s="434" t="s">
        <v>144</v>
      </c>
    </row>
    <row r="129" spans="17:17" ht="25.5" customHeight="1" x14ac:dyDescent="0.25">
      <c r="Q129" s="436" t="s">
        <v>145</v>
      </c>
    </row>
    <row r="130" spans="17:17" x14ac:dyDescent="0.25">
      <c r="Q130" s="434" t="s">
        <v>146</v>
      </c>
    </row>
    <row r="131" spans="17:17" x14ac:dyDescent="0.25">
      <c r="Q131" s="433" t="s">
        <v>147</v>
      </c>
    </row>
    <row r="132" spans="17:17" ht="25.5" customHeight="1" x14ac:dyDescent="0.25">
      <c r="Q132" s="434" t="s">
        <v>148</v>
      </c>
    </row>
    <row r="133" spans="17:17" ht="25.5" customHeight="1" x14ac:dyDescent="0.25">
      <c r="Q133" s="433" t="s">
        <v>149</v>
      </c>
    </row>
    <row r="134" spans="17:17" x14ac:dyDescent="0.25">
      <c r="Q134" s="434" t="s">
        <v>150</v>
      </c>
    </row>
    <row r="135" spans="17:17" x14ac:dyDescent="0.25">
      <c r="Q135" s="433" t="s">
        <v>151</v>
      </c>
    </row>
    <row r="136" spans="17:17" x14ac:dyDescent="0.25">
      <c r="Q136" s="434" t="s">
        <v>152</v>
      </c>
    </row>
    <row r="137" spans="17:17" x14ac:dyDescent="0.25">
      <c r="Q137" s="433" t="s">
        <v>153</v>
      </c>
    </row>
    <row r="138" spans="17:17" x14ac:dyDescent="0.25">
      <c r="Q138" s="434" t="s">
        <v>154</v>
      </c>
    </row>
    <row r="139" spans="17:17" x14ac:dyDescent="0.25">
      <c r="Q139" s="433" t="s">
        <v>155</v>
      </c>
    </row>
    <row r="140" spans="17:17" ht="25.5" customHeight="1" x14ac:dyDescent="0.25">
      <c r="Q140" s="437" t="s">
        <v>156</v>
      </c>
    </row>
    <row r="141" spans="17:17" x14ac:dyDescent="0.25">
      <c r="Q141" s="433" t="s">
        <v>157</v>
      </c>
    </row>
    <row r="142" spans="17:17" x14ac:dyDescent="0.25">
      <c r="Q142" s="434" t="s">
        <v>158</v>
      </c>
    </row>
    <row r="143" spans="17:17" x14ac:dyDescent="0.25">
      <c r="Q143" s="433" t="s">
        <v>159</v>
      </c>
    </row>
    <row r="144" spans="17:17" x14ac:dyDescent="0.25">
      <c r="Q144" s="434" t="s">
        <v>160</v>
      </c>
    </row>
    <row r="145" spans="17:17" x14ac:dyDescent="0.25">
      <c r="Q145" s="433" t="s">
        <v>161</v>
      </c>
    </row>
    <row r="146" spans="17:17" x14ac:dyDescent="0.25">
      <c r="Q146" s="434" t="s">
        <v>162</v>
      </c>
    </row>
    <row r="147" spans="17:17" ht="25.5" customHeight="1" x14ac:dyDescent="0.25">
      <c r="Q147" s="433" t="s">
        <v>163</v>
      </c>
    </row>
    <row r="148" spans="17:17" x14ac:dyDescent="0.25">
      <c r="Q148" s="434" t="s">
        <v>164</v>
      </c>
    </row>
    <row r="149" spans="17:17" x14ac:dyDescent="0.25">
      <c r="Q149" s="433" t="s">
        <v>165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NS156"/>
  <sheetViews>
    <sheetView tabSelected="1" zoomScale="90" zoomScaleNormal="90" workbookViewId="0">
      <pane xSplit="40" ySplit="8" topLeftCell="AO9" activePane="bottomRight" state="frozen"/>
      <selection pane="topRight" activeCell="AO1" sqref="AO1"/>
      <selection pane="bottomLeft" activeCell="A9" sqref="A9"/>
      <selection pane="bottomRight" activeCell="DL2" sqref="DL2"/>
    </sheetView>
  </sheetViews>
  <sheetFormatPr baseColWidth="10" defaultColWidth="9.140625" defaultRowHeight="15" outlineLevelCol="1" x14ac:dyDescent="0.25"/>
  <cols>
    <col min="1" max="1" width="3.85546875" style="372" customWidth="1"/>
    <col min="2" max="2" width="14.28515625" style="373" hidden="1" customWidth="1"/>
    <col min="3" max="3" width="15.7109375" style="373" customWidth="1"/>
    <col min="4" max="4" width="29.140625" style="373" customWidth="1"/>
    <col min="5" max="5" width="8.28515625" style="374" hidden="1" customWidth="1"/>
    <col min="6" max="6" width="12.5703125" style="374" hidden="1" customWidth="1"/>
    <col min="7" max="7" width="8.140625" style="375" hidden="1" customWidth="1"/>
    <col min="8" max="8" width="8.85546875" style="372" hidden="1" customWidth="1"/>
    <col min="9" max="9" width="54.28515625" style="43" hidden="1" customWidth="1"/>
    <col min="10" max="10" width="20.140625" style="43" hidden="1" customWidth="1"/>
    <col min="11" max="11" width="11.85546875" style="43" hidden="1" customWidth="1"/>
    <col min="12" max="12" width="11.140625" style="43" hidden="1" customWidth="1"/>
    <col min="13" max="13" width="12.7109375" style="43" hidden="1" customWidth="1"/>
    <col min="14" max="14" width="15.140625" style="43" hidden="1" customWidth="1"/>
    <col min="15" max="15" width="7.85546875" style="374" hidden="1" customWidth="1"/>
    <col min="16" max="16" width="13.85546875" style="43" hidden="1" customWidth="1"/>
    <col min="17" max="17" width="9.140625" style="439" hidden="1" customWidth="1"/>
    <col min="18" max="18" width="15.140625" style="439" hidden="1" customWidth="1"/>
    <col min="19" max="31" width="7.7109375" style="439" hidden="1" customWidth="1" outlineLevel="1"/>
    <col min="32" max="32" width="8.140625" style="439" customWidth="1" collapsed="1"/>
    <col min="33" max="36" width="7.7109375" style="439" hidden="1" customWidth="1"/>
    <col min="37" max="37" width="8.140625" style="439" customWidth="1"/>
    <col min="38" max="38" width="42.85546875" style="43" hidden="1" customWidth="1" outlineLevel="1"/>
    <col min="39" max="39" width="39" style="43" hidden="1" customWidth="1" outlineLevel="1"/>
    <col min="40" max="40" width="29.7109375" style="43" hidden="1" customWidth="1" outlineLevel="1"/>
    <col min="41" max="41" width="1.7109375" style="7" customWidth="1" collapsed="1"/>
    <col min="42" max="42" width="11.28515625" style="439" customWidth="1"/>
    <col min="43" max="43" width="11.28515625" style="5" hidden="1" customWidth="1" outlineLevel="1"/>
    <col min="44" max="44" width="12" style="439" hidden="1" customWidth="1" outlineLevel="1"/>
    <col min="45" max="45" width="11" style="439" hidden="1" customWidth="1" outlineLevel="1"/>
    <col min="46" max="46" width="1.7109375" style="7" customWidth="1" collapsed="1"/>
    <col min="47" max="47" width="34" style="439" hidden="1" customWidth="1" outlineLevel="1"/>
    <col min="48" max="48" width="81.85546875" style="376" hidden="1" customWidth="1" outlineLevel="1"/>
    <col min="49" max="49" width="56.42578125" style="43" hidden="1" customWidth="1" outlineLevel="1"/>
    <col min="50" max="50" width="32.42578125" style="439" hidden="1" customWidth="1" outlineLevel="1"/>
    <col min="51" max="51" width="1.7109375" style="7" customWidth="1" collapsed="1"/>
    <col min="52" max="52" width="5.28515625" style="439" customWidth="1"/>
    <col min="53" max="55" width="5.28515625" style="439" hidden="1" customWidth="1"/>
    <col min="56" max="56" width="10" style="439" hidden="1" customWidth="1"/>
    <col min="57" max="57" width="9.28515625" style="439" customWidth="1"/>
    <col min="58" max="60" width="9.28515625" style="439" hidden="1" customWidth="1"/>
    <col min="61" max="61" width="10" style="439" hidden="1" customWidth="1"/>
    <col min="62" max="62" width="9.28515625" style="439" customWidth="1"/>
    <col min="63" max="65" width="9.28515625" style="439" hidden="1" customWidth="1"/>
    <col min="66" max="66" width="1.7109375" style="7" customWidth="1"/>
    <col min="67" max="67" width="4.28515625" style="377" customWidth="1"/>
    <col min="68" max="74" width="4.28515625" style="439" customWidth="1"/>
    <col min="75" max="76" width="4.28515625" style="377" hidden="1" customWidth="1" outlineLevel="1"/>
    <col min="77" max="80" width="4.28515625" style="439" hidden="1" customWidth="1" outlineLevel="1"/>
    <col min="81" max="81" width="4.28515625" style="377" hidden="1" customWidth="1" outlineLevel="1"/>
    <col min="82" max="88" width="4.28515625" style="439" hidden="1" customWidth="1" outlineLevel="1"/>
    <col min="89" max="89" width="4.28515625" style="377" hidden="1" customWidth="1" outlineLevel="1"/>
    <col min="90" max="94" width="4.28515625" style="439" hidden="1" customWidth="1" outlineLevel="1"/>
    <col min="95" max="95" width="1.7109375" style="7" customWidth="1" collapsed="1"/>
    <col min="96" max="109" width="4.28515625" style="439" hidden="1" customWidth="1" outlineLevel="1"/>
    <col min="110" max="110" width="113.5703125" style="43" hidden="1" customWidth="1" outlineLevel="1"/>
    <col min="111" max="111" width="1.7109375" style="7" customWidth="1" collapsed="1"/>
    <col min="112" max="112" width="9" style="377" customWidth="1"/>
    <col min="113" max="113" width="9.5703125" style="377" customWidth="1"/>
    <col min="114" max="114" width="7.28515625" style="377" customWidth="1"/>
    <col min="115" max="115" width="7.28515625" style="439" customWidth="1"/>
    <col min="116" max="116" width="63.28515625" style="378" customWidth="1"/>
    <col min="117" max="117" width="9.140625" style="377" customWidth="1"/>
    <col min="118" max="118" width="9" style="439" customWidth="1"/>
    <col min="119" max="120" width="7.28515625" style="439" customWidth="1"/>
    <col min="121" max="121" width="50" style="379" customWidth="1"/>
    <col min="122" max="122" width="1.7109375" style="7" customWidth="1"/>
    <col min="123" max="123" width="9.28515625" style="377" customWidth="1"/>
    <col min="124" max="124" width="13" style="439" customWidth="1"/>
    <col min="125" max="125" width="8.28515625" style="377" customWidth="1"/>
    <col min="126" max="126" width="38.85546875" style="379" customWidth="1"/>
    <col min="127" max="127" width="9.28515625" style="439" customWidth="1"/>
    <col min="128" max="129" width="13" style="439" customWidth="1"/>
    <col min="130" max="130" width="33" style="379" customWidth="1"/>
    <col min="131" max="131" width="1.7109375" style="7" customWidth="1"/>
    <col min="132" max="132" width="8.140625" style="377" customWidth="1"/>
    <col min="133" max="133" width="13" style="439" customWidth="1"/>
    <col min="134" max="134" width="8.42578125" style="377" customWidth="1"/>
    <col min="135" max="135" width="8.140625" style="377" customWidth="1"/>
    <col min="136" max="136" width="61.85546875" style="379" customWidth="1"/>
    <col min="137" max="137" width="8.7109375" style="439" customWidth="1"/>
    <col min="138" max="140" width="13" style="439" customWidth="1"/>
    <col min="141" max="141" width="43" style="379" customWidth="1"/>
    <col min="142" max="142" width="1.7109375" style="7" customWidth="1"/>
    <col min="143" max="143" width="9.28515625" style="377" customWidth="1"/>
    <col min="144" max="145" width="13" style="439" customWidth="1"/>
    <col min="146" max="146" width="65.28515625" style="379" customWidth="1"/>
    <col min="147" max="147" width="9.28515625" style="439" customWidth="1"/>
    <col min="148" max="149" width="13" style="439" customWidth="1"/>
    <col min="150" max="150" width="39.7109375" style="379" customWidth="1"/>
    <col min="151" max="151" width="1.7109375" style="7" customWidth="1"/>
    <col min="152" max="153" width="6.28515625" style="439" customWidth="1"/>
    <col min="154" max="159" width="8.7109375" style="439" customWidth="1"/>
    <col min="160" max="168" width="8.7109375" style="439" hidden="1" customWidth="1"/>
    <col min="169" max="169" width="1.7109375" style="7" hidden="1" customWidth="1"/>
    <col min="170" max="170" width="8.28515625" style="380" hidden="1" customWidth="1"/>
    <col min="171" max="171" width="6.28515625" style="380" customWidth="1"/>
    <col min="172" max="172" width="6.42578125" style="439" customWidth="1"/>
    <col min="173" max="173" width="32.7109375" style="439" hidden="1" customWidth="1"/>
    <col min="174" max="174" width="1.7109375" style="7" customWidth="1"/>
    <col min="175" max="180" width="5.7109375" style="439" hidden="1" customWidth="1"/>
    <col min="181" max="181" width="1.7109375" style="7" hidden="1" customWidth="1"/>
    <col min="182" max="182" width="70.85546875" style="439" customWidth="1"/>
    <col min="183" max="183" width="43.5703125" style="439" customWidth="1"/>
    <col min="184" max="184" width="39.7109375" style="439" customWidth="1"/>
    <col min="185" max="185" width="31" style="439" customWidth="1"/>
    <col min="186" max="186" width="40" style="439" customWidth="1"/>
    <col min="187" max="187" width="35" style="439" customWidth="1"/>
    <col min="188" max="188" width="98.85546875" style="439" hidden="1" customWidth="1"/>
    <col min="189" max="189" width="3" style="7" customWidth="1"/>
    <col min="190" max="190" width="7.28515625" style="439" customWidth="1"/>
    <col min="191" max="192" width="7.7109375" style="439" customWidth="1"/>
    <col min="193" max="193" width="8.5703125" style="439" customWidth="1"/>
    <col min="194" max="194" width="9.140625" style="439" customWidth="1"/>
    <col min="195" max="201" width="7.7109375" style="439" customWidth="1"/>
    <col min="202" max="222" width="7.7109375" style="439" hidden="1" customWidth="1"/>
    <col min="223" max="223" width="8.85546875" style="439" hidden="1" customWidth="1"/>
    <col min="224" max="231" width="7.7109375" style="439" hidden="1" customWidth="1"/>
    <col min="232" max="232" width="1.7109375" style="74" customWidth="1"/>
    <col min="233" max="233" width="9.28515625" style="123" hidden="1" customWidth="1"/>
    <col min="234" max="234" width="8.7109375" style="123" hidden="1" customWidth="1"/>
    <col min="235" max="238" width="8.7109375" style="439" hidden="1" customWidth="1"/>
    <col min="239" max="239" width="9.28515625" style="123" hidden="1" customWidth="1"/>
    <col min="240" max="240" width="8.7109375" style="123" hidden="1" customWidth="1"/>
    <col min="241" max="244" width="8.7109375" style="439" hidden="1" customWidth="1"/>
    <col min="245" max="245" width="5.7109375" style="123" hidden="1" customWidth="1"/>
    <col min="246" max="246" width="9.42578125" style="123" hidden="1" customWidth="1"/>
    <col min="247" max="247" width="55.7109375" style="123" hidden="1" customWidth="1"/>
    <col min="248" max="248" width="1.7109375" style="7" hidden="1" customWidth="1"/>
    <col min="249" max="249" width="5.7109375" style="123" customWidth="1"/>
    <col min="250" max="253" width="5.7109375" style="439" customWidth="1"/>
    <col min="254" max="255" width="5.7109375" style="123" customWidth="1"/>
    <col min="256" max="258" width="5.7109375" style="439" customWidth="1"/>
    <col min="259" max="288" width="5.7109375" style="439" hidden="1" customWidth="1"/>
    <col min="289" max="289" width="1.7109375" style="7" customWidth="1"/>
    <col min="290" max="290" width="5.7109375" style="123" hidden="1" customWidth="1"/>
    <col min="291" max="292" width="5.7109375" style="439" hidden="1" customWidth="1"/>
    <col min="293" max="293" width="8.7109375" style="267" hidden="1" customWidth="1"/>
    <col min="294" max="294" width="45.140625" style="123" customWidth="1"/>
    <col min="295" max="295" width="35.85546875" style="123" customWidth="1"/>
    <col min="296" max="296" width="99.7109375" style="123" customWidth="1"/>
    <col min="297" max="383" width="15.7109375" style="42" customWidth="1"/>
  </cols>
  <sheetData>
    <row r="1" spans="1:327" s="5" customFormat="1" x14ac:dyDescent="0.25">
      <c r="A1" s="1"/>
      <c r="B1" s="2"/>
      <c r="C1" s="2"/>
      <c r="D1" s="2"/>
      <c r="E1" s="3"/>
      <c r="F1" s="3"/>
      <c r="G1" s="4"/>
      <c r="H1" s="1"/>
      <c r="J1" s="6" t="s">
        <v>166</v>
      </c>
      <c r="K1" s="7"/>
      <c r="L1" s="7"/>
      <c r="M1" s="7"/>
      <c r="N1" s="7"/>
      <c r="O1" s="3"/>
      <c r="P1" s="7"/>
      <c r="Q1" s="6" t="s">
        <v>167</v>
      </c>
      <c r="AA1" s="8" t="s">
        <v>168</v>
      </c>
      <c r="AB1" s="9"/>
      <c r="AC1" s="9"/>
      <c r="AD1" s="9"/>
      <c r="AE1" s="9"/>
      <c r="AF1" s="8" t="s">
        <v>169</v>
      </c>
      <c r="AG1" s="9"/>
      <c r="AH1" s="9"/>
      <c r="AI1" s="9"/>
      <c r="AJ1" s="9"/>
      <c r="AK1" s="8" t="s">
        <v>170</v>
      </c>
      <c r="AL1" s="7"/>
      <c r="AM1" s="7"/>
      <c r="AO1" s="10" t="s">
        <v>171</v>
      </c>
      <c r="AP1" s="6"/>
      <c r="AT1" s="10" t="s">
        <v>172</v>
      </c>
      <c r="AU1" s="6"/>
      <c r="AV1" s="11"/>
      <c r="AY1" s="10" t="s">
        <v>173</v>
      </c>
      <c r="AZ1" s="6"/>
      <c r="BA1" s="6"/>
      <c r="BB1" s="6"/>
      <c r="BC1" s="6"/>
      <c r="BE1" s="12"/>
      <c r="BF1" s="12">
        <f>BF7/$BD$7</f>
        <v>2.3796976325297804E-3</v>
      </c>
      <c r="BG1" s="12">
        <f>BG7/$BD$7</f>
        <v>1.1452294856549567E-2</v>
      </c>
      <c r="BH1" s="12">
        <f>BH7/$BD$7</f>
        <v>4.7965780405678379E-2</v>
      </c>
      <c r="BN1" s="10" t="s">
        <v>174</v>
      </c>
      <c r="BO1" s="10"/>
      <c r="BP1" s="10"/>
      <c r="BQ1" s="10"/>
      <c r="BT1" s="13"/>
      <c r="CQ1" s="10" t="s">
        <v>175</v>
      </c>
      <c r="CR1" s="10"/>
      <c r="CS1" s="10"/>
      <c r="CT1" s="10"/>
      <c r="CU1" s="14"/>
      <c r="CV1" s="14"/>
      <c r="CW1" s="14"/>
      <c r="CX1" s="14"/>
      <c r="CY1" s="14"/>
      <c r="CZ1" s="14"/>
      <c r="DA1" s="14"/>
      <c r="DB1" s="14"/>
      <c r="DC1" s="14"/>
      <c r="DD1" s="14"/>
      <c r="DE1" s="14"/>
      <c r="DF1" s="14"/>
      <c r="DG1" s="10" t="s">
        <v>176</v>
      </c>
      <c r="DH1" s="10"/>
      <c r="DI1" s="10"/>
      <c r="DL1" s="15"/>
      <c r="DQ1" s="16"/>
      <c r="DR1" s="17" t="s">
        <v>177</v>
      </c>
      <c r="DS1" s="10"/>
      <c r="DV1" s="16"/>
      <c r="DZ1" s="16"/>
      <c r="EA1" s="18" t="s">
        <v>178</v>
      </c>
      <c r="EB1" s="17"/>
      <c r="EC1" s="17"/>
      <c r="EF1" s="16"/>
      <c r="EK1" s="16"/>
      <c r="EL1" s="19" t="s">
        <v>179</v>
      </c>
      <c r="EM1" s="19"/>
      <c r="EN1" s="19"/>
      <c r="EP1" s="16"/>
      <c r="ET1" s="16"/>
      <c r="EU1" s="20" t="s">
        <v>180</v>
      </c>
      <c r="EV1" s="20"/>
      <c r="EW1" s="20"/>
      <c r="EX1" s="21">
        <f>EX7/5000</f>
        <v>102.9738950008484</v>
      </c>
      <c r="EY1" s="22">
        <f>FA7/5000</f>
        <v>95.310350205411495</v>
      </c>
      <c r="EZ1" s="23">
        <f>EY1/$EX$1</f>
        <v>0.92557779041597132</v>
      </c>
      <c r="FA1" s="24"/>
      <c r="FB1" s="25"/>
      <c r="FC1" s="26"/>
      <c r="FD1" s="27" t="s">
        <v>181</v>
      </c>
      <c r="FE1" s="28">
        <f>FG7/5000</f>
        <v>1.5515563611476191</v>
      </c>
      <c r="FF1" s="29">
        <f>FE1/$EX$1</f>
        <v>1.5067472791379172E-2</v>
      </c>
      <c r="FG1" s="30">
        <f>FE1/$EY$1</f>
        <v>1.627899129321975E-2</v>
      </c>
      <c r="FH1" s="31" t="s">
        <v>182</v>
      </c>
      <c r="FI1" s="32">
        <f>FJ7/5000</f>
        <v>5.7758637505749997</v>
      </c>
      <c r="FJ1" s="33">
        <f>FI1/$EX$1</f>
        <v>5.6090563055106464E-2</v>
      </c>
      <c r="FK1" s="34">
        <f>FI1/$EY$1</f>
        <v>6.0600593095366258E-2</v>
      </c>
      <c r="FL1" s="35" t="s">
        <v>183</v>
      </c>
      <c r="FM1" s="36" t="s">
        <v>184</v>
      </c>
      <c r="FN1" s="36"/>
      <c r="FO1" s="36"/>
      <c r="FP1" s="37"/>
      <c r="FQ1" s="37"/>
      <c r="FR1" s="36" t="s">
        <v>185</v>
      </c>
      <c r="FS1" s="36"/>
      <c r="FT1" s="36"/>
      <c r="FU1" s="36"/>
      <c r="FV1" s="37"/>
      <c r="FW1" s="37"/>
      <c r="FX1" s="37"/>
      <c r="FZ1" s="16"/>
      <c r="GA1" s="38"/>
      <c r="GB1" s="38"/>
      <c r="GC1" s="16"/>
      <c r="GD1" s="16"/>
      <c r="GE1" s="16"/>
      <c r="GF1" s="16"/>
      <c r="GG1" s="36" t="s">
        <v>186</v>
      </c>
      <c r="GH1" s="39"/>
      <c r="GI1" s="39"/>
      <c r="GJ1" s="39"/>
      <c r="GK1" s="14"/>
      <c r="GL1" s="14"/>
      <c r="GM1" s="14"/>
      <c r="GN1" s="14"/>
      <c r="GO1" s="14"/>
      <c r="GP1" s="14"/>
      <c r="GQ1" s="14"/>
      <c r="GR1" s="14"/>
      <c r="GS1" s="14"/>
      <c r="GT1" s="14"/>
      <c r="GU1" s="14"/>
      <c r="GV1" s="14"/>
      <c r="GW1" s="14"/>
      <c r="GX1" s="14"/>
      <c r="GY1" s="14"/>
      <c r="GZ1" s="14"/>
      <c r="HA1" s="14"/>
      <c r="HB1" s="14"/>
      <c r="HC1" s="14"/>
      <c r="HD1" s="14"/>
      <c r="HE1" s="14"/>
      <c r="HF1" s="14"/>
      <c r="HG1" s="14"/>
      <c r="HH1" s="14"/>
      <c r="HI1" s="14"/>
      <c r="HJ1" s="14"/>
      <c r="HK1" s="14"/>
      <c r="HL1" s="14"/>
      <c r="HM1" s="14"/>
      <c r="HN1" s="14"/>
      <c r="HO1" s="14"/>
      <c r="HP1" s="14"/>
      <c r="HQ1" s="14"/>
      <c r="HR1" s="14"/>
      <c r="HS1" s="14"/>
      <c r="HT1" s="14"/>
      <c r="HU1" s="14"/>
      <c r="HV1" s="14"/>
      <c r="HW1" s="14"/>
      <c r="HX1" s="40" t="s">
        <v>187</v>
      </c>
      <c r="HY1" s="40"/>
      <c r="HZ1" s="41"/>
      <c r="IA1" s="41"/>
      <c r="IB1" s="41"/>
      <c r="IC1" s="41"/>
      <c r="ID1" s="41"/>
      <c r="IE1" s="41"/>
      <c r="IF1" s="41"/>
      <c r="IG1" s="41"/>
      <c r="IH1" s="41"/>
      <c r="II1" s="41"/>
      <c r="IJ1" s="41"/>
      <c r="IK1" s="42"/>
      <c r="IL1" s="41"/>
      <c r="IM1" s="41"/>
      <c r="IN1" s="40" t="s">
        <v>188</v>
      </c>
      <c r="IO1" s="40"/>
      <c r="IP1" s="40"/>
      <c r="IQ1" s="40"/>
      <c r="IR1" s="40"/>
      <c r="IS1" s="41"/>
      <c r="IT1" s="41"/>
      <c r="IU1" s="41"/>
      <c r="IV1" s="41"/>
      <c r="IW1" s="41"/>
      <c r="IX1" s="41"/>
      <c r="IY1" s="41"/>
      <c r="IZ1" s="41"/>
      <c r="JA1" s="41"/>
      <c r="JB1" s="41"/>
      <c r="JC1" s="41"/>
      <c r="JD1" s="41"/>
      <c r="JE1" s="41"/>
      <c r="JF1" s="41"/>
      <c r="JG1" s="41"/>
      <c r="JH1" s="41"/>
      <c r="JI1" s="41"/>
      <c r="JJ1" s="41"/>
      <c r="JK1" s="41"/>
      <c r="JL1" s="41"/>
      <c r="JM1" s="41"/>
      <c r="JN1" s="41"/>
      <c r="JO1" s="41"/>
      <c r="JP1" s="41"/>
      <c r="JQ1" s="41"/>
      <c r="JR1" s="41"/>
      <c r="JS1" s="41"/>
      <c r="JT1" s="41"/>
      <c r="JU1" s="41"/>
      <c r="JV1" s="41"/>
      <c r="JW1" s="41"/>
      <c r="JX1" s="41"/>
      <c r="JY1" s="41"/>
      <c r="JZ1" s="41"/>
      <c r="KA1" s="41"/>
      <c r="KB1" s="41"/>
      <c r="KC1" s="40" t="s">
        <v>189</v>
      </c>
      <c r="KD1" s="19"/>
      <c r="KE1" s="19"/>
      <c r="KF1" s="19"/>
      <c r="KG1" s="19"/>
      <c r="KH1" s="42"/>
      <c r="KI1" s="42"/>
      <c r="KJ1" s="42"/>
      <c r="KK1" s="40" t="s">
        <v>190</v>
      </c>
      <c r="KL1" s="19"/>
      <c r="KM1" s="42"/>
      <c r="KN1" s="42"/>
      <c r="KO1" s="42"/>
    </row>
    <row r="2" spans="1:327" x14ac:dyDescent="0.25">
      <c r="A2" s="1"/>
      <c r="B2" s="2"/>
      <c r="C2" s="2"/>
      <c r="D2" s="2"/>
      <c r="E2" s="3"/>
      <c r="F2" s="3"/>
      <c r="G2" s="4"/>
      <c r="H2" s="1"/>
      <c r="I2" s="7"/>
      <c r="J2" s="6" t="s">
        <v>191</v>
      </c>
      <c r="K2" s="7"/>
      <c r="L2" s="7"/>
      <c r="M2" s="7"/>
      <c r="N2" s="7"/>
      <c r="O2" s="3"/>
      <c r="P2" s="7"/>
      <c r="Q2" s="6" t="s">
        <v>192</v>
      </c>
      <c r="R2" s="5"/>
      <c r="S2" s="5"/>
      <c r="T2" s="5"/>
      <c r="U2" s="5"/>
      <c r="V2" s="5"/>
      <c r="W2" s="5"/>
      <c r="X2" s="5"/>
      <c r="Y2" s="5"/>
      <c r="Z2" s="5"/>
      <c r="AA2" s="5"/>
      <c r="AB2" s="5"/>
      <c r="AC2" s="5"/>
      <c r="AD2" s="5"/>
      <c r="AE2" s="5"/>
      <c r="AF2" s="5"/>
      <c r="AG2" s="5"/>
      <c r="AH2" s="5"/>
      <c r="AI2" s="5"/>
      <c r="AJ2" s="5"/>
      <c r="AK2" s="5"/>
      <c r="AL2" s="7"/>
      <c r="AM2" s="7"/>
      <c r="AO2" s="10" t="s">
        <v>193</v>
      </c>
      <c r="AP2" s="10"/>
      <c r="AR2" s="5"/>
      <c r="AS2" s="5"/>
      <c r="AT2" s="5"/>
      <c r="AU2" s="5"/>
      <c r="AV2" s="11"/>
      <c r="AX2" s="5"/>
      <c r="AY2" s="5"/>
      <c r="AZ2" s="44"/>
      <c r="BA2" s="45" t="s">
        <v>194</v>
      </c>
      <c r="BB2" s="46"/>
      <c r="BC2" s="46"/>
      <c r="BD2" s="46"/>
      <c r="BE2" s="46"/>
      <c r="BF2" s="44"/>
      <c r="BG2" s="46"/>
      <c r="BH2" s="46"/>
      <c r="BI2" s="46"/>
      <c r="BJ2" s="46"/>
      <c r="BK2" s="46"/>
      <c r="BL2" s="46"/>
      <c r="BM2" s="47"/>
      <c r="BN2" s="5"/>
      <c r="BO2" s="48"/>
      <c r="BP2" s="49" t="s">
        <v>195</v>
      </c>
      <c r="BQ2" s="49"/>
      <c r="BR2" s="50"/>
      <c r="BS2" s="48"/>
      <c r="BT2" s="49" t="s">
        <v>196</v>
      </c>
      <c r="BU2" s="49"/>
      <c r="BV2" s="50"/>
      <c r="BW2" s="51"/>
      <c r="BX2" s="52" t="s">
        <v>195</v>
      </c>
      <c r="BY2" s="53"/>
      <c r="BZ2" s="51"/>
      <c r="CA2" s="52" t="s">
        <v>196</v>
      </c>
      <c r="CB2" s="53"/>
      <c r="CC2" s="54"/>
      <c r="CD2" s="55" t="s">
        <v>195</v>
      </c>
      <c r="CE2" s="55"/>
      <c r="CF2" s="56"/>
      <c r="CG2" s="54"/>
      <c r="CH2" s="55" t="s">
        <v>196</v>
      </c>
      <c r="CI2" s="55"/>
      <c r="CJ2" s="56"/>
      <c r="CK2" s="57"/>
      <c r="CL2" s="58" t="s">
        <v>195</v>
      </c>
      <c r="CM2" s="59"/>
      <c r="CN2" s="57"/>
      <c r="CO2" s="58" t="s">
        <v>196</v>
      </c>
      <c r="CP2" s="59"/>
      <c r="CQ2" s="5"/>
      <c r="CR2" s="60" t="s">
        <v>197</v>
      </c>
      <c r="CS2" s="10"/>
      <c r="CT2" s="10"/>
      <c r="CU2" s="10"/>
      <c r="CV2" s="10"/>
      <c r="CW2" s="10"/>
      <c r="CX2" s="10"/>
      <c r="CY2" s="10"/>
      <c r="CZ2" s="10"/>
      <c r="DA2" s="10"/>
      <c r="DB2" s="10"/>
      <c r="DC2" s="10"/>
      <c r="DD2" s="10"/>
      <c r="DE2" s="10"/>
      <c r="DF2" s="61"/>
      <c r="DG2" s="5"/>
      <c r="DH2" s="48"/>
      <c r="DI2" s="49" t="s">
        <v>198</v>
      </c>
      <c r="DJ2" s="49"/>
      <c r="DK2" s="50"/>
      <c r="DL2" s="15"/>
      <c r="DM2" s="48"/>
      <c r="DN2" s="49" t="s">
        <v>199</v>
      </c>
      <c r="DO2" s="49"/>
      <c r="DP2" s="50"/>
      <c r="DQ2" s="16"/>
      <c r="DR2" s="5"/>
      <c r="DS2" s="51"/>
      <c r="DT2" s="52" t="s">
        <v>200</v>
      </c>
      <c r="DU2" s="53"/>
      <c r="DV2" s="16"/>
      <c r="DW2" s="62"/>
      <c r="DX2" s="52" t="s">
        <v>196</v>
      </c>
      <c r="DY2" s="53"/>
      <c r="DZ2" s="16"/>
      <c r="EA2" s="5"/>
      <c r="EB2" s="54"/>
      <c r="EC2" s="55" t="s">
        <v>200</v>
      </c>
      <c r="ED2" s="55"/>
      <c r="EE2" s="56"/>
      <c r="EF2" s="16"/>
      <c r="EG2" s="54"/>
      <c r="EH2" s="55" t="s">
        <v>201</v>
      </c>
      <c r="EI2" s="55"/>
      <c r="EJ2" s="56"/>
      <c r="EK2" s="16"/>
      <c r="EL2" s="5"/>
      <c r="EM2" s="57"/>
      <c r="EN2" s="58" t="s">
        <v>200</v>
      </c>
      <c r="EO2" s="59"/>
      <c r="EP2" s="16"/>
      <c r="EQ2" s="57"/>
      <c r="ER2" s="58" t="s">
        <v>196</v>
      </c>
      <c r="ES2" s="59"/>
      <c r="ET2" s="16"/>
      <c r="EU2" s="5"/>
      <c r="EV2" s="63"/>
      <c r="EW2" s="64"/>
      <c r="EX2" s="63" t="s">
        <v>202</v>
      </c>
      <c r="EY2" s="64"/>
      <c r="EZ2" s="64"/>
      <c r="FA2" s="65"/>
      <c r="FB2" s="66" t="s">
        <v>202</v>
      </c>
      <c r="FC2" s="65"/>
      <c r="FD2" s="65"/>
      <c r="FE2" s="66" t="s">
        <v>202</v>
      </c>
      <c r="FF2" s="65"/>
      <c r="FG2" s="65"/>
      <c r="FH2" s="66" t="s">
        <v>202</v>
      </c>
      <c r="FI2" s="65"/>
      <c r="FJ2" s="65"/>
      <c r="FK2" s="66" t="s">
        <v>202</v>
      </c>
      <c r="FL2" s="67"/>
      <c r="FM2" s="5"/>
      <c r="FN2" s="68"/>
      <c r="FO2" s="69"/>
      <c r="FP2" s="63"/>
      <c r="FQ2" s="70" t="s">
        <v>202</v>
      </c>
      <c r="FR2" s="5"/>
      <c r="FS2" s="71" t="s">
        <v>203</v>
      </c>
      <c r="FT2" s="72"/>
      <c r="FU2" s="64"/>
      <c r="FV2" s="69"/>
      <c r="FW2" s="64"/>
      <c r="FX2" s="73"/>
      <c r="FY2" s="5"/>
      <c r="FZ2" s="16"/>
      <c r="GA2" s="16"/>
      <c r="GB2" s="16"/>
      <c r="GC2" s="16"/>
      <c r="GD2" s="16"/>
      <c r="GE2" s="16"/>
      <c r="GF2" s="16"/>
      <c r="GG2" s="5"/>
      <c r="GH2" s="65"/>
      <c r="GI2" s="66" t="s">
        <v>202</v>
      </c>
      <c r="GJ2" s="65"/>
      <c r="GK2" s="65"/>
      <c r="GL2" s="66" t="s">
        <v>202</v>
      </c>
      <c r="GM2" s="65"/>
      <c r="GN2" s="65"/>
      <c r="GO2" s="66" t="s">
        <v>202</v>
      </c>
      <c r="GP2" s="65"/>
      <c r="GQ2" s="65"/>
      <c r="GR2" s="66" t="s">
        <v>202</v>
      </c>
      <c r="GS2" s="65"/>
      <c r="GT2" s="65"/>
      <c r="GU2" s="66" t="s">
        <v>202</v>
      </c>
      <c r="GV2" s="65"/>
      <c r="GW2" s="65"/>
      <c r="GX2" s="66" t="s">
        <v>202</v>
      </c>
      <c r="GY2" s="65"/>
      <c r="GZ2" s="65"/>
      <c r="HA2" s="66" t="s">
        <v>202</v>
      </c>
      <c r="HB2" s="65"/>
      <c r="HC2" s="65"/>
      <c r="HD2" s="66" t="s">
        <v>202</v>
      </c>
      <c r="HE2" s="65"/>
      <c r="HF2" s="65"/>
      <c r="HG2" s="66" t="s">
        <v>202</v>
      </c>
      <c r="HH2" s="65"/>
      <c r="HI2" s="65"/>
      <c r="HJ2" s="66" t="s">
        <v>202</v>
      </c>
      <c r="HK2" s="65"/>
      <c r="HL2" s="65"/>
      <c r="HM2" s="66" t="s">
        <v>202</v>
      </c>
      <c r="HN2" s="65"/>
      <c r="HO2" s="65"/>
      <c r="HP2" s="66" t="s">
        <v>202</v>
      </c>
      <c r="HQ2" s="65"/>
      <c r="HR2" s="65"/>
      <c r="HS2" s="66" t="s">
        <v>202</v>
      </c>
      <c r="HT2" s="65"/>
      <c r="HU2" s="65"/>
      <c r="HV2" s="66" t="s">
        <v>202</v>
      </c>
      <c r="HW2" s="65"/>
      <c r="HY2" s="41"/>
      <c r="HZ2" s="75"/>
      <c r="IA2" s="76"/>
      <c r="IB2" s="69" t="s">
        <v>204</v>
      </c>
      <c r="IC2" s="76"/>
      <c r="ID2" s="77"/>
      <c r="IE2" s="41"/>
      <c r="IF2" s="75"/>
      <c r="IG2" s="76"/>
      <c r="IH2" s="69" t="s">
        <v>202</v>
      </c>
      <c r="II2" s="76"/>
      <c r="IJ2" s="76"/>
      <c r="IK2" s="42"/>
      <c r="IL2" s="41"/>
      <c r="IM2" s="41"/>
      <c r="IN2" s="5"/>
      <c r="IO2" s="75"/>
      <c r="IP2" s="76"/>
      <c r="IQ2" s="66" t="s">
        <v>204</v>
      </c>
      <c r="IR2" s="76"/>
      <c r="IS2" s="77"/>
      <c r="IT2" s="75"/>
      <c r="IU2" s="76"/>
      <c r="IV2" s="66" t="s">
        <v>202</v>
      </c>
      <c r="IW2" s="76"/>
      <c r="IX2" s="77"/>
      <c r="IY2" s="75"/>
      <c r="IZ2" s="76"/>
      <c r="JA2" s="66" t="s">
        <v>204</v>
      </c>
      <c r="JB2" s="76"/>
      <c r="JC2" s="77"/>
      <c r="JD2" s="75"/>
      <c r="JE2" s="76"/>
      <c r="JF2" s="66" t="s">
        <v>202</v>
      </c>
      <c r="JG2" s="76"/>
      <c r="JH2" s="77"/>
      <c r="JI2" s="75"/>
      <c r="JJ2" s="76"/>
      <c r="JK2" s="66" t="s">
        <v>204</v>
      </c>
      <c r="JL2" s="76"/>
      <c r="JM2" s="77"/>
      <c r="JN2" s="75"/>
      <c r="JO2" s="76"/>
      <c r="JP2" s="66" t="s">
        <v>202</v>
      </c>
      <c r="JQ2" s="76"/>
      <c r="JR2" s="77"/>
      <c r="JS2" s="75"/>
      <c r="JT2" s="76"/>
      <c r="JU2" s="66" t="s">
        <v>204</v>
      </c>
      <c r="JV2" s="76"/>
      <c r="JW2" s="77"/>
      <c r="JX2" s="75"/>
      <c r="JY2" s="76"/>
      <c r="JZ2" s="66" t="s">
        <v>202</v>
      </c>
      <c r="KA2" s="76"/>
      <c r="KB2" s="77"/>
      <c r="KC2" s="5"/>
      <c r="KD2" s="78"/>
      <c r="KE2" s="78" t="s">
        <v>205</v>
      </c>
      <c r="KF2" s="69"/>
      <c r="KG2" s="69"/>
      <c r="KH2" s="79"/>
      <c r="KI2" s="79"/>
      <c r="KJ2" s="79"/>
    </row>
    <row r="3" spans="1:327" ht="15" customHeight="1" x14ac:dyDescent="0.25">
      <c r="A3" s="1"/>
      <c r="B3" s="2"/>
      <c r="C3" s="2"/>
      <c r="D3" s="2"/>
      <c r="E3" s="3"/>
      <c r="F3" s="3"/>
      <c r="G3" s="4"/>
      <c r="H3" s="1"/>
      <c r="I3" s="7"/>
      <c r="J3" s="7"/>
      <c r="K3" s="7"/>
      <c r="L3" s="7"/>
      <c r="M3" s="7"/>
      <c r="N3" s="7"/>
      <c r="O3" s="3"/>
      <c r="P3" s="7"/>
      <c r="Q3" s="5"/>
      <c r="R3" s="382"/>
      <c r="S3" s="80"/>
      <c r="T3" s="81"/>
      <c r="U3" s="81"/>
      <c r="V3" s="80"/>
      <c r="W3" s="81"/>
      <c r="X3" s="81"/>
      <c r="Y3" s="81"/>
      <c r="Z3" s="81"/>
      <c r="AA3" s="81"/>
      <c r="AB3" s="81"/>
      <c r="AC3" s="81"/>
      <c r="AD3" s="81"/>
      <c r="AE3" s="81"/>
      <c r="AF3" s="383" t="s">
        <v>206</v>
      </c>
      <c r="AG3" s="81"/>
      <c r="AH3" s="81"/>
      <c r="AI3" s="81"/>
      <c r="AJ3" s="81"/>
      <c r="AK3" s="81"/>
      <c r="AL3" s="81"/>
      <c r="AM3" s="7"/>
      <c r="AN3" s="7"/>
      <c r="AP3" s="5"/>
      <c r="AR3" s="5"/>
      <c r="AS3" s="5"/>
      <c r="AU3" s="5"/>
      <c r="AV3" s="11"/>
      <c r="AW3" s="7"/>
      <c r="AX3" s="5"/>
      <c r="AZ3" s="82" t="s">
        <v>207</v>
      </c>
      <c r="BA3" s="83"/>
      <c r="BB3" s="84"/>
      <c r="BC3" s="85"/>
      <c r="BD3" s="86"/>
      <c r="BE3" s="384">
        <v>2025</v>
      </c>
      <c r="BF3" s="386" t="s">
        <v>208</v>
      </c>
      <c r="BG3" s="387"/>
      <c r="BH3" s="388"/>
      <c r="BI3" s="384"/>
      <c r="BJ3" s="384">
        <v>2030</v>
      </c>
      <c r="BK3" s="87" t="s">
        <v>209</v>
      </c>
      <c r="BL3" s="44"/>
      <c r="BM3" s="88"/>
      <c r="BO3" s="89"/>
      <c r="BP3" s="46" t="s">
        <v>210</v>
      </c>
      <c r="BQ3" s="90"/>
      <c r="BR3" s="91"/>
      <c r="BS3" s="89"/>
      <c r="BT3" s="46" t="s">
        <v>210</v>
      </c>
      <c r="BU3" s="90"/>
      <c r="BV3" s="91"/>
      <c r="BW3" s="92"/>
      <c r="BX3" s="93" t="s">
        <v>211</v>
      </c>
      <c r="BY3" s="94"/>
      <c r="BZ3" s="92"/>
      <c r="CA3" s="93" t="s">
        <v>211</v>
      </c>
      <c r="CB3" s="94"/>
      <c r="CC3" s="95" t="s">
        <v>212</v>
      </c>
      <c r="CD3" s="96"/>
      <c r="CE3" s="97"/>
      <c r="CF3" s="98"/>
      <c r="CG3" s="95" t="s">
        <v>212</v>
      </c>
      <c r="CH3" s="96"/>
      <c r="CI3" s="97"/>
      <c r="CJ3" s="98"/>
      <c r="CK3" s="99"/>
      <c r="CL3" s="100" t="s">
        <v>213</v>
      </c>
      <c r="CM3" s="101"/>
      <c r="CN3" s="99"/>
      <c r="CO3" s="100" t="s">
        <v>213</v>
      </c>
      <c r="CP3" s="101"/>
      <c r="CR3" s="89"/>
      <c r="CS3" s="46" t="s">
        <v>214</v>
      </c>
      <c r="CT3" s="90"/>
      <c r="CU3" s="91"/>
      <c r="CV3" s="92"/>
      <c r="CW3" s="93" t="s">
        <v>215</v>
      </c>
      <c r="CX3" s="94"/>
      <c r="CY3" s="95" t="s">
        <v>212</v>
      </c>
      <c r="CZ3" s="96"/>
      <c r="DA3" s="97"/>
      <c r="DB3" s="98"/>
      <c r="DC3" s="99"/>
      <c r="DD3" s="100" t="s">
        <v>213</v>
      </c>
      <c r="DE3" s="101"/>
      <c r="DF3" s="61"/>
      <c r="DH3" s="89"/>
      <c r="DI3" s="46" t="s">
        <v>216</v>
      </c>
      <c r="DJ3" s="90"/>
      <c r="DK3" s="91"/>
      <c r="DL3" s="15"/>
      <c r="DM3" s="89"/>
      <c r="DN3" s="46" t="s">
        <v>216</v>
      </c>
      <c r="DO3" s="90"/>
      <c r="DP3" s="91"/>
      <c r="DQ3" s="16"/>
      <c r="DS3" s="92"/>
      <c r="DT3" s="93" t="s">
        <v>211</v>
      </c>
      <c r="DU3" s="94"/>
      <c r="DV3" s="16"/>
      <c r="DW3" s="92"/>
      <c r="DX3" s="93" t="s">
        <v>211</v>
      </c>
      <c r="DY3" s="94"/>
      <c r="DZ3" s="16"/>
      <c r="EB3" s="95"/>
      <c r="EC3" s="96" t="s">
        <v>212</v>
      </c>
      <c r="ED3" s="97"/>
      <c r="EE3" s="98"/>
      <c r="EF3" s="16"/>
      <c r="EG3" s="95"/>
      <c r="EH3" s="96" t="s">
        <v>212</v>
      </c>
      <c r="EI3" s="97"/>
      <c r="EJ3" s="98"/>
      <c r="EK3" s="16"/>
      <c r="EM3" s="99"/>
      <c r="EN3" s="100" t="s">
        <v>213</v>
      </c>
      <c r="EO3" s="101"/>
      <c r="EP3" s="16"/>
      <c r="EQ3" s="99"/>
      <c r="ER3" s="100" t="s">
        <v>213</v>
      </c>
      <c r="ES3" s="101"/>
      <c r="ET3" s="16"/>
      <c r="EV3" s="63"/>
      <c r="EW3" s="69"/>
      <c r="EX3" s="63" t="s">
        <v>217</v>
      </c>
      <c r="EY3" s="64"/>
      <c r="EZ3" s="64"/>
      <c r="FA3" s="68"/>
      <c r="FB3" s="64" t="s">
        <v>218</v>
      </c>
      <c r="FC3" s="102"/>
      <c r="FD3" s="68"/>
      <c r="FE3" s="103" t="s">
        <v>215</v>
      </c>
      <c r="FF3" s="102"/>
      <c r="FG3" s="68"/>
      <c r="FH3" s="104" t="s">
        <v>219</v>
      </c>
      <c r="FI3" s="102"/>
      <c r="FJ3" s="68"/>
      <c r="FK3" s="105" t="s">
        <v>220</v>
      </c>
      <c r="FL3" s="106"/>
      <c r="FN3" s="107" t="s">
        <v>221</v>
      </c>
      <c r="FO3" s="69"/>
      <c r="FP3" s="108"/>
      <c r="FQ3" s="109" t="s">
        <v>222</v>
      </c>
      <c r="FS3" s="110" t="s">
        <v>223</v>
      </c>
      <c r="FT3" s="152"/>
      <c r="FU3" s="111" t="s">
        <v>224</v>
      </c>
      <c r="FV3" s="112"/>
      <c r="FW3" s="113" t="s">
        <v>225</v>
      </c>
      <c r="FX3" s="152"/>
      <c r="FZ3" s="16"/>
      <c r="GA3" s="16"/>
      <c r="GB3" s="16"/>
      <c r="GC3" s="16"/>
      <c r="GD3" s="16"/>
      <c r="GE3" s="16"/>
      <c r="GF3" s="16"/>
      <c r="GH3" s="151"/>
      <c r="GI3" s="114" t="s">
        <v>226</v>
      </c>
      <c r="GJ3" s="114"/>
      <c r="GK3" s="151"/>
      <c r="GL3" s="114" t="s">
        <v>227</v>
      </c>
      <c r="GM3" s="151"/>
      <c r="GN3" s="151"/>
      <c r="GO3" s="114" t="s">
        <v>228</v>
      </c>
      <c r="GP3" s="151"/>
      <c r="GQ3" s="151"/>
      <c r="GR3" s="114" t="s">
        <v>229</v>
      </c>
      <c r="GS3" s="151"/>
      <c r="GT3" s="171"/>
      <c r="GU3" s="115" t="s">
        <v>230</v>
      </c>
      <c r="GV3" s="171"/>
      <c r="GW3" s="171"/>
      <c r="GX3" s="115" t="s">
        <v>231</v>
      </c>
      <c r="GY3" s="171"/>
      <c r="GZ3" s="171"/>
      <c r="HA3" s="115" t="s">
        <v>232</v>
      </c>
      <c r="HB3" s="171"/>
      <c r="HC3" s="116"/>
      <c r="HD3" s="117" t="s">
        <v>233</v>
      </c>
      <c r="HE3" s="116"/>
      <c r="HF3" s="118"/>
      <c r="HG3" s="117" t="s">
        <v>234</v>
      </c>
      <c r="HH3" s="116"/>
      <c r="HI3" s="116"/>
      <c r="HJ3" s="119" t="s">
        <v>235</v>
      </c>
      <c r="HK3" s="116"/>
      <c r="HL3" s="116"/>
      <c r="HM3" s="119" t="s">
        <v>236</v>
      </c>
      <c r="HN3" s="116"/>
      <c r="HO3" s="172"/>
      <c r="HP3" s="120" t="s">
        <v>237</v>
      </c>
      <c r="HQ3" s="172"/>
      <c r="HR3" s="172"/>
      <c r="HS3" s="120" t="s">
        <v>238</v>
      </c>
      <c r="HT3" s="172"/>
      <c r="HU3" s="172"/>
      <c r="HV3" s="120" t="s">
        <v>239</v>
      </c>
      <c r="HW3" s="172"/>
      <c r="HY3" s="41"/>
      <c r="HZ3" s="75"/>
      <c r="IA3" s="76"/>
      <c r="IB3" s="84" t="s">
        <v>240</v>
      </c>
      <c r="IC3" s="76"/>
      <c r="ID3" s="77"/>
      <c r="IE3" s="41"/>
      <c r="IF3" s="75"/>
      <c r="IG3" s="76"/>
      <c r="IH3" s="84" t="s">
        <v>240</v>
      </c>
      <c r="II3" s="76"/>
      <c r="IJ3" s="77"/>
      <c r="IK3" s="121" t="s">
        <v>241</v>
      </c>
      <c r="IL3" s="122"/>
      <c r="IO3" s="75"/>
      <c r="IP3" s="76"/>
      <c r="IQ3" s="124" t="s">
        <v>218</v>
      </c>
      <c r="IR3" s="76"/>
      <c r="IS3" s="77"/>
      <c r="IT3" s="75"/>
      <c r="IU3" s="76"/>
      <c r="IV3" s="124" t="s">
        <v>218</v>
      </c>
      <c r="IW3" s="76"/>
      <c r="IX3" s="77"/>
      <c r="IY3" s="75"/>
      <c r="IZ3" s="76"/>
      <c r="JA3" s="125" t="s">
        <v>211</v>
      </c>
      <c r="JB3" s="76"/>
      <c r="JC3" s="77"/>
      <c r="JD3" s="75"/>
      <c r="JE3" s="76"/>
      <c r="JF3" s="125" t="s">
        <v>211</v>
      </c>
      <c r="JG3" s="76"/>
      <c r="JH3" s="77"/>
      <c r="JI3" s="75"/>
      <c r="JJ3" s="76"/>
      <c r="JK3" s="126" t="s">
        <v>219</v>
      </c>
      <c r="JL3" s="76"/>
      <c r="JM3" s="77"/>
      <c r="JN3" s="75"/>
      <c r="JO3" s="76"/>
      <c r="JP3" s="126" t="s">
        <v>219</v>
      </c>
      <c r="JQ3" s="76"/>
      <c r="JR3" s="77"/>
      <c r="JS3" s="75"/>
      <c r="JT3" s="76"/>
      <c r="JU3" s="105" t="s">
        <v>220</v>
      </c>
      <c r="JV3" s="76"/>
      <c r="JW3" s="77"/>
      <c r="JX3" s="75"/>
      <c r="JY3" s="76"/>
      <c r="JZ3" s="105" t="s">
        <v>220</v>
      </c>
      <c r="KA3" s="76"/>
      <c r="KB3" s="77"/>
      <c r="KD3" s="71" t="s">
        <v>242</v>
      </c>
      <c r="KE3" s="70"/>
      <c r="KF3" s="71" t="s">
        <v>243</v>
      </c>
      <c r="KG3" s="63"/>
      <c r="KH3" s="127"/>
      <c r="KI3" s="127"/>
      <c r="KJ3" s="127"/>
    </row>
    <row r="4" spans="1:327" ht="85.5" customHeight="1" x14ac:dyDescent="0.25">
      <c r="A4" s="128" t="s">
        <v>244</v>
      </c>
      <c r="B4" s="129" t="s">
        <v>245</v>
      </c>
      <c r="C4" s="129" t="s">
        <v>0</v>
      </c>
      <c r="D4" s="129" t="s">
        <v>1</v>
      </c>
      <c r="E4" s="129" t="s">
        <v>246</v>
      </c>
      <c r="F4" s="129" t="s">
        <v>247</v>
      </c>
      <c r="G4" s="129" t="s">
        <v>248</v>
      </c>
      <c r="H4" s="129" t="s">
        <v>249</v>
      </c>
      <c r="I4" s="129" t="s">
        <v>250</v>
      </c>
      <c r="J4" s="129" t="s">
        <v>2</v>
      </c>
      <c r="K4" s="129" t="s">
        <v>251</v>
      </c>
      <c r="L4" s="129" t="s">
        <v>252</v>
      </c>
      <c r="M4" s="129" t="s">
        <v>253</v>
      </c>
      <c r="N4" s="129" t="s">
        <v>254</v>
      </c>
      <c r="O4" s="129" t="s">
        <v>255</v>
      </c>
      <c r="P4" s="129" t="s">
        <v>256</v>
      </c>
      <c r="Q4" s="130" t="s">
        <v>257</v>
      </c>
      <c r="R4" s="129" t="s">
        <v>258</v>
      </c>
      <c r="S4" s="131">
        <v>2000</v>
      </c>
      <c r="T4" s="131">
        <v>2005</v>
      </c>
      <c r="U4" s="131">
        <v>2010</v>
      </c>
      <c r="V4" s="131">
        <v>2015</v>
      </c>
      <c r="W4" s="131">
        <v>2016</v>
      </c>
      <c r="X4" s="131">
        <v>2017</v>
      </c>
      <c r="Y4" s="131">
        <v>2018</v>
      </c>
      <c r="Z4" s="131">
        <v>2019</v>
      </c>
      <c r="AA4" s="131">
        <v>2020</v>
      </c>
      <c r="AB4" s="131">
        <v>2021</v>
      </c>
      <c r="AC4" s="131">
        <v>2022</v>
      </c>
      <c r="AD4" s="131">
        <v>2023</v>
      </c>
      <c r="AE4" s="131">
        <v>2024</v>
      </c>
      <c r="AF4" s="131">
        <v>2025</v>
      </c>
      <c r="AG4" s="131">
        <v>2026</v>
      </c>
      <c r="AH4" s="131">
        <v>2027</v>
      </c>
      <c r="AI4" s="131">
        <v>2028</v>
      </c>
      <c r="AJ4" s="131">
        <v>2029</v>
      </c>
      <c r="AK4" s="131">
        <v>2030</v>
      </c>
      <c r="AL4" s="129" t="s">
        <v>259</v>
      </c>
      <c r="AM4" s="129" t="s">
        <v>260</v>
      </c>
      <c r="AN4" s="129" t="s">
        <v>261</v>
      </c>
      <c r="AO4" s="132"/>
      <c r="AP4" s="133" t="s">
        <v>262</v>
      </c>
      <c r="AQ4" s="133" t="s">
        <v>263</v>
      </c>
      <c r="AR4" s="133" t="s">
        <v>264</v>
      </c>
      <c r="AS4" s="133" t="s">
        <v>265</v>
      </c>
      <c r="AT4" s="132"/>
      <c r="AU4" s="129" t="s">
        <v>266</v>
      </c>
      <c r="AV4" s="129" t="s">
        <v>267</v>
      </c>
      <c r="AW4" s="129" t="s">
        <v>268</v>
      </c>
      <c r="AX4" s="129" t="s">
        <v>269</v>
      </c>
      <c r="AY4" s="132"/>
      <c r="AZ4" s="542" t="s">
        <v>218</v>
      </c>
      <c r="BA4" s="543" t="s">
        <v>215</v>
      </c>
      <c r="BB4" s="544" t="s">
        <v>219</v>
      </c>
      <c r="BC4" s="545" t="s">
        <v>220</v>
      </c>
      <c r="BD4" s="134" t="s">
        <v>270</v>
      </c>
      <c r="BE4" s="135" t="s">
        <v>271</v>
      </c>
      <c r="BF4" s="135" t="s">
        <v>215</v>
      </c>
      <c r="BG4" s="135" t="s">
        <v>219</v>
      </c>
      <c r="BH4" s="389" t="s">
        <v>220</v>
      </c>
      <c r="BI4" s="135" t="s">
        <v>270</v>
      </c>
      <c r="BJ4" s="135" t="s">
        <v>271</v>
      </c>
      <c r="BK4" s="136" t="s">
        <v>215</v>
      </c>
      <c r="BL4" s="137" t="s">
        <v>219</v>
      </c>
      <c r="BM4" s="138" t="s">
        <v>220</v>
      </c>
      <c r="BN4" s="132"/>
      <c r="BO4" s="429" t="s">
        <v>272</v>
      </c>
      <c r="BP4" s="430" t="s">
        <v>273</v>
      </c>
      <c r="BQ4" s="430" t="s">
        <v>274</v>
      </c>
      <c r="BR4" s="431" t="s">
        <v>275</v>
      </c>
      <c r="BS4" s="429" t="s">
        <v>272</v>
      </c>
      <c r="BT4" s="430" t="s">
        <v>273</v>
      </c>
      <c r="BU4" s="430" t="s">
        <v>274</v>
      </c>
      <c r="BV4" s="432" t="s">
        <v>275</v>
      </c>
      <c r="BW4" s="546" t="s">
        <v>272</v>
      </c>
      <c r="BX4" s="547" t="s">
        <v>273</v>
      </c>
      <c r="BY4" s="548" t="s">
        <v>274</v>
      </c>
      <c r="BZ4" s="546" t="s">
        <v>272</v>
      </c>
      <c r="CA4" s="547" t="s">
        <v>273</v>
      </c>
      <c r="CB4" s="548" t="s">
        <v>274</v>
      </c>
      <c r="CC4" s="549" t="s">
        <v>276</v>
      </c>
      <c r="CD4" s="550" t="s">
        <v>277</v>
      </c>
      <c r="CE4" s="550" t="s">
        <v>278</v>
      </c>
      <c r="CF4" s="551" t="s">
        <v>279</v>
      </c>
      <c r="CG4" s="549" t="s">
        <v>276</v>
      </c>
      <c r="CH4" s="550" t="s">
        <v>277</v>
      </c>
      <c r="CI4" s="550" t="s">
        <v>278</v>
      </c>
      <c r="CJ4" s="551" t="s">
        <v>279</v>
      </c>
      <c r="CK4" s="552" t="s">
        <v>276</v>
      </c>
      <c r="CL4" s="553" t="s">
        <v>280</v>
      </c>
      <c r="CM4" s="554" t="s">
        <v>281</v>
      </c>
      <c r="CN4" s="552" t="s">
        <v>276</v>
      </c>
      <c r="CO4" s="553" t="s">
        <v>280</v>
      </c>
      <c r="CP4" s="554" t="s">
        <v>281</v>
      </c>
      <c r="CQ4" s="132"/>
      <c r="CR4" s="536" t="s">
        <v>272</v>
      </c>
      <c r="CS4" s="555" t="s">
        <v>273</v>
      </c>
      <c r="CT4" s="555" t="s">
        <v>274</v>
      </c>
      <c r="CU4" s="556" t="s">
        <v>275</v>
      </c>
      <c r="CV4" s="557" t="s">
        <v>272</v>
      </c>
      <c r="CW4" s="558" t="s">
        <v>273</v>
      </c>
      <c r="CX4" s="559" t="s">
        <v>274</v>
      </c>
      <c r="CY4" s="560" t="s">
        <v>276</v>
      </c>
      <c r="CZ4" s="561" t="s">
        <v>277</v>
      </c>
      <c r="DA4" s="561" t="s">
        <v>278</v>
      </c>
      <c r="DB4" s="562" t="s">
        <v>279</v>
      </c>
      <c r="DC4" s="563" t="s">
        <v>276</v>
      </c>
      <c r="DD4" s="553" t="s">
        <v>280</v>
      </c>
      <c r="DE4" s="564" t="s">
        <v>281</v>
      </c>
      <c r="DF4" s="153" t="s">
        <v>282</v>
      </c>
      <c r="DG4" s="132"/>
      <c r="DH4" s="139" t="s">
        <v>272</v>
      </c>
      <c r="DI4" s="140" t="s">
        <v>273</v>
      </c>
      <c r="DJ4" s="140" t="s">
        <v>274</v>
      </c>
      <c r="DK4" s="141" t="s">
        <v>275</v>
      </c>
      <c r="DL4" s="154" t="s">
        <v>283</v>
      </c>
      <c r="DM4" s="139" t="s">
        <v>272</v>
      </c>
      <c r="DN4" s="140" t="s">
        <v>273</v>
      </c>
      <c r="DO4" s="140" t="s">
        <v>274</v>
      </c>
      <c r="DP4" s="141" t="s">
        <v>275</v>
      </c>
      <c r="DQ4" s="154" t="s">
        <v>284</v>
      </c>
      <c r="DR4" s="132"/>
      <c r="DS4" s="142" t="s">
        <v>272</v>
      </c>
      <c r="DT4" s="143" t="s">
        <v>273</v>
      </c>
      <c r="DU4" s="144" t="s">
        <v>274</v>
      </c>
      <c r="DV4" s="155" t="s">
        <v>285</v>
      </c>
      <c r="DW4" s="142" t="s">
        <v>272</v>
      </c>
      <c r="DX4" s="143" t="s">
        <v>273</v>
      </c>
      <c r="DY4" s="144" t="s">
        <v>274</v>
      </c>
      <c r="DZ4" s="155" t="s">
        <v>286</v>
      </c>
      <c r="EA4" s="132"/>
      <c r="EB4" s="145" t="s">
        <v>276</v>
      </c>
      <c r="EC4" s="146" t="s">
        <v>277</v>
      </c>
      <c r="ED4" s="146" t="s">
        <v>278</v>
      </c>
      <c r="EE4" s="147" t="s">
        <v>279</v>
      </c>
      <c r="EF4" s="156" t="s">
        <v>287</v>
      </c>
      <c r="EG4" s="145" t="s">
        <v>276</v>
      </c>
      <c r="EH4" s="146" t="s">
        <v>277</v>
      </c>
      <c r="EI4" s="146" t="s">
        <v>278</v>
      </c>
      <c r="EJ4" s="147" t="s">
        <v>279</v>
      </c>
      <c r="EK4" s="156" t="s">
        <v>288</v>
      </c>
      <c r="EL4" s="132"/>
      <c r="EM4" s="148" t="s">
        <v>276</v>
      </c>
      <c r="EN4" s="149" t="s">
        <v>277</v>
      </c>
      <c r="EO4" s="150" t="s">
        <v>281</v>
      </c>
      <c r="EP4" s="157" t="s">
        <v>289</v>
      </c>
      <c r="EQ4" s="148" t="s">
        <v>276</v>
      </c>
      <c r="ER4" s="149" t="s">
        <v>277</v>
      </c>
      <c r="ES4" s="150" t="s">
        <v>281</v>
      </c>
      <c r="ET4" s="157" t="s">
        <v>290</v>
      </c>
      <c r="EU4" s="132"/>
      <c r="EV4" s="158" t="s">
        <v>291</v>
      </c>
      <c r="EW4" s="159" t="s">
        <v>292</v>
      </c>
      <c r="EX4" s="160" t="s">
        <v>293</v>
      </c>
      <c r="EY4" s="158" t="s">
        <v>294</v>
      </c>
      <c r="EZ4" s="159" t="s">
        <v>295</v>
      </c>
      <c r="FA4" s="160" t="s">
        <v>293</v>
      </c>
      <c r="FB4" s="158" t="s">
        <v>294</v>
      </c>
      <c r="FC4" s="161" t="s">
        <v>295</v>
      </c>
      <c r="FD4" s="160" t="s">
        <v>293</v>
      </c>
      <c r="FE4" s="158" t="s">
        <v>294</v>
      </c>
      <c r="FF4" s="161" t="s">
        <v>295</v>
      </c>
      <c r="FG4" s="160" t="s">
        <v>293</v>
      </c>
      <c r="FH4" s="158" t="s">
        <v>294</v>
      </c>
      <c r="FI4" s="161" t="s">
        <v>295</v>
      </c>
      <c r="FJ4" s="160" t="s">
        <v>293</v>
      </c>
      <c r="FK4" s="158" t="s">
        <v>294</v>
      </c>
      <c r="FL4" s="162" t="s">
        <v>295</v>
      </c>
      <c r="FM4" s="132"/>
      <c r="FN4" s="160" t="s">
        <v>296</v>
      </c>
      <c r="FO4" s="159" t="s">
        <v>297</v>
      </c>
      <c r="FP4" s="163" t="s">
        <v>298</v>
      </c>
      <c r="FQ4" s="163" t="s">
        <v>299</v>
      </c>
      <c r="FR4" s="132"/>
      <c r="FS4" s="160" t="s">
        <v>300</v>
      </c>
      <c r="FT4" s="164" t="s">
        <v>301</v>
      </c>
      <c r="FU4" s="163" t="s">
        <v>302</v>
      </c>
      <c r="FV4" s="163" t="s">
        <v>303</v>
      </c>
      <c r="FW4" s="165" t="s">
        <v>304</v>
      </c>
      <c r="FX4" s="166" t="s">
        <v>303</v>
      </c>
      <c r="FY4" s="132"/>
      <c r="FZ4" s="167" t="s">
        <v>305</v>
      </c>
      <c r="GA4" s="167" t="s">
        <v>306</v>
      </c>
      <c r="GB4" s="167" t="s">
        <v>307</v>
      </c>
      <c r="GC4" s="167" t="s">
        <v>308</v>
      </c>
      <c r="GD4" s="167" t="s">
        <v>309</v>
      </c>
      <c r="GE4" s="167" t="s">
        <v>310</v>
      </c>
      <c r="GF4" s="167" t="s">
        <v>311</v>
      </c>
      <c r="GG4" s="132"/>
      <c r="GH4" s="151" t="s">
        <v>293</v>
      </c>
      <c r="GI4" s="158" t="s">
        <v>294</v>
      </c>
      <c r="GJ4" s="159" t="s">
        <v>295</v>
      </c>
      <c r="GK4" s="151" t="s">
        <v>293</v>
      </c>
      <c r="GL4" s="158" t="s">
        <v>294</v>
      </c>
      <c r="GM4" s="159" t="s">
        <v>295</v>
      </c>
      <c r="GN4" s="151" t="s">
        <v>293</v>
      </c>
      <c r="GO4" s="158" t="s">
        <v>294</v>
      </c>
      <c r="GP4" s="159" t="s">
        <v>295</v>
      </c>
      <c r="GQ4" s="151" t="s">
        <v>293</v>
      </c>
      <c r="GR4" s="158" t="s">
        <v>294</v>
      </c>
      <c r="GS4" s="159" t="s">
        <v>295</v>
      </c>
      <c r="GT4" s="151" t="s">
        <v>293</v>
      </c>
      <c r="GU4" s="158" t="s">
        <v>294</v>
      </c>
      <c r="GV4" s="159" t="s">
        <v>295</v>
      </c>
      <c r="GW4" s="151" t="s">
        <v>293</v>
      </c>
      <c r="GX4" s="158" t="s">
        <v>294</v>
      </c>
      <c r="GY4" s="159" t="s">
        <v>295</v>
      </c>
      <c r="GZ4" s="151" t="s">
        <v>293</v>
      </c>
      <c r="HA4" s="158" t="s">
        <v>294</v>
      </c>
      <c r="HB4" s="159" t="s">
        <v>295</v>
      </c>
      <c r="HC4" s="151" t="s">
        <v>293</v>
      </c>
      <c r="HD4" s="158" t="s">
        <v>294</v>
      </c>
      <c r="HE4" s="159" t="s">
        <v>295</v>
      </c>
      <c r="HF4" s="151" t="s">
        <v>293</v>
      </c>
      <c r="HG4" s="158" t="s">
        <v>294</v>
      </c>
      <c r="HH4" s="159" t="s">
        <v>295</v>
      </c>
      <c r="HI4" s="151" t="s">
        <v>293</v>
      </c>
      <c r="HJ4" s="158" t="s">
        <v>294</v>
      </c>
      <c r="HK4" s="159" t="s">
        <v>295</v>
      </c>
      <c r="HL4" s="151" t="s">
        <v>293</v>
      </c>
      <c r="HM4" s="158" t="s">
        <v>294</v>
      </c>
      <c r="HN4" s="159" t="s">
        <v>295</v>
      </c>
      <c r="HO4" s="151" t="s">
        <v>293</v>
      </c>
      <c r="HP4" s="158" t="s">
        <v>294</v>
      </c>
      <c r="HQ4" s="159" t="s">
        <v>295</v>
      </c>
      <c r="HR4" s="151" t="s">
        <v>293</v>
      </c>
      <c r="HS4" s="158" t="s">
        <v>294</v>
      </c>
      <c r="HT4" s="159" t="s">
        <v>295</v>
      </c>
      <c r="HU4" s="151" t="s">
        <v>293</v>
      </c>
      <c r="HV4" s="158" t="s">
        <v>294</v>
      </c>
      <c r="HW4" s="159" t="s">
        <v>295</v>
      </c>
      <c r="HY4" s="168" t="s">
        <v>312</v>
      </c>
      <c r="HZ4" s="169" t="s">
        <v>313</v>
      </c>
      <c r="IA4" s="158" t="s">
        <v>314</v>
      </c>
      <c r="IB4" s="170" t="s">
        <v>315</v>
      </c>
      <c r="IC4" s="171" t="s">
        <v>316</v>
      </c>
      <c r="ID4" s="172" t="s">
        <v>317</v>
      </c>
      <c r="IE4" s="168" t="s">
        <v>318</v>
      </c>
      <c r="IF4" s="169" t="s">
        <v>313</v>
      </c>
      <c r="IG4" s="158" t="s">
        <v>314</v>
      </c>
      <c r="IH4" s="170" t="s">
        <v>315</v>
      </c>
      <c r="II4" s="171" t="s">
        <v>316</v>
      </c>
      <c r="IJ4" s="172" t="s">
        <v>317</v>
      </c>
      <c r="IK4" s="160" t="s">
        <v>300</v>
      </c>
      <c r="IL4" s="160" t="s">
        <v>319</v>
      </c>
      <c r="IM4" s="173" t="s">
        <v>320</v>
      </c>
      <c r="IN4" s="132"/>
      <c r="IO4" s="169" t="s">
        <v>313</v>
      </c>
      <c r="IP4" s="158" t="s">
        <v>314</v>
      </c>
      <c r="IQ4" s="170" t="s">
        <v>315</v>
      </c>
      <c r="IR4" s="171" t="s">
        <v>316</v>
      </c>
      <c r="IS4" s="172" t="s">
        <v>317</v>
      </c>
      <c r="IT4" s="169" t="s">
        <v>313</v>
      </c>
      <c r="IU4" s="158" t="s">
        <v>314</v>
      </c>
      <c r="IV4" s="170" t="s">
        <v>315</v>
      </c>
      <c r="IW4" s="171" t="s">
        <v>316</v>
      </c>
      <c r="IX4" s="172" t="s">
        <v>317</v>
      </c>
      <c r="IY4" s="169" t="s">
        <v>313</v>
      </c>
      <c r="IZ4" s="158" t="s">
        <v>314</v>
      </c>
      <c r="JA4" s="170" t="s">
        <v>315</v>
      </c>
      <c r="JB4" s="171" t="s">
        <v>316</v>
      </c>
      <c r="JC4" s="172" t="s">
        <v>317</v>
      </c>
      <c r="JD4" s="169" t="s">
        <v>313</v>
      </c>
      <c r="JE4" s="158" t="s">
        <v>314</v>
      </c>
      <c r="JF4" s="170" t="s">
        <v>315</v>
      </c>
      <c r="JG4" s="171" t="s">
        <v>316</v>
      </c>
      <c r="JH4" s="172" t="s">
        <v>317</v>
      </c>
      <c r="JI4" s="169" t="s">
        <v>313</v>
      </c>
      <c r="JJ4" s="158" t="s">
        <v>314</v>
      </c>
      <c r="JK4" s="170" t="s">
        <v>315</v>
      </c>
      <c r="JL4" s="171" t="s">
        <v>316</v>
      </c>
      <c r="JM4" s="172" t="s">
        <v>317</v>
      </c>
      <c r="JN4" s="169" t="s">
        <v>313</v>
      </c>
      <c r="JO4" s="158" t="s">
        <v>314</v>
      </c>
      <c r="JP4" s="170" t="s">
        <v>315</v>
      </c>
      <c r="JQ4" s="171" t="s">
        <v>316</v>
      </c>
      <c r="JR4" s="172" t="s">
        <v>317</v>
      </c>
      <c r="JS4" s="169" t="s">
        <v>313</v>
      </c>
      <c r="JT4" s="158" t="s">
        <v>314</v>
      </c>
      <c r="JU4" s="170" t="s">
        <v>315</v>
      </c>
      <c r="JV4" s="171" t="s">
        <v>316</v>
      </c>
      <c r="JW4" s="172" t="s">
        <v>317</v>
      </c>
      <c r="JX4" s="169" t="s">
        <v>313</v>
      </c>
      <c r="JY4" s="158" t="s">
        <v>314</v>
      </c>
      <c r="JZ4" s="170" t="s">
        <v>315</v>
      </c>
      <c r="KA4" s="171" t="s">
        <v>316</v>
      </c>
      <c r="KB4" s="172" t="s">
        <v>317</v>
      </c>
      <c r="KC4" s="132"/>
      <c r="KD4" s="171" t="s">
        <v>321</v>
      </c>
      <c r="KE4" s="172" t="s">
        <v>322</v>
      </c>
      <c r="KF4" s="160" t="s">
        <v>300</v>
      </c>
      <c r="KG4" s="160" t="s">
        <v>319</v>
      </c>
      <c r="KH4" s="153" t="s">
        <v>323</v>
      </c>
      <c r="KI4" s="153" t="s">
        <v>324</v>
      </c>
      <c r="KJ4" s="153" t="s">
        <v>325</v>
      </c>
    </row>
    <row r="5" spans="1:327" s="42" customFormat="1" ht="8.1" hidden="1" customHeight="1" x14ac:dyDescent="0.25">
      <c r="A5" s="174" t="s">
        <v>326</v>
      </c>
      <c r="B5" s="174" t="s">
        <v>326</v>
      </c>
      <c r="C5" s="174" t="s">
        <v>326</v>
      </c>
      <c r="D5" s="174" t="s">
        <v>326</v>
      </c>
      <c r="E5" s="174" t="s">
        <v>326</v>
      </c>
      <c r="F5" s="174" t="s">
        <v>326</v>
      </c>
      <c r="G5" s="174" t="s">
        <v>326</v>
      </c>
      <c r="H5" s="174" t="s">
        <v>326</v>
      </c>
      <c r="I5" s="174" t="s">
        <v>326</v>
      </c>
      <c r="J5" s="174" t="s">
        <v>326</v>
      </c>
      <c r="K5" s="174" t="s">
        <v>326</v>
      </c>
      <c r="L5" s="174" t="s">
        <v>326</v>
      </c>
      <c r="M5" s="174" t="s">
        <v>326</v>
      </c>
      <c r="N5" s="174" t="s">
        <v>326</v>
      </c>
      <c r="O5" s="174" t="s">
        <v>326</v>
      </c>
      <c r="P5" s="174" t="s">
        <v>326</v>
      </c>
      <c r="Q5" s="174" t="s">
        <v>326</v>
      </c>
      <c r="R5" s="174" t="s">
        <v>326</v>
      </c>
      <c r="S5" s="174" t="s">
        <v>326</v>
      </c>
      <c r="T5" s="174" t="s">
        <v>326</v>
      </c>
      <c r="U5" s="174" t="s">
        <v>326</v>
      </c>
      <c r="V5" s="174" t="s">
        <v>326</v>
      </c>
      <c r="W5" s="174" t="s">
        <v>326</v>
      </c>
      <c r="X5" s="174" t="s">
        <v>326</v>
      </c>
      <c r="Y5" s="174" t="s">
        <v>326</v>
      </c>
      <c r="Z5" s="174" t="s">
        <v>326</v>
      </c>
      <c r="AA5" s="174" t="s">
        <v>326</v>
      </c>
      <c r="AB5" s="174" t="s">
        <v>326</v>
      </c>
      <c r="AC5" s="174" t="s">
        <v>326</v>
      </c>
      <c r="AD5" s="174" t="s">
        <v>326</v>
      </c>
      <c r="AE5" s="174" t="s">
        <v>326</v>
      </c>
      <c r="AF5" s="174" t="s">
        <v>326</v>
      </c>
      <c r="AG5" s="174" t="s">
        <v>326</v>
      </c>
      <c r="AH5" s="174" t="s">
        <v>326</v>
      </c>
      <c r="AI5" s="174" t="s">
        <v>326</v>
      </c>
      <c r="AJ5" s="174" t="s">
        <v>326</v>
      </c>
      <c r="AK5" s="174" t="s">
        <v>326</v>
      </c>
      <c r="AL5" s="174" t="s">
        <v>326</v>
      </c>
      <c r="AM5" s="174" t="s">
        <v>326</v>
      </c>
      <c r="AN5" s="174" t="s">
        <v>326</v>
      </c>
      <c r="AO5" s="174"/>
      <c r="AP5" s="174" t="s">
        <v>326</v>
      </c>
      <c r="AQ5" s="174" t="s">
        <v>326</v>
      </c>
      <c r="AR5" s="174" t="s">
        <v>326</v>
      </c>
      <c r="AS5" s="174" t="s">
        <v>326</v>
      </c>
      <c r="AT5" s="132"/>
      <c r="AU5" s="174" t="s">
        <v>326</v>
      </c>
      <c r="AV5" s="174" t="s">
        <v>326</v>
      </c>
      <c r="AW5" s="174" t="s">
        <v>326</v>
      </c>
      <c r="AX5" s="174" t="s">
        <v>326</v>
      </c>
      <c r="AY5" s="132"/>
      <c r="AZ5" s="174" t="s">
        <v>326</v>
      </c>
      <c r="BA5" s="174" t="s">
        <v>326</v>
      </c>
      <c r="BB5" s="174" t="s">
        <v>326</v>
      </c>
      <c r="BC5" s="174" t="s">
        <v>326</v>
      </c>
      <c r="BD5" s="174"/>
      <c r="BE5" s="174" t="s">
        <v>326</v>
      </c>
      <c r="BF5" s="174" t="s">
        <v>326</v>
      </c>
      <c r="BG5" s="174" t="s">
        <v>326</v>
      </c>
      <c r="BH5" s="174" t="s">
        <v>326</v>
      </c>
      <c r="BI5" s="174"/>
      <c r="BJ5" s="174" t="s">
        <v>326</v>
      </c>
      <c r="BK5" s="174" t="s">
        <v>326</v>
      </c>
      <c r="BL5" s="174" t="s">
        <v>326</v>
      </c>
      <c r="BM5" s="174" t="s">
        <v>326</v>
      </c>
      <c r="BN5" s="132"/>
      <c r="BO5" s="174" t="s">
        <v>326</v>
      </c>
      <c r="BP5" s="174" t="s">
        <v>326</v>
      </c>
      <c r="BQ5" s="174" t="s">
        <v>326</v>
      </c>
      <c r="BR5" s="174" t="s">
        <v>326</v>
      </c>
      <c r="BS5" s="174" t="s">
        <v>326</v>
      </c>
      <c r="BT5" s="174" t="s">
        <v>326</v>
      </c>
      <c r="BU5" s="174" t="s">
        <v>326</v>
      </c>
      <c r="BV5" s="174" t="s">
        <v>326</v>
      </c>
      <c r="BW5" s="174" t="s">
        <v>326</v>
      </c>
      <c r="BX5" s="174" t="s">
        <v>326</v>
      </c>
      <c r="BY5" s="174" t="s">
        <v>326</v>
      </c>
      <c r="BZ5" s="174" t="s">
        <v>326</v>
      </c>
      <c r="CA5" s="174" t="s">
        <v>326</v>
      </c>
      <c r="CB5" s="174" t="s">
        <v>326</v>
      </c>
      <c r="CC5" s="174" t="s">
        <v>326</v>
      </c>
      <c r="CD5" s="174" t="s">
        <v>326</v>
      </c>
      <c r="CE5" s="174" t="s">
        <v>326</v>
      </c>
      <c r="CF5" s="174" t="s">
        <v>326</v>
      </c>
      <c r="CG5" s="174" t="s">
        <v>326</v>
      </c>
      <c r="CH5" s="174" t="s">
        <v>326</v>
      </c>
      <c r="CI5" s="174" t="s">
        <v>326</v>
      </c>
      <c r="CJ5" s="174" t="s">
        <v>326</v>
      </c>
      <c r="CK5" s="174" t="s">
        <v>326</v>
      </c>
      <c r="CL5" s="174" t="s">
        <v>326</v>
      </c>
      <c r="CM5" s="174" t="s">
        <v>326</v>
      </c>
      <c r="CN5" s="174" t="s">
        <v>326</v>
      </c>
      <c r="CO5" s="174" t="s">
        <v>326</v>
      </c>
      <c r="CP5" s="174" t="s">
        <v>326</v>
      </c>
      <c r="CQ5" s="132"/>
      <c r="CR5" s="174" t="s">
        <v>326</v>
      </c>
      <c r="CS5" s="174" t="s">
        <v>326</v>
      </c>
      <c r="CT5" s="174" t="s">
        <v>326</v>
      </c>
      <c r="CU5" s="174" t="s">
        <v>326</v>
      </c>
      <c r="CV5" s="174" t="s">
        <v>326</v>
      </c>
      <c r="CW5" s="174" t="s">
        <v>326</v>
      </c>
      <c r="CX5" s="174" t="s">
        <v>326</v>
      </c>
      <c r="CY5" s="174" t="s">
        <v>326</v>
      </c>
      <c r="CZ5" s="174" t="s">
        <v>326</v>
      </c>
      <c r="DA5" s="174" t="s">
        <v>326</v>
      </c>
      <c r="DB5" s="174" t="s">
        <v>326</v>
      </c>
      <c r="DC5" s="174" t="s">
        <v>326</v>
      </c>
      <c r="DD5" s="174" t="s">
        <v>326</v>
      </c>
      <c r="DE5" s="174" t="s">
        <v>326</v>
      </c>
      <c r="DF5" s="174" t="s">
        <v>326</v>
      </c>
      <c r="DG5" s="132"/>
      <c r="DH5" s="174" t="s">
        <v>326</v>
      </c>
      <c r="DI5" s="174" t="s">
        <v>326</v>
      </c>
      <c r="DJ5" s="174" t="s">
        <v>326</v>
      </c>
      <c r="DK5" s="174" t="s">
        <v>326</v>
      </c>
      <c r="DL5" s="175" t="s">
        <v>326</v>
      </c>
      <c r="DM5" s="174" t="s">
        <v>326</v>
      </c>
      <c r="DN5" s="174" t="s">
        <v>326</v>
      </c>
      <c r="DO5" s="174" t="s">
        <v>326</v>
      </c>
      <c r="DP5" s="174" t="s">
        <v>326</v>
      </c>
      <c r="DQ5" s="174" t="s">
        <v>326</v>
      </c>
      <c r="DR5" s="132"/>
      <c r="DS5" s="174" t="s">
        <v>326</v>
      </c>
      <c r="DT5" s="174" t="s">
        <v>326</v>
      </c>
      <c r="DU5" s="174" t="s">
        <v>326</v>
      </c>
      <c r="DV5" s="174" t="s">
        <v>326</v>
      </c>
      <c r="DW5" s="174" t="s">
        <v>326</v>
      </c>
      <c r="DX5" s="174" t="s">
        <v>326</v>
      </c>
      <c r="DY5" s="174" t="s">
        <v>326</v>
      </c>
      <c r="DZ5" s="174" t="s">
        <v>326</v>
      </c>
      <c r="EA5" s="132"/>
      <c r="EB5" s="174" t="s">
        <v>326</v>
      </c>
      <c r="EC5" s="174" t="s">
        <v>326</v>
      </c>
      <c r="ED5" s="174" t="s">
        <v>326</v>
      </c>
      <c r="EE5" s="174" t="s">
        <v>326</v>
      </c>
      <c r="EF5" s="174" t="s">
        <v>326</v>
      </c>
      <c r="EG5" s="174" t="s">
        <v>326</v>
      </c>
      <c r="EH5" s="174" t="s">
        <v>326</v>
      </c>
      <c r="EI5" s="174" t="s">
        <v>326</v>
      </c>
      <c r="EJ5" s="174" t="s">
        <v>326</v>
      </c>
      <c r="EK5" s="174" t="s">
        <v>326</v>
      </c>
      <c r="EL5" s="132"/>
      <c r="EM5" s="174" t="s">
        <v>326</v>
      </c>
      <c r="EN5" s="174" t="s">
        <v>326</v>
      </c>
      <c r="EO5" s="174" t="s">
        <v>326</v>
      </c>
      <c r="EP5" s="174" t="s">
        <v>326</v>
      </c>
      <c r="EQ5" s="174" t="s">
        <v>326</v>
      </c>
      <c r="ER5" s="174" t="s">
        <v>326</v>
      </c>
      <c r="ES5" s="174" t="s">
        <v>326</v>
      </c>
      <c r="ET5" s="174" t="s">
        <v>326</v>
      </c>
      <c r="EU5" s="132"/>
      <c r="EV5" s="176" t="s">
        <v>326</v>
      </c>
      <c r="EW5" s="176" t="s">
        <v>326</v>
      </c>
      <c r="EX5" s="176" t="s">
        <v>326</v>
      </c>
      <c r="EY5" s="176" t="s">
        <v>326</v>
      </c>
      <c r="EZ5" s="176" t="s">
        <v>326</v>
      </c>
      <c r="FA5" s="176" t="s">
        <v>326</v>
      </c>
      <c r="FB5" s="176" t="s">
        <v>326</v>
      </c>
      <c r="FC5" s="176" t="s">
        <v>326</v>
      </c>
      <c r="FD5" s="176" t="s">
        <v>326</v>
      </c>
      <c r="FE5" s="176" t="s">
        <v>326</v>
      </c>
      <c r="FF5" s="176" t="s">
        <v>326</v>
      </c>
      <c r="FG5" s="176" t="s">
        <v>326</v>
      </c>
      <c r="FH5" s="176" t="s">
        <v>326</v>
      </c>
      <c r="FI5" s="176" t="s">
        <v>326</v>
      </c>
      <c r="FJ5" s="176" t="s">
        <v>326</v>
      </c>
      <c r="FK5" s="176" t="s">
        <v>326</v>
      </c>
      <c r="FL5" s="177" t="s">
        <v>326</v>
      </c>
      <c r="FM5" s="132"/>
      <c r="FN5" s="176" t="s">
        <v>326</v>
      </c>
      <c r="FO5" s="176" t="s">
        <v>326</v>
      </c>
      <c r="FP5" s="176" t="s">
        <v>326</v>
      </c>
      <c r="FQ5" s="176" t="s">
        <v>326</v>
      </c>
      <c r="FR5" s="132"/>
      <c r="FS5" s="176" t="s">
        <v>326</v>
      </c>
      <c r="FT5" s="176" t="s">
        <v>326</v>
      </c>
      <c r="FU5" s="178" t="s">
        <v>326</v>
      </c>
      <c r="FV5" s="179" t="s">
        <v>326</v>
      </c>
      <c r="FW5" s="176" t="s">
        <v>326</v>
      </c>
      <c r="FX5" s="176" t="s">
        <v>326</v>
      </c>
      <c r="FY5" s="132"/>
      <c r="FZ5" s="176" t="s">
        <v>326</v>
      </c>
      <c r="GA5" s="176" t="s">
        <v>326</v>
      </c>
      <c r="GB5" s="176" t="s">
        <v>326</v>
      </c>
      <c r="GC5" s="176" t="s">
        <v>326</v>
      </c>
      <c r="GD5" s="176" t="s">
        <v>326</v>
      </c>
      <c r="GE5" s="176" t="s">
        <v>326</v>
      </c>
      <c r="GF5" s="176" t="s">
        <v>326</v>
      </c>
      <c r="GG5" s="132"/>
      <c r="GH5" s="176" t="s">
        <v>326</v>
      </c>
      <c r="GI5" s="176" t="s">
        <v>326</v>
      </c>
      <c r="GJ5" s="176" t="s">
        <v>326</v>
      </c>
      <c r="GK5" s="176" t="s">
        <v>326</v>
      </c>
      <c r="GL5" s="176" t="s">
        <v>326</v>
      </c>
      <c r="GM5" s="176" t="s">
        <v>326</v>
      </c>
      <c r="GN5" s="176" t="s">
        <v>326</v>
      </c>
      <c r="GO5" s="176" t="s">
        <v>326</v>
      </c>
      <c r="GP5" s="176" t="s">
        <v>326</v>
      </c>
      <c r="GQ5" s="176" t="s">
        <v>326</v>
      </c>
      <c r="GR5" s="176" t="s">
        <v>326</v>
      </c>
      <c r="GS5" s="176" t="s">
        <v>326</v>
      </c>
      <c r="GT5" s="176" t="s">
        <v>326</v>
      </c>
      <c r="GU5" s="176" t="s">
        <v>326</v>
      </c>
      <c r="GV5" s="176" t="s">
        <v>326</v>
      </c>
      <c r="GW5" s="176" t="s">
        <v>326</v>
      </c>
      <c r="GX5" s="176" t="s">
        <v>326</v>
      </c>
      <c r="GY5" s="176" t="s">
        <v>326</v>
      </c>
      <c r="GZ5" s="176" t="s">
        <v>326</v>
      </c>
      <c r="HA5" s="176" t="s">
        <v>326</v>
      </c>
      <c r="HB5" s="176" t="s">
        <v>326</v>
      </c>
      <c r="HC5" s="176" t="s">
        <v>326</v>
      </c>
      <c r="HD5" s="176" t="s">
        <v>326</v>
      </c>
      <c r="HE5" s="176" t="s">
        <v>326</v>
      </c>
      <c r="HF5" s="176" t="s">
        <v>326</v>
      </c>
      <c r="HG5" s="176" t="s">
        <v>326</v>
      </c>
      <c r="HH5" s="176" t="s">
        <v>326</v>
      </c>
      <c r="HI5" s="176" t="s">
        <v>326</v>
      </c>
      <c r="HJ5" s="176" t="s">
        <v>326</v>
      </c>
      <c r="HK5" s="176" t="s">
        <v>326</v>
      </c>
      <c r="HL5" s="176" t="s">
        <v>326</v>
      </c>
      <c r="HM5" s="176" t="s">
        <v>326</v>
      </c>
      <c r="HN5" s="176" t="s">
        <v>326</v>
      </c>
      <c r="HO5" s="176" t="s">
        <v>326</v>
      </c>
      <c r="HP5" s="176" t="s">
        <v>326</v>
      </c>
      <c r="HQ5" s="176" t="s">
        <v>326</v>
      </c>
      <c r="HR5" s="176" t="s">
        <v>326</v>
      </c>
      <c r="HS5" s="176" t="s">
        <v>326</v>
      </c>
      <c r="HT5" s="176" t="s">
        <v>326</v>
      </c>
      <c r="HU5" s="176" t="s">
        <v>326</v>
      </c>
      <c r="HV5" s="176" t="s">
        <v>326</v>
      </c>
      <c r="HW5" s="176" t="s">
        <v>326</v>
      </c>
      <c r="HX5" s="74"/>
      <c r="HY5" s="176" t="s">
        <v>326</v>
      </c>
      <c r="HZ5" s="176" t="s">
        <v>326</v>
      </c>
      <c r="IA5" s="176" t="s">
        <v>326</v>
      </c>
      <c r="IB5" s="176" t="s">
        <v>326</v>
      </c>
      <c r="IC5" s="176" t="s">
        <v>326</v>
      </c>
      <c r="ID5" s="176" t="s">
        <v>326</v>
      </c>
      <c r="IE5" s="176" t="s">
        <v>326</v>
      </c>
      <c r="IF5" s="176" t="s">
        <v>326</v>
      </c>
      <c r="IG5" s="176" t="s">
        <v>326</v>
      </c>
      <c r="IH5" s="176" t="s">
        <v>326</v>
      </c>
      <c r="II5" s="176" t="s">
        <v>326</v>
      </c>
      <c r="IJ5" s="176" t="s">
        <v>326</v>
      </c>
      <c r="IK5" s="176" t="s">
        <v>326</v>
      </c>
      <c r="IL5" s="176" t="s">
        <v>326</v>
      </c>
      <c r="IM5" s="176" t="s">
        <v>326</v>
      </c>
      <c r="IN5" s="132"/>
      <c r="IO5" s="176" t="s">
        <v>326</v>
      </c>
      <c r="IP5" s="176" t="s">
        <v>326</v>
      </c>
      <c r="IQ5" s="176" t="s">
        <v>326</v>
      </c>
      <c r="IR5" s="176" t="s">
        <v>326</v>
      </c>
      <c r="IS5" s="176" t="s">
        <v>326</v>
      </c>
      <c r="IT5" s="176" t="s">
        <v>326</v>
      </c>
      <c r="IU5" s="176" t="s">
        <v>326</v>
      </c>
      <c r="IV5" s="176" t="s">
        <v>326</v>
      </c>
      <c r="IW5" s="176" t="s">
        <v>326</v>
      </c>
      <c r="IX5" s="176" t="s">
        <v>326</v>
      </c>
      <c r="IY5" s="176" t="s">
        <v>326</v>
      </c>
      <c r="IZ5" s="176" t="s">
        <v>326</v>
      </c>
      <c r="JA5" s="176" t="s">
        <v>326</v>
      </c>
      <c r="JB5" s="176" t="s">
        <v>326</v>
      </c>
      <c r="JC5" s="176" t="s">
        <v>326</v>
      </c>
      <c r="JD5" s="176" t="s">
        <v>326</v>
      </c>
      <c r="JE5" s="176" t="s">
        <v>326</v>
      </c>
      <c r="JF5" s="176" t="s">
        <v>326</v>
      </c>
      <c r="JG5" s="176" t="s">
        <v>326</v>
      </c>
      <c r="JH5" s="176" t="s">
        <v>326</v>
      </c>
      <c r="JI5" s="176" t="s">
        <v>326</v>
      </c>
      <c r="JJ5" s="176" t="s">
        <v>326</v>
      </c>
      <c r="JK5" s="176" t="s">
        <v>326</v>
      </c>
      <c r="JL5" s="176" t="s">
        <v>326</v>
      </c>
      <c r="JM5" s="176" t="s">
        <v>326</v>
      </c>
      <c r="JN5" s="176" t="s">
        <v>326</v>
      </c>
      <c r="JO5" s="176" t="s">
        <v>326</v>
      </c>
      <c r="JP5" s="176" t="s">
        <v>326</v>
      </c>
      <c r="JQ5" s="176" t="s">
        <v>326</v>
      </c>
      <c r="JR5" s="176" t="s">
        <v>326</v>
      </c>
      <c r="JS5" s="176" t="s">
        <v>326</v>
      </c>
      <c r="JT5" s="176" t="s">
        <v>326</v>
      </c>
      <c r="JU5" s="176" t="s">
        <v>326</v>
      </c>
      <c r="JV5" s="176" t="s">
        <v>326</v>
      </c>
      <c r="JW5" s="176" t="s">
        <v>326</v>
      </c>
      <c r="JX5" s="176" t="s">
        <v>326</v>
      </c>
      <c r="JY5" s="176" t="s">
        <v>326</v>
      </c>
      <c r="JZ5" s="176" t="s">
        <v>326</v>
      </c>
      <c r="KA5" s="176" t="s">
        <v>326</v>
      </c>
      <c r="KB5" s="176" t="s">
        <v>326</v>
      </c>
      <c r="KC5" s="132"/>
      <c r="KD5" s="176" t="s">
        <v>326</v>
      </c>
      <c r="KE5" s="176" t="s">
        <v>326</v>
      </c>
      <c r="KF5" s="176" t="s">
        <v>326</v>
      </c>
      <c r="KG5" s="176" t="s">
        <v>326</v>
      </c>
      <c r="KH5" s="176" t="s">
        <v>326</v>
      </c>
      <c r="KI5" s="176" t="s">
        <v>326</v>
      </c>
      <c r="KJ5" s="176" t="s">
        <v>326</v>
      </c>
    </row>
    <row r="6" spans="1:327" s="42" customFormat="1" ht="46.5" customHeight="1" x14ac:dyDescent="0.25">
      <c r="A6" s="180"/>
      <c r="B6" s="181"/>
      <c r="C6" s="394" t="s">
        <v>727</v>
      </c>
      <c r="D6" s="183"/>
      <c r="E6" s="182"/>
      <c r="F6" s="182"/>
      <c r="G6" s="182"/>
      <c r="H6" s="182"/>
      <c r="I6" s="183"/>
      <c r="J6" s="183"/>
      <c r="K6" s="184"/>
      <c r="L6" s="184"/>
      <c r="M6" s="184"/>
      <c r="N6" s="184"/>
      <c r="O6" s="182"/>
      <c r="P6" s="183"/>
      <c r="Q6" s="185" t="s">
        <v>327</v>
      </c>
      <c r="R6" s="186">
        <v>2459.1609002073578</v>
      </c>
      <c r="S6" s="187">
        <v>565272</v>
      </c>
      <c r="T6" s="187">
        <v>581449</v>
      </c>
      <c r="U6" s="187">
        <v>597349</v>
      </c>
      <c r="V6" s="187">
        <v>614886</v>
      </c>
      <c r="W6" s="187">
        <v>617900</v>
      </c>
      <c r="X6" s="187">
        <v>620576</v>
      </c>
      <c r="Y6" s="187">
        <v>624783</v>
      </c>
      <c r="Z6" s="187">
        <v>628795</v>
      </c>
      <c r="AA6" s="187">
        <v>620409</v>
      </c>
      <c r="AB6" s="187">
        <v>620075</v>
      </c>
      <c r="AC6" s="187">
        <v>626768</v>
      </c>
      <c r="AD6" s="187">
        <v>631586</v>
      </c>
      <c r="AE6" s="187">
        <v>636661</v>
      </c>
      <c r="AF6" s="187">
        <v>638960</v>
      </c>
      <c r="AG6" s="187">
        <v>640919</v>
      </c>
      <c r="AH6" s="187">
        <v>643045</v>
      </c>
      <c r="AI6" s="187">
        <v>644975</v>
      </c>
      <c r="AJ6" s="187">
        <v>646524</v>
      </c>
      <c r="AK6" s="187">
        <v>647940</v>
      </c>
      <c r="AL6" s="188"/>
      <c r="AM6" s="189"/>
      <c r="AN6" s="189"/>
      <c r="AO6" s="190"/>
      <c r="AP6" s="186">
        <v>153.69949262291891</v>
      </c>
      <c r="AQ6" s="191">
        <v>135.28077297849779</v>
      </c>
      <c r="AR6" s="191">
        <v>18.072975795542511</v>
      </c>
      <c r="AS6" s="191">
        <v>5.5036250256318962</v>
      </c>
      <c r="AT6" s="190"/>
      <c r="AU6" s="192" t="s">
        <v>328</v>
      </c>
      <c r="AV6" s="192" t="s">
        <v>329</v>
      </c>
      <c r="AW6" s="189" t="s">
        <v>330</v>
      </c>
      <c r="AX6" s="192" t="s">
        <v>331</v>
      </c>
      <c r="AY6" s="190"/>
      <c r="AZ6" s="193">
        <v>9.9092185808592923</v>
      </c>
      <c r="BA6" s="193">
        <v>2.792884243974318</v>
      </c>
      <c r="BB6" s="193">
        <v>1.6893713072187371</v>
      </c>
      <c r="BC6" s="193">
        <v>8.077889966444074</v>
      </c>
      <c r="BD6" s="187">
        <v>14135454.484999999</v>
      </c>
      <c r="BE6" s="187">
        <v>6233879.5</v>
      </c>
      <c r="BF6" s="187">
        <v>1757000.6850000001</v>
      </c>
      <c r="BG6" s="187">
        <v>1062781.8</v>
      </c>
      <c r="BH6" s="187">
        <v>5081792.5</v>
      </c>
      <c r="BI6" s="187">
        <v>14272045.810000001</v>
      </c>
      <c r="BJ6" s="187">
        <v>6286026</v>
      </c>
      <c r="BK6" s="187">
        <v>1785842.06</v>
      </c>
      <c r="BL6" s="187">
        <v>1076541.75</v>
      </c>
      <c r="BM6" s="187">
        <v>5123636</v>
      </c>
      <c r="BN6" s="190"/>
      <c r="BO6" s="194">
        <v>0.29347466693894231</v>
      </c>
      <c r="BP6" s="195">
        <v>0.55310217818615204</v>
      </c>
      <c r="BQ6" s="195">
        <v>9.0947093218596856E-2</v>
      </c>
      <c r="BR6" s="196">
        <v>6.2476061656308909E-2</v>
      </c>
      <c r="BS6" s="195">
        <v>0.26362948546506182</v>
      </c>
      <c r="BT6" s="195">
        <v>0.55885723348901206</v>
      </c>
      <c r="BU6" s="195">
        <v>0.12087745739518101</v>
      </c>
      <c r="BV6" s="196">
        <v>5.66358236507453E-2</v>
      </c>
      <c r="BW6" s="197">
        <v>0.41385698150709599</v>
      </c>
      <c r="BX6" s="197">
        <v>0.52808504909603959</v>
      </c>
      <c r="BY6" s="198">
        <v>5.8057969396864507E-2</v>
      </c>
      <c r="BZ6" s="197">
        <v>0.37053944176899939</v>
      </c>
      <c r="CA6" s="197">
        <v>0.5553776434182538</v>
      </c>
      <c r="CB6" s="198">
        <v>7.4082914812746647E-2</v>
      </c>
      <c r="CC6" s="195">
        <v>8.7658911735221653E-2</v>
      </c>
      <c r="CD6" s="195">
        <v>0.55163275754251717</v>
      </c>
      <c r="CE6" s="195">
        <v>0.1186993793081514</v>
      </c>
      <c r="CF6" s="196">
        <v>0.24200895141410961</v>
      </c>
      <c r="CG6" s="195">
        <v>7.2051819170041456E-2</v>
      </c>
      <c r="CH6" s="195">
        <v>0.55140060290276727</v>
      </c>
      <c r="CI6" s="195">
        <v>0.1445451047300301</v>
      </c>
      <c r="CJ6" s="196">
        <v>0.23200247319716119</v>
      </c>
      <c r="CK6" s="199">
        <v>0.56671172130699954</v>
      </c>
      <c r="CL6" s="199">
        <v>0.33220462071208151</v>
      </c>
      <c r="CM6" s="200">
        <v>0.1010836579809191</v>
      </c>
      <c r="CN6" s="199">
        <v>0.48444899871887859</v>
      </c>
      <c r="CO6" s="199">
        <v>0.36720728599767821</v>
      </c>
      <c r="CP6" s="200">
        <v>0.14834371528344331</v>
      </c>
      <c r="CQ6" s="190"/>
      <c r="CR6" s="201">
        <v>12.42652330588105</v>
      </c>
      <c r="CS6" s="202">
        <v>12.43618558164996</v>
      </c>
      <c r="CT6" s="202">
        <v>9.0251238507212594</v>
      </c>
      <c r="CU6" s="203">
        <v>10.89603932375277</v>
      </c>
      <c r="CV6" s="202">
        <v>11.170059389542031</v>
      </c>
      <c r="CW6" s="202">
        <v>9.6816619283987873</v>
      </c>
      <c r="CX6" s="202">
        <v>8.059196675524948</v>
      </c>
      <c r="CY6" s="201">
        <v>10.14921372838374</v>
      </c>
      <c r="CZ6" s="202">
        <v>12.075347410330799</v>
      </c>
      <c r="DA6" s="202">
        <v>8.4200241843296642</v>
      </c>
      <c r="DB6" s="203">
        <v>10.08980258946554</v>
      </c>
      <c r="DC6" s="201">
        <v>12.474017570584509</v>
      </c>
      <c r="DD6" s="202">
        <v>12.52314994897058</v>
      </c>
      <c r="DE6" s="203">
        <v>9.1658181000262378</v>
      </c>
      <c r="DF6" s="204" t="s">
        <v>332</v>
      </c>
      <c r="DG6" s="190"/>
      <c r="DH6" s="187">
        <v>1829485.71</v>
      </c>
      <c r="DI6" s="187">
        <v>3447972.33</v>
      </c>
      <c r="DJ6" s="187">
        <v>566953.22</v>
      </c>
      <c r="DK6" s="187">
        <v>389468.24000000022</v>
      </c>
      <c r="DL6" s="205" t="s">
        <v>333</v>
      </c>
      <c r="DM6" s="187">
        <v>1657181.8</v>
      </c>
      <c r="DN6" s="187">
        <v>3512991.100000001</v>
      </c>
      <c r="DO6" s="187">
        <v>759838.83999999985</v>
      </c>
      <c r="DP6" s="187">
        <v>356014.25999999989</v>
      </c>
      <c r="DQ6" s="206" t="s">
        <v>334</v>
      </c>
      <c r="DR6" s="190"/>
      <c r="DS6" s="187">
        <v>727146.99999999988</v>
      </c>
      <c r="DT6" s="187">
        <v>927845.79300000006</v>
      </c>
      <c r="DU6" s="187">
        <v>102007.89200000001</v>
      </c>
      <c r="DV6" s="206" t="s">
        <v>335</v>
      </c>
      <c r="DW6" s="187">
        <v>661724.92000000004</v>
      </c>
      <c r="DX6" s="187">
        <v>991816.75479999988</v>
      </c>
      <c r="DY6" s="187">
        <v>132300.38519999999</v>
      </c>
      <c r="DZ6" s="206" t="s">
        <v>336</v>
      </c>
      <c r="EA6" s="190"/>
      <c r="EB6" s="187">
        <v>93162.296000000002</v>
      </c>
      <c r="EC6" s="187">
        <v>586265.255</v>
      </c>
      <c r="ED6" s="187">
        <v>126151.53999999991</v>
      </c>
      <c r="EE6" s="187">
        <v>257202.709</v>
      </c>
      <c r="EF6" s="206" t="s">
        <v>337</v>
      </c>
      <c r="EG6" s="187">
        <v>77566.791499999978</v>
      </c>
      <c r="EH6" s="187">
        <v>593605.77000000014</v>
      </c>
      <c r="EI6" s="187">
        <v>155608.83999999991</v>
      </c>
      <c r="EJ6" s="187">
        <v>249760.34849999999</v>
      </c>
      <c r="EK6" s="206" t="s">
        <v>338</v>
      </c>
      <c r="EL6" s="190"/>
      <c r="EM6" s="187">
        <v>2879911.375</v>
      </c>
      <c r="EN6" s="187">
        <v>1688194.95</v>
      </c>
      <c r="EO6" s="187">
        <v>513686.17499999999</v>
      </c>
      <c r="EP6" s="206" t="s">
        <v>339</v>
      </c>
      <c r="EQ6" s="187">
        <v>2482140.33</v>
      </c>
      <c r="ER6" s="187">
        <v>1881436.47</v>
      </c>
      <c r="ES6" s="187">
        <v>760059.20000000019</v>
      </c>
      <c r="ET6" s="206" t="s">
        <v>340</v>
      </c>
      <c r="EU6" s="190"/>
      <c r="EV6" s="207">
        <v>0.79594963911299643</v>
      </c>
      <c r="EW6" s="207">
        <v>0.20405036088700351</v>
      </c>
      <c r="EX6" s="208">
        <v>5821049.2731478587</v>
      </c>
      <c r="EY6" s="208">
        <v>4633262.0682210084</v>
      </c>
      <c r="EZ6" s="208">
        <v>1187787.20492685</v>
      </c>
      <c r="FA6" s="209">
        <v>2501271.8007812458</v>
      </c>
      <c r="FB6" s="209">
        <v>1987652.8881262429</v>
      </c>
      <c r="FC6" s="209">
        <v>513618.91265499982</v>
      </c>
      <c r="FD6" s="209">
        <v>862826.06900290377</v>
      </c>
      <c r="FE6" s="209">
        <v>697568.46303105413</v>
      </c>
      <c r="FF6" s="209">
        <v>165257.60597184999</v>
      </c>
      <c r="FG6" s="209">
        <v>451286.18804333569</v>
      </c>
      <c r="FH6" s="209">
        <v>360063.11132333567</v>
      </c>
      <c r="FI6" s="209">
        <v>91223.076720000026</v>
      </c>
      <c r="FJ6" s="209">
        <v>2005665.215320376</v>
      </c>
      <c r="FK6" s="209">
        <v>1587977.6057403749</v>
      </c>
      <c r="FL6" s="209">
        <v>417687.60957999981</v>
      </c>
      <c r="FM6" s="190"/>
      <c r="FN6" s="210" t="s">
        <v>341</v>
      </c>
      <c r="FO6" s="211">
        <v>6.0675716333995128E-2</v>
      </c>
      <c r="FP6" s="212">
        <v>0.82880686500852829</v>
      </c>
      <c r="FQ6" s="213" t="s">
        <v>342</v>
      </c>
      <c r="FR6" s="190"/>
      <c r="FS6" s="214">
        <v>3.19</v>
      </c>
      <c r="FT6" s="214" t="s">
        <v>326</v>
      </c>
      <c r="FU6" s="214">
        <v>3.97</v>
      </c>
      <c r="FV6" s="214" t="s">
        <v>326</v>
      </c>
      <c r="FW6" s="214">
        <v>2.2400000000000002</v>
      </c>
      <c r="FX6" s="214" t="s">
        <v>326</v>
      </c>
      <c r="FY6" s="190"/>
      <c r="FZ6" s="215" t="s">
        <v>343</v>
      </c>
      <c r="GA6" s="215" t="s">
        <v>344</v>
      </c>
      <c r="GB6" s="215" t="s">
        <v>345</v>
      </c>
      <c r="GC6" s="215" t="s">
        <v>346</v>
      </c>
      <c r="GD6" s="215" t="s">
        <v>347</v>
      </c>
      <c r="GE6" s="215" t="s">
        <v>348</v>
      </c>
      <c r="GF6" s="215" t="s">
        <v>349</v>
      </c>
      <c r="GG6" s="190"/>
      <c r="GH6" s="216">
        <v>703546.04108956363</v>
      </c>
      <c r="GI6" s="217">
        <v>576270.71296346362</v>
      </c>
      <c r="GJ6" s="218">
        <v>127275.32812609991</v>
      </c>
      <c r="GK6" s="216">
        <v>1315637.702701621</v>
      </c>
      <c r="GL6" s="217">
        <v>1024124.446021322</v>
      </c>
      <c r="GM6" s="218">
        <v>291513.25668029988</v>
      </c>
      <c r="GN6" s="216">
        <v>310328.84721858258</v>
      </c>
      <c r="GO6" s="217">
        <v>245464.56451063271</v>
      </c>
      <c r="GP6" s="218">
        <v>64864.282707949991</v>
      </c>
      <c r="GQ6" s="216">
        <v>171759.20977147459</v>
      </c>
      <c r="GR6" s="217">
        <v>141793.1646308245</v>
      </c>
      <c r="GS6" s="218">
        <v>29966.045140650011</v>
      </c>
      <c r="GT6" s="216">
        <v>331189.46962744597</v>
      </c>
      <c r="GU6" s="217">
        <v>271650.4873307161</v>
      </c>
      <c r="GV6" s="218">
        <v>59538.982296729999</v>
      </c>
      <c r="GW6" s="216">
        <v>472158.09965140588</v>
      </c>
      <c r="GX6" s="217">
        <v>378940.83048916061</v>
      </c>
      <c r="GY6" s="218">
        <v>93217.269162245531</v>
      </c>
      <c r="GZ6" s="216">
        <v>59478.499724051348</v>
      </c>
      <c r="HA6" s="217">
        <v>46977.145211176838</v>
      </c>
      <c r="HB6" s="218">
        <v>12501.354512874501</v>
      </c>
      <c r="HC6" s="216">
        <v>39711.425775374701</v>
      </c>
      <c r="HD6" s="217">
        <v>33444.328044724687</v>
      </c>
      <c r="HE6" s="218">
        <v>6267.0977306500017</v>
      </c>
      <c r="HF6" s="216">
        <v>227932.92568782289</v>
      </c>
      <c r="HG6" s="217">
        <v>177829.85519167301</v>
      </c>
      <c r="HH6" s="218">
        <v>50103.070496150009</v>
      </c>
      <c r="HI6" s="216">
        <v>69612.421124922577</v>
      </c>
      <c r="HJ6" s="217">
        <v>55617.713325022567</v>
      </c>
      <c r="HK6" s="218">
        <v>13994.707799899999</v>
      </c>
      <c r="HL6" s="216">
        <v>114029.41545521549</v>
      </c>
      <c r="HM6" s="217">
        <v>93171.214761915384</v>
      </c>
      <c r="HN6" s="218">
        <v>20858.20069329999</v>
      </c>
      <c r="HO6" s="216">
        <v>1055388.4467110641</v>
      </c>
      <c r="HP6" s="217">
        <v>860683.44485206436</v>
      </c>
      <c r="HQ6" s="218">
        <v>194705.00185900001</v>
      </c>
      <c r="HR6" s="216">
        <v>662715.5124142993</v>
      </c>
      <c r="HS6" s="217">
        <v>503979.10936869949</v>
      </c>
      <c r="HT6" s="218">
        <v>158736.40304559999</v>
      </c>
      <c r="HU6" s="216">
        <v>287561.25619501137</v>
      </c>
      <c r="HV6" s="217">
        <v>223315.0515196115</v>
      </c>
      <c r="HW6" s="218">
        <v>64246.204675399982</v>
      </c>
      <c r="HX6" s="74"/>
      <c r="HY6" s="219">
        <v>14135454.484999999</v>
      </c>
      <c r="HZ6" s="219">
        <v>865403.90359</v>
      </c>
      <c r="IA6" s="219">
        <v>5140157.6081814999</v>
      </c>
      <c r="IB6" s="219">
        <v>5839913.0291600004</v>
      </c>
      <c r="IC6" s="219">
        <v>2040655.4347814999</v>
      </c>
      <c r="ID6" s="219">
        <v>249324.50928699999</v>
      </c>
      <c r="IE6" s="219">
        <v>4633262.0682210065</v>
      </c>
      <c r="IF6" s="219">
        <v>120886.16184511461</v>
      </c>
      <c r="IG6" s="219">
        <v>1189421.2332886211</v>
      </c>
      <c r="IH6" s="219">
        <v>2105519.2030096082</v>
      </c>
      <c r="II6" s="219">
        <v>1040079.8595913</v>
      </c>
      <c r="IJ6" s="219">
        <v>177355.6104863639</v>
      </c>
      <c r="IK6" s="220">
        <v>3.86</v>
      </c>
      <c r="IL6" s="220" t="s">
        <v>350</v>
      </c>
      <c r="IM6" s="221"/>
      <c r="IN6" s="190"/>
      <c r="IO6" s="222">
        <v>5.0700000000000002E-2</v>
      </c>
      <c r="IP6" s="223">
        <v>0.34889999999999999</v>
      </c>
      <c r="IQ6" s="223">
        <v>0.43190000000000001</v>
      </c>
      <c r="IR6" s="223">
        <v>0.1497</v>
      </c>
      <c r="IS6" s="224">
        <v>1.8800000000000001E-2</v>
      </c>
      <c r="IT6" s="225">
        <v>0.02</v>
      </c>
      <c r="IU6" s="225">
        <v>0.2326</v>
      </c>
      <c r="IV6" s="225">
        <v>0.46829999999999999</v>
      </c>
      <c r="IW6" s="225">
        <v>0.23760000000000001</v>
      </c>
      <c r="IX6" s="225">
        <v>4.1500000000000002E-2</v>
      </c>
      <c r="IY6" s="226">
        <v>7.1999999999999995E-2</v>
      </c>
      <c r="IZ6" s="225">
        <v>0.35189999999999999</v>
      </c>
      <c r="JA6" s="225">
        <v>0.38400000000000001</v>
      </c>
      <c r="JB6" s="225">
        <v>0.16789999999999999</v>
      </c>
      <c r="JC6" s="227">
        <v>2.4199999999999999E-2</v>
      </c>
      <c r="JD6" s="225">
        <v>3.5499999999999997E-2</v>
      </c>
      <c r="JE6" s="225">
        <v>0.2767</v>
      </c>
      <c r="JF6" s="225">
        <v>0.40949999999999998</v>
      </c>
      <c r="JG6" s="225">
        <v>0.23169999999999999</v>
      </c>
      <c r="JH6" s="225">
        <v>4.6600000000000003E-2</v>
      </c>
      <c r="JI6" s="226">
        <v>0.1234</v>
      </c>
      <c r="JJ6" s="225">
        <v>0.47060000000000002</v>
      </c>
      <c r="JK6" s="225">
        <v>0.31990000000000002</v>
      </c>
      <c r="JL6" s="225">
        <v>7.5899999999999995E-2</v>
      </c>
      <c r="JM6" s="227">
        <v>1.0200000000000001E-2</v>
      </c>
      <c r="JN6" s="225">
        <v>5.6000000000000001E-2</v>
      </c>
      <c r="JO6" s="225">
        <v>0.37409999999999999</v>
      </c>
      <c r="JP6" s="225">
        <v>0.41660000000000003</v>
      </c>
      <c r="JQ6" s="225">
        <v>0.13270000000000001</v>
      </c>
      <c r="JR6" s="225">
        <v>2.06E-2</v>
      </c>
      <c r="JS6" s="226">
        <v>5.74E-2</v>
      </c>
      <c r="JT6" s="225">
        <v>0.3634</v>
      </c>
      <c r="JU6" s="225">
        <v>0.41970000000000002</v>
      </c>
      <c r="JV6" s="225">
        <v>0.14399999999999999</v>
      </c>
      <c r="JW6" s="227">
        <v>1.55E-2</v>
      </c>
      <c r="JX6" s="226">
        <v>2.2800000000000001E-2</v>
      </c>
      <c r="JY6" s="225">
        <v>0.2515</v>
      </c>
      <c r="JZ6" s="225">
        <v>0.46539999999999998</v>
      </c>
      <c r="KA6" s="225">
        <v>0.22570000000000001</v>
      </c>
      <c r="KB6" s="228">
        <v>3.4599999999999999E-2</v>
      </c>
      <c r="KC6" s="190"/>
      <c r="KD6" s="220" t="s">
        <v>351</v>
      </c>
      <c r="KE6" s="229" t="s">
        <v>352</v>
      </c>
      <c r="KF6" s="220">
        <v>4.1500000000000004</v>
      </c>
      <c r="KG6" s="230" t="s">
        <v>350</v>
      </c>
      <c r="KH6" s="231" t="s">
        <v>353</v>
      </c>
      <c r="KI6" s="232" t="s">
        <v>354</v>
      </c>
      <c r="KJ6" s="231" t="s">
        <v>355</v>
      </c>
    </row>
    <row r="7" spans="1:327" s="42" customFormat="1" ht="46.5" customHeight="1" x14ac:dyDescent="0.25">
      <c r="A7" s="180"/>
      <c r="B7" s="181" t="s">
        <v>356</v>
      </c>
      <c r="C7" s="394" t="s">
        <v>357</v>
      </c>
      <c r="D7" s="183"/>
      <c r="E7" s="182"/>
      <c r="F7" s="182"/>
      <c r="G7" s="182"/>
      <c r="H7" s="182"/>
      <c r="I7" s="183"/>
      <c r="J7" s="183"/>
      <c r="K7" s="184"/>
      <c r="L7" s="184"/>
      <c r="M7" s="184"/>
      <c r="N7" s="184"/>
      <c r="O7" s="182"/>
      <c r="P7" s="183"/>
      <c r="Q7" s="185" t="s">
        <v>327</v>
      </c>
      <c r="R7" s="186">
        <f>IFERROR(SUMPRODUCT($Q$16:$Q$17,$AG$16:$AG$17,R$16:R$17)/SUMPRODUCT($Q$16:$Q$17,$AG$16:$AG$17),"")</f>
        <v>22400.881057268722</v>
      </c>
      <c r="S7" s="187">
        <f t="shared" ref="S7:AE7" si="0">SUMPRODUCT($Q$16:$Q$17,S$16:S$17)</f>
        <v>1150</v>
      </c>
      <c r="T7" s="187">
        <f t="shared" si="0"/>
        <v>1180</v>
      </c>
      <c r="U7" s="187">
        <f t="shared" si="0"/>
        <v>1210</v>
      </c>
      <c r="V7" s="187">
        <f t="shared" si="0"/>
        <v>1245</v>
      </c>
      <c r="W7" s="187">
        <f t="shared" si="0"/>
        <v>1260</v>
      </c>
      <c r="X7" s="187">
        <f t="shared" si="0"/>
        <v>1275</v>
      </c>
      <c r="Y7" s="187">
        <f t="shared" si="0"/>
        <v>1290</v>
      </c>
      <c r="Z7" s="187">
        <f t="shared" si="0"/>
        <v>1305</v>
      </c>
      <c r="AA7" s="187">
        <f t="shared" si="0"/>
        <v>1310</v>
      </c>
      <c r="AB7" s="187">
        <f t="shared" si="0"/>
        <v>1316</v>
      </c>
      <c r="AC7" s="187">
        <f t="shared" si="0"/>
        <v>1327</v>
      </c>
      <c r="AD7" s="187">
        <f t="shared" si="0"/>
        <v>1336</v>
      </c>
      <c r="AE7" s="187">
        <f t="shared" si="0"/>
        <v>1344</v>
      </c>
      <c r="AF7" s="187">
        <f>SUM(AF9:AF17)</f>
        <v>94469</v>
      </c>
      <c r="AG7" s="187">
        <f>SUMPRODUCT($Q$16:$Q$17,AG$16:AG$17)</f>
        <v>1362</v>
      </c>
      <c r="AH7" s="187">
        <f>SUMPRODUCT($Q$16:$Q$17,AH$16:AH$17)</f>
        <v>1372</v>
      </c>
      <c r="AI7" s="187">
        <f>SUMPRODUCT($Q$16:$Q$17,AI$16:AI$17)</f>
        <v>1382</v>
      </c>
      <c r="AJ7" s="187">
        <f>SUMPRODUCT($Q$16:$Q$17,AJ$16:AJ$17)</f>
        <v>1392</v>
      </c>
      <c r="AK7" s="187">
        <f>SUM(AK9:AK17)</f>
        <v>94614</v>
      </c>
      <c r="AL7" s="188"/>
      <c r="AM7" s="189"/>
      <c r="AN7" s="189"/>
      <c r="AO7" s="190"/>
      <c r="AP7" s="186">
        <f>IFERROR(SUMPRODUCT($Q$16:$Q$17,$AG$16:$AG$17,AP$16:AP$17)/SUMPRODUCT($Q$16:$Q$17,$AG$16:$AG$17),"")</f>
        <v>2298.2378854625549</v>
      </c>
      <c r="AQ7" s="191">
        <f>IFERROR(SUMPRODUCT($Q$16:$Q$17,$AF$16:$AF$17,AQ$16:AQ$17)/SUMPRODUCT($Q$16:$Q$17,$AF$16:$AF$17),"")</f>
        <v>1886.1538461538462</v>
      </c>
      <c r="AR7" s="191">
        <f>IFERROR(SUMPRODUCT($Q$16:$Q$17,$AF$16:$AF$17,AR$16:AR$17)/SUMPRODUCT($Q$16:$Q$17,$AF$16:$AF$17),"")</f>
        <v>300</v>
      </c>
      <c r="AS7" s="191">
        <f>IFERROR(SUMPRODUCT($Q$16:$Q$17,$AF$16:$AF$17,AS$16:AS$17)/SUMPRODUCT($Q$16:$Q$17,$AF$16:$AF$17),"")</f>
        <v>121.53846153846153</v>
      </c>
      <c r="AT7" s="190"/>
      <c r="AU7" s="192" t="s">
        <v>328</v>
      </c>
      <c r="AV7" s="192" t="s">
        <v>329</v>
      </c>
      <c r="AW7" s="189" t="s">
        <v>330</v>
      </c>
      <c r="AX7" s="192" t="s">
        <v>331</v>
      </c>
      <c r="AY7" s="190"/>
      <c r="AZ7" s="193">
        <f>IFERROR(SUMPRODUCT($Q$16:$Q$17,$AF$16:$AF$17,AZ$16:AZ$17)/SUMPRODUCT($Q$16:$Q$17,$AF$16:$AF$17),"")</f>
        <v>53.07692307692308</v>
      </c>
      <c r="BA7" s="193">
        <f>IFERROR(SUMPRODUCT($Q$16:$Q$17,$AF$16:$AF$17,BA$16:BA$17)/SUMPRODUCT($Q$16:$Q$17,$AF$16:$AF$17),"")</f>
        <v>2.4615384615384617</v>
      </c>
      <c r="BB7" s="193">
        <f>IFERROR(SUMPRODUCT($Q$16:$Q$17,$AF$16:$AF$17,BB$16:BB$17)/SUMPRODUCT($Q$16:$Q$17,$AF$16:$AF$17),"")</f>
        <v>11.846153846153847</v>
      </c>
      <c r="BC7" s="193">
        <f>IFERROR(SUMPRODUCT($Q$16:$Q$17,$AF$16:$AF$17,BC$16:BC$17)/SUMPRODUCT($Q$16:$Q$17,$AF$16:$AF$17),"")</f>
        <v>49.615384615384613</v>
      </c>
      <c r="BD7" s="187">
        <f>SUM(BE7:BH7)</f>
        <v>1398497</v>
      </c>
      <c r="BE7" s="187">
        <f>SUM(BE9:BE17)</f>
        <v>1312073</v>
      </c>
      <c r="BF7" s="187">
        <f>SUMPRODUCT($Q$16:$Q$17,BF$16:BF$17)</f>
        <v>3328</v>
      </c>
      <c r="BG7" s="187">
        <f>SUMPRODUCT($Q$16:$Q$17,BG$16:BG$17)</f>
        <v>16016</v>
      </c>
      <c r="BH7" s="187">
        <f>SUMPRODUCT($Q$16:$Q$17,BH$16:BH$17)</f>
        <v>67080</v>
      </c>
      <c r="BI7" s="187">
        <f>SUM(BJ7:BM7)</f>
        <v>1403350</v>
      </c>
      <c r="BJ7" s="187">
        <f>SUM(BJ9:BJ17)</f>
        <v>1315225</v>
      </c>
      <c r="BK7" s="187">
        <f>SUMPRODUCT($Q$16:$Q$17,BK$16:BK$17)</f>
        <v>3380</v>
      </c>
      <c r="BL7" s="187">
        <f>SUMPRODUCT($Q$16:$Q$17,BL$16:BL$17)</f>
        <v>16330</v>
      </c>
      <c r="BM7" s="187">
        <f>SUMPRODUCT($Q$16:$Q$17,BM$16:BM$17)</f>
        <v>68415</v>
      </c>
      <c r="BN7" s="190"/>
      <c r="BO7" s="194">
        <f>DH7/$BE7</f>
        <v>0.41255100897587255</v>
      </c>
      <c r="BP7" s="195">
        <f>DI7/$BE7</f>
        <v>0.38172798312289025</v>
      </c>
      <c r="BQ7" s="195">
        <f>DJ7/$BE7</f>
        <v>0.15714023533751553</v>
      </c>
      <c r="BR7" s="196">
        <f>DK7/$BE7</f>
        <v>4.8580772563721689E-2</v>
      </c>
      <c r="BS7" s="195">
        <f>DM7/$BJ7</f>
        <v>0.35908327472485696</v>
      </c>
      <c r="BT7" s="195">
        <f>DN7/$BJ7</f>
        <v>0.38969085137523995</v>
      </c>
      <c r="BU7" s="195">
        <f>DO7/$BJ7</f>
        <v>0.21378060788078085</v>
      </c>
      <c r="BV7" s="196">
        <f>DP7/$BJ7</f>
        <v>3.7445266019122209E-2</v>
      </c>
      <c r="BW7" s="197">
        <f>DS7/$BF7</f>
        <v>0.45000000000000007</v>
      </c>
      <c r="BX7" s="197">
        <f>DT7/$BF7</f>
        <v>0.45000000000000007</v>
      </c>
      <c r="BY7" s="198">
        <f>DU7/$BF7</f>
        <v>0.1</v>
      </c>
      <c r="BZ7" s="197">
        <f>DW7/$BK7</f>
        <v>0.4</v>
      </c>
      <c r="CA7" s="197">
        <f>DX7/$BK7</f>
        <v>0.47</v>
      </c>
      <c r="CB7" s="198">
        <f>DY7/$BK7</f>
        <v>0.13</v>
      </c>
      <c r="CC7" s="195">
        <f>EB7/$BG7</f>
        <v>0.10324675324675325</v>
      </c>
      <c r="CD7" s="195">
        <f>EC7/$BG7</f>
        <v>0.55000000000000004</v>
      </c>
      <c r="CE7" s="195">
        <f>ED7/$BG7</f>
        <v>0.1</v>
      </c>
      <c r="CF7" s="196">
        <f>EE7/$BG7</f>
        <v>0.24675324675324675</v>
      </c>
      <c r="CG7" s="195">
        <f>EG7/$BL7</f>
        <v>8.3429271279853029E-2</v>
      </c>
      <c r="CH7" s="195">
        <f>EH7/$BL7</f>
        <v>0.55000000000000004</v>
      </c>
      <c r="CI7" s="195">
        <f>EI7/$BL7</f>
        <v>0.12931414574402939</v>
      </c>
      <c r="CJ7" s="196">
        <f>EJ7/$BL7</f>
        <v>0.23725658297611757</v>
      </c>
      <c r="CK7" s="199">
        <f>EM7/$BH7</f>
        <v>0.50348837209302322</v>
      </c>
      <c r="CL7" s="199">
        <f>EN7/$BH7</f>
        <v>0.34651162790697676</v>
      </c>
      <c r="CM7" s="200">
        <f>EO7/$BH7</f>
        <v>0.15</v>
      </c>
      <c r="CN7" s="199">
        <f>EQ7/$BM7</f>
        <v>0.40368340276255205</v>
      </c>
      <c r="CO7" s="199">
        <f>ER7/$BM7</f>
        <v>0.39484323613242711</v>
      </c>
      <c r="CP7" s="200">
        <f>ES7/$BM7</f>
        <v>0.20147336110502082</v>
      </c>
      <c r="CQ7" s="190"/>
      <c r="CR7" s="201">
        <f>IFERROR(SUMPRODUCT(DH$16:DH$17,CR$16:CR$17)/SUM(DH$16:DH$17),"")</f>
        <v>10.815602836879433</v>
      </c>
      <c r="CS7" s="202">
        <f>IFERROR(SUMPRODUCT(DI$16:DI$17,CS$16:CS$17)/SUM(DI$16:DI$17),"")</f>
        <v>11.93354943273906</v>
      </c>
      <c r="CT7" s="202">
        <f>IFERROR(SUMPRODUCT(DJ$16:DJ$17,CT$16:CT$17)/SUM(DJ$16:DJ$17),"")</f>
        <v>8</v>
      </c>
      <c r="CU7" s="203">
        <f>IFERROR(SUMPRODUCT(DK$16:DK$17,CU$16:CU$17)/SUM(DK$16:DK$17),"")</f>
        <v>9.9275362318840585</v>
      </c>
      <c r="CV7" s="202">
        <f>IFERROR(SUMPRODUCT(DS$16:DS$17,CV$16:CV$17)/SUM(DS$16:DS$17),"")</f>
        <v>10</v>
      </c>
      <c r="CW7" s="202">
        <f>IFERROR(SUMPRODUCT(DT$16:DT$17,CW$16:CW$17)/SUM(DT$16:DT$17),"")</f>
        <v>9</v>
      </c>
      <c r="CX7" s="202">
        <f>IFERROR(SUMPRODUCT(DU$16:DU$17,CX$16:CX$17)/SUM(DU$16:DU$17),"")</f>
        <v>6.9999999999999991</v>
      </c>
      <c r="CY7" s="201">
        <f>IFERROR(SUMPRODUCT(EB$16:EB$17,CY$16:CY$17)/SUM(EB$16:EB$17),"")</f>
        <v>8.9056603773584904</v>
      </c>
      <c r="CZ7" s="202">
        <f>IFERROR(SUMPRODUCT(EC$16:EC$17,CZ$16:CZ$17)/SUM(EC$16:EC$17),"")</f>
        <v>11</v>
      </c>
      <c r="DA7" s="202">
        <f>IFERROR(SUMPRODUCT(ED$16:ED$17,DA$16:DA$17)/SUM(ED$16:ED$17),"")</f>
        <v>7.0649350649350646</v>
      </c>
      <c r="DB7" s="203">
        <f>IFERROR(SUMPRODUCT(EE$16:EE$17,DB$16:DB$17)/SUM(EE$16:EE$17),"")</f>
        <v>9</v>
      </c>
      <c r="DC7" s="201">
        <f>IFERROR(SUMPRODUCT(EM$16:EM$17,DC$16:DC$17)/SUM(EM$16:EM$17),"")</f>
        <v>11.771362586605081</v>
      </c>
      <c r="DD7" s="202">
        <f>IFERROR(SUMPRODUCT(EN$16:EN$17,DD$16:DD$17)/SUM(EN$16:EN$17),"")</f>
        <v>12</v>
      </c>
      <c r="DE7" s="203">
        <f>IFERROR(SUMPRODUCT(EO$16:EO$17,DE$16:DE$17)/SUM(EO$16:EO$17),"")</f>
        <v>8.0697674418604652</v>
      </c>
      <c r="DF7" s="204" t="s">
        <v>332</v>
      </c>
      <c r="DG7" s="190"/>
      <c r="DH7" s="187">
        <f>SUM(DH9:DH17)</f>
        <v>541297.04</v>
      </c>
      <c r="DI7" s="187">
        <f>SUM(DI9:DI17)</f>
        <v>500854.98</v>
      </c>
      <c r="DJ7" s="187">
        <f>SUM(DJ9:DJ17)</f>
        <v>206179.46000000002</v>
      </c>
      <c r="DK7" s="187">
        <f>SUM(DK9:DK17)</f>
        <v>63741.520000000004</v>
      </c>
      <c r="DL7" s="205"/>
      <c r="DM7" s="187">
        <f>SUM(DM9:DM17)</f>
        <v>472275.3</v>
      </c>
      <c r="DN7" s="187">
        <f>SUM(DN9:DN17)</f>
        <v>512531.14999999997</v>
      </c>
      <c r="DO7" s="187">
        <f>SUM(DO9:DO17)</f>
        <v>281169.59999999998</v>
      </c>
      <c r="DP7" s="187">
        <f>SUM(DP9:DP17)</f>
        <v>49248.950000000004</v>
      </c>
      <c r="DQ7" s="206"/>
      <c r="DR7" s="190"/>
      <c r="DS7" s="187">
        <f>SUMPRODUCT($Q$16:$Q$17,DS$16:DS$17)</f>
        <v>1497.6000000000001</v>
      </c>
      <c r="DT7" s="187">
        <f>SUMPRODUCT($Q$16:$Q$17,DT$16:DT$17)</f>
        <v>1497.6000000000001</v>
      </c>
      <c r="DU7" s="187">
        <f>SUMPRODUCT($Q$16:$Q$17,DU$16:DU$17)</f>
        <v>332.8</v>
      </c>
      <c r="DV7" s="206" t="s">
        <v>335</v>
      </c>
      <c r="DW7" s="187">
        <f>SUMPRODUCT($Q$16:$Q$17,DW$16:DW$17)</f>
        <v>1352</v>
      </c>
      <c r="DX7" s="187">
        <f>SUMPRODUCT($Q$16:$Q$17,DX$16:DX$17)</f>
        <v>1588.6</v>
      </c>
      <c r="DY7" s="187">
        <f>SUMPRODUCT($Q$16:$Q$17,DY$16:DY$17)</f>
        <v>439.40000000000003</v>
      </c>
      <c r="DZ7" s="206" t="s">
        <v>336</v>
      </c>
      <c r="EA7" s="190"/>
      <c r="EB7" s="187">
        <f>SUMPRODUCT($Q$16:$Q$17,EB$16:EB$17)</f>
        <v>1653.6000000000001</v>
      </c>
      <c r="EC7" s="187">
        <f>SUMPRODUCT($Q$16:$Q$17,EC$16:EC$17)</f>
        <v>8808.8000000000011</v>
      </c>
      <c r="ED7" s="187">
        <f>SUMPRODUCT($Q$16:$Q$17,ED$16:ED$17)</f>
        <v>1601.6000000000001</v>
      </c>
      <c r="EE7" s="187">
        <f>SUMPRODUCT($Q$16:$Q$17,EE$16:EE$17)</f>
        <v>3952</v>
      </c>
      <c r="EF7" s="206" t="s">
        <v>337</v>
      </c>
      <c r="EG7" s="187">
        <f>SUMPRODUCT($Q$16:$Q$17,EG$16:EG$17)</f>
        <v>1362.3999999999999</v>
      </c>
      <c r="EH7" s="187">
        <f>SUMPRODUCT($Q$16:$Q$17,EH$16:EH$17)</f>
        <v>8981.5</v>
      </c>
      <c r="EI7" s="187">
        <f>SUMPRODUCT($Q$16:$Q$17,EI$16:EI$17)</f>
        <v>2111.6999999999998</v>
      </c>
      <c r="EJ7" s="187">
        <f>SUMPRODUCT($Q$16:$Q$17,EJ$16:EJ$17)</f>
        <v>3874.4</v>
      </c>
      <c r="EK7" s="206" t="s">
        <v>338</v>
      </c>
      <c r="EL7" s="190"/>
      <c r="EM7" s="187">
        <f>SUMPRODUCT($Q$16:$Q$17,EM$16:EM$17)</f>
        <v>33774</v>
      </c>
      <c r="EN7" s="187">
        <f>SUMPRODUCT($Q$16:$Q$17,EN$16:EN$17)</f>
        <v>23244</v>
      </c>
      <c r="EO7" s="187">
        <f>SUMPRODUCT($Q$16:$Q$17,EO$16:EO$17)</f>
        <v>10062</v>
      </c>
      <c r="EP7" s="206" t="s">
        <v>339</v>
      </c>
      <c r="EQ7" s="187">
        <f>SUMPRODUCT($Q$16:$Q$17,EQ$16:EQ$17)</f>
        <v>27618</v>
      </c>
      <c r="ER7" s="187">
        <f>SUMPRODUCT($Q$16:$Q$17,ER$16:ER$17)</f>
        <v>27013.200000000001</v>
      </c>
      <c r="ES7" s="187">
        <f>SUMPRODUCT($Q$16:$Q$17,ES$16:ES$17)</f>
        <v>13783.8</v>
      </c>
      <c r="ET7" s="206" t="s">
        <v>340</v>
      </c>
      <c r="EU7" s="190"/>
      <c r="EV7" s="207">
        <f>IFERROR(EY7/EX7,0)</f>
        <v>0.81992162071904517</v>
      </c>
      <c r="EW7" s="207">
        <f>IFERROR(EZ7/EX7,0)</f>
        <v>0.18007837928095483</v>
      </c>
      <c r="EX7" s="208">
        <f>EY7+EZ7</f>
        <v>514869.47500424203</v>
      </c>
      <c r="EY7" s="208">
        <f>SUM(FB7,FE7,FH7,FK7)</f>
        <v>422152.61440424202</v>
      </c>
      <c r="EZ7" s="208">
        <f>SUM(FC7,FF7,FI7,FL7)</f>
        <v>92716.860599999985</v>
      </c>
      <c r="FA7" s="187">
        <f>SUM(FA9:FA17)</f>
        <v>476551.75102705747</v>
      </c>
      <c r="FB7" s="187">
        <f>SUM(FB9:FB17)</f>
        <v>390194.47162705747</v>
      </c>
      <c r="FC7" s="187">
        <f>SUM(FC9:FC17)</f>
        <v>86357.279399999985</v>
      </c>
      <c r="FD7" s="187">
        <f>SUM(FD9:FD17)</f>
        <v>54838.453820711584</v>
      </c>
      <c r="FE7" s="209">
        <f t="shared" ref="FE7:FL7" si="1">SUMPRODUCT($Q$16:$Q$17,FE$16:FE$17)</f>
        <v>1453.9034185714288</v>
      </c>
      <c r="FF7" s="209">
        <f t="shared" si="1"/>
        <v>226.72</v>
      </c>
      <c r="FG7" s="209">
        <f t="shared" si="1"/>
        <v>7757.7818057380955</v>
      </c>
      <c r="FH7" s="209">
        <f t="shared" si="1"/>
        <v>6580.8834057380955</v>
      </c>
      <c r="FI7" s="209">
        <f t="shared" si="1"/>
        <v>1176.8984</v>
      </c>
      <c r="FJ7" s="209">
        <f t="shared" si="1"/>
        <v>28879.318752874999</v>
      </c>
      <c r="FK7" s="209">
        <f t="shared" si="1"/>
        <v>23923.355952875001</v>
      </c>
      <c r="FL7" s="209">
        <f t="shared" si="1"/>
        <v>4955.9628000000002</v>
      </c>
      <c r="FM7" s="190"/>
      <c r="FN7" s="210" t="s">
        <v>341</v>
      </c>
      <c r="FO7" s="211">
        <f>IFERROR(SUMPRODUCT($Q$16:$Q$17,$AF$16:$AF$17,$FO$16:$FO$17)/SUMPRODUCT($Q$16:$Q$17,$AF$16:$AF$17),"")</f>
        <v>6.0657692307692301E-2</v>
      </c>
      <c r="FP7" s="212">
        <f>IFERROR(SUMPRODUCT($Q$16:$Q$17,$AF$16:$AF$17,$FP$16:$FP$17)/SUMPRODUCT($Q$16:$Q$17,$AF$16:$AF$17),"")</f>
        <v>0.82671538461538463</v>
      </c>
      <c r="FQ7" s="213" t="s">
        <v>342</v>
      </c>
      <c r="FR7" s="190"/>
      <c r="FS7" s="214">
        <v>3.19</v>
      </c>
      <c r="FT7" s="214" t="s">
        <v>326</v>
      </c>
      <c r="FU7" s="214">
        <v>3.97</v>
      </c>
      <c r="FV7" s="214" t="s">
        <v>326</v>
      </c>
      <c r="FW7" s="214">
        <v>2.2400000000000002</v>
      </c>
      <c r="FX7" s="214" t="s">
        <v>326</v>
      </c>
      <c r="FY7" s="190"/>
      <c r="FZ7" s="215"/>
      <c r="GA7" s="215"/>
      <c r="GB7" s="215"/>
      <c r="GC7" s="215"/>
      <c r="GD7" s="215"/>
      <c r="GE7" s="215"/>
      <c r="GF7" s="215" t="str">
        <f>HYPERLINK("https://www.ecologie.gouv.fr/eco-energie-tertiaire-eet","https://www.ecologie.gouv.fr/eco-energie-tertiaire-eet")&amp;CHAR(10)&amp;HYPERLINK("https://www.info.gouv.fr/actualite/segur-de-la-sante-de-nouveaux-investissements-pour-l-hopital","https://www.info.gouv.fr/actualite/segur-de-la-sante-de-nouveaux-investissements-pour-l-hopital")&amp;CHAR(10)&amp;HYPERLINK("https://www.cnsa.fr/budget-et-financement/financement-des-esms/investissement-immobilier","https://www.cnsa.fr/budget-et-financement/financement-des-esms/investissement-immobilier")&amp;CHAR(10)&amp;HYPERLINK("https://www.agencedusport.fr/plan-5000-equipements-generation-2024","https://www.agencedusport.fr/plan-5000-equipements-generation-2024")&amp;CHAR(10)&amp;HYPERLINK("https://www.france-services.gouv.fr/actualites/labellisation-nouvelles-maisons-france-services","https://www.france-services.gouv.fr/actualites/labellisation-nouvelles-maisons-france-services")&amp;CHAR(10)&amp;HYPERLINK("https://www.justice.gouv.fr/plan-15-000-places-prison","https://www.justice.gouv.fr/plan-15-000-places-prison")&amp;CHAR(10)&amp;HYPERLINK("https://www.defense.gouv.fr/ministere/politique-defense/loi-programmation-militaire-2024-2030","https://www.defense.gouv.fr/ministere/politique-defense/loi-programmation-militaire-2024-2030")&amp;CHAR(10)&amp;HYPERLINK("https://www.economie.gouv.fr/cedef/reindustrialisation-informations","https://www.economie.gouv.fr/cedef/reindustrialisation-informations")&amp;CHAR(10)&amp;HYPERLINK("https://presse.groupeadp.fr/proposition-cre2027-2034/","https://presse.groupeadp.fr/proposition-cre2027-2034/")&amp;CHAR(10)&amp;HYPERLINK("https://www.garesetconnexions.sncf/fr/qui-sommes-nous/notre-modele-economique","https://www.garesetconnexions.sncf/fr/qui-sommes-nous/notre-modele-economique")</f>
        <v>https://www.ecologie.gouv.fr/eco-energie-tertiaire-eet
https://www.info.gouv.fr/actualite/segur-de-la-sante-de-nouveaux-investissements-pour-l-hopital
https://www.cnsa.fr/budget-et-financement/financement-des-esms/investissement-immobilier
https://www.agencedusport.fr/plan-5000-equipements-generation-2024
https://www.france-services.gouv.fr/actualites/labellisation-nouvelles-maisons-france-services
https://www.justice.gouv.fr/plan-15-000-places-prison
https://www.defense.gouv.fr/ministere/politique-defense/loi-programmation-militaire-2024-2030
https://www.economie.gouv.fr/cedef/reindustrialisation-informations
https://presse.groupeadp.fr/proposition-cre2027-2034/
https://www.garesetconnexions.sncf/fr/qui-sommes-nous/notre-modele-economique</v>
      </c>
      <c r="GG7" s="190"/>
      <c r="GH7" s="216">
        <f t="shared" ref="GH7:GS7" si="2">SUM(GH9:GH17)</f>
        <v>185836.81243044522</v>
      </c>
      <c r="GI7" s="217">
        <f t="shared" si="2"/>
        <v>154462.69209444523</v>
      </c>
      <c r="GJ7" s="218">
        <f t="shared" si="2"/>
        <v>31374.120336000004</v>
      </c>
      <c r="GK7" s="216">
        <f t="shared" si="2"/>
        <v>168171.52651713035</v>
      </c>
      <c r="GL7" s="217">
        <f t="shared" si="2"/>
        <v>133980.05540313039</v>
      </c>
      <c r="GM7" s="218">
        <f t="shared" si="2"/>
        <v>34191.471114</v>
      </c>
      <c r="GN7" s="216">
        <f t="shared" si="2"/>
        <v>99151.62788996665</v>
      </c>
      <c r="GO7" s="217">
        <f t="shared" si="2"/>
        <v>81583.986971966675</v>
      </c>
      <c r="GP7" s="218">
        <f t="shared" si="2"/>
        <v>17567.640918000001</v>
      </c>
      <c r="GQ7" s="216">
        <f t="shared" si="2"/>
        <v>23391.784189515158</v>
      </c>
      <c r="GR7" s="217">
        <f t="shared" si="2"/>
        <v>20167.737157515156</v>
      </c>
      <c r="GS7" s="218">
        <f t="shared" si="2"/>
        <v>3224.0470320000004</v>
      </c>
      <c r="GT7" s="216">
        <f t="shared" ref="GT7:HW7" si="3">SUMPRODUCT($Q$16:$Q$17,GT$16:GT$17)</f>
        <v>688.15111000000013</v>
      </c>
      <c r="GU7" s="217">
        <f t="shared" si="3"/>
        <v>597.46311000000014</v>
      </c>
      <c r="GV7" s="218">
        <f t="shared" si="3"/>
        <v>90.688000000000002</v>
      </c>
      <c r="GW7" s="216">
        <f t="shared" si="3"/>
        <v>772.02940000000001</v>
      </c>
      <c r="GX7" s="217">
        <f t="shared" si="3"/>
        <v>665.471</v>
      </c>
      <c r="GY7" s="218">
        <f t="shared" si="3"/>
        <v>106.55839999999999</v>
      </c>
      <c r="GZ7" s="216">
        <f t="shared" si="3"/>
        <v>220.4429085714286</v>
      </c>
      <c r="HA7" s="217">
        <f t="shared" si="3"/>
        <v>190.9693085714286</v>
      </c>
      <c r="HB7" s="218">
        <f t="shared" si="3"/>
        <v>29.473600000000001</v>
      </c>
      <c r="HC7" s="216">
        <f t="shared" si="3"/>
        <v>845.25663850000001</v>
      </c>
      <c r="HD7" s="217">
        <f t="shared" si="3"/>
        <v>743.27184650000004</v>
      </c>
      <c r="HE7" s="218">
        <f t="shared" si="3"/>
        <v>101.984792</v>
      </c>
      <c r="HF7" s="216">
        <f t="shared" si="3"/>
        <v>3819.3791449999999</v>
      </c>
      <c r="HG7" s="217">
        <f t="shared" si="3"/>
        <v>3172.0850249999999</v>
      </c>
      <c r="HH7" s="218">
        <f t="shared" si="3"/>
        <v>647.29412000000002</v>
      </c>
      <c r="HI7" s="216">
        <f t="shared" si="3"/>
        <v>1062.6593275714288</v>
      </c>
      <c r="HJ7" s="217">
        <f t="shared" si="3"/>
        <v>911.22911957142867</v>
      </c>
      <c r="HK7" s="218">
        <f t="shared" si="3"/>
        <v>151.43020799999999</v>
      </c>
      <c r="HL7" s="216">
        <f t="shared" si="3"/>
        <v>2030.4866946666668</v>
      </c>
      <c r="HM7" s="217">
        <f t="shared" si="3"/>
        <v>1754.2974146666668</v>
      </c>
      <c r="HN7" s="218">
        <f t="shared" si="3"/>
        <v>276.18928</v>
      </c>
      <c r="HO7" s="216">
        <f t="shared" si="3"/>
        <v>13359.512516500001</v>
      </c>
      <c r="HP7" s="217">
        <f t="shared" si="3"/>
        <v>11341.8792565</v>
      </c>
      <c r="HQ7" s="218">
        <f t="shared" si="3"/>
        <v>2017.6332600000001</v>
      </c>
      <c r="HR7" s="216">
        <f t="shared" si="3"/>
        <v>9518.1668177499996</v>
      </c>
      <c r="HS7" s="217">
        <f t="shared" si="3"/>
        <v>7585.1290937499998</v>
      </c>
      <c r="HT7" s="218">
        <f t="shared" si="3"/>
        <v>1933.037724</v>
      </c>
      <c r="HU7" s="216">
        <f t="shared" si="3"/>
        <v>6001.6394186249991</v>
      </c>
      <c r="HV7" s="217">
        <f t="shared" si="3"/>
        <v>4996.3476026249991</v>
      </c>
      <c r="HW7" s="218">
        <f t="shared" si="3"/>
        <v>1005.291816</v>
      </c>
      <c r="HX7" s="74"/>
      <c r="HY7" s="219">
        <f>SUM(HZ7:ID7)</f>
        <v>1398497</v>
      </c>
      <c r="HZ7" s="219">
        <f>IFERROR(IO7*BE7,0)+IFERROR(IY7*BF7,0)+IFERROR(JI7*BG7,0)+IFERROR(JS7*BH7,0)</f>
        <v>50401.462399999997</v>
      </c>
      <c r="IA7" s="219">
        <f>IFERROR(IP7*BE7,0)+IFERROR(IZ7*BF7,0)+IFERROR(JJ7*BG7,0)+IFERROR(JT7*BH7,0)</f>
        <v>555413.50479999988</v>
      </c>
      <c r="IB7" s="219">
        <f>IFERROR(IQ7*BE7,0)+IFERROR(JA7*BF7,0)+IFERROR(JK7*BG7,0)+IFERROR(JU7*BH7,0)</f>
        <v>674932.45640000002</v>
      </c>
      <c r="IC7" s="219">
        <f>IFERROR(IR7*BE7,0)+IFERROR(JB7*BF7,0)+IFERROR(JL7*BG7,0)+IFERROR(JV7*BH7,0)</f>
        <v>114374.49560000002</v>
      </c>
      <c r="ID7" s="219">
        <f>IFERROR(IS7*BE7,0)+IFERROR(JC7*BF7,0)+IFERROR(JM7*BG7,0)+IFERROR(JW7*BH7,0)</f>
        <v>3375.0807999999997</v>
      </c>
      <c r="IE7" s="219">
        <f>SUM(IF7:IJ7)</f>
        <v>422152.6144042419</v>
      </c>
      <c r="IF7" s="219">
        <f>IFERROR(IT7*FB7,0)+IFERROR(JD7*FE7,0)+IFERROR(JN7*FH7,0)+IFERROR(JX7*FK7,0)</f>
        <v>5979.7298860778883</v>
      </c>
      <c r="IG7" s="219">
        <f>IFERROR(IU7*FB7,0)+IFERROR(JE7*FE7,0)+IFERROR(JO7*FH7,0)+IFERROR(JY7*FK7,0)</f>
        <v>150099.05350798808</v>
      </c>
      <c r="IH7" s="219">
        <f>IFERROR(IV7*FB7,0)+IFERROR(JF7*FE7,0)+IFERROR(JP7*FH7,0)+IFERROR(JZ7*FK7,0)</f>
        <v>214559.12289697689</v>
      </c>
      <c r="II7" s="219">
        <f>IFERROR(IW7*FB7,0)+IFERROR(JG7*FE7,0)+IFERROR(JQ7*FH7,0)+IFERROR(KA7*FK7,0)</f>
        <v>47498.766157224491</v>
      </c>
      <c r="IJ7" s="219">
        <f>IFERROR(IX7*FB7,0)+IFERROR(JH7*FE7,0)+IFERROR(JR7*FH7,0)+IFERROR(KB7*FK7,0)</f>
        <v>4015.9419559745584</v>
      </c>
      <c r="IK7" s="220">
        <v>3.86</v>
      </c>
      <c r="IL7" s="220" t="s">
        <v>350</v>
      </c>
      <c r="IM7" s="221"/>
      <c r="IN7" s="190"/>
      <c r="IO7" s="395">
        <f>SUMPRODUCT($BE$9:$BE$17,IO$9:IO$17)/SUM($BE$9:$BE$17)</f>
        <v>3.3790101617821568E-2</v>
      </c>
      <c r="IP7" s="396">
        <f>SUMPRODUCT($BE$9:$BE$17,IP$9:IP$17)/SUM($BE$9:$BE$17)</f>
        <v>0.39809399324580258</v>
      </c>
      <c r="IQ7" s="396">
        <f>SUMPRODUCT($BE$9:$BE$17,IQ$9:IQ$17)/SUM($BE$9:$BE$17)</f>
        <v>0.48806545824813102</v>
      </c>
      <c r="IR7" s="396">
        <f>SUMPRODUCT($BE$9:$BE$17,IR$9:IR$17)/SUM($BE$9:$BE$17)</f>
        <v>7.8456450212754936E-2</v>
      </c>
      <c r="IS7" s="397">
        <f>SUMPRODUCT($BE$9:$BE$17,IS$9:IS$17)/SUM($BE$9:$BE$17)</f>
        <v>1.5939966754898547E-3</v>
      </c>
      <c r="IT7" s="398">
        <f>SUMPRODUCT($FA$9:$FA$17,IT$9:IT$17)/SUM($FA$9:$FA$17)</f>
        <v>1.2850346924095224E-2</v>
      </c>
      <c r="IU7" s="398">
        <f>SUMPRODUCT($FA$9:$FA$17,IU$9:IU$17)/SUM($FA$9:$FA$17)</f>
        <v>0.36191729047050425</v>
      </c>
      <c r="IV7" s="398">
        <f>SUMPRODUCT($FA$9:$FA$17,IV$9:IV$17)/SUM($FA$9:$FA$17)</f>
        <v>0.51279102629371687</v>
      </c>
      <c r="IW7" s="398">
        <f>SUMPRODUCT($FA$9:$FA$17,IW$9:IW$17)/SUM($FA$9:$FA$17)</f>
        <v>0.10479162325938184</v>
      </c>
      <c r="IX7" s="398">
        <f>SUMPRODUCT($FA$9:$FA$17,IX$9:IX$17)/SUM($FA$9:$FA$17)</f>
        <v>7.6497130523016559E-3</v>
      </c>
      <c r="IY7" s="226">
        <v>7.1999999999999995E-2</v>
      </c>
      <c r="IZ7" s="225">
        <v>0.35189999999999999</v>
      </c>
      <c r="JA7" s="225">
        <v>0.38400000000000001</v>
      </c>
      <c r="JB7" s="225">
        <v>0.16789999999999999</v>
      </c>
      <c r="JC7" s="227">
        <v>2.4199999999999999E-2</v>
      </c>
      <c r="JD7" s="225">
        <v>3.5499999999999997E-2</v>
      </c>
      <c r="JE7" s="225">
        <v>0.2767</v>
      </c>
      <c r="JF7" s="225">
        <v>0.40949999999999998</v>
      </c>
      <c r="JG7" s="225">
        <v>0.23169999999999999</v>
      </c>
      <c r="JH7" s="225">
        <v>4.6600000000000003E-2</v>
      </c>
      <c r="JI7" s="226">
        <v>0.1234</v>
      </c>
      <c r="JJ7" s="225">
        <v>0.47060000000000002</v>
      </c>
      <c r="JK7" s="225">
        <v>0.31990000000000002</v>
      </c>
      <c r="JL7" s="225">
        <v>7.5899999999999995E-2</v>
      </c>
      <c r="JM7" s="227">
        <v>1.0200000000000001E-2</v>
      </c>
      <c r="JN7" s="225">
        <v>5.6000000000000001E-2</v>
      </c>
      <c r="JO7" s="225">
        <v>0.37409999999999999</v>
      </c>
      <c r="JP7" s="225">
        <v>0.41660000000000003</v>
      </c>
      <c r="JQ7" s="225">
        <v>0.13270000000000001</v>
      </c>
      <c r="JR7" s="225">
        <v>2.06E-2</v>
      </c>
      <c r="JS7" s="226">
        <v>5.74E-2</v>
      </c>
      <c r="JT7" s="225">
        <v>0.3634</v>
      </c>
      <c r="JU7" s="225">
        <v>0.41970000000000002</v>
      </c>
      <c r="JV7" s="225">
        <v>0.14399999999999999</v>
      </c>
      <c r="JW7" s="227">
        <v>1.55E-2</v>
      </c>
      <c r="JX7" s="226">
        <v>2.2800000000000001E-2</v>
      </c>
      <c r="JY7" s="225">
        <v>0.2515</v>
      </c>
      <c r="JZ7" s="225">
        <v>0.46539999999999998</v>
      </c>
      <c r="KA7" s="225">
        <v>0.22570000000000001</v>
      </c>
      <c r="KB7" s="228">
        <v>3.4599999999999999E-2</v>
      </c>
      <c r="KC7" s="190"/>
      <c r="KD7" s="220" t="s">
        <v>351</v>
      </c>
      <c r="KE7" s="229" t="s">
        <v>352</v>
      </c>
      <c r="KF7" s="220">
        <v>4.1500000000000004</v>
      </c>
      <c r="KG7" s="230" t="s">
        <v>350</v>
      </c>
      <c r="KH7" s="231" t="s">
        <v>353</v>
      </c>
      <c r="KI7" s="232" t="s">
        <v>354</v>
      </c>
      <c r="KJ7" s="231" t="s">
        <v>355</v>
      </c>
    </row>
    <row r="8" spans="1:327" s="244" customFormat="1" ht="12.75" customHeight="1" x14ac:dyDescent="0.2">
      <c r="A8" s="233"/>
      <c r="B8" s="233"/>
      <c r="C8" s="233"/>
      <c r="D8" s="234"/>
      <c r="E8" s="235"/>
      <c r="F8" s="235"/>
      <c r="G8" s="233"/>
      <c r="H8" s="233"/>
      <c r="I8" s="236"/>
      <c r="J8" s="392" t="s">
        <v>358</v>
      </c>
      <c r="K8" s="237"/>
      <c r="L8" s="237"/>
      <c r="M8" s="236"/>
      <c r="N8" s="237"/>
      <c r="O8" s="235"/>
      <c r="P8" s="236"/>
      <c r="Q8" s="238" t="s">
        <v>359</v>
      </c>
      <c r="R8" s="239"/>
      <c r="S8" s="240" t="s">
        <v>360</v>
      </c>
      <c r="T8" s="241">
        <f>(T7/S7)^(1/(T4-S4))-1</f>
        <v>5.163785842711599E-3</v>
      </c>
      <c r="U8" s="241">
        <f>(U7/T7)^(1/(U4-T4))-1</f>
        <v>5.0338114975041481E-3</v>
      </c>
      <c r="V8" s="241">
        <f>(V7/U7)^(1/(V4-U4))-1</f>
        <v>5.7193273193001382E-3</v>
      </c>
      <c r="W8" s="241">
        <f t="shared" ref="W8:AE8" si="4">W7/V7-1</f>
        <v>1.2048192771084265E-2</v>
      </c>
      <c r="X8" s="241">
        <f t="shared" si="4"/>
        <v>1.1904761904761862E-2</v>
      </c>
      <c r="Y8" s="241">
        <f t="shared" si="4"/>
        <v>1.1764705882352899E-2</v>
      </c>
      <c r="Z8" s="241">
        <f t="shared" si="4"/>
        <v>1.1627906976744207E-2</v>
      </c>
      <c r="AA8" s="241">
        <f t="shared" si="4"/>
        <v>3.8314176245211051E-3</v>
      </c>
      <c r="AB8" s="241">
        <f t="shared" si="4"/>
        <v>4.5801526717557106E-3</v>
      </c>
      <c r="AC8" s="241">
        <f t="shared" si="4"/>
        <v>8.358662613981771E-3</v>
      </c>
      <c r="AD8" s="241">
        <f t="shared" si="4"/>
        <v>6.7822155237378112E-3</v>
      </c>
      <c r="AE8" s="241">
        <f t="shared" si="4"/>
        <v>5.9880239520957446E-3</v>
      </c>
      <c r="AF8" s="242"/>
      <c r="AG8" s="241">
        <f>AG7/AF7-1</f>
        <v>-0.98558257206067601</v>
      </c>
      <c r="AH8" s="241">
        <f>AH7/AG7-1</f>
        <v>7.3421439060206151E-3</v>
      </c>
      <c r="AI8" s="241">
        <f>AI7/AH7-1</f>
        <v>7.2886297376093534E-3</v>
      </c>
      <c r="AJ8" s="241">
        <f>AJ7/AI7-1</f>
        <v>7.2358900144717797E-3</v>
      </c>
      <c r="AK8" s="385">
        <f>(AK7/AF7)^(1/(AK4-AF4))-1</f>
        <v>3.0679071014794168E-4</v>
      </c>
      <c r="AL8" s="242"/>
      <c r="AM8" s="242"/>
      <c r="AN8" s="242"/>
      <c r="AO8" s="243"/>
      <c r="AP8" s="242"/>
      <c r="AQ8" s="242"/>
      <c r="AR8" s="242"/>
      <c r="AS8" s="242"/>
      <c r="AT8" s="243"/>
      <c r="AU8" s="242"/>
      <c r="AV8" s="242"/>
      <c r="AW8" s="242"/>
      <c r="AX8" s="242"/>
      <c r="AY8" s="243"/>
      <c r="AZ8" s="242"/>
      <c r="BA8" s="242"/>
      <c r="BB8" s="242"/>
      <c r="BE8" s="242"/>
      <c r="BF8" s="242"/>
      <c r="BG8" s="242"/>
      <c r="BH8" s="240" t="s">
        <v>360</v>
      </c>
      <c r="BI8" s="245">
        <f>(BI7/BD7)^(1/(2030-2025))-1</f>
        <v>6.9306944935032533E-4</v>
      </c>
      <c r="BJ8" s="393">
        <f>(BJ7/BE7)^(1/(2030-2025))-1</f>
        <v>4.8000005057247108E-4</v>
      </c>
      <c r="BK8" s="241">
        <f>(BK7/BF7)^(1/(2030-2025))-1</f>
        <v>3.1056498762414009E-3</v>
      </c>
      <c r="BL8" s="241">
        <f>(BL7/BG7)^(1/(2030-2025))-1</f>
        <v>3.8906860262144516E-3</v>
      </c>
      <c r="BM8" s="241">
        <f>(BM7/BH7)^(1/(2030-2025))-1</f>
        <v>3.9490092451317516E-3</v>
      </c>
      <c r="BN8" s="243"/>
      <c r="BO8" s="246"/>
      <c r="BP8" s="246"/>
      <c r="BQ8" s="246"/>
      <c r="BR8" s="246"/>
      <c r="BS8" s="246"/>
      <c r="BT8" s="246"/>
      <c r="BU8" s="246"/>
      <c r="BV8" s="246"/>
      <c r="BW8" s="246"/>
      <c r="BX8" s="246"/>
      <c r="BY8" s="246"/>
      <c r="BZ8" s="246"/>
      <c r="CA8" s="246"/>
      <c r="CB8" s="246"/>
      <c r="CC8" s="246"/>
      <c r="CD8" s="246"/>
      <c r="CE8" s="246"/>
      <c r="CF8" s="246"/>
      <c r="CG8" s="246"/>
      <c r="CH8" s="246"/>
      <c r="CI8" s="246"/>
      <c r="CJ8" s="246"/>
      <c r="CK8" s="246"/>
      <c r="CL8" s="246"/>
      <c r="CM8" s="246"/>
      <c r="CN8" s="246"/>
      <c r="CO8" s="246"/>
      <c r="CP8" s="246"/>
      <c r="CQ8" s="243"/>
      <c r="CR8" s="246"/>
      <c r="CS8" s="246"/>
      <c r="CT8" s="246"/>
      <c r="CU8" s="246"/>
      <c r="CV8" s="246"/>
      <c r="CW8" s="246"/>
      <c r="CX8" s="246"/>
      <c r="CY8" s="246"/>
      <c r="CZ8" s="246"/>
      <c r="DA8" s="246"/>
      <c r="DB8" s="246"/>
      <c r="DC8" s="246"/>
      <c r="DD8" s="246"/>
      <c r="DE8" s="246"/>
      <c r="DF8" s="247"/>
      <c r="DG8" s="243"/>
      <c r="DH8" s="248"/>
      <c r="DI8" s="248"/>
      <c r="DJ8" s="248"/>
      <c r="DK8" s="248"/>
      <c r="DL8" s="249"/>
      <c r="DM8" s="248"/>
      <c r="DN8" s="248"/>
      <c r="DO8" s="248"/>
      <c r="DP8" s="248"/>
      <c r="DQ8" s="250"/>
      <c r="DR8" s="243"/>
      <c r="DS8" s="248">
        <f>DS7/SUM(DS7:DU7)</f>
        <v>0.44999999999999996</v>
      </c>
      <c r="DT8" s="248">
        <f>DT7/SUM(DS7:DU7)</f>
        <v>0.44999999999999996</v>
      </c>
      <c r="DU8" s="248">
        <f>DU7/SUM(DS7:DU7)</f>
        <v>9.9999999999999992E-2</v>
      </c>
      <c r="DV8" s="249" t="s">
        <v>361</v>
      </c>
      <c r="DW8" s="248">
        <f>DW7/SUM(DW7:DY7)</f>
        <v>0.4</v>
      </c>
      <c r="DX8" s="248">
        <f>DX7/SUM(DW7:DY7)</f>
        <v>0.47</v>
      </c>
      <c r="DY8" s="248">
        <f>DY7/SUM(DW7:DY7)</f>
        <v>0.13</v>
      </c>
      <c r="DZ8" s="250"/>
      <c r="EA8" s="243"/>
      <c r="EB8" s="248">
        <f>EB7/SUM(EB7:EE7)</f>
        <v>0.10324675324675324</v>
      </c>
      <c r="EC8" s="248">
        <f>EC7/SUM(EB7:EE7)</f>
        <v>0.55000000000000004</v>
      </c>
      <c r="ED8" s="248">
        <f>ED7/SUM(EB7:EE7)</f>
        <v>9.9999999999999992E-2</v>
      </c>
      <c r="EE8" s="248">
        <f>EE7/SUM(EB7:EE7)</f>
        <v>0.24675324675324672</v>
      </c>
      <c r="EF8" s="249" t="s">
        <v>361</v>
      </c>
      <c r="EG8" s="248">
        <f>EG7/SUM(EG7:EJ7)</f>
        <v>8.3429271279853029E-2</v>
      </c>
      <c r="EH8" s="248">
        <f>EH7/SUM(EG7:EJ7)</f>
        <v>0.55000000000000004</v>
      </c>
      <c r="EI8" s="248">
        <f>EI7/SUM(EG7:EJ7)</f>
        <v>0.12931414574402939</v>
      </c>
      <c r="EJ8" s="248">
        <f>EJ7/SUM(EG7:EJ7)</f>
        <v>0.2372565829761176</v>
      </c>
      <c r="EK8" s="250"/>
      <c r="EL8" s="243"/>
      <c r="EM8" s="248">
        <f>EM7/SUM(EL7:EO7)</f>
        <v>0.50348837209302322</v>
      </c>
      <c r="EN8" s="248">
        <f>EN7/SUM(EL7:EO7)</f>
        <v>0.34651162790697676</v>
      </c>
      <c r="EO8" s="248">
        <f>EO7/SUM(EL7:EO7)</f>
        <v>0.15</v>
      </c>
      <c r="EP8" s="249" t="s">
        <v>361</v>
      </c>
      <c r="EQ8" s="248">
        <f>EQ7/SUM(EQ7:ES7)</f>
        <v>0.40368340276255205</v>
      </c>
      <c r="ER8" s="248">
        <f>ER7/SUM(EQ7:ES7)</f>
        <v>0.39484323613242711</v>
      </c>
      <c r="ES8" s="248">
        <f>ES7/SUM(EQ7:ES7)</f>
        <v>0.20147336110502082</v>
      </c>
      <c r="ET8" s="250"/>
      <c r="EU8" s="243"/>
      <c r="EV8" s="251"/>
      <c r="EW8" s="251"/>
      <c r="EX8" s="252" t="s">
        <v>362</v>
      </c>
      <c r="EY8" s="253">
        <f>EY7/EX7</f>
        <v>0.81992162071904517</v>
      </c>
      <c r="EZ8" s="254">
        <f>EZ7/EX7</f>
        <v>0.18007837928095483</v>
      </c>
      <c r="FA8" s="255"/>
      <c r="FB8" s="253">
        <f>FB7/FA7</f>
        <v>0.81878719527546795</v>
      </c>
      <c r="FC8" s="254">
        <f>FC7/FA7</f>
        <v>0.18121280472453205</v>
      </c>
      <c r="FD8" s="255"/>
      <c r="FE8" s="253">
        <f>FE7/FD7</f>
        <v>2.6512480153521641E-2</v>
      </c>
      <c r="FF8" s="254">
        <f>FF7/FD7</f>
        <v>4.1343251715527324E-3</v>
      </c>
      <c r="FG8" s="255"/>
      <c r="FH8" s="253">
        <f>FH7/FG7</f>
        <v>0.84829447005979219</v>
      </c>
      <c r="FI8" s="254">
        <f>FI7/FG7</f>
        <v>0.15170552994020781</v>
      </c>
      <c r="FJ8" s="255"/>
      <c r="FK8" s="253">
        <f>FK7/FJ7</f>
        <v>0.82839059181385222</v>
      </c>
      <c r="FL8" s="256">
        <f>FL7/FJ7</f>
        <v>0.17160940818614787</v>
      </c>
      <c r="FM8" s="243"/>
      <c r="FN8" s="257"/>
      <c r="FO8" s="257"/>
      <c r="FP8" s="257"/>
      <c r="FQ8" s="257"/>
      <c r="FR8" s="243"/>
      <c r="FS8" s="258"/>
      <c r="FT8" s="258"/>
      <c r="FU8" s="258"/>
      <c r="FV8" s="258"/>
      <c r="FW8" s="258"/>
      <c r="FX8" s="258"/>
      <c r="FY8" s="243"/>
      <c r="FZ8" s="258"/>
      <c r="GA8" s="258"/>
      <c r="GB8" s="258"/>
      <c r="GC8" s="258"/>
      <c r="GD8" s="258"/>
      <c r="GE8" s="258"/>
      <c r="GF8" s="258"/>
      <c r="GG8" s="258"/>
      <c r="GH8" s="252" t="s">
        <v>362</v>
      </c>
      <c r="GI8" s="253">
        <f>GI7/GH7</f>
        <v>0.83117381359657871</v>
      </c>
      <c r="GJ8" s="254">
        <f>GJ7/GH7</f>
        <v>0.1688261864034214</v>
      </c>
      <c r="GK8" s="258"/>
      <c r="GL8" s="253">
        <f>GL7/GK7</f>
        <v>0.79668691946780223</v>
      </c>
      <c r="GM8" s="254">
        <f>GM7/GK7</f>
        <v>0.20331308053219804</v>
      </c>
      <c r="GN8" s="258"/>
      <c r="GO8" s="253">
        <f>GO7/GN7</f>
        <v>0.82282044892398909</v>
      </c>
      <c r="GP8" s="254">
        <f>GP7/GN7</f>
        <v>0.17717955107601119</v>
      </c>
      <c r="GQ8" s="258"/>
      <c r="GR8" s="253">
        <f>GR7/GQ7</f>
        <v>0.8621718204186789</v>
      </c>
      <c r="GS8" s="254">
        <f>GS7/GQ7</f>
        <v>0.13782817958132099</v>
      </c>
      <c r="GT8" s="258"/>
      <c r="GU8" s="253">
        <f>GU7/GT7</f>
        <v>0.86821499132654167</v>
      </c>
      <c r="GV8" s="254">
        <f>GV7/GT7</f>
        <v>0.13178500867345835</v>
      </c>
      <c r="GW8" s="258"/>
      <c r="GX8" s="253">
        <f>GX7/GW7</f>
        <v>0.86197624080119228</v>
      </c>
      <c r="GY8" s="254">
        <f>GY7/GW7</f>
        <v>0.13802375919880769</v>
      </c>
      <c r="GZ8" s="258"/>
      <c r="HA8" s="253">
        <f>HA7/GZ7</f>
        <v>0.86629826202619775</v>
      </c>
      <c r="HB8" s="254">
        <f>HB7/GZ7</f>
        <v>0.13370173797380228</v>
      </c>
      <c r="HC8" s="258"/>
      <c r="HD8" s="253">
        <f>HD7/HC7</f>
        <v>0.8793445832250627</v>
      </c>
      <c r="HE8" s="254">
        <f>HE7/HC7</f>
        <v>0.12065541677493728</v>
      </c>
      <c r="HF8" s="258"/>
      <c r="HG8" s="253">
        <f>HG7/HF7</f>
        <v>0.83052373293513393</v>
      </c>
      <c r="HH8" s="254">
        <f>HH7/HF7</f>
        <v>0.16947626706486613</v>
      </c>
      <c r="HI8" s="258"/>
      <c r="HJ8" s="253">
        <f>HJ7/HI7</f>
        <v>0.85749882011003997</v>
      </c>
      <c r="HK8" s="254">
        <f>HK7/HI7</f>
        <v>0.14250117988995989</v>
      </c>
      <c r="HL8" s="258"/>
      <c r="HM8" s="253">
        <f>HM7/HL7</f>
        <v>0.86397877872066509</v>
      </c>
      <c r="HN8" s="254">
        <f>HN7/HL7</f>
        <v>0.13602122127933489</v>
      </c>
      <c r="HO8" s="258"/>
      <c r="HP8" s="253">
        <f>HP7/HO7</f>
        <v>0.84897403572861874</v>
      </c>
      <c r="HQ8" s="254">
        <f>HQ7/HO7</f>
        <v>0.15102596427138126</v>
      </c>
      <c r="HR8" s="258"/>
      <c r="HS8" s="253">
        <f>HS7/HR7</f>
        <v>0.79691071179849837</v>
      </c>
      <c r="HT8" s="254">
        <f>HT7/HR7</f>
        <v>0.20308928820150171</v>
      </c>
      <c r="HU8" s="258"/>
      <c r="HV8" s="253">
        <f>HV7/HU7</f>
        <v>0.83249713188695418</v>
      </c>
      <c r="HW8" s="254">
        <f>HW7/HU7</f>
        <v>0.16750286811304579</v>
      </c>
      <c r="HX8" s="259"/>
      <c r="HY8" s="252" t="s">
        <v>362</v>
      </c>
      <c r="HZ8" s="260">
        <f>HZ7/HY7</f>
        <v>3.6039735802078941E-2</v>
      </c>
      <c r="IA8" s="261">
        <f>IA7/HY7</f>
        <v>0.39715030121623418</v>
      </c>
      <c r="IB8" s="262">
        <f>IB7/HY7</f>
        <v>0.48261273095330204</v>
      </c>
      <c r="IC8" s="263">
        <f>IC7/HY7</f>
        <v>8.1783869110909804E-2</v>
      </c>
      <c r="ID8" s="264">
        <f>ID7/HY7</f>
        <v>2.4133629174749745E-3</v>
      </c>
      <c r="IE8" s="252"/>
      <c r="IF8" s="260">
        <f>IF7/IE7</f>
        <v>1.4164853377768877E-2</v>
      </c>
      <c r="IG8" s="261">
        <f>IG7/IE7</f>
        <v>0.35555637555345637</v>
      </c>
      <c r="IH8" s="262">
        <f>IH7/IE7</f>
        <v>0.50825013413637388</v>
      </c>
      <c r="II8" s="263">
        <f>II7/IE7</f>
        <v>0.11251562713701675</v>
      </c>
      <c r="IJ8" s="264">
        <f>IJ7/IE7</f>
        <v>9.5130097953840965E-3</v>
      </c>
      <c r="IK8" s="265"/>
      <c r="IL8" s="266"/>
      <c r="IM8" s="267"/>
      <c r="IN8" s="243"/>
      <c r="IO8" s="268"/>
      <c r="IP8" s="269"/>
      <c r="IQ8" s="269"/>
      <c r="IR8" s="269"/>
      <c r="IS8" s="270" t="s">
        <v>363</v>
      </c>
      <c r="IT8" s="271">
        <f>(IT7-IO7)*100</f>
        <v>-2.0939754693726345</v>
      </c>
      <c r="IU8" s="272">
        <f>(IU7-IP7)*100</f>
        <v>-3.6176702775298333</v>
      </c>
      <c r="IV8" s="273">
        <f>(IV7-IQ7)*100</f>
        <v>2.4725568045585842</v>
      </c>
      <c r="IW8" s="274">
        <f>(IW7-IR7)*100</f>
        <v>2.6335173046626901</v>
      </c>
      <c r="IX8" s="275">
        <f>(IX7-IS7)*100</f>
        <v>0.60557163768118016</v>
      </c>
      <c r="IY8" s="268"/>
      <c r="IZ8" s="269"/>
      <c r="JA8" s="269"/>
      <c r="JB8" s="269"/>
      <c r="JC8" s="270" t="s">
        <v>363</v>
      </c>
      <c r="JD8" s="271">
        <f>(JD7-IY7)*100</f>
        <v>-3.65</v>
      </c>
      <c r="JE8" s="272">
        <f>(JE7-IZ7)*100</f>
        <v>-7.5199999999999987</v>
      </c>
      <c r="JF8" s="273">
        <f>(JF7-JA7)*100</f>
        <v>2.5499999999999967</v>
      </c>
      <c r="JG8" s="274">
        <f>(JG7-JB7)*100</f>
        <v>6.38</v>
      </c>
      <c r="JH8" s="275">
        <f>(JH7-JC7)*100</f>
        <v>2.2400000000000002</v>
      </c>
      <c r="JI8" s="268"/>
      <c r="JJ8" s="269"/>
      <c r="JK8" s="269"/>
      <c r="JL8" s="269"/>
      <c r="JM8" s="270" t="s">
        <v>363</v>
      </c>
      <c r="JN8" s="271">
        <f>(JN7-JI7)*100</f>
        <v>-6.7399999999999984</v>
      </c>
      <c r="JO8" s="272">
        <f>(JO7-JJ7)*100</f>
        <v>-9.6500000000000021</v>
      </c>
      <c r="JP8" s="273">
        <f>(JP7-JK7)*100</f>
        <v>9.6700000000000017</v>
      </c>
      <c r="JQ8" s="274">
        <f>(JQ7-JL7)*100</f>
        <v>5.6800000000000015</v>
      </c>
      <c r="JR8" s="275">
        <f>(JR7-JM7)*100</f>
        <v>1.04</v>
      </c>
      <c r="JS8" s="268"/>
      <c r="JT8" s="269"/>
      <c r="JU8" s="269"/>
      <c r="JV8" s="269"/>
      <c r="JW8" s="270" t="s">
        <v>363</v>
      </c>
      <c r="JX8" s="271">
        <f>(JX7-JS7)*100</f>
        <v>-3.46</v>
      </c>
      <c r="JY8" s="272">
        <f>(JY7-JT7)*100</f>
        <v>-11.19</v>
      </c>
      <c r="JZ8" s="273">
        <f>(JZ7-JU7)*100</f>
        <v>4.5699999999999967</v>
      </c>
      <c r="KA8" s="274">
        <f>(KA7-JV7)*100</f>
        <v>8.1700000000000017</v>
      </c>
      <c r="KB8" s="275">
        <f>(KB7-JW7)*100</f>
        <v>1.91</v>
      </c>
      <c r="KC8" s="243"/>
      <c r="KD8" s="276"/>
      <c r="KE8" s="276"/>
      <c r="KF8" s="265"/>
      <c r="KG8" s="266"/>
      <c r="KH8" s="277"/>
      <c r="KI8" s="265"/>
      <c r="KJ8" s="277"/>
      <c r="KK8" s="278"/>
      <c r="KL8" s="278"/>
      <c r="KM8" s="278"/>
      <c r="KN8" s="278"/>
      <c r="KO8" s="278"/>
      <c r="KP8" s="278"/>
      <c r="KQ8" s="278"/>
      <c r="KR8" s="278"/>
      <c r="KS8" s="278"/>
      <c r="KT8" s="278"/>
      <c r="KU8" s="278"/>
      <c r="KV8" s="278"/>
      <c r="KW8" s="278"/>
      <c r="KX8" s="278"/>
      <c r="KY8" s="278"/>
      <c r="KZ8" s="278"/>
      <c r="LA8" s="278"/>
      <c r="LB8" s="278"/>
      <c r="LC8" s="278"/>
      <c r="LD8" s="278"/>
      <c r="LE8" s="278"/>
      <c r="LF8" s="278"/>
      <c r="LG8" s="278"/>
      <c r="LH8" s="278"/>
      <c r="LI8" s="278"/>
      <c r="LJ8" s="278"/>
      <c r="LK8" s="278"/>
      <c r="LL8" s="278"/>
      <c r="LM8" s="278"/>
      <c r="LN8" s="278"/>
      <c r="LO8" s="278"/>
    </row>
    <row r="9" spans="1:327" s="42" customFormat="1" ht="48" customHeight="1" x14ac:dyDescent="0.25">
      <c r="A9" s="381">
        <v>1</v>
      </c>
      <c r="B9" s="280" t="s">
        <v>364</v>
      </c>
      <c r="C9" s="280" t="s">
        <v>4</v>
      </c>
      <c r="D9" s="280" t="s">
        <v>5</v>
      </c>
      <c r="E9" s="281" t="s">
        <v>365</v>
      </c>
      <c r="F9" s="281" t="s">
        <v>366</v>
      </c>
      <c r="G9" s="281" t="s">
        <v>367</v>
      </c>
      <c r="H9" s="281" t="s">
        <v>368</v>
      </c>
      <c r="I9" s="282" t="s">
        <v>369</v>
      </c>
      <c r="J9" s="282" t="s">
        <v>370</v>
      </c>
      <c r="K9" s="283" t="s">
        <v>368</v>
      </c>
      <c r="L9" s="283" t="s">
        <v>371</v>
      </c>
      <c r="M9" s="283" t="s">
        <v>372</v>
      </c>
      <c r="N9" s="283" t="s">
        <v>373</v>
      </c>
      <c r="O9" s="281" t="s">
        <v>374</v>
      </c>
      <c r="P9" s="282"/>
      <c r="Q9" s="284">
        <v>1</v>
      </c>
      <c r="R9" s="285">
        <v>4200</v>
      </c>
      <c r="S9" s="286">
        <v>18000</v>
      </c>
      <c r="T9" s="286">
        <v>19500</v>
      </c>
      <c r="U9" s="286">
        <v>22000</v>
      </c>
      <c r="V9" s="286">
        <v>25500</v>
      </c>
      <c r="W9" s="286">
        <v>26200</v>
      </c>
      <c r="X9" s="286">
        <v>26900</v>
      </c>
      <c r="Y9" s="286">
        <v>27600</v>
      </c>
      <c r="Z9" s="286">
        <v>28400</v>
      </c>
      <c r="AA9" s="286">
        <v>27800</v>
      </c>
      <c r="AB9" s="286">
        <v>27900</v>
      </c>
      <c r="AC9" s="286">
        <v>28000</v>
      </c>
      <c r="AD9" s="286">
        <v>28050</v>
      </c>
      <c r="AE9" s="286">
        <v>28100</v>
      </c>
      <c r="AF9" s="286">
        <v>28100</v>
      </c>
      <c r="AG9" s="286">
        <v>28000</v>
      </c>
      <c r="AH9" s="286">
        <v>27900</v>
      </c>
      <c r="AI9" s="286">
        <v>27800</v>
      </c>
      <c r="AJ9" s="286">
        <v>27700</v>
      </c>
      <c r="AK9" s="286">
        <v>27600</v>
      </c>
      <c r="AL9" s="282" t="s">
        <v>375</v>
      </c>
      <c r="AM9" s="282" t="s">
        <v>376</v>
      </c>
      <c r="AN9" s="282" t="s">
        <v>377</v>
      </c>
      <c r="AO9" s="287"/>
      <c r="AP9" s="285">
        <v>250</v>
      </c>
      <c r="AQ9" s="285">
        <v>225</v>
      </c>
      <c r="AR9" s="285">
        <v>25</v>
      </c>
      <c r="AS9" s="285">
        <v>0</v>
      </c>
      <c r="AT9" s="287"/>
      <c r="AU9" s="288" t="s">
        <v>378</v>
      </c>
      <c r="AV9" s="289" t="s">
        <v>379</v>
      </c>
      <c r="AW9" s="289" t="s">
        <v>380</v>
      </c>
      <c r="AX9" s="282" t="s">
        <v>381</v>
      </c>
      <c r="AY9" s="287"/>
      <c r="AZ9" s="290">
        <v>22</v>
      </c>
      <c r="BA9" s="290">
        <v>0.22500000000000001</v>
      </c>
      <c r="BB9" s="290">
        <v>4.5</v>
      </c>
      <c r="BC9" s="290">
        <v>16</v>
      </c>
      <c r="BD9" s="371">
        <f t="shared" ref="BD9:BD17" si="5">SUM(BE9:BH9)</f>
        <v>1200572.5</v>
      </c>
      <c r="BE9" s="291">
        <f t="shared" ref="BE9:BE17" si="6">AF9*AZ9</f>
        <v>618200</v>
      </c>
      <c r="BF9" s="291">
        <f t="shared" ref="BF9:BF17" si="7">AF9*BA9</f>
        <v>6322.5</v>
      </c>
      <c r="BG9" s="291">
        <f t="shared" ref="BG9:BG17" si="8">AF9*BB9</f>
        <v>126450</v>
      </c>
      <c r="BH9" s="291">
        <f t="shared" ref="BH9:BH17" si="9">AF9*BC9</f>
        <v>449600</v>
      </c>
      <c r="BI9" s="371">
        <f t="shared" ref="BI9:BI17" si="10">SUM(BJ9:BM9)</f>
        <v>1179210</v>
      </c>
      <c r="BJ9" s="291">
        <f t="shared" ref="BJ9:BJ17" si="11">AK9*AZ9</f>
        <v>607200</v>
      </c>
      <c r="BK9" s="291">
        <f t="shared" ref="BK9:BK17" si="12">AK9*BA9</f>
        <v>6210</v>
      </c>
      <c r="BL9" s="291">
        <f t="shared" ref="BL9:BL17" si="13">AK9*BB9</f>
        <v>124200</v>
      </c>
      <c r="BM9" s="291">
        <f t="shared" ref="BM9:BM17" si="14">AK9*BC9</f>
        <v>441600</v>
      </c>
      <c r="BN9" s="287"/>
      <c r="BO9" s="292">
        <v>0.43</v>
      </c>
      <c r="BP9" s="292">
        <v>0.35</v>
      </c>
      <c r="BQ9" s="292">
        <v>0.17</v>
      </c>
      <c r="BR9" s="293">
        <v>0.05</v>
      </c>
      <c r="BS9" s="294">
        <v>0.36</v>
      </c>
      <c r="BT9" s="292">
        <v>0.36</v>
      </c>
      <c r="BU9" s="292">
        <v>0.24</v>
      </c>
      <c r="BV9" s="293">
        <v>0.04</v>
      </c>
      <c r="BW9" s="295">
        <v>0.5</v>
      </c>
      <c r="BX9" s="296">
        <v>0.4</v>
      </c>
      <c r="BY9" s="297">
        <v>0.1</v>
      </c>
      <c r="BZ9" s="295">
        <v>0.44</v>
      </c>
      <c r="CA9" s="296">
        <v>0.43</v>
      </c>
      <c r="CB9" s="297">
        <v>0.13</v>
      </c>
      <c r="CC9" s="294">
        <v>0.12</v>
      </c>
      <c r="CD9" s="292">
        <v>0.5</v>
      </c>
      <c r="CE9" s="292">
        <v>0.15</v>
      </c>
      <c r="CF9" s="293">
        <v>0.23</v>
      </c>
      <c r="CG9" s="294">
        <v>0.1</v>
      </c>
      <c r="CH9" s="292">
        <v>0.5</v>
      </c>
      <c r="CI9" s="292">
        <v>0.18</v>
      </c>
      <c r="CJ9" s="293">
        <v>0.22</v>
      </c>
      <c r="CK9" s="298">
        <v>0.55000000000000004</v>
      </c>
      <c r="CL9" s="299">
        <v>0.3</v>
      </c>
      <c r="CM9" s="300">
        <v>0.15</v>
      </c>
      <c r="CN9" s="298">
        <v>0.47</v>
      </c>
      <c r="CO9" s="299">
        <v>0.33</v>
      </c>
      <c r="CP9" s="300">
        <v>0.2</v>
      </c>
      <c r="CQ9" s="287"/>
      <c r="CR9" s="301">
        <v>13</v>
      </c>
      <c r="CS9" s="302">
        <v>14</v>
      </c>
      <c r="CT9" s="302">
        <v>10</v>
      </c>
      <c r="CU9" s="303">
        <v>12</v>
      </c>
      <c r="CV9" s="301">
        <v>12</v>
      </c>
      <c r="CW9" s="302">
        <v>11</v>
      </c>
      <c r="CX9" s="303">
        <v>9</v>
      </c>
      <c r="CY9" s="301">
        <v>11</v>
      </c>
      <c r="CZ9" s="302">
        <v>13</v>
      </c>
      <c r="DA9" s="302">
        <v>9</v>
      </c>
      <c r="DB9" s="303">
        <v>11</v>
      </c>
      <c r="DC9" s="301">
        <v>14</v>
      </c>
      <c r="DD9" s="302">
        <v>14</v>
      </c>
      <c r="DE9" s="303">
        <v>10</v>
      </c>
      <c r="DF9" s="304" t="s">
        <v>382</v>
      </c>
      <c r="DG9" s="287"/>
      <c r="DH9" s="305">
        <f t="shared" ref="DH9:DH17" si="15">$BE9*BO9</f>
        <v>265826</v>
      </c>
      <c r="DI9" s="305">
        <f t="shared" ref="DI9:DI17" si="16">$BE9*BP9</f>
        <v>216370</v>
      </c>
      <c r="DJ9" s="305">
        <f t="shared" ref="DJ9:DJ17" si="17">$BE9*BQ9</f>
        <v>105094.00000000001</v>
      </c>
      <c r="DK9" s="305">
        <f t="shared" ref="DK9:DK17" si="18">$BE9*BR9</f>
        <v>30910</v>
      </c>
      <c r="DL9" s="306" t="s">
        <v>383</v>
      </c>
      <c r="DM9" s="305">
        <f t="shared" ref="DM9:DM17" si="19">$BJ9*BS9</f>
        <v>218592</v>
      </c>
      <c r="DN9" s="305">
        <f t="shared" ref="DN9:DN17" si="20">$BJ9*BT9</f>
        <v>218592</v>
      </c>
      <c r="DO9" s="305">
        <f t="shared" ref="DO9:DO17" si="21">$BJ9*BU9</f>
        <v>145728</v>
      </c>
      <c r="DP9" s="305">
        <f t="shared" ref="DP9:DP17" si="22">$BJ9*BV9</f>
        <v>24288</v>
      </c>
      <c r="DQ9" s="307" t="s">
        <v>384</v>
      </c>
      <c r="DR9" s="287"/>
      <c r="DS9" s="305">
        <f t="shared" ref="DS9:DS17" si="23">$BF9*BW9</f>
        <v>3161.25</v>
      </c>
      <c r="DT9" s="305">
        <f t="shared" ref="DT9:DT17" si="24">$BF9*BX9</f>
        <v>2529</v>
      </c>
      <c r="DU9" s="305">
        <f t="shared" ref="DU9:DU17" si="25">$BF9*BY9</f>
        <v>632.25</v>
      </c>
      <c r="DV9" s="307" t="s">
        <v>385</v>
      </c>
      <c r="DW9" s="305">
        <f t="shared" ref="DW9:DW17" si="26">$BK9*BZ9</f>
        <v>2732.4</v>
      </c>
      <c r="DX9" s="305">
        <f t="shared" ref="DX9:DX17" si="27">$BK9*CA9</f>
        <v>2670.3</v>
      </c>
      <c r="DY9" s="305">
        <f t="shared" ref="DY9:DY17" si="28">$BK9*CB9</f>
        <v>807.30000000000007</v>
      </c>
      <c r="DZ9" s="307" t="s">
        <v>386</v>
      </c>
      <c r="EA9" s="287"/>
      <c r="EB9" s="305">
        <f t="shared" ref="EB9:EB17" si="29">$BG9*CC9</f>
        <v>15174</v>
      </c>
      <c r="EC9" s="305">
        <f t="shared" ref="EC9:EC17" si="30">$BG9*CD9</f>
        <v>63225</v>
      </c>
      <c r="ED9" s="305">
        <f t="shared" ref="ED9:ED17" si="31">$BG9*CE9</f>
        <v>18967.5</v>
      </c>
      <c r="EE9" s="305">
        <f t="shared" ref="EE9:EE17" si="32">$BG9*CF9</f>
        <v>29083.5</v>
      </c>
      <c r="EF9" s="307" t="s">
        <v>387</v>
      </c>
      <c r="EG9" s="305">
        <f t="shared" ref="EG9:EG17" si="33">$BL9*CG9</f>
        <v>12420</v>
      </c>
      <c r="EH9" s="305">
        <f t="shared" ref="EH9:EH17" si="34">$BL9*CH9</f>
        <v>62100</v>
      </c>
      <c r="EI9" s="305">
        <f t="shared" ref="EI9:EI17" si="35">$BL9*CI9</f>
        <v>22356</v>
      </c>
      <c r="EJ9" s="305">
        <f t="shared" ref="EJ9:EJ17" si="36">$BL9*CJ9</f>
        <v>27324</v>
      </c>
      <c r="EK9" s="308" t="s">
        <v>388</v>
      </c>
      <c r="EL9" s="287"/>
      <c r="EM9" s="305">
        <f t="shared" ref="EM9:EM17" si="37">$BH9*CK9</f>
        <v>247280.00000000003</v>
      </c>
      <c r="EN9" s="309">
        <f t="shared" ref="EN9:EN17" si="38">$BH9*CL9</f>
        <v>134880</v>
      </c>
      <c r="EO9" s="309">
        <f t="shared" ref="EO9:EO17" si="39">$BH9*CM9</f>
        <v>67440</v>
      </c>
      <c r="EP9" s="307" t="s">
        <v>389</v>
      </c>
      <c r="EQ9" s="305">
        <f t="shared" ref="EQ9:EQ17" si="40">$BM9*CN9</f>
        <v>207552</v>
      </c>
      <c r="ER9" s="309">
        <f t="shared" ref="ER9:ER17" si="41">$BM9*CO9</f>
        <v>145728</v>
      </c>
      <c r="ES9" s="309">
        <f t="shared" ref="ES9:ES17" si="42">$BM9*CP9</f>
        <v>88320</v>
      </c>
      <c r="ET9" s="307" t="s">
        <v>390</v>
      </c>
      <c r="EU9" s="287"/>
      <c r="EV9" s="310">
        <f t="shared" ref="EV9:EV17" si="43">IFERROR(EY9/EX9,0)</f>
        <v>0.8573873427931652</v>
      </c>
      <c r="EW9" s="310">
        <f t="shared" ref="EW9:EW17" si="44">IFERROR(EZ9/EX9,0)</f>
        <v>0.14261265720683475</v>
      </c>
      <c r="EX9" s="311">
        <f t="shared" ref="EX9:EX17" si="45">EY9+EZ9</f>
        <v>391456.28686402808</v>
      </c>
      <c r="EY9" s="311">
        <f t="shared" ref="EY9:EY17" si="46">SUM(FB9,FE9,FH9,FK9)</f>
        <v>335629.66561402805</v>
      </c>
      <c r="EZ9" s="311">
        <f t="shared" ref="EZ9:EZ17" si="47">SUM(FC9,FF9,FI9,FL9)</f>
        <v>55826.621250000004</v>
      </c>
      <c r="FA9" s="311">
        <f t="shared" ref="FA9:FA17" si="48">FB9+FC9</f>
        <v>203059.86842589744</v>
      </c>
      <c r="FB9" s="311">
        <f t="shared" ref="FB9:FB17" si="49">SUM(GI9,GL9,GO9,GR9)</f>
        <v>174313.56842589745</v>
      </c>
      <c r="FC9" s="311">
        <f t="shared" ref="FC9:FC17" si="50">MAX(0,$BJ9-$BE9)+$BE9*$FO9</f>
        <v>28746.3</v>
      </c>
      <c r="FD9" s="311">
        <f t="shared" ref="FD9:FD17" si="51">FE9+FF9</f>
        <v>2423.3856460227271</v>
      </c>
      <c r="FE9" s="311">
        <f t="shared" ref="FE9:FE17" si="52">SUM(GU9,GX9,HA9)</f>
        <v>2129.3893960227269</v>
      </c>
      <c r="FF9" s="311">
        <f t="shared" ref="FF9:FF17" si="53">MAX(0,$BK9-$BF9)+$BF9*$FO9</f>
        <v>293.99624999999997</v>
      </c>
      <c r="FG9" s="311">
        <f t="shared" ref="FG9:FG17" si="54">FH9+FI9</f>
        <v>46774.863534965036</v>
      </c>
      <c r="FH9" s="311">
        <f t="shared" ref="FH9:FH17" si="55">SUM(HD9,HG9,HJ9,HM9)</f>
        <v>40894.938534965033</v>
      </c>
      <c r="FI9" s="311">
        <f t="shared" ref="FI9:FI17" si="56">MAX(0,$BL9-$BG9)+$BG9*$FO9</f>
        <v>5879.9250000000002</v>
      </c>
      <c r="FJ9" s="311">
        <f t="shared" ref="FJ9:FJ17" si="57">FK9+FL9</f>
        <v>139198.16925714284</v>
      </c>
      <c r="FK9" s="311">
        <f t="shared" ref="FK9:FK17" si="58">SUM(HP9,HS9,HV9)</f>
        <v>118291.76925714285</v>
      </c>
      <c r="FL9" s="311">
        <f t="shared" ref="FL9:FL17" si="59">MAX(0,$BM9-$BH9)+$BH9*$FO9</f>
        <v>20906.400000000001</v>
      </c>
      <c r="FM9" s="287"/>
      <c r="FN9" s="312" t="s">
        <v>391</v>
      </c>
      <c r="FO9" s="310">
        <v>4.65E-2</v>
      </c>
      <c r="FP9" s="313">
        <v>0.80364999999999998</v>
      </c>
      <c r="FQ9" s="314" t="s">
        <v>392</v>
      </c>
      <c r="FR9" s="287"/>
      <c r="FS9" s="315">
        <v>3.24</v>
      </c>
      <c r="FT9" s="316" t="e">
        <f>RANK($FS9,$FS$16:$FS$17,0)+COUNTIF($FS$16:$FS17,$FS9)-1</f>
        <v>#N/A</v>
      </c>
      <c r="FU9" s="315">
        <v>3.87</v>
      </c>
      <c r="FV9" s="316" t="e">
        <f>RANK($FU9,$FU$16:$FU$17,0)+COUNTIF($FU$16:$FU17,$FU9)-1</f>
        <v>#N/A</v>
      </c>
      <c r="FW9" s="315">
        <v>2.12</v>
      </c>
      <c r="FX9" s="316" t="e">
        <f>RANK($FW9,$FW$16:$FW$17,0)+COUNTIF($FW$16:$FW17,$FW9)-1</f>
        <v>#N/A</v>
      </c>
      <c r="FY9" s="287"/>
      <c r="FZ9" s="289" t="s">
        <v>393</v>
      </c>
      <c r="GA9" s="289" t="s">
        <v>394</v>
      </c>
      <c r="GB9" s="289" t="s">
        <v>395</v>
      </c>
      <c r="GC9" s="289" t="s">
        <v>396</v>
      </c>
      <c r="GD9" s="289" t="s">
        <v>397</v>
      </c>
      <c r="GE9" s="289" t="s">
        <v>398</v>
      </c>
      <c r="GF9" s="289" t="str">
        <f>HYPERLINK("https://anct.gouv.fr/france-services-36","https://anct.gouv.fr/france-services-36")&amp;CHAR(10)&amp;HYPERLINK("https://www.economie.gouv.fr/particuliers/gerer-mon-argent/beneficier-daides-et-de-reductions-dimpots/france-services-les-services-publics-pres-de-chez-vous","https://www.economie.gouv.fr/particuliers/gerer-mon-argent/beneficier-daides-et-de-reductions-dimpots/france-services-les-services-publics-pres-de-chez-vous")&amp;CHAR(10)&amp;HYPERLINK("https://www.ecologie.gouv.fr/eco-energie-tertiaire-eet","https://www.ecologie.gouv.fr/eco-energie-tertiaire-eet")&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https://anct.gouv.fr/france-services-36
https://www.economie.gouv.fr/particuliers/gerer-mon-argent/beneficier-daides-et-de-reductions-dimpots/france-services-les-services-publics-pres-de-chez-vous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9" s="287"/>
      <c r="GH9" s="311">
        <f t="shared" ref="GH9:GH17" si="60">GI9+GJ9</f>
        <v>82046.364569230776</v>
      </c>
      <c r="GI9" s="311">
        <f t="shared" ref="GI9:GI17" si="61">IFERROR($DH9*$FP9/MAX(0.000000001,$CR9)*(INDEX($S9:$AF9,1,MATCH(MAX(2000,MIN(2025,ROUND(2026-$CR9,0))),$S$4:$AF$4,1))+INDEX($S9:$AF9,1,MATCH(MAX(2000,MIN(2025,ROUND(2027-$CR9,0))),$S$4:$AF$4,1))+INDEX($S9:$AF9,1,MATCH(MAX(2000,MIN(2025,ROUND(2028-$CR9,0))),$S$4:$AF$4,1))+INDEX($S9:$AF9,1,MATCH(MAX(2000,MIN(2025,ROUND(2029-$CR9,0))),$S$4:$AF$4,1))+INDEX($S9:$AF9,1,MATCH(MAX(2000,MIN(2025,ROUND(2030-$CR9,0))),$S$4:$AF$4,1)))/MAX(1,$AF9),0)</f>
        <v>71697.696569230771</v>
      </c>
      <c r="GJ9" s="311">
        <f t="shared" ref="GJ9:GJ17" si="62">IFERROR($FC9*$BS9,0)</f>
        <v>10348.668</v>
      </c>
      <c r="GK9" s="311">
        <f t="shared" ref="GK9:GK17" si="63">GL9+GM9</f>
        <v>62372.950749999996</v>
      </c>
      <c r="GL9" s="311">
        <f t="shared" ref="GL9:GL17" si="64">IFERROR($DI9*$FP9/MAX(0.000000001,$CS9)*(INDEX($S9:$AF9,1,MATCH(MAX(2000,MIN(2025,ROUND(2026-$CS9,0))),$S$4:$AF$4,1))+INDEX($S9:$AF9,1,MATCH(MAX(2000,MIN(2025,ROUND(2027-$CS9,0))),$S$4:$AF$4,1))+INDEX($S9:$AF9,1,MATCH(MAX(2000,MIN(2025,ROUND(2028-$CS9,0))),$S$4:$AF$4,1))+INDEX($S9:$AF9,1,MATCH(MAX(2000,MIN(2025,ROUND(2029-$CS9,0))),$S$4:$AF$4,1))+INDEX($S9:$AF9,1,MATCH(MAX(2000,MIN(2025,ROUND(2030-$CS9,0))),$S$4:$AF$4,1)))/MAX(1,$AF9),0)</f>
        <v>52024.282749999998</v>
      </c>
      <c r="GM9" s="311">
        <f t="shared" ref="GM9:GM17" si="65">IFERROR($FC9*$BT9,0)</f>
        <v>10348.668</v>
      </c>
      <c r="GN9" s="311">
        <f t="shared" ref="GN9:GN17" si="66">GO9+GP9</f>
        <v>48046.474190000001</v>
      </c>
      <c r="GO9" s="311">
        <f t="shared" ref="GO9:GO17" si="67">IFERROR($DJ9*$FP9/MAX(0.000000001,$CT9)*(INDEX($S9:$AF9,1,MATCH(MAX(2000,MIN(2025,ROUND(2026-$CT9,0))),$S$4:$AF$4,1))+INDEX($S9:$AF9,1,MATCH(MAX(2000,MIN(2025,ROUND(2027-$CT9,0))),$S$4:$AF$4,1))+INDEX($S9:$AF9,1,MATCH(MAX(2000,MIN(2025,ROUND(2028-$CT9,0))),$S$4:$AF$4,1))+INDEX($S9:$AF9,1,MATCH(MAX(2000,MIN(2025,ROUND(2029-$CT9,0))),$S$4:$AF$4,1))+INDEX($S9:$AF9,1,MATCH(MAX(2000,MIN(2025,ROUND(2030-$CT9,0))),$S$4:$AF$4,1)))/MAX(1,$AF9),0)</f>
        <v>41147.36219</v>
      </c>
      <c r="GP9" s="311">
        <f t="shared" ref="GP9:GP17" si="68">IFERROR($FC9*$BU9,0)</f>
        <v>6899.1119999999992</v>
      </c>
      <c r="GQ9" s="311">
        <f t="shared" ref="GQ9:GQ17" si="69">GR9+GS9</f>
        <v>10594.078916666667</v>
      </c>
      <c r="GR9" s="311">
        <f t="shared" ref="GR9:GR17" si="70">IFERROR($DK9*$FP9/MAX(0.000000001,$CU9)*(INDEX($S9:$AF9,1,MATCH(MAX(2000,MIN(2025,ROUND(2026-$CU9,0))),$S$4:$AF$4,1))+INDEX($S9:$AF9,1,MATCH(MAX(2000,MIN(2025,ROUND(2027-$CU9,0))),$S$4:$AF$4,1))+INDEX($S9:$AF9,1,MATCH(MAX(2000,MIN(2025,ROUND(2028-$CU9,0))),$S$4:$AF$4,1))+INDEX($S9:$AF9,1,MATCH(MAX(2000,MIN(2025,ROUND(2029-$CU9,0))),$S$4:$AF$4,1))+INDEX($S9:$AF9,1,MATCH(MAX(2000,MIN(2025,ROUND(2030-$CU9,0))),$S$4:$AF$4,1)))/MAX(1,$AF9),0)</f>
        <v>9444.2269166666665</v>
      </c>
      <c r="GS9" s="311">
        <f t="shared" ref="GS9:GS17" si="71">IFERROR($FC9*$BV9,0)</f>
        <v>1149.8520000000001</v>
      </c>
      <c r="GT9" s="311">
        <f t="shared" ref="GT9:GT17" si="72">GU9+GV9</f>
        <v>1095.24519375</v>
      </c>
      <c r="GU9" s="311">
        <f t="shared" ref="GU9:GU17" si="73">IFERROR($DS9*$FP9/MAX(0.000000001,$CV9)*(INDEX($S9:$AF9,1,MATCH(MAX(2000,MIN(2025,ROUND(2026-$CV9,0))),$S$4:$AF$4,1))+INDEX($S9:$AF9,1,MATCH(MAX(2000,MIN(2025,ROUND(2027-$CV9,0))),$S$4:$AF$4,1))+INDEX($S9:$AF9,1,MATCH(MAX(2000,MIN(2025,ROUND(2028-$CV9,0))),$S$4:$AF$4,1))+INDEX($S9:$AF9,1,MATCH(MAX(2000,MIN(2025,ROUND(2029-$CV9,0))),$S$4:$AF$4,1))+INDEX($S9:$AF9,1,MATCH(MAX(2000,MIN(2025,ROUND(2030-$CV9,0))),$S$4:$AF$4,1)))/MAX(1,$AF9),0)</f>
        <v>965.88684375000003</v>
      </c>
      <c r="GV9" s="311">
        <f t="shared" ref="GV9:GV17" si="74">IFERROR($FF9*$BZ9,0)</f>
        <v>129.35835</v>
      </c>
      <c r="GW9" s="311">
        <f t="shared" ref="GW9:GW17" si="75">GX9+GY9</f>
        <v>1011.4562147727272</v>
      </c>
      <c r="GX9" s="311">
        <f t="shared" ref="GX9:GX17" si="76">IFERROR($DT9*$FP9/MAX(0.000000001,$CW9)*(INDEX($S9:$AF9,1,MATCH(MAX(2000,MIN(2025,ROUND(2026-$CW9,0))),$S$4:$AF$4,1))+INDEX($S9:$AF9,1,MATCH(MAX(2000,MIN(2025,ROUND(2027-$CW9,0))),$S$4:$AF$4,1))+INDEX($S9:$AF9,1,MATCH(MAX(2000,MIN(2025,ROUND(2028-$CW9,0))),$S$4:$AF$4,1))+INDEX($S9:$AF9,1,MATCH(MAX(2000,MIN(2025,ROUND(2029-$CW9,0))),$S$4:$AF$4,1))+INDEX($S9:$AF9,1,MATCH(MAX(2000,MIN(2025,ROUND(2030-$CW9,0))),$S$4:$AF$4,1)))/MAX(1,$AF9),0)</f>
        <v>885.03782727272721</v>
      </c>
      <c r="GY9" s="311">
        <f t="shared" ref="GY9:GY17" si="77">IFERROR($FF9*$CA9,0)</f>
        <v>126.41838749999999</v>
      </c>
      <c r="GZ9" s="311">
        <f t="shared" ref="GZ9:GZ17" si="78">HA9+HB9</f>
        <v>316.68423749999999</v>
      </c>
      <c r="HA9" s="311">
        <f t="shared" ref="HA9:HA17" si="79">IFERROR($DU9*$FP9/MAX(0.000000001,$CX9)*(INDEX($S9:$AF9,1,MATCH(MAX(2000,MIN(2025,ROUND(2026-$CX9,0))),$S$4:$AF$4,1))+INDEX($S9:$AF9,1,MATCH(MAX(2000,MIN(2025,ROUND(2027-$CX9,0))),$S$4:$AF$4,1))+INDEX($S9:$AF9,1,MATCH(MAX(2000,MIN(2025,ROUND(2028-$CX9,0))),$S$4:$AF$4,1))+INDEX($S9:$AF9,1,MATCH(MAX(2000,MIN(2025,ROUND(2029-$CX9,0))),$S$4:$AF$4,1))+INDEX($S9:$AF9,1,MATCH(MAX(2000,MIN(2025,ROUND(2030-$CX9,0))),$S$4:$AF$4,1)))/MAX(1,$AF9),0)</f>
        <v>278.46472499999999</v>
      </c>
      <c r="HB9" s="311">
        <f t="shared" ref="HB9:HB17" si="80">IFERROR($FF9*$CB9,0)</f>
        <v>38.2195125</v>
      </c>
      <c r="HC9" s="311">
        <f t="shared" ref="HC9:HC17" si="81">HD9+HE9</f>
        <v>5898.2194636363638</v>
      </c>
      <c r="HD9" s="311">
        <f t="shared" ref="HD9:HD17" si="82">IFERROR($EB9*$FP9/MAX(0.000000001,$CY9)*(INDEX($S9:$AF9,1,MATCH(MAX(2000,MIN(2025,ROUND(2026-$CY9,0))),$S$4:$AF$4,1))+INDEX($S9:$AF9,1,MATCH(MAX(2000,MIN(2025,ROUND(2027-$CY9,0))),$S$4:$AF$4,1))+INDEX($S9:$AF9,1,MATCH(MAX(2000,MIN(2025,ROUND(2028-$CY9,0))),$S$4:$AF$4,1))+INDEX($S9:$AF9,1,MATCH(MAX(2000,MIN(2025,ROUND(2029-$CY9,0))),$S$4:$AF$4,1))+INDEX($S9:$AF9,1,MATCH(MAX(2000,MIN(2025,ROUND(2030-$CY9,0))),$S$4:$AF$4,1)))/MAX(1,$AF9),0)</f>
        <v>5310.2269636363635</v>
      </c>
      <c r="HE9" s="311">
        <f t="shared" ref="HE9:HE17" si="83">IFERROR($FI9*$CG9,0)</f>
        <v>587.99250000000006</v>
      </c>
      <c r="HF9" s="311">
        <f t="shared" ref="HF9:HF17" si="84">HG9+HH9</f>
        <v>19992.797307692308</v>
      </c>
      <c r="HG9" s="311">
        <f t="shared" ref="HG9:HG17" si="85">IFERROR($EC9*$FP9/MAX(0.000000001,$CZ9)*(INDEX($S9:$AF9,1,MATCH(MAX(2000,MIN(2025,ROUND(2026-$CZ9,0))),$S$4:$AF$4,1))+INDEX($S9:$AF9,1,MATCH(MAX(2000,MIN(2025,ROUND(2027-$CZ9,0))),$S$4:$AF$4,1))+INDEX($S9:$AF9,1,MATCH(MAX(2000,MIN(2025,ROUND(2028-$CZ9,0))),$S$4:$AF$4,1))+INDEX($S9:$AF9,1,MATCH(MAX(2000,MIN(2025,ROUND(2029-$CZ9,0))),$S$4:$AF$4,1))+INDEX($S9:$AF9,1,MATCH(MAX(2000,MIN(2025,ROUND(2030-$CZ9,0))),$S$4:$AF$4,1)))/MAX(1,$AF9),0)</f>
        <v>17052.834807692307</v>
      </c>
      <c r="HH9" s="311">
        <f t="shared" ref="HH9:HH17" si="86">IFERROR($FI9*$CH9,0)</f>
        <v>2939.9625000000001</v>
      </c>
      <c r="HI9" s="311">
        <f t="shared" ref="HI9:HI17" si="87">HJ9+HK9</f>
        <v>9412.3282500000005</v>
      </c>
      <c r="HJ9" s="311">
        <f t="shared" ref="HJ9:HJ17" si="88">IFERROR($ED9*$FP9/MAX(0.000000001,$DA9)*(INDEX($S9:$AF9,1,MATCH(MAX(2000,MIN(2025,ROUND(2026-$DA9,0))),$S$4:$AF$4,1))+INDEX($S9:$AF9,1,MATCH(MAX(2000,MIN(2025,ROUND(2027-$DA9,0))),$S$4:$AF$4,1))+INDEX($S9:$AF9,1,MATCH(MAX(2000,MIN(2025,ROUND(2028-$DA9,0))),$S$4:$AF$4,1))+INDEX($S9:$AF9,1,MATCH(MAX(2000,MIN(2025,ROUND(2029-$DA9,0))),$S$4:$AF$4,1))+INDEX($S9:$AF9,1,MATCH(MAX(2000,MIN(2025,ROUND(2030-$DA9,0))),$S$4:$AF$4,1)))/MAX(1,$AF9),0)</f>
        <v>8353.94175</v>
      </c>
      <c r="HK9" s="311">
        <f t="shared" ref="HK9:HK17" si="89">IFERROR($FI9*$CI9,0)</f>
        <v>1058.3865000000001</v>
      </c>
      <c r="HL9" s="311">
        <f t="shared" ref="HL9:HL17" si="90">HM9+HN9</f>
        <v>11471.518513636363</v>
      </c>
      <c r="HM9" s="311">
        <f t="shared" ref="HM9:HM17" si="91">IFERROR($EE9*$FP9/MAX(0.000000001,$DB9)*(INDEX($S9:$AF9,1,MATCH(MAX(2000,MIN(2025,ROUND(2026-$DB9,0))),$S$4:$AF$4,1))+INDEX($S9:$AF9,1,MATCH(MAX(2000,MIN(2025,ROUND(2027-$DB9,0))),$S$4:$AF$4,1))+INDEX($S9:$AF9,1,MATCH(MAX(2000,MIN(2025,ROUND(2028-$DB9,0))),$S$4:$AF$4,1))+INDEX($S9:$AF9,1,MATCH(MAX(2000,MIN(2025,ROUND(2029-$DB9,0))),$S$4:$AF$4,1))+INDEX($S9:$AF9,1,MATCH(MAX(2000,MIN(2025,ROUND(2030-$DB9,0))),$S$4:$AF$4,1)))/MAX(1,$AF9),0)</f>
        <v>10177.935013636363</v>
      </c>
      <c r="HN9" s="311">
        <f t="shared" ref="HN9:HN17" si="92">IFERROR($FI9*$CJ9,0)</f>
        <v>1293.5835</v>
      </c>
      <c r="HO9" s="311">
        <f t="shared" ref="HO9:HO17" si="93">HP9+HQ9</f>
        <v>69282.331142857147</v>
      </c>
      <c r="HP9" s="311">
        <f t="shared" ref="HP9:HP17" si="94">IFERROR($EM9*$FP9/MAX(0.000000001,$DC9)*(INDEX($S9:$AF9,1,MATCH(MAX(2000,MIN(2025,ROUND(2026-$DC9,0))),$S$4:$AF$4,1))+INDEX($S9:$AF9,1,MATCH(MAX(2000,MIN(2025,ROUND(2027-$DC9,0))),$S$4:$AF$4,1))+INDEX($S9:$AF9,1,MATCH(MAX(2000,MIN(2025,ROUND(2028-$DC9,0))),$S$4:$AF$4,1))+INDEX($S9:$AF9,1,MATCH(MAX(2000,MIN(2025,ROUND(2029-$DC9,0))),$S$4:$AF$4,1))+INDEX($S9:$AF9,1,MATCH(MAX(2000,MIN(2025,ROUND(2030-$DC9,0))),$S$4:$AF$4,1)))/MAX(1,$AF9),0)</f>
        <v>59456.323142857145</v>
      </c>
      <c r="HQ9" s="311">
        <f t="shared" ref="HQ9:HQ17" si="95">IFERROR($FL9*$CN9,0)</f>
        <v>9826.0079999999998</v>
      </c>
      <c r="HR9" s="311">
        <f t="shared" ref="HR9:HR17" si="96">HS9+HT9</f>
        <v>39329.83371428572</v>
      </c>
      <c r="HS9" s="311">
        <f t="shared" ref="HS9:HS17" si="97">IFERROR($EN9*$FP9/MAX(0.000000001,$DD9)*(INDEX($S9:$AF9,1,MATCH(MAX(2000,MIN(2025,ROUND(2026-$DD9,0))),$S$4:$AF$4,1))+INDEX($S9:$AF9,1,MATCH(MAX(2000,MIN(2025,ROUND(2027-$DD9,0))),$S$4:$AF$4,1))+INDEX($S9:$AF9,1,MATCH(MAX(2000,MIN(2025,ROUND(2028-$DD9,0))),$S$4:$AF$4,1))+INDEX($S9:$AF9,1,MATCH(MAX(2000,MIN(2025,ROUND(2029-$DD9,0))),$S$4:$AF$4,1))+INDEX($S9:$AF9,1,MATCH(MAX(2000,MIN(2025,ROUND(2030-$DD9,0))),$S$4:$AF$4,1)))/MAX(1,$AF9),0)</f>
        <v>32430.721714285715</v>
      </c>
      <c r="HT9" s="311">
        <f t="shared" ref="HT9:HT17" si="98">IFERROR($FL9*$CO9,0)</f>
        <v>6899.112000000001</v>
      </c>
      <c r="HU9" s="311">
        <f t="shared" ref="HU9:HU17" si="99">HV9+HW9</f>
        <v>30586.004399999998</v>
      </c>
      <c r="HV9" s="311">
        <f t="shared" ref="HV9:HV17" si="100">IFERROR($EO9*$FP9/MAX(0.000000001,$DE9)*(INDEX($S9:$AF9,1,MATCH(MAX(2000,MIN(2025,ROUND(2026-$DE9,0))),$S$4:$AF$4,1))+INDEX($S9:$AF9,1,MATCH(MAX(2000,MIN(2025,ROUND(2027-$DE9,0))),$S$4:$AF$4,1))+INDEX($S9:$AF9,1,MATCH(MAX(2000,MIN(2025,ROUND(2028-$DE9,0))),$S$4:$AF$4,1))+INDEX($S9:$AF9,1,MATCH(MAX(2000,MIN(2025,ROUND(2029-$DE9,0))),$S$4:$AF$4,1))+INDEX($S9:$AF9,1,MATCH(MAX(2000,MIN(2025,ROUND(2030-$DE9,0))),$S$4:$AF$4,1)))/MAX(1,$AF9),0)</f>
        <v>26404.724399999999</v>
      </c>
      <c r="HW9" s="311">
        <f t="shared" ref="HW9:HW17" si="101">IFERROR($FL9*$CP9,0)</f>
        <v>4181.2800000000007</v>
      </c>
      <c r="HX9" s="74"/>
      <c r="HY9" s="317">
        <f t="shared" ref="HY9:HY17" si="102">SUM(HZ9:ID9)</f>
        <v>1200573.13225</v>
      </c>
      <c r="HZ9" s="317">
        <f t="shared" ref="HZ9:HZ17" si="103">IFERROR(IO9*BE9,0)+IFERROR(IY9*BF9,0)+IFERROR(JI9*BG9,0)+IFERROR(JS9*BH9,0)</f>
        <v>40228.521999999997</v>
      </c>
      <c r="IA9" s="317">
        <f t="shared" ref="IA9:IA17" si="104">IFERROR(IP9*BE9,0)+IFERROR(IZ9*BF9,0)+IFERROR(JJ9*BG9,0)+IFERROR(JT9*BH9,0)</f>
        <v>504645.51150000002</v>
      </c>
      <c r="IB9" s="317">
        <f t="shared" ref="IB9:IB17" si="105">IFERROR(IQ9*BE9,0)+IFERROR(JA9*BF9,0)+IFERROR(JK9*BG9,0)+IFERROR(JU9*BH9,0)</f>
        <v>581633.04850000003</v>
      </c>
      <c r="IC9" s="317">
        <f t="shared" ref="IC9:IC17" si="106">IFERROR(IR9*BE9,0)+IFERROR(JB9*BF9,0)+IFERROR(JL9*BG9,0)+IFERROR(JV9*BH9,0)</f>
        <v>74066.050250000015</v>
      </c>
      <c r="ID9" s="317">
        <f t="shared" ref="ID9:ID17" si="107">IFERROR(IS9*BE9,0)+IFERROR(JC9*BF9,0)+IFERROR(JM9*BG9,0)+IFERROR(JW9*BH9,0)</f>
        <v>0</v>
      </c>
      <c r="IE9" s="317">
        <f t="shared" ref="IE9:IE17" si="108">SUM(IF9:IJ9)</f>
        <v>335629.66561402805</v>
      </c>
      <c r="IF9" s="317">
        <f t="shared" ref="IF9:IF17" si="109">IFERROR(IT9*FB9,0)+IFERROR(JD9*FE9,0)+IFERROR(JN9*FH9,0)+IFERROR(JX9*FK9,0)</f>
        <v>3909.5037839723782</v>
      </c>
      <c r="IG9" s="317">
        <f t="shared" ref="IG9:IG17" si="110">IFERROR(IU9*FB9,0)+IFERROR(JE9*FE9,0)+IFERROR(JO9*FH9,0)+IFERROR(JY9*FK9,0)</f>
        <v>132619.27303594872</v>
      </c>
      <c r="IH9" s="317">
        <f t="shared" ref="IH9:IH17" si="111">IFERROR(IV9*FB9,0)+IFERROR(JF9*FE9,0)+IFERROR(JP9*FH9,0)+IFERROR(JZ9*FK9,0)</f>
        <v>169400.85740693501</v>
      </c>
      <c r="II9" s="317">
        <f t="shared" ref="II9:II17" si="112">IFERROR(IW9*FB9,0)+IFERROR(JG9*FE9,0)+IFERROR(JQ9*FH9,0)+IFERROR(KA9*FK9,0)</f>
        <v>28022.095998041383</v>
      </c>
      <c r="IJ9" s="317">
        <f t="shared" ref="IJ9:IJ17" si="113">IFERROR(IX9*FB9,0)+IFERROR(JH9*FE9,0)+IFERROR(JR9*FH9,0)+IFERROR(KB9*FK9,0)</f>
        <v>1677.9353891305382</v>
      </c>
      <c r="IK9" s="318">
        <v>4.2</v>
      </c>
      <c r="IL9" s="319" t="s">
        <v>350</v>
      </c>
      <c r="IM9" s="320" t="s">
        <v>399</v>
      </c>
      <c r="IN9" s="287"/>
      <c r="IO9" s="321">
        <v>0.03</v>
      </c>
      <c r="IP9" s="321">
        <v>0.4</v>
      </c>
      <c r="IQ9" s="321">
        <v>0.5</v>
      </c>
      <c r="IR9" s="321">
        <v>7.0000000000000007E-2</v>
      </c>
      <c r="IS9" s="321">
        <v>0</v>
      </c>
      <c r="IT9" s="321">
        <v>7.7999999999999996E-3</v>
      </c>
      <c r="IU9" s="321">
        <v>0.37280000000000002</v>
      </c>
      <c r="IV9" s="321">
        <v>0.5222</v>
      </c>
      <c r="IW9" s="321">
        <v>9.2200000000000004E-2</v>
      </c>
      <c r="IX9" s="321">
        <v>5.0000000000000001E-3</v>
      </c>
      <c r="IY9" s="321">
        <v>3.1199999999999999E-2</v>
      </c>
      <c r="IZ9" s="321">
        <v>0.41539999999999999</v>
      </c>
      <c r="JA9" s="321">
        <v>0.49459999999999998</v>
      </c>
      <c r="JB9" s="321">
        <v>5.8900000000000001E-2</v>
      </c>
      <c r="JC9" s="321">
        <v>0</v>
      </c>
      <c r="JD9" s="321">
        <v>8.9999999999999993E-3</v>
      </c>
      <c r="JE9" s="321">
        <v>0.38819999999999999</v>
      </c>
      <c r="JF9" s="321">
        <v>0.51680000000000004</v>
      </c>
      <c r="JG9" s="321">
        <v>8.1100000000000005E-2</v>
      </c>
      <c r="JH9" s="321">
        <v>4.8999999999999998E-3</v>
      </c>
      <c r="JI9" s="321">
        <v>5.3999999999999999E-2</v>
      </c>
      <c r="JJ9" s="321">
        <v>0.53969999999999996</v>
      </c>
      <c r="JK9" s="321">
        <v>0.37480000000000002</v>
      </c>
      <c r="JL9" s="321">
        <v>3.15E-2</v>
      </c>
      <c r="JM9" s="321">
        <v>0</v>
      </c>
      <c r="JN9" s="321">
        <v>3.1800000000000002E-2</v>
      </c>
      <c r="JO9" s="321">
        <v>0.51249999999999996</v>
      </c>
      <c r="JP9" s="321">
        <v>0.39700000000000002</v>
      </c>
      <c r="JQ9" s="321">
        <v>5.3699999999999998E-2</v>
      </c>
      <c r="JR9" s="321">
        <v>5.0000000000000001E-3</v>
      </c>
      <c r="JS9" s="321">
        <v>3.2599999999999997E-2</v>
      </c>
      <c r="JT9" s="321">
        <v>0.4148</v>
      </c>
      <c r="JU9" s="321">
        <v>0.49380000000000002</v>
      </c>
      <c r="JV9" s="321">
        <v>5.8799999999999998E-2</v>
      </c>
      <c r="JW9" s="321">
        <v>0</v>
      </c>
      <c r="JX9" s="321">
        <v>1.04E-2</v>
      </c>
      <c r="JY9" s="321">
        <v>0.3876</v>
      </c>
      <c r="JZ9" s="321">
        <v>0.51600000000000001</v>
      </c>
      <c r="KA9" s="321">
        <v>8.1000000000000003E-2</v>
      </c>
      <c r="KB9" s="321">
        <v>5.0000000000000001E-3</v>
      </c>
      <c r="KC9" s="287"/>
      <c r="KD9" s="319" t="s">
        <v>351</v>
      </c>
      <c r="KE9" s="319" t="s">
        <v>351</v>
      </c>
      <c r="KF9" s="318">
        <v>4.2300000000000004</v>
      </c>
      <c r="KG9" s="319" t="s">
        <v>350</v>
      </c>
      <c r="KH9" s="322" t="s">
        <v>400</v>
      </c>
      <c r="KI9" s="319" t="s">
        <v>401</v>
      </c>
      <c r="KJ9" s="322" t="s">
        <v>402</v>
      </c>
    </row>
    <row r="10" spans="1:327" s="42" customFormat="1" ht="48" customHeight="1" x14ac:dyDescent="0.25">
      <c r="A10" s="381">
        <f t="shared" ref="A10:A17" si="114">A9+1</f>
        <v>2</v>
      </c>
      <c r="B10" s="324" t="s">
        <v>364</v>
      </c>
      <c r="C10" s="324" t="s">
        <v>8</v>
      </c>
      <c r="D10" s="325" t="s">
        <v>9</v>
      </c>
      <c r="E10" s="326" t="s">
        <v>365</v>
      </c>
      <c r="F10" s="326" t="s">
        <v>366</v>
      </c>
      <c r="G10" s="326" t="s">
        <v>367</v>
      </c>
      <c r="H10" s="326" t="s">
        <v>368</v>
      </c>
      <c r="I10" s="327" t="s">
        <v>403</v>
      </c>
      <c r="J10" s="327" t="s">
        <v>10</v>
      </c>
      <c r="K10" s="328" t="s">
        <v>368</v>
      </c>
      <c r="L10" s="328" t="s">
        <v>371</v>
      </c>
      <c r="M10" s="328" t="s">
        <v>372</v>
      </c>
      <c r="N10" s="328" t="s">
        <v>404</v>
      </c>
      <c r="O10" s="326" t="s">
        <v>374</v>
      </c>
      <c r="P10" s="327" t="s">
        <v>405</v>
      </c>
      <c r="Q10" s="284">
        <v>1</v>
      </c>
      <c r="R10" s="329">
        <v>26000</v>
      </c>
      <c r="S10" s="330">
        <v>1500</v>
      </c>
      <c r="T10" s="330">
        <v>1750</v>
      </c>
      <c r="U10" s="330">
        <v>2050</v>
      </c>
      <c r="V10" s="330">
        <v>2400</v>
      </c>
      <c r="W10" s="330">
        <v>2480</v>
      </c>
      <c r="X10" s="330">
        <v>2570</v>
      </c>
      <c r="Y10" s="330">
        <v>2680</v>
      </c>
      <c r="Z10" s="330">
        <v>2790</v>
      </c>
      <c r="AA10" s="330">
        <v>2910</v>
      </c>
      <c r="AB10" s="330">
        <v>3020</v>
      </c>
      <c r="AC10" s="330">
        <v>3180</v>
      </c>
      <c r="AD10" s="330">
        <v>3360</v>
      </c>
      <c r="AE10" s="330">
        <v>3520</v>
      </c>
      <c r="AF10" s="330">
        <v>3650</v>
      </c>
      <c r="AG10" s="330">
        <v>3740</v>
      </c>
      <c r="AH10" s="330">
        <v>3830</v>
      </c>
      <c r="AI10" s="330">
        <v>3920</v>
      </c>
      <c r="AJ10" s="330">
        <v>4010</v>
      </c>
      <c r="AK10" s="330">
        <v>4100</v>
      </c>
      <c r="AL10" s="327" t="s">
        <v>406</v>
      </c>
      <c r="AM10" s="327" t="s">
        <v>407</v>
      </c>
      <c r="AN10" s="327"/>
      <c r="AO10" s="287"/>
      <c r="AP10" s="329">
        <v>170</v>
      </c>
      <c r="AQ10" s="331">
        <v>145</v>
      </c>
      <c r="AR10" s="331">
        <v>17</v>
      </c>
      <c r="AS10" s="331">
        <v>8</v>
      </c>
      <c r="AT10" s="287"/>
      <c r="AU10" s="332" t="s">
        <v>408</v>
      </c>
      <c r="AV10" s="333" t="s">
        <v>409</v>
      </c>
      <c r="AW10" s="334" t="s">
        <v>410</v>
      </c>
      <c r="AX10" s="335" t="s">
        <v>411</v>
      </c>
      <c r="AY10" s="287"/>
      <c r="AZ10" s="336">
        <v>16</v>
      </c>
      <c r="BA10" s="336">
        <v>1</v>
      </c>
      <c r="BB10" s="336">
        <v>4</v>
      </c>
      <c r="BC10" s="336">
        <v>12</v>
      </c>
      <c r="BD10" s="337">
        <f t="shared" si="5"/>
        <v>120450</v>
      </c>
      <c r="BE10" s="338">
        <f t="shared" si="6"/>
        <v>58400</v>
      </c>
      <c r="BF10" s="338">
        <f t="shared" si="7"/>
        <v>3650</v>
      </c>
      <c r="BG10" s="338">
        <f t="shared" si="8"/>
        <v>14600</v>
      </c>
      <c r="BH10" s="338">
        <f t="shared" si="9"/>
        <v>43800</v>
      </c>
      <c r="BI10" s="337">
        <f t="shared" si="10"/>
        <v>135300</v>
      </c>
      <c r="BJ10" s="338">
        <f t="shared" si="11"/>
        <v>65600</v>
      </c>
      <c r="BK10" s="338">
        <f t="shared" si="12"/>
        <v>4100</v>
      </c>
      <c r="BL10" s="338">
        <f t="shared" si="13"/>
        <v>16400</v>
      </c>
      <c r="BM10" s="338">
        <f t="shared" si="14"/>
        <v>49200</v>
      </c>
      <c r="BN10" s="287"/>
      <c r="BO10" s="339">
        <v>0.42</v>
      </c>
      <c r="BP10" s="339">
        <v>0.4</v>
      </c>
      <c r="BQ10" s="339">
        <v>0.13</v>
      </c>
      <c r="BR10" s="196">
        <v>0.05</v>
      </c>
      <c r="BS10" s="340">
        <v>0.37</v>
      </c>
      <c r="BT10" s="339">
        <v>0.41</v>
      </c>
      <c r="BU10" s="339">
        <v>0.18</v>
      </c>
      <c r="BV10" s="196">
        <v>0.04</v>
      </c>
      <c r="BW10" s="341">
        <v>0.5</v>
      </c>
      <c r="BX10" s="342">
        <v>0.4</v>
      </c>
      <c r="BY10" s="198">
        <v>0.1</v>
      </c>
      <c r="BZ10" s="341">
        <v>0.44</v>
      </c>
      <c r="CA10" s="342">
        <v>0.43</v>
      </c>
      <c r="CB10" s="198">
        <v>0.13</v>
      </c>
      <c r="CC10" s="339">
        <v>0.05</v>
      </c>
      <c r="CD10" s="339">
        <v>0.45</v>
      </c>
      <c r="CE10" s="339">
        <v>0.3</v>
      </c>
      <c r="CF10" s="196">
        <v>0.2</v>
      </c>
      <c r="CG10" s="340">
        <v>0.04</v>
      </c>
      <c r="CH10" s="339">
        <v>0.45</v>
      </c>
      <c r="CI10" s="339">
        <v>0.33</v>
      </c>
      <c r="CJ10" s="196">
        <v>0.18</v>
      </c>
      <c r="CK10" s="343">
        <v>0.5</v>
      </c>
      <c r="CL10" s="344">
        <v>0.25</v>
      </c>
      <c r="CM10" s="200">
        <v>0.25</v>
      </c>
      <c r="CN10" s="343">
        <v>0.42</v>
      </c>
      <c r="CO10" s="344">
        <v>0.25</v>
      </c>
      <c r="CP10" s="200">
        <v>0.33</v>
      </c>
      <c r="CQ10" s="287"/>
      <c r="CR10" s="345">
        <v>13</v>
      </c>
      <c r="CS10" s="346">
        <v>13</v>
      </c>
      <c r="CT10" s="346">
        <v>10</v>
      </c>
      <c r="CU10" s="347">
        <v>12</v>
      </c>
      <c r="CV10" s="345">
        <v>12</v>
      </c>
      <c r="CW10" s="346">
        <v>11</v>
      </c>
      <c r="CX10" s="347">
        <v>9</v>
      </c>
      <c r="CY10" s="345">
        <v>11</v>
      </c>
      <c r="CZ10" s="346">
        <v>13</v>
      </c>
      <c r="DA10" s="346">
        <v>9</v>
      </c>
      <c r="DB10" s="347">
        <v>11</v>
      </c>
      <c r="DC10" s="345">
        <v>12</v>
      </c>
      <c r="DD10" s="346">
        <v>13</v>
      </c>
      <c r="DE10" s="347">
        <v>10</v>
      </c>
      <c r="DF10" s="348" t="s">
        <v>412</v>
      </c>
      <c r="DG10" s="287"/>
      <c r="DH10" s="349">
        <f t="shared" si="15"/>
        <v>24528</v>
      </c>
      <c r="DI10" s="349">
        <f t="shared" si="16"/>
        <v>23360</v>
      </c>
      <c r="DJ10" s="349">
        <f t="shared" si="17"/>
        <v>7592</v>
      </c>
      <c r="DK10" s="349">
        <f t="shared" si="18"/>
        <v>2920</v>
      </c>
      <c r="DL10" s="350" t="s">
        <v>413</v>
      </c>
      <c r="DM10" s="349">
        <f t="shared" si="19"/>
        <v>24272</v>
      </c>
      <c r="DN10" s="349">
        <f t="shared" si="20"/>
        <v>26896</v>
      </c>
      <c r="DO10" s="349">
        <f t="shared" si="21"/>
        <v>11808</v>
      </c>
      <c r="DP10" s="349">
        <f t="shared" si="22"/>
        <v>2624</v>
      </c>
      <c r="DQ10" s="351" t="s">
        <v>414</v>
      </c>
      <c r="DR10" s="287"/>
      <c r="DS10" s="349">
        <f t="shared" si="23"/>
        <v>1825</v>
      </c>
      <c r="DT10" s="349">
        <f t="shared" si="24"/>
        <v>1460</v>
      </c>
      <c r="DU10" s="349">
        <f t="shared" si="25"/>
        <v>365</v>
      </c>
      <c r="DV10" s="351" t="s">
        <v>415</v>
      </c>
      <c r="DW10" s="349">
        <f t="shared" si="26"/>
        <v>1804</v>
      </c>
      <c r="DX10" s="349">
        <f t="shared" si="27"/>
        <v>1763</v>
      </c>
      <c r="DY10" s="349">
        <f t="shared" si="28"/>
        <v>533</v>
      </c>
      <c r="DZ10" s="351" t="s">
        <v>416</v>
      </c>
      <c r="EA10" s="287"/>
      <c r="EB10" s="349">
        <f t="shared" si="29"/>
        <v>730</v>
      </c>
      <c r="EC10" s="349">
        <f t="shared" si="30"/>
        <v>6570</v>
      </c>
      <c r="ED10" s="349">
        <f t="shared" si="31"/>
        <v>4380</v>
      </c>
      <c r="EE10" s="349">
        <f t="shared" si="32"/>
        <v>2920</v>
      </c>
      <c r="EF10" s="351" t="s">
        <v>417</v>
      </c>
      <c r="EG10" s="349">
        <f t="shared" si="33"/>
        <v>656</v>
      </c>
      <c r="EH10" s="349">
        <f t="shared" si="34"/>
        <v>7380</v>
      </c>
      <c r="EI10" s="349">
        <f t="shared" si="35"/>
        <v>5412</v>
      </c>
      <c r="EJ10" s="349">
        <f t="shared" si="36"/>
        <v>2952</v>
      </c>
      <c r="EK10" s="351" t="s">
        <v>418</v>
      </c>
      <c r="EL10" s="287"/>
      <c r="EM10" s="349">
        <f t="shared" si="37"/>
        <v>21900</v>
      </c>
      <c r="EN10" s="352">
        <f t="shared" si="38"/>
        <v>10950</v>
      </c>
      <c r="EO10" s="352">
        <f t="shared" si="39"/>
        <v>10950</v>
      </c>
      <c r="EP10" s="351" t="s">
        <v>419</v>
      </c>
      <c r="EQ10" s="349">
        <f t="shared" si="40"/>
        <v>20664</v>
      </c>
      <c r="ER10" s="352">
        <f t="shared" si="41"/>
        <v>12300</v>
      </c>
      <c r="ES10" s="352">
        <f t="shared" si="42"/>
        <v>16236</v>
      </c>
      <c r="ET10" s="351" t="s">
        <v>420</v>
      </c>
      <c r="EU10" s="287"/>
      <c r="EV10" s="353">
        <f t="shared" si="43"/>
        <v>0.52505109204020806</v>
      </c>
      <c r="EW10" s="353">
        <f t="shared" si="44"/>
        <v>0.47494890795979194</v>
      </c>
      <c r="EX10" s="354">
        <f t="shared" si="45"/>
        <v>53401.27237885377</v>
      </c>
      <c r="EY10" s="354">
        <f t="shared" si="46"/>
        <v>28038.396378853769</v>
      </c>
      <c r="EZ10" s="354">
        <f t="shared" si="47"/>
        <v>25362.876</v>
      </c>
      <c r="FA10" s="354">
        <f t="shared" si="48"/>
        <v>24951.837842707693</v>
      </c>
      <c r="FB10" s="354">
        <f t="shared" si="49"/>
        <v>12654.685842707693</v>
      </c>
      <c r="FC10" s="354">
        <f t="shared" si="50"/>
        <v>12297.152</v>
      </c>
      <c r="FD10" s="354">
        <f t="shared" si="51"/>
        <v>1707.6292014141413</v>
      </c>
      <c r="FE10" s="354">
        <f t="shared" si="52"/>
        <v>939.05720141414145</v>
      </c>
      <c r="FF10" s="354">
        <f t="shared" si="53"/>
        <v>768.572</v>
      </c>
      <c r="FG10" s="354">
        <f t="shared" si="54"/>
        <v>6918.6409870396274</v>
      </c>
      <c r="FH10" s="354">
        <f t="shared" si="55"/>
        <v>3844.3529870396274</v>
      </c>
      <c r="FI10" s="354">
        <f t="shared" si="56"/>
        <v>3074.288</v>
      </c>
      <c r="FJ10" s="354">
        <f t="shared" si="57"/>
        <v>19823.164347692305</v>
      </c>
      <c r="FK10" s="354">
        <f t="shared" si="58"/>
        <v>10600.300347692308</v>
      </c>
      <c r="FL10" s="354">
        <f t="shared" si="59"/>
        <v>9222.8639999999996</v>
      </c>
      <c r="FM10" s="355"/>
      <c r="FN10" s="356" t="s">
        <v>391</v>
      </c>
      <c r="FO10" s="353">
        <v>8.7279999999999996E-2</v>
      </c>
      <c r="FP10" s="357">
        <v>0.82916000000000001</v>
      </c>
      <c r="FQ10" s="358" t="s">
        <v>421</v>
      </c>
      <c r="FR10" s="355"/>
      <c r="FS10" s="359">
        <v>3.22</v>
      </c>
      <c r="FT10" s="360" t="e">
        <f>RANK($FS10,$FS$16:$FS$17,0)+COUNTIF($FS$16:$FS17,$FS10)-1</f>
        <v>#N/A</v>
      </c>
      <c r="FU10" s="359">
        <v>4.22</v>
      </c>
      <c r="FV10" s="360" t="e">
        <f>RANK($FU10,$FU$16:$FU$17,0)+COUNTIF($FU$16:$FU17,$FU10)-1</f>
        <v>#N/A</v>
      </c>
      <c r="FW10" s="359">
        <v>2</v>
      </c>
      <c r="FX10" s="360" t="e">
        <f>RANK($FW10,$FW$16:$FW$17,0)+COUNTIF($FW$16:$FW17,$FW10)-1</f>
        <v>#N/A</v>
      </c>
      <c r="FY10" s="355"/>
      <c r="FZ10" s="361" t="s">
        <v>422</v>
      </c>
      <c r="GA10" s="361" t="s">
        <v>423</v>
      </c>
      <c r="GB10" s="361" t="s">
        <v>424</v>
      </c>
      <c r="GC10" s="361" t="s">
        <v>425</v>
      </c>
      <c r="GD10" s="361" t="s">
        <v>426</v>
      </c>
      <c r="GE10" s="361" t="s">
        <v>427</v>
      </c>
      <c r="GF10" s="361" t="str">
        <f>HYPERLINK("https://www.ecologie.gouv.fr/eco-energie-tertiaire-eet","https://www.ecologie.gouv.fr/eco-energie-tertiaire-eet")&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10" s="355"/>
      <c r="GH10" s="354">
        <f t="shared" si="60"/>
        <v>9500.4141292307704</v>
      </c>
      <c r="GI10" s="354">
        <f t="shared" si="61"/>
        <v>4950.4678892307702</v>
      </c>
      <c r="GJ10" s="354">
        <f t="shared" si="62"/>
        <v>4549.9462400000002</v>
      </c>
      <c r="GK10" s="354">
        <f t="shared" si="63"/>
        <v>9756.5636430769227</v>
      </c>
      <c r="GL10" s="354">
        <f t="shared" si="64"/>
        <v>4714.7313230769232</v>
      </c>
      <c r="GM10" s="354">
        <f t="shared" si="65"/>
        <v>5041.8323199999995</v>
      </c>
      <c r="GN10" s="354">
        <f t="shared" si="66"/>
        <v>4529.6960704000003</v>
      </c>
      <c r="GO10" s="354">
        <f t="shared" si="67"/>
        <v>2316.2087104000002</v>
      </c>
      <c r="GP10" s="354">
        <f t="shared" si="68"/>
        <v>2213.4873600000001</v>
      </c>
      <c r="GQ10" s="354">
        <f t="shared" si="69"/>
        <v>1165.164</v>
      </c>
      <c r="GR10" s="354">
        <f t="shared" si="70"/>
        <v>673.27791999999999</v>
      </c>
      <c r="GS10" s="354">
        <f t="shared" si="71"/>
        <v>491.88607999999999</v>
      </c>
      <c r="GT10" s="354">
        <f t="shared" si="72"/>
        <v>758.97037999999998</v>
      </c>
      <c r="GU10" s="354">
        <f t="shared" si="73"/>
        <v>420.79870000000005</v>
      </c>
      <c r="GV10" s="354">
        <f t="shared" si="74"/>
        <v>338.17167999999998</v>
      </c>
      <c r="GW10" s="354">
        <f t="shared" si="75"/>
        <v>720.04040363636364</v>
      </c>
      <c r="GX10" s="354">
        <f t="shared" si="76"/>
        <v>389.5544436363636</v>
      </c>
      <c r="GY10" s="354">
        <f t="shared" si="77"/>
        <v>330.48595999999998</v>
      </c>
      <c r="GZ10" s="354">
        <f t="shared" si="78"/>
        <v>228.61841777777778</v>
      </c>
      <c r="HA10" s="354">
        <f t="shared" si="79"/>
        <v>128.70405777777779</v>
      </c>
      <c r="HB10" s="354">
        <f t="shared" si="80"/>
        <v>99.914360000000002</v>
      </c>
      <c r="HC10" s="354">
        <f t="shared" si="81"/>
        <v>317.74874181818177</v>
      </c>
      <c r="HD10" s="354">
        <f t="shared" si="82"/>
        <v>194.7772218181818</v>
      </c>
      <c r="HE10" s="354">
        <f t="shared" si="83"/>
        <v>122.97152</v>
      </c>
      <c r="HF10" s="354">
        <f t="shared" si="84"/>
        <v>2709.4477846153845</v>
      </c>
      <c r="HG10" s="354">
        <f t="shared" si="85"/>
        <v>1326.0181846153846</v>
      </c>
      <c r="HH10" s="354">
        <f t="shared" si="86"/>
        <v>1383.4295999999999</v>
      </c>
      <c r="HI10" s="354">
        <f t="shared" si="87"/>
        <v>2558.9637333333335</v>
      </c>
      <c r="HJ10" s="354">
        <f t="shared" si="88"/>
        <v>1544.4486933333335</v>
      </c>
      <c r="HK10" s="354">
        <f t="shared" si="89"/>
        <v>1014.51504</v>
      </c>
      <c r="HL10" s="354">
        <f t="shared" si="90"/>
        <v>1332.4807272727271</v>
      </c>
      <c r="HM10" s="354">
        <f t="shared" si="91"/>
        <v>779.1088872727272</v>
      </c>
      <c r="HN10" s="354">
        <f t="shared" si="92"/>
        <v>553.37184000000002</v>
      </c>
      <c r="HO10" s="354">
        <f t="shared" si="93"/>
        <v>8923.1872799999983</v>
      </c>
      <c r="HP10" s="354">
        <f t="shared" si="94"/>
        <v>5049.5843999999997</v>
      </c>
      <c r="HQ10" s="354">
        <f t="shared" si="95"/>
        <v>3873.6028799999995</v>
      </c>
      <c r="HR10" s="354">
        <f t="shared" si="96"/>
        <v>4515.7463076923068</v>
      </c>
      <c r="HS10" s="354">
        <f t="shared" si="97"/>
        <v>2210.0303076923074</v>
      </c>
      <c r="HT10" s="354">
        <f t="shared" si="98"/>
        <v>2305.7159999999999</v>
      </c>
      <c r="HU10" s="354">
        <f t="shared" si="99"/>
        <v>6384.2307600000004</v>
      </c>
      <c r="HV10" s="354">
        <f t="shared" si="100"/>
        <v>3340.6856400000001</v>
      </c>
      <c r="HW10" s="354">
        <f t="shared" si="101"/>
        <v>3043.5451200000002</v>
      </c>
      <c r="HX10" s="362"/>
      <c r="HY10" s="363">
        <f t="shared" si="102"/>
        <v>116800.00000000001</v>
      </c>
      <c r="HZ10" s="363">
        <f t="shared" si="103"/>
        <v>0</v>
      </c>
      <c r="IA10" s="363">
        <f t="shared" si="104"/>
        <v>31381.239999999998</v>
      </c>
      <c r="IB10" s="363">
        <f t="shared" si="105"/>
        <v>61411.98</v>
      </c>
      <c r="IC10" s="363">
        <f t="shared" si="106"/>
        <v>22800.82</v>
      </c>
      <c r="ID10" s="363">
        <f t="shared" si="107"/>
        <v>1205.96</v>
      </c>
      <c r="IE10" s="363">
        <f t="shared" si="108"/>
        <v>27099.33917743963</v>
      </c>
      <c r="IF10" s="363">
        <f t="shared" si="109"/>
        <v>0</v>
      </c>
      <c r="IG10" s="363">
        <f t="shared" si="110"/>
        <v>3884.4300679873777</v>
      </c>
      <c r="IH10" s="363">
        <f t="shared" si="111"/>
        <v>14156.74307585387</v>
      </c>
      <c r="II10" s="363">
        <f t="shared" si="112"/>
        <v>8184.9559767075834</v>
      </c>
      <c r="IJ10" s="363">
        <f t="shared" si="113"/>
        <v>873.210056890798</v>
      </c>
      <c r="IK10" s="364">
        <v>4</v>
      </c>
      <c r="IL10" s="365" t="s">
        <v>350</v>
      </c>
      <c r="IM10" s="366" t="s">
        <v>428</v>
      </c>
      <c r="IN10" s="355"/>
      <c r="IO10" s="367">
        <v>0</v>
      </c>
      <c r="IP10" s="367">
        <v>0.2369</v>
      </c>
      <c r="IQ10" s="367">
        <v>0.53590000000000004</v>
      </c>
      <c r="IR10" s="367">
        <v>0.2142</v>
      </c>
      <c r="IS10" s="367">
        <v>1.2999999999999999E-2</v>
      </c>
      <c r="IT10" s="367">
        <v>0</v>
      </c>
      <c r="IU10" s="367">
        <v>0.11550000000000001</v>
      </c>
      <c r="IV10" s="367">
        <v>0.51119999999999999</v>
      </c>
      <c r="IW10" s="367">
        <v>0.33310000000000001</v>
      </c>
      <c r="IX10" s="367">
        <v>4.02E-2</v>
      </c>
      <c r="IY10" s="367">
        <v>0</v>
      </c>
      <c r="IZ10" s="367">
        <v>0</v>
      </c>
      <c r="JA10" s="367">
        <v>0</v>
      </c>
      <c r="JB10" s="367">
        <v>0</v>
      </c>
      <c r="JC10" s="367">
        <v>0</v>
      </c>
      <c r="JD10" s="367">
        <v>0</v>
      </c>
      <c r="JE10" s="367">
        <v>0</v>
      </c>
      <c r="JF10" s="367">
        <v>0</v>
      </c>
      <c r="JG10" s="367">
        <v>0</v>
      </c>
      <c r="JH10" s="367">
        <v>0</v>
      </c>
      <c r="JI10" s="367">
        <v>0</v>
      </c>
      <c r="JJ10" s="367">
        <v>0.35820000000000002</v>
      </c>
      <c r="JK10" s="367">
        <v>0.49580000000000002</v>
      </c>
      <c r="JL10" s="367">
        <v>0.14180000000000001</v>
      </c>
      <c r="JM10" s="367">
        <v>4.1999999999999997E-3</v>
      </c>
      <c r="JN10" s="367">
        <v>0</v>
      </c>
      <c r="JO10" s="367">
        <v>0.218</v>
      </c>
      <c r="JP10" s="367">
        <v>0.53859999999999997</v>
      </c>
      <c r="JQ10" s="367">
        <v>0.22800000000000001</v>
      </c>
      <c r="JR10" s="367">
        <v>1.54E-2</v>
      </c>
      <c r="JS10" s="367">
        <v>0</v>
      </c>
      <c r="JT10" s="367">
        <v>0.28120000000000001</v>
      </c>
      <c r="JU10" s="367">
        <v>0.52229999999999999</v>
      </c>
      <c r="JV10" s="367">
        <v>0.18770000000000001</v>
      </c>
      <c r="JW10" s="367">
        <v>8.8000000000000005E-3</v>
      </c>
      <c r="JX10" s="367">
        <v>0</v>
      </c>
      <c r="JY10" s="367">
        <v>0.14949999999999999</v>
      </c>
      <c r="JZ10" s="367">
        <v>0.52990000000000004</v>
      </c>
      <c r="KA10" s="367">
        <v>0.2918</v>
      </c>
      <c r="KB10" s="367">
        <v>2.8799999999999999E-2</v>
      </c>
      <c r="KC10" s="287"/>
      <c r="KD10" s="368" t="s">
        <v>351</v>
      </c>
      <c r="KE10" s="368" t="s">
        <v>352</v>
      </c>
      <c r="KF10" s="369">
        <v>4.4000000000000004</v>
      </c>
      <c r="KG10" s="368" t="s">
        <v>350</v>
      </c>
      <c r="KH10" s="370" t="s">
        <v>429</v>
      </c>
      <c r="KI10" s="368" t="s">
        <v>430</v>
      </c>
      <c r="KJ10" s="370" t="s">
        <v>431</v>
      </c>
    </row>
    <row r="11" spans="1:327" s="42" customFormat="1" ht="48" customHeight="1" x14ac:dyDescent="0.25">
      <c r="A11" s="381">
        <f t="shared" si="114"/>
        <v>3</v>
      </c>
      <c r="B11" s="280" t="s">
        <v>364</v>
      </c>
      <c r="C11" s="280" t="s">
        <v>12</v>
      </c>
      <c r="D11" s="280" t="s">
        <v>13</v>
      </c>
      <c r="E11" s="281" t="s">
        <v>432</v>
      </c>
      <c r="F11" s="281" t="s">
        <v>366</v>
      </c>
      <c r="G11" s="281" t="s">
        <v>433</v>
      </c>
      <c r="H11" s="281" t="s">
        <v>368</v>
      </c>
      <c r="I11" s="282" t="s">
        <v>434</v>
      </c>
      <c r="J11" s="282" t="s">
        <v>14</v>
      </c>
      <c r="K11" s="283" t="s">
        <v>368</v>
      </c>
      <c r="L11" s="283" t="s">
        <v>371</v>
      </c>
      <c r="M11" s="283" t="s">
        <v>372</v>
      </c>
      <c r="N11" s="283" t="s">
        <v>435</v>
      </c>
      <c r="O11" s="281" t="s">
        <v>374</v>
      </c>
      <c r="P11" s="282"/>
      <c r="Q11" s="284">
        <v>1</v>
      </c>
      <c r="R11" s="285">
        <v>14000</v>
      </c>
      <c r="S11" s="286">
        <v>9900</v>
      </c>
      <c r="T11" s="286">
        <v>9600</v>
      </c>
      <c r="U11" s="286">
        <v>9100</v>
      </c>
      <c r="V11" s="286">
        <v>8600</v>
      </c>
      <c r="W11" s="286">
        <v>8500</v>
      </c>
      <c r="X11" s="286">
        <v>8420</v>
      </c>
      <c r="Y11" s="286">
        <v>8360</v>
      </c>
      <c r="Z11" s="286">
        <v>8320</v>
      </c>
      <c r="AA11" s="286">
        <v>8250</v>
      </c>
      <c r="AB11" s="286">
        <v>8300</v>
      </c>
      <c r="AC11" s="286">
        <v>8400</v>
      </c>
      <c r="AD11" s="286">
        <v>8520</v>
      </c>
      <c r="AE11" s="286">
        <v>8620</v>
      </c>
      <c r="AF11" s="286">
        <v>8700</v>
      </c>
      <c r="AG11" s="286">
        <v>8780</v>
      </c>
      <c r="AH11" s="286">
        <v>8860</v>
      </c>
      <c r="AI11" s="286">
        <v>8940</v>
      </c>
      <c r="AJ11" s="286">
        <v>9000</v>
      </c>
      <c r="AK11" s="286">
        <v>9050</v>
      </c>
      <c r="AL11" s="282" t="s">
        <v>436</v>
      </c>
      <c r="AM11" s="282" t="s">
        <v>437</v>
      </c>
      <c r="AN11" s="282" t="s">
        <v>438</v>
      </c>
      <c r="AO11" s="287"/>
      <c r="AP11" s="285">
        <v>250</v>
      </c>
      <c r="AQ11" s="285">
        <v>225</v>
      </c>
      <c r="AR11" s="285">
        <v>20</v>
      </c>
      <c r="AS11" s="285">
        <v>5</v>
      </c>
      <c r="AT11" s="287"/>
      <c r="AU11" s="288" t="s">
        <v>439</v>
      </c>
      <c r="AV11" s="289" t="s">
        <v>440</v>
      </c>
      <c r="AW11" s="289" t="s">
        <v>380</v>
      </c>
      <c r="AX11" s="282" t="s">
        <v>381</v>
      </c>
      <c r="AY11" s="287"/>
      <c r="AZ11" s="290">
        <v>25</v>
      </c>
      <c r="BA11" s="290">
        <v>8</v>
      </c>
      <c r="BB11" s="290">
        <v>5.5</v>
      </c>
      <c r="BC11" s="290">
        <v>17</v>
      </c>
      <c r="BD11" s="371">
        <f t="shared" si="5"/>
        <v>482850</v>
      </c>
      <c r="BE11" s="291">
        <f t="shared" si="6"/>
        <v>217500</v>
      </c>
      <c r="BF11" s="291">
        <f t="shared" si="7"/>
        <v>69600</v>
      </c>
      <c r="BG11" s="291">
        <f t="shared" si="8"/>
        <v>47850</v>
      </c>
      <c r="BH11" s="291">
        <f t="shared" si="9"/>
        <v>147900</v>
      </c>
      <c r="BI11" s="371">
        <f t="shared" si="10"/>
        <v>502275</v>
      </c>
      <c r="BJ11" s="291">
        <f t="shared" si="11"/>
        <v>226250</v>
      </c>
      <c r="BK11" s="291">
        <f t="shared" si="12"/>
        <v>72400</v>
      </c>
      <c r="BL11" s="291">
        <f t="shared" si="13"/>
        <v>49775</v>
      </c>
      <c r="BM11" s="291">
        <f t="shared" si="14"/>
        <v>153850</v>
      </c>
      <c r="BN11" s="287"/>
      <c r="BO11" s="292">
        <v>0.42</v>
      </c>
      <c r="BP11" s="292">
        <v>0.39</v>
      </c>
      <c r="BQ11" s="292">
        <v>0.14000000000000001</v>
      </c>
      <c r="BR11" s="293">
        <v>0.05</v>
      </c>
      <c r="BS11" s="294">
        <v>0.39</v>
      </c>
      <c r="BT11" s="292">
        <v>0.4</v>
      </c>
      <c r="BU11" s="292">
        <v>0.18</v>
      </c>
      <c r="BV11" s="293">
        <v>0.03</v>
      </c>
      <c r="BW11" s="295">
        <v>0.5</v>
      </c>
      <c r="BX11" s="296">
        <v>0.4</v>
      </c>
      <c r="BY11" s="297">
        <v>0.1</v>
      </c>
      <c r="BZ11" s="295">
        <v>0.44</v>
      </c>
      <c r="CA11" s="296">
        <v>0.43</v>
      </c>
      <c r="CB11" s="297">
        <v>0.13</v>
      </c>
      <c r="CC11" s="294">
        <v>0.12</v>
      </c>
      <c r="CD11" s="292">
        <v>0.5</v>
      </c>
      <c r="CE11" s="292">
        <v>0.15</v>
      </c>
      <c r="CF11" s="293">
        <v>0.23</v>
      </c>
      <c r="CG11" s="294">
        <v>0.1</v>
      </c>
      <c r="CH11" s="292">
        <v>0.5</v>
      </c>
      <c r="CI11" s="292">
        <v>0.18</v>
      </c>
      <c r="CJ11" s="293">
        <v>0.22</v>
      </c>
      <c r="CK11" s="298">
        <v>0.55000000000000004</v>
      </c>
      <c r="CL11" s="299">
        <v>0.3</v>
      </c>
      <c r="CM11" s="300">
        <v>0.15</v>
      </c>
      <c r="CN11" s="298">
        <v>0.47</v>
      </c>
      <c r="CO11" s="299">
        <v>0.33</v>
      </c>
      <c r="CP11" s="300">
        <v>0.2</v>
      </c>
      <c r="CQ11" s="287"/>
      <c r="CR11" s="301">
        <v>13</v>
      </c>
      <c r="CS11" s="302">
        <v>14</v>
      </c>
      <c r="CT11" s="302">
        <v>10</v>
      </c>
      <c r="CU11" s="303">
        <v>12</v>
      </c>
      <c r="CV11" s="301">
        <v>12</v>
      </c>
      <c r="CW11" s="302">
        <v>11</v>
      </c>
      <c r="CX11" s="303">
        <v>9</v>
      </c>
      <c r="CY11" s="301">
        <v>11</v>
      </c>
      <c r="CZ11" s="302">
        <v>13</v>
      </c>
      <c r="DA11" s="302">
        <v>9</v>
      </c>
      <c r="DB11" s="303">
        <v>11</v>
      </c>
      <c r="DC11" s="301">
        <v>14</v>
      </c>
      <c r="DD11" s="302">
        <v>14</v>
      </c>
      <c r="DE11" s="303">
        <v>10</v>
      </c>
      <c r="DF11" s="304" t="s">
        <v>441</v>
      </c>
      <c r="DG11" s="287"/>
      <c r="DH11" s="305">
        <f t="shared" si="15"/>
        <v>91350</v>
      </c>
      <c r="DI11" s="305">
        <f t="shared" si="16"/>
        <v>84825</v>
      </c>
      <c r="DJ11" s="305">
        <f t="shared" si="17"/>
        <v>30450.000000000004</v>
      </c>
      <c r="DK11" s="305">
        <f t="shared" si="18"/>
        <v>10875</v>
      </c>
      <c r="DL11" s="306" t="s">
        <v>442</v>
      </c>
      <c r="DM11" s="305">
        <f t="shared" si="19"/>
        <v>88237.5</v>
      </c>
      <c r="DN11" s="305">
        <f t="shared" si="20"/>
        <v>90500</v>
      </c>
      <c r="DO11" s="305">
        <f t="shared" si="21"/>
        <v>40725</v>
      </c>
      <c r="DP11" s="305">
        <f t="shared" si="22"/>
        <v>6787.5</v>
      </c>
      <c r="DQ11" s="307" t="s">
        <v>384</v>
      </c>
      <c r="DR11" s="287"/>
      <c r="DS11" s="305">
        <f t="shared" si="23"/>
        <v>34800</v>
      </c>
      <c r="DT11" s="305">
        <f t="shared" si="24"/>
        <v>27840</v>
      </c>
      <c r="DU11" s="305">
        <f t="shared" si="25"/>
        <v>6960</v>
      </c>
      <c r="DV11" s="307" t="s">
        <v>443</v>
      </c>
      <c r="DW11" s="305">
        <f t="shared" si="26"/>
        <v>31856</v>
      </c>
      <c r="DX11" s="305">
        <f t="shared" si="27"/>
        <v>31132</v>
      </c>
      <c r="DY11" s="305">
        <f t="shared" si="28"/>
        <v>9412</v>
      </c>
      <c r="DZ11" s="307" t="s">
        <v>386</v>
      </c>
      <c r="EA11" s="287"/>
      <c r="EB11" s="305">
        <f t="shared" si="29"/>
        <v>5742</v>
      </c>
      <c r="EC11" s="305">
        <f t="shared" si="30"/>
        <v>23925</v>
      </c>
      <c r="ED11" s="305">
        <f t="shared" si="31"/>
        <v>7177.5</v>
      </c>
      <c r="EE11" s="305">
        <f t="shared" si="32"/>
        <v>11005.5</v>
      </c>
      <c r="EF11" s="307" t="s">
        <v>444</v>
      </c>
      <c r="EG11" s="305">
        <f t="shared" si="33"/>
        <v>4977.5</v>
      </c>
      <c r="EH11" s="305">
        <f t="shared" si="34"/>
        <v>24887.5</v>
      </c>
      <c r="EI11" s="305">
        <f t="shared" si="35"/>
        <v>8959.5</v>
      </c>
      <c r="EJ11" s="305">
        <f t="shared" si="36"/>
        <v>10950.5</v>
      </c>
      <c r="EK11" s="308" t="s">
        <v>388</v>
      </c>
      <c r="EL11" s="287"/>
      <c r="EM11" s="305">
        <f t="shared" si="37"/>
        <v>81345</v>
      </c>
      <c r="EN11" s="309">
        <f t="shared" si="38"/>
        <v>44370</v>
      </c>
      <c r="EO11" s="309">
        <f t="shared" si="39"/>
        <v>22185</v>
      </c>
      <c r="EP11" s="307" t="s">
        <v>445</v>
      </c>
      <c r="EQ11" s="305">
        <f t="shared" si="40"/>
        <v>72309.5</v>
      </c>
      <c r="ER11" s="309">
        <f t="shared" si="41"/>
        <v>50770.5</v>
      </c>
      <c r="ES11" s="309">
        <f t="shared" si="42"/>
        <v>30770</v>
      </c>
      <c r="ET11" s="307" t="s">
        <v>390</v>
      </c>
      <c r="EU11" s="287"/>
      <c r="EV11" s="310">
        <f t="shared" si="43"/>
        <v>0.78706881691754527</v>
      </c>
      <c r="EW11" s="310">
        <f t="shared" si="44"/>
        <v>0.21293118308245482</v>
      </c>
      <c r="EX11" s="311">
        <f t="shared" si="45"/>
        <v>196671.64007529832</v>
      </c>
      <c r="EY11" s="311">
        <f t="shared" si="46"/>
        <v>154794.11507529832</v>
      </c>
      <c r="EZ11" s="311">
        <f t="shared" si="47"/>
        <v>41877.525000000001</v>
      </c>
      <c r="FA11" s="311">
        <f t="shared" si="48"/>
        <v>87461.963544184982</v>
      </c>
      <c r="FB11" s="311">
        <f t="shared" si="49"/>
        <v>68598.213544184982</v>
      </c>
      <c r="FC11" s="311">
        <f t="shared" si="50"/>
        <v>18863.75</v>
      </c>
      <c r="FD11" s="311">
        <f t="shared" si="51"/>
        <v>30391.216191919193</v>
      </c>
      <c r="FE11" s="311">
        <f t="shared" si="52"/>
        <v>24354.816191919192</v>
      </c>
      <c r="FF11" s="311">
        <f t="shared" si="53"/>
        <v>6036.4</v>
      </c>
      <c r="FG11" s="311">
        <f t="shared" si="54"/>
        <v>20585.775094551282</v>
      </c>
      <c r="FH11" s="311">
        <f t="shared" si="55"/>
        <v>16435.75009455128</v>
      </c>
      <c r="FI11" s="311">
        <f t="shared" si="56"/>
        <v>4150.0249999999996</v>
      </c>
      <c r="FJ11" s="311">
        <f t="shared" si="57"/>
        <v>58232.685244642853</v>
      </c>
      <c r="FK11" s="311">
        <f t="shared" si="58"/>
        <v>45405.335244642854</v>
      </c>
      <c r="FL11" s="311">
        <f t="shared" si="59"/>
        <v>12827.35</v>
      </c>
      <c r="FM11" s="287"/>
      <c r="FN11" s="312" t="s">
        <v>391</v>
      </c>
      <c r="FO11" s="310">
        <v>4.65E-2</v>
      </c>
      <c r="FP11" s="313">
        <v>0.80364999999999998</v>
      </c>
      <c r="FQ11" s="314" t="s">
        <v>392</v>
      </c>
      <c r="FR11" s="287"/>
      <c r="FS11" s="315">
        <v>3.24</v>
      </c>
      <c r="FT11" s="316" t="e">
        <f>RANK($FS11,$FS$16:$FS$17,0)+COUNTIF($FS$16:$FS17,$FS11)-1</f>
        <v>#N/A</v>
      </c>
      <c r="FU11" s="315">
        <v>3.87</v>
      </c>
      <c r="FV11" s="316" t="e">
        <f>RANK($FU11,$FU$16:$FU$17,0)+COUNTIF($FU$16:$FU17,$FU11)-1</f>
        <v>#N/A</v>
      </c>
      <c r="FW11" s="315">
        <v>2.12</v>
      </c>
      <c r="FX11" s="316" t="e">
        <f>RANK($FW11,$FW$16:$FW$17,0)+COUNTIF($FW$16:$FW17,$FW11)-1</f>
        <v>#N/A</v>
      </c>
      <c r="FY11" s="287"/>
      <c r="FZ11" s="289" t="s">
        <v>393</v>
      </c>
      <c r="GA11" s="289" t="s">
        <v>446</v>
      </c>
      <c r="GB11" s="289" t="s">
        <v>395</v>
      </c>
      <c r="GC11" s="289" t="s">
        <v>396</v>
      </c>
      <c r="GD11" s="289" t="s">
        <v>397</v>
      </c>
      <c r="GE11" s="289" t="s">
        <v>398</v>
      </c>
      <c r="GF11" s="289" t="str">
        <f>HYPERLINK("https://experience.france2030.gouv.fr/fr/visit/decarbonation-de-leconomie/la-decarbonation-de-l-industrie/full/","https://experience.france2030.gouv.fr/fr/visit/decarbonation-de-leconomie/la-decarbonation-de-l-industrie/full/")&amp;CHAR(10)&amp;HYPERLINK("https://www.tresor.economie.gouv.fr/Articles/2025/05/19/choose-france-2025-une-edition-record-au-service-de-la-souverainete-economique-et-de-l-innovation","https://www.tresor.economie.gouv.fr/Articles/2025/05/19/choose-france-2025-une-edition-record-au-service-de-la-souverainete-economique-et-de-l-innovation")&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https://experience.france2030.gouv.fr/fr/visit/decarbonation-de-leconomie/la-decarbonation-de-l-industrie/full/
https://www.tresor.economie.gouv.fr/Articles/2025/05/19/choose-france-2025-une-edition-record-au-service-de-la-souverainete-economique-et-de-l-innovation
https://www.statistiques.developpement-durable.gouv.fr/construction-de-locaux-resultats-fin-janvier-2026-france-entiere
https://www.insee.fr/fr/statistiques/8671745
https://www.insee.fr/fr/statistiques/8906564</v>
      </c>
      <c r="GG11" s="287"/>
      <c r="GH11" s="311">
        <f t="shared" si="60"/>
        <v>35735.598576923076</v>
      </c>
      <c r="GI11" s="311">
        <f t="shared" si="61"/>
        <v>28378.736076923073</v>
      </c>
      <c r="GJ11" s="311">
        <f t="shared" si="62"/>
        <v>7356.8625000000002</v>
      </c>
      <c r="GK11" s="311">
        <f t="shared" si="63"/>
        <v>32395.506071428576</v>
      </c>
      <c r="GL11" s="311">
        <f t="shared" si="64"/>
        <v>24850.006071428576</v>
      </c>
      <c r="GM11" s="311">
        <f t="shared" si="65"/>
        <v>7545.5</v>
      </c>
      <c r="GN11" s="311">
        <f t="shared" si="66"/>
        <v>15166.938375</v>
      </c>
      <c r="GO11" s="311">
        <f t="shared" si="67"/>
        <v>11771.463374999999</v>
      </c>
      <c r="GP11" s="311">
        <f t="shared" si="68"/>
        <v>3395.4749999999999</v>
      </c>
      <c r="GQ11" s="311">
        <f t="shared" si="69"/>
        <v>4163.9205208333342</v>
      </c>
      <c r="GR11" s="311">
        <f t="shared" si="70"/>
        <v>3598.0080208333338</v>
      </c>
      <c r="GS11" s="311">
        <f t="shared" si="71"/>
        <v>565.91250000000002</v>
      </c>
      <c r="GT11" s="311">
        <f t="shared" si="72"/>
        <v>14169.641666666666</v>
      </c>
      <c r="GU11" s="311">
        <f t="shared" si="73"/>
        <v>11513.625666666667</v>
      </c>
      <c r="GV11" s="311">
        <f t="shared" si="74"/>
        <v>2656.0160000000001</v>
      </c>
      <c r="GW11" s="311">
        <f t="shared" si="75"/>
        <v>12461.551636363636</v>
      </c>
      <c r="GX11" s="311">
        <f t="shared" si="76"/>
        <v>9865.8996363636361</v>
      </c>
      <c r="GY11" s="311">
        <f t="shared" si="77"/>
        <v>2595.6519999999996</v>
      </c>
      <c r="GZ11" s="311">
        <f t="shared" si="78"/>
        <v>3760.0228888888892</v>
      </c>
      <c r="HA11" s="311">
        <f t="shared" si="79"/>
        <v>2975.2908888888892</v>
      </c>
      <c r="HB11" s="311">
        <f t="shared" si="80"/>
        <v>784.73199999999997</v>
      </c>
      <c r="HC11" s="311">
        <f t="shared" si="81"/>
        <v>2449.8442999999997</v>
      </c>
      <c r="HD11" s="311">
        <f t="shared" si="82"/>
        <v>2034.8417999999999</v>
      </c>
      <c r="HE11" s="311">
        <f t="shared" si="83"/>
        <v>415.0025</v>
      </c>
      <c r="HF11" s="311">
        <f t="shared" si="84"/>
        <v>9507.5386153846157</v>
      </c>
      <c r="HG11" s="311">
        <f t="shared" si="85"/>
        <v>7432.526115384615</v>
      </c>
      <c r="HH11" s="311">
        <f t="shared" si="86"/>
        <v>2075.0124999999998</v>
      </c>
      <c r="HI11" s="311">
        <f t="shared" si="87"/>
        <v>3815.2732291666666</v>
      </c>
      <c r="HJ11" s="311">
        <f t="shared" si="88"/>
        <v>3068.2687291666666</v>
      </c>
      <c r="HK11" s="311">
        <f t="shared" si="89"/>
        <v>747.00449999999989</v>
      </c>
      <c r="HL11" s="311">
        <f t="shared" si="90"/>
        <v>4813.11895</v>
      </c>
      <c r="HM11" s="311">
        <f t="shared" si="91"/>
        <v>3900.1134500000003</v>
      </c>
      <c r="HN11" s="311">
        <f t="shared" si="92"/>
        <v>913.00549999999987</v>
      </c>
      <c r="HO11" s="311">
        <f t="shared" si="93"/>
        <v>29859.373142857141</v>
      </c>
      <c r="HP11" s="311">
        <f t="shared" si="94"/>
        <v>23830.51864285714</v>
      </c>
      <c r="HQ11" s="311">
        <f t="shared" si="95"/>
        <v>6028.8544999999995</v>
      </c>
      <c r="HR11" s="311">
        <f t="shared" si="96"/>
        <v>17231.490214285714</v>
      </c>
      <c r="HS11" s="311">
        <f t="shared" si="97"/>
        <v>12998.464714285714</v>
      </c>
      <c r="HT11" s="311">
        <f t="shared" si="98"/>
        <v>4233.0255000000006</v>
      </c>
      <c r="HU11" s="311">
        <f t="shared" si="99"/>
        <v>11141.821887500002</v>
      </c>
      <c r="HV11" s="311">
        <f t="shared" si="100"/>
        <v>8576.3518875000009</v>
      </c>
      <c r="HW11" s="311">
        <f t="shared" si="101"/>
        <v>2565.4700000000003</v>
      </c>
      <c r="HX11" s="74"/>
      <c r="HY11" s="317">
        <f t="shared" si="102"/>
        <v>482856.95999999996</v>
      </c>
      <c r="HZ11" s="317">
        <f t="shared" si="103"/>
        <v>16101.96</v>
      </c>
      <c r="IA11" s="317">
        <f t="shared" si="104"/>
        <v>203085.40499999997</v>
      </c>
      <c r="IB11" s="317">
        <f t="shared" si="105"/>
        <v>234141.36</v>
      </c>
      <c r="IC11" s="317">
        <f t="shared" si="106"/>
        <v>29528.235000000004</v>
      </c>
      <c r="ID11" s="317">
        <f t="shared" si="107"/>
        <v>0</v>
      </c>
      <c r="IE11" s="317">
        <f t="shared" si="108"/>
        <v>154794.11507529829</v>
      </c>
      <c r="IF11" s="317">
        <f t="shared" si="109"/>
        <v>1749.131750922932</v>
      </c>
      <c r="IG11" s="317">
        <f t="shared" si="110"/>
        <v>61050.383519256298</v>
      </c>
      <c r="IH11" s="317">
        <f t="shared" si="111"/>
        <v>78362.701894529804</v>
      </c>
      <c r="II11" s="317">
        <f t="shared" si="112"/>
        <v>12860.362816831977</v>
      </c>
      <c r="IJ11" s="317">
        <f t="shared" si="113"/>
        <v>771.53509375729959</v>
      </c>
      <c r="IK11" s="318">
        <v>4.2</v>
      </c>
      <c r="IL11" s="319" t="s">
        <v>350</v>
      </c>
      <c r="IM11" s="320" t="s">
        <v>447</v>
      </c>
      <c r="IN11" s="287"/>
      <c r="IO11" s="321">
        <v>0.03</v>
      </c>
      <c r="IP11" s="321">
        <v>0.4</v>
      </c>
      <c r="IQ11" s="321">
        <v>0.5</v>
      </c>
      <c r="IR11" s="321">
        <v>7.0000000000000007E-2</v>
      </c>
      <c r="IS11" s="321">
        <v>0</v>
      </c>
      <c r="IT11" s="321">
        <v>7.7999999999999996E-3</v>
      </c>
      <c r="IU11" s="321">
        <v>0.37280000000000002</v>
      </c>
      <c r="IV11" s="321">
        <v>0.5222</v>
      </c>
      <c r="IW11" s="321">
        <v>9.2200000000000004E-2</v>
      </c>
      <c r="IX11" s="321">
        <v>5.0000000000000001E-3</v>
      </c>
      <c r="IY11" s="321">
        <v>3.1199999999999999E-2</v>
      </c>
      <c r="IZ11" s="321">
        <v>0.41539999999999999</v>
      </c>
      <c r="JA11" s="321">
        <v>0.49459999999999998</v>
      </c>
      <c r="JB11" s="321">
        <v>5.8900000000000001E-2</v>
      </c>
      <c r="JC11" s="321">
        <v>0</v>
      </c>
      <c r="JD11" s="321">
        <v>8.9999999999999993E-3</v>
      </c>
      <c r="JE11" s="321">
        <v>0.38819999999999999</v>
      </c>
      <c r="JF11" s="321">
        <v>0.51680000000000004</v>
      </c>
      <c r="JG11" s="321">
        <v>8.1100000000000005E-2</v>
      </c>
      <c r="JH11" s="321">
        <v>4.8999999999999998E-3</v>
      </c>
      <c r="JI11" s="321">
        <v>5.3999999999999999E-2</v>
      </c>
      <c r="JJ11" s="321">
        <v>0.53969999999999996</v>
      </c>
      <c r="JK11" s="321">
        <v>0.37480000000000002</v>
      </c>
      <c r="JL11" s="321">
        <v>3.15E-2</v>
      </c>
      <c r="JM11" s="321">
        <v>0</v>
      </c>
      <c r="JN11" s="321">
        <v>3.1800000000000002E-2</v>
      </c>
      <c r="JO11" s="321">
        <v>0.51249999999999996</v>
      </c>
      <c r="JP11" s="321">
        <v>0.39700000000000002</v>
      </c>
      <c r="JQ11" s="321">
        <v>5.3699999999999998E-2</v>
      </c>
      <c r="JR11" s="321">
        <v>5.0000000000000001E-3</v>
      </c>
      <c r="JS11" s="321">
        <v>3.2599999999999997E-2</v>
      </c>
      <c r="JT11" s="321">
        <v>0.4148</v>
      </c>
      <c r="JU11" s="321">
        <v>0.49380000000000002</v>
      </c>
      <c r="JV11" s="321">
        <v>5.8799999999999998E-2</v>
      </c>
      <c r="JW11" s="321">
        <v>0</v>
      </c>
      <c r="JX11" s="321">
        <v>1.04E-2</v>
      </c>
      <c r="JY11" s="321">
        <v>0.3876</v>
      </c>
      <c r="JZ11" s="321">
        <v>0.51600000000000001</v>
      </c>
      <c r="KA11" s="321">
        <v>8.1000000000000003E-2</v>
      </c>
      <c r="KB11" s="321">
        <v>5.0000000000000001E-3</v>
      </c>
      <c r="KC11" s="287"/>
      <c r="KD11" s="319" t="s">
        <v>351</v>
      </c>
      <c r="KE11" s="319" t="s">
        <v>351</v>
      </c>
      <c r="KF11" s="318">
        <v>4.2300000000000004</v>
      </c>
      <c r="KG11" s="319" t="s">
        <v>350</v>
      </c>
      <c r="KH11" s="322" t="s">
        <v>400</v>
      </c>
      <c r="KI11" s="319" t="s">
        <v>401</v>
      </c>
      <c r="KJ11" s="322" t="s">
        <v>448</v>
      </c>
    </row>
    <row r="12" spans="1:327" s="42" customFormat="1" ht="48" customHeight="1" x14ac:dyDescent="0.25">
      <c r="A12" s="381">
        <f t="shared" si="114"/>
        <v>4</v>
      </c>
      <c r="B12" s="324" t="s">
        <v>364</v>
      </c>
      <c r="C12" s="324" t="s">
        <v>12</v>
      </c>
      <c r="D12" s="325" t="s">
        <v>16</v>
      </c>
      <c r="E12" s="326" t="s">
        <v>432</v>
      </c>
      <c r="F12" s="326" t="s">
        <v>366</v>
      </c>
      <c r="G12" s="326" t="s">
        <v>433</v>
      </c>
      <c r="H12" s="326" t="s">
        <v>368</v>
      </c>
      <c r="I12" s="327" t="s">
        <v>449</v>
      </c>
      <c r="J12" s="327" t="s">
        <v>17</v>
      </c>
      <c r="K12" s="328" t="s">
        <v>368</v>
      </c>
      <c r="L12" s="328" t="s">
        <v>371</v>
      </c>
      <c r="M12" s="328" t="s">
        <v>372</v>
      </c>
      <c r="N12" s="328" t="s">
        <v>404</v>
      </c>
      <c r="O12" s="326" t="s">
        <v>374</v>
      </c>
      <c r="P12" s="327" t="s">
        <v>450</v>
      </c>
      <c r="Q12" s="284">
        <v>1</v>
      </c>
      <c r="R12" s="329">
        <v>8500</v>
      </c>
      <c r="S12" s="330">
        <v>6200</v>
      </c>
      <c r="T12" s="330">
        <v>5900</v>
      </c>
      <c r="U12" s="330">
        <v>5500</v>
      </c>
      <c r="V12" s="330">
        <v>5100</v>
      </c>
      <c r="W12" s="330">
        <v>5050</v>
      </c>
      <c r="X12" s="330">
        <v>5000</v>
      </c>
      <c r="Y12" s="330">
        <v>4960</v>
      </c>
      <c r="Z12" s="330">
        <v>4920</v>
      </c>
      <c r="AA12" s="330">
        <v>4850</v>
      </c>
      <c r="AB12" s="330">
        <v>4860</v>
      </c>
      <c r="AC12" s="330">
        <v>4900</v>
      </c>
      <c r="AD12" s="330">
        <v>4950</v>
      </c>
      <c r="AE12" s="330">
        <v>5000</v>
      </c>
      <c r="AF12" s="330">
        <v>5050</v>
      </c>
      <c r="AG12" s="330">
        <v>5090</v>
      </c>
      <c r="AH12" s="330">
        <v>5130</v>
      </c>
      <c r="AI12" s="330">
        <v>5170</v>
      </c>
      <c r="AJ12" s="330">
        <v>5200</v>
      </c>
      <c r="AK12" s="330">
        <v>5230</v>
      </c>
      <c r="AL12" s="327" t="s">
        <v>451</v>
      </c>
      <c r="AM12" s="327" t="s">
        <v>452</v>
      </c>
      <c r="AN12" s="327"/>
      <c r="AO12" s="287"/>
      <c r="AP12" s="329">
        <v>140</v>
      </c>
      <c r="AQ12" s="331">
        <v>119</v>
      </c>
      <c r="AR12" s="331">
        <v>14</v>
      </c>
      <c r="AS12" s="331">
        <v>7</v>
      </c>
      <c r="AT12" s="287"/>
      <c r="AU12" s="332" t="s">
        <v>453</v>
      </c>
      <c r="AV12" s="333" t="s">
        <v>454</v>
      </c>
      <c r="AW12" s="334" t="s">
        <v>455</v>
      </c>
      <c r="AX12" s="335" t="s">
        <v>411</v>
      </c>
      <c r="AY12" s="287"/>
      <c r="AZ12" s="336">
        <v>14</v>
      </c>
      <c r="BA12" s="336">
        <v>7</v>
      </c>
      <c r="BB12" s="336">
        <v>4.5</v>
      </c>
      <c r="BC12" s="336">
        <v>10</v>
      </c>
      <c r="BD12" s="337">
        <f t="shared" si="5"/>
        <v>179275</v>
      </c>
      <c r="BE12" s="338">
        <f t="shared" si="6"/>
        <v>70700</v>
      </c>
      <c r="BF12" s="338">
        <f t="shared" si="7"/>
        <v>35350</v>
      </c>
      <c r="BG12" s="338">
        <f t="shared" si="8"/>
        <v>22725</v>
      </c>
      <c r="BH12" s="338">
        <f t="shared" si="9"/>
        <v>50500</v>
      </c>
      <c r="BI12" s="337">
        <f t="shared" si="10"/>
        <v>185665</v>
      </c>
      <c r="BJ12" s="338">
        <f t="shared" si="11"/>
        <v>73220</v>
      </c>
      <c r="BK12" s="338">
        <f t="shared" si="12"/>
        <v>36610</v>
      </c>
      <c r="BL12" s="338">
        <f t="shared" si="13"/>
        <v>23535</v>
      </c>
      <c r="BM12" s="338">
        <f t="shared" si="14"/>
        <v>52300</v>
      </c>
      <c r="BN12" s="287"/>
      <c r="BO12" s="339">
        <v>0.41</v>
      </c>
      <c r="BP12" s="339">
        <v>0.43</v>
      </c>
      <c r="BQ12" s="339">
        <v>0.12</v>
      </c>
      <c r="BR12" s="196">
        <v>0.04</v>
      </c>
      <c r="BS12" s="340">
        <v>0.38</v>
      </c>
      <c r="BT12" s="339">
        <v>0.43</v>
      </c>
      <c r="BU12" s="339">
        <v>0.15</v>
      </c>
      <c r="BV12" s="196">
        <v>0.04</v>
      </c>
      <c r="BW12" s="341">
        <v>0.25</v>
      </c>
      <c r="BX12" s="342">
        <v>0.7</v>
      </c>
      <c r="BY12" s="198">
        <v>0.05</v>
      </c>
      <c r="BZ12" s="341">
        <v>0.2</v>
      </c>
      <c r="CA12" s="342">
        <v>0.74</v>
      </c>
      <c r="CB12" s="198">
        <v>0.06</v>
      </c>
      <c r="CC12" s="339">
        <v>0.1</v>
      </c>
      <c r="CD12" s="339">
        <v>0.65</v>
      </c>
      <c r="CE12" s="339">
        <v>0.08</v>
      </c>
      <c r="CF12" s="196">
        <v>0.17</v>
      </c>
      <c r="CG12" s="340">
        <v>0.09</v>
      </c>
      <c r="CH12" s="339">
        <v>0.65</v>
      </c>
      <c r="CI12" s="339">
        <v>0.1</v>
      </c>
      <c r="CJ12" s="196">
        <v>0.16</v>
      </c>
      <c r="CK12" s="343">
        <v>0.45</v>
      </c>
      <c r="CL12" s="344">
        <v>0.5</v>
      </c>
      <c r="CM12" s="200">
        <v>0.05</v>
      </c>
      <c r="CN12" s="343">
        <v>0.37</v>
      </c>
      <c r="CO12" s="344">
        <v>0.55000000000000004</v>
      </c>
      <c r="CP12" s="200">
        <v>0.08</v>
      </c>
      <c r="CQ12" s="287"/>
      <c r="CR12" s="345">
        <v>12</v>
      </c>
      <c r="CS12" s="346">
        <v>13</v>
      </c>
      <c r="CT12" s="346">
        <v>9</v>
      </c>
      <c r="CU12" s="347">
        <v>11</v>
      </c>
      <c r="CV12" s="345">
        <v>11</v>
      </c>
      <c r="CW12" s="346">
        <v>11</v>
      </c>
      <c r="CX12" s="347">
        <v>8</v>
      </c>
      <c r="CY12" s="345">
        <v>10</v>
      </c>
      <c r="CZ12" s="346">
        <v>12</v>
      </c>
      <c r="DA12" s="346">
        <v>8</v>
      </c>
      <c r="DB12" s="347">
        <v>10</v>
      </c>
      <c r="DC12" s="345">
        <v>11</v>
      </c>
      <c r="DD12" s="346">
        <v>12</v>
      </c>
      <c r="DE12" s="347">
        <v>9</v>
      </c>
      <c r="DF12" s="348" t="s">
        <v>456</v>
      </c>
      <c r="DG12" s="287"/>
      <c r="DH12" s="349">
        <f t="shared" si="15"/>
        <v>28987</v>
      </c>
      <c r="DI12" s="349">
        <f t="shared" si="16"/>
        <v>30401</v>
      </c>
      <c r="DJ12" s="349">
        <f t="shared" si="17"/>
        <v>8484</v>
      </c>
      <c r="DK12" s="349">
        <f t="shared" si="18"/>
        <v>2828</v>
      </c>
      <c r="DL12" s="350" t="s">
        <v>457</v>
      </c>
      <c r="DM12" s="349">
        <f t="shared" si="19"/>
        <v>27823.599999999999</v>
      </c>
      <c r="DN12" s="349">
        <f t="shared" si="20"/>
        <v>31484.6</v>
      </c>
      <c r="DO12" s="349">
        <f t="shared" si="21"/>
        <v>10983</v>
      </c>
      <c r="DP12" s="349">
        <f t="shared" si="22"/>
        <v>2928.8</v>
      </c>
      <c r="DQ12" s="351" t="s">
        <v>458</v>
      </c>
      <c r="DR12" s="287"/>
      <c r="DS12" s="349">
        <f t="shared" si="23"/>
        <v>8837.5</v>
      </c>
      <c r="DT12" s="349">
        <f t="shared" si="24"/>
        <v>24745</v>
      </c>
      <c r="DU12" s="349">
        <f t="shared" si="25"/>
        <v>1767.5</v>
      </c>
      <c r="DV12" s="351" t="s">
        <v>459</v>
      </c>
      <c r="DW12" s="349">
        <f t="shared" si="26"/>
        <v>7322</v>
      </c>
      <c r="DX12" s="349">
        <f t="shared" si="27"/>
        <v>27091.4</v>
      </c>
      <c r="DY12" s="349">
        <f t="shared" si="28"/>
        <v>2196.6</v>
      </c>
      <c r="DZ12" s="351" t="s">
        <v>460</v>
      </c>
      <c r="EA12" s="287"/>
      <c r="EB12" s="349">
        <f t="shared" si="29"/>
        <v>2272.5</v>
      </c>
      <c r="EC12" s="349">
        <f t="shared" si="30"/>
        <v>14771.25</v>
      </c>
      <c r="ED12" s="349">
        <f t="shared" si="31"/>
        <v>1818</v>
      </c>
      <c r="EE12" s="349">
        <f t="shared" si="32"/>
        <v>3863.2500000000005</v>
      </c>
      <c r="EF12" s="351" t="s">
        <v>461</v>
      </c>
      <c r="EG12" s="349">
        <f t="shared" si="33"/>
        <v>2118.15</v>
      </c>
      <c r="EH12" s="349">
        <f t="shared" si="34"/>
        <v>15297.75</v>
      </c>
      <c r="EI12" s="349">
        <f t="shared" si="35"/>
        <v>2353.5</v>
      </c>
      <c r="EJ12" s="349">
        <f t="shared" si="36"/>
        <v>3765.6</v>
      </c>
      <c r="EK12" s="351" t="s">
        <v>462</v>
      </c>
      <c r="EL12" s="287"/>
      <c r="EM12" s="349">
        <f t="shared" si="37"/>
        <v>22725</v>
      </c>
      <c r="EN12" s="352">
        <f t="shared" si="38"/>
        <v>25250</v>
      </c>
      <c r="EO12" s="352">
        <f t="shared" si="39"/>
        <v>2525</v>
      </c>
      <c r="EP12" s="351" t="s">
        <v>463</v>
      </c>
      <c r="EQ12" s="349">
        <f t="shared" si="40"/>
        <v>19351</v>
      </c>
      <c r="ER12" s="352">
        <f t="shared" si="41"/>
        <v>28765.000000000004</v>
      </c>
      <c r="ES12" s="352">
        <f t="shared" si="42"/>
        <v>4184</v>
      </c>
      <c r="ET12" s="351" t="s">
        <v>464</v>
      </c>
      <c r="EU12" s="287"/>
      <c r="EV12" s="353">
        <f t="shared" si="43"/>
        <v>0.74206673082540298</v>
      </c>
      <c r="EW12" s="353">
        <f t="shared" si="44"/>
        <v>0.25793326917459702</v>
      </c>
      <c r="EX12" s="354">
        <f t="shared" si="45"/>
        <v>91824.755006565945</v>
      </c>
      <c r="EY12" s="354">
        <f t="shared" si="46"/>
        <v>68140.095756565948</v>
      </c>
      <c r="EZ12" s="354">
        <f t="shared" si="47"/>
        <v>23684.659250000001</v>
      </c>
      <c r="FA12" s="354">
        <f t="shared" si="48"/>
        <v>35390.163128066437</v>
      </c>
      <c r="FB12" s="354">
        <f t="shared" si="49"/>
        <v>26049.734128066437</v>
      </c>
      <c r="FC12" s="354">
        <f t="shared" si="50"/>
        <v>9340.4290000000001</v>
      </c>
      <c r="FD12" s="354">
        <f t="shared" si="51"/>
        <v>18635.599362784094</v>
      </c>
      <c r="FE12" s="354">
        <f t="shared" si="52"/>
        <v>13965.384862784093</v>
      </c>
      <c r="FF12" s="354">
        <f t="shared" si="53"/>
        <v>4670.2145</v>
      </c>
      <c r="FG12" s="354">
        <f t="shared" si="54"/>
        <v>11927.373636675002</v>
      </c>
      <c r="FH12" s="354">
        <f t="shared" si="55"/>
        <v>8925.0928866750019</v>
      </c>
      <c r="FI12" s="354">
        <f t="shared" si="56"/>
        <v>3002.2807499999999</v>
      </c>
      <c r="FJ12" s="354">
        <f t="shared" si="57"/>
        <v>25871.618879040405</v>
      </c>
      <c r="FK12" s="354">
        <f t="shared" si="58"/>
        <v>19199.883879040404</v>
      </c>
      <c r="FL12" s="354">
        <f t="shared" si="59"/>
        <v>6671.7349999999997</v>
      </c>
      <c r="FM12" s="355"/>
      <c r="FN12" s="356" t="s">
        <v>391</v>
      </c>
      <c r="FO12" s="353">
        <v>9.647E-2</v>
      </c>
      <c r="FP12" s="357">
        <v>0.86189000000000004</v>
      </c>
      <c r="FQ12" s="358" t="s">
        <v>465</v>
      </c>
      <c r="FR12" s="355"/>
      <c r="FS12" s="359">
        <v>3.45</v>
      </c>
      <c r="FT12" s="360" t="e">
        <f>RANK($FS12,$FS$16:$FS$17,0)+COUNTIF($FS$16:$FS17,$FS12)-1</f>
        <v>#N/A</v>
      </c>
      <c r="FU12" s="359">
        <v>4.05</v>
      </c>
      <c r="FV12" s="360" t="e">
        <f>RANK($FU12,$FU$16:$FU$17,0)+COUNTIF($FU$16:$FU17,$FU12)-1</f>
        <v>#N/A</v>
      </c>
      <c r="FW12" s="359">
        <v>2.72</v>
      </c>
      <c r="FX12" s="360" t="e">
        <f>RANK($FW12,$FW$16:$FW$17,0)+COUNTIF($FW$16:$FW17,$FW12)-1</f>
        <v>#N/A</v>
      </c>
      <c r="FY12" s="355"/>
      <c r="FZ12" s="361" t="s">
        <v>466</v>
      </c>
      <c r="GA12" s="361" t="s">
        <v>467</v>
      </c>
      <c r="GB12" s="361" t="s">
        <v>468</v>
      </c>
      <c r="GC12" s="361" t="s">
        <v>469</v>
      </c>
      <c r="GD12" s="361" t="s">
        <v>470</v>
      </c>
      <c r="GE12" s="361" t="s">
        <v>471</v>
      </c>
      <c r="GF12" s="361" t="str">
        <f>HYPERLINK("https://experience.france2030.gouv.fr/fr/visit/decarbonation-de-leconomie/la-decarbonation-de-l-industrie/full/","https://experience.france2030.gouv.fr/fr/visit/decarbonation-de-leconomie/la-decarbonation-de-l-industrie/full/")&amp;CHAR(10)&amp;HYPERLINK("https://www.tresor.economie.gouv.fr/Articles/2025/05/19/choose-france-2025-une-edition-record-au-service-de-la-souverainete-economique-et-de-l-innovation","https://www.tresor.economie.gouv.fr/Articles/2025/05/19/choose-france-2025-une-edition-record-au-service-de-la-souverainete-economique-et-de-l-innovation")&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https://experience.france2030.gouv.fr/fr/visit/decarbonation-de-leconomie/la-decarbonation-de-l-industrie/full/
https://www.tresor.economie.gouv.fr/Articles/2025/05/19/choose-france-2025-une-edition-record-au-service-de-la-souverainete-economique-et-de-l-innovation
https://www.statistiques.developpement-durable.gouv.fr/construction-de-locaux-resultats-fin-janvier-2026-france-entiere
https://www.insee.fr/fr/statistiques/8671745
https://www.insee.fr/fr/statistiques/8906564</v>
      </c>
      <c r="GG12" s="355"/>
      <c r="GH12" s="354">
        <f t="shared" si="60"/>
        <v>14107.616073833335</v>
      </c>
      <c r="GI12" s="354">
        <f t="shared" si="61"/>
        <v>10558.253053833334</v>
      </c>
      <c r="GJ12" s="354">
        <f t="shared" si="62"/>
        <v>3549.3630200000002</v>
      </c>
      <c r="GK12" s="354">
        <f t="shared" si="63"/>
        <v>14453.408275384616</v>
      </c>
      <c r="GL12" s="354">
        <f t="shared" si="64"/>
        <v>10437.023805384615</v>
      </c>
      <c r="GM12" s="354">
        <f t="shared" si="65"/>
        <v>4016.38447</v>
      </c>
      <c r="GN12" s="354">
        <f t="shared" si="66"/>
        <v>5357.2543686666659</v>
      </c>
      <c r="GO12" s="354">
        <f t="shared" si="67"/>
        <v>3956.1900186666662</v>
      </c>
      <c r="GP12" s="354">
        <f t="shared" si="68"/>
        <v>1401.0643499999999</v>
      </c>
      <c r="GQ12" s="354">
        <f t="shared" si="69"/>
        <v>1471.8844101818181</v>
      </c>
      <c r="GR12" s="354">
        <f t="shared" si="70"/>
        <v>1098.2672501818181</v>
      </c>
      <c r="GS12" s="354">
        <f t="shared" si="71"/>
        <v>373.61716000000001</v>
      </c>
      <c r="GT12" s="354">
        <f t="shared" si="72"/>
        <v>4366.1280568181819</v>
      </c>
      <c r="GU12" s="354">
        <f t="shared" si="73"/>
        <v>3432.085156818182</v>
      </c>
      <c r="GV12" s="354">
        <f t="shared" si="74"/>
        <v>934.04290000000003</v>
      </c>
      <c r="GW12" s="354">
        <f t="shared" si="75"/>
        <v>13065.797169090911</v>
      </c>
      <c r="GX12" s="354">
        <f t="shared" si="76"/>
        <v>9609.8384390909105</v>
      </c>
      <c r="GY12" s="354">
        <f t="shared" si="77"/>
        <v>3455.9587299999998</v>
      </c>
      <c r="GZ12" s="354">
        <f t="shared" si="78"/>
        <v>1203.6741368749999</v>
      </c>
      <c r="HA12" s="354">
        <f t="shared" si="79"/>
        <v>923.46126687499998</v>
      </c>
      <c r="HB12" s="354">
        <f t="shared" si="80"/>
        <v>280.21287000000001</v>
      </c>
      <c r="HC12" s="354">
        <f t="shared" si="81"/>
        <v>1231.2988065</v>
      </c>
      <c r="HD12" s="354">
        <f t="shared" si="82"/>
        <v>961.09353900000008</v>
      </c>
      <c r="HE12" s="354">
        <f t="shared" si="83"/>
        <v>270.20526749999999</v>
      </c>
      <c r="HF12" s="354">
        <f t="shared" si="84"/>
        <v>7331.7769443750003</v>
      </c>
      <c r="HG12" s="354">
        <f t="shared" si="85"/>
        <v>5380.2944568750008</v>
      </c>
      <c r="HH12" s="354">
        <f t="shared" si="86"/>
        <v>1951.4824874999999</v>
      </c>
      <c r="HI12" s="354">
        <f t="shared" si="87"/>
        <v>1250.0739495</v>
      </c>
      <c r="HJ12" s="354">
        <f t="shared" si="88"/>
        <v>949.84587450000004</v>
      </c>
      <c r="HK12" s="354">
        <f t="shared" si="89"/>
        <v>300.22807499999999</v>
      </c>
      <c r="HL12" s="354">
        <f t="shared" si="90"/>
        <v>2114.2239363000003</v>
      </c>
      <c r="HM12" s="354">
        <f t="shared" si="91"/>
        <v>1633.8590163000003</v>
      </c>
      <c r="HN12" s="354">
        <f t="shared" si="92"/>
        <v>480.36491999999998</v>
      </c>
      <c r="HO12" s="354">
        <f t="shared" si="93"/>
        <v>11293.903781818182</v>
      </c>
      <c r="HP12" s="354">
        <f t="shared" si="94"/>
        <v>8825.3618318181834</v>
      </c>
      <c r="HQ12" s="354">
        <f t="shared" si="95"/>
        <v>2468.5419499999998</v>
      </c>
      <c r="HR12" s="354">
        <f t="shared" si="96"/>
        <v>12866.538791666668</v>
      </c>
      <c r="HS12" s="354">
        <f t="shared" si="97"/>
        <v>9197.0845416666671</v>
      </c>
      <c r="HT12" s="354">
        <f t="shared" si="98"/>
        <v>3669.4542500000002</v>
      </c>
      <c r="HU12" s="354">
        <f t="shared" si="99"/>
        <v>1711.1763055555552</v>
      </c>
      <c r="HV12" s="354">
        <f t="shared" si="100"/>
        <v>1177.4375055555554</v>
      </c>
      <c r="HW12" s="354">
        <f t="shared" si="101"/>
        <v>533.73879999999997</v>
      </c>
      <c r="HX12" s="362"/>
      <c r="HY12" s="363">
        <f t="shared" si="102"/>
        <v>179275</v>
      </c>
      <c r="HZ12" s="363">
        <f t="shared" si="103"/>
        <v>29480.89</v>
      </c>
      <c r="IA12" s="363">
        <f t="shared" si="104"/>
        <v>109379.97000000002</v>
      </c>
      <c r="IB12" s="363">
        <f t="shared" si="105"/>
        <v>40414.14</v>
      </c>
      <c r="IC12" s="363">
        <f t="shared" si="106"/>
        <v>0</v>
      </c>
      <c r="ID12" s="363">
        <f t="shared" si="107"/>
        <v>0</v>
      </c>
      <c r="IE12" s="363">
        <f t="shared" si="108"/>
        <v>68140.095756565934</v>
      </c>
      <c r="IF12" s="363">
        <f t="shared" si="109"/>
        <v>6069.2255145063318</v>
      </c>
      <c r="IG12" s="363">
        <f t="shared" si="110"/>
        <v>36635.287623976423</v>
      </c>
      <c r="IH12" s="363">
        <f t="shared" si="111"/>
        <v>25435.582618083179</v>
      </c>
      <c r="II12" s="363">
        <f t="shared" si="112"/>
        <v>0</v>
      </c>
      <c r="IJ12" s="363">
        <f t="shared" si="113"/>
        <v>0</v>
      </c>
      <c r="IK12" s="364">
        <v>4.18</v>
      </c>
      <c r="IL12" s="365" t="s">
        <v>350</v>
      </c>
      <c r="IM12" s="366" t="s">
        <v>472</v>
      </c>
      <c r="IN12" s="355"/>
      <c r="IO12" s="367">
        <v>0.13189999999999999</v>
      </c>
      <c r="IP12" s="367">
        <v>0.5998</v>
      </c>
      <c r="IQ12" s="367">
        <v>0.26829999999999998</v>
      </c>
      <c r="IR12" s="367">
        <v>0</v>
      </c>
      <c r="IS12" s="367">
        <v>0</v>
      </c>
      <c r="IT12" s="367">
        <v>7.5999999999999998E-2</v>
      </c>
      <c r="IU12" s="367">
        <v>0.50119999999999998</v>
      </c>
      <c r="IV12" s="367">
        <v>0.42280000000000001</v>
      </c>
      <c r="IW12" s="367">
        <v>0</v>
      </c>
      <c r="IX12" s="367">
        <v>0</v>
      </c>
      <c r="IY12" s="367">
        <v>0.1749</v>
      </c>
      <c r="IZ12" s="367">
        <v>0.61890000000000001</v>
      </c>
      <c r="JA12" s="367">
        <v>0.20619999999999999</v>
      </c>
      <c r="JB12" s="367">
        <v>0</v>
      </c>
      <c r="JC12" s="367">
        <v>0</v>
      </c>
      <c r="JD12" s="367">
        <v>9.0200000000000002E-2</v>
      </c>
      <c r="JE12" s="367">
        <v>0.55479999999999996</v>
      </c>
      <c r="JF12" s="367">
        <v>0.35499999999999998</v>
      </c>
      <c r="JG12" s="367">
        <v>0</v>
      </c>
      <c r="JH12" s="367">
        <v>0</v>
      </c>
      <c r="JI12" s="367">
        <v>0.25219999999999998</v>
      </c>
      <c r="JJ12" s="367">
        <v>0.61619999999999997</v>
      </c>
      <c r="JK12" s="367">
        <v>0.13159999999999999</v>
      </c>
      <c r="JL12" s="367">
        <v>0</v>
      </c>
      <c r="JM12" s="367">
        <v>0</v>
      </c>
      <c r="JN12" s="367">
        <v>0.13700000000000001</v>
      </c>
      <c r="JO12" s="367">
        <v>0.60329999999999995</v>
      </c>
      <c r="JP12" s="367">
        <v>0.25969999999999999</v>
      </c>
      <c r="JQ12" s="367">
        <v>0</v>
      </c>
      <c r="JR12" s="367">
        <v>0</v>
      </c>
      <c r="JS12" s="367">
        <v>0.16320000000000001</v>
      </c>
      <c r="JT12" s="367">
        <v>0.61570000000000003</v>
      </c>
      <c r="JU12" s="367">
        <v>0.22109999999999999</v>
      </c>
      <c r="JV12" s="367">
        <v>0</v>
      </c>
      <c r="JW12" s="367">
        <v>0</v>
      </c>
      <c r="JX12" s="367">
        <v>8.3699999999999997E-2</v>
      </c>
      <c r="JY12" s="367">
        <v>0.54410000000000003</v>
      </c>
      <c r="JZ12" s="367">
        <v>0.37219999999999998</v>
      </c>
      <c r="KA12" s="367">
        <v>0</v>
      </c>
      <c r="KB12" s="367">
        <v>0</v>
      </c>
      <c r="KC12" s="287"/>
      <c r="KD12" s="368" t="s">
        <v>351</v>
      </c>
      <c r="KE12" s="368" t="s">
        <v>351</v>
      </c>
      <c r="KF12" s="369">
        <v>4.3499999999999996</v>
      </c>
      <c r="KG12" s="368" t="s">
        <v>350</v>
      </c>
      <c r="KH12" s="370" t="s">
        <v>473</v>
      </c>
      <c r="KI12" s="368" t="s">
        <v>474</v>
      </c>
      <c r="KJ12" s="370" t="s">
        <v>475</v>
      </c>
    </row>
    <row r="13" spans="1:327" s="42" customFormat="1" ht="48" customHeight="1" x14ac:dyDescent="0.25">
      <c r="A13" s="381">
        <f t="shared" si="114"/>
        <v>5</v>
      </c>
      <c r="B13" s="324" t="s">
        <v>476</v>
      </c>
      <c r="C13" s="324" t="s">
        <v>19</v>
      </c>
      <c r="D13" s="325" t="s">
        <v>23</v>
      </c>
      <c r="E13" s="326" t="s">
        <v>477</v>
      </c>
      <c r="F13" s="326" t="s">
        <v>478</v>
      </c>
      <c r="G13" s="326" t="s">
        <v>478</v>
      </c>
      <c r="H13" s="326" t="s">
        <v>371</v>
      </c>
      <c r="I13" s="327" t="s">
        <v>479</v>
      </c>
      <c r="J13" s="327" t="s">
        <v>24</v>
      </c>
      <c r="K13" s="328" t="s">
        <v>371</v>
      </c>
      <c r="L13" s="328" t="s">
        <v>371</v>
      </c>
      <c r="M13" s="328" t="s">
        <v>372</v>
      </c>
      <c r="N13" s="328" t="s">
        <v>480</v>
      </c>
      <c r="O13" s="326" t="s">
        <v>481</v>
      </c>
      <c r="P13" s="327"/>
      <c r="Q13" s="284">
        <v>1</v>
      </c>
      <c r="R13" s="329">
        <v>250</v>
      </c>
      <c r="S13" s="330">
        <v>37573</v>
      </c>
      <c r="T13" s="330">
        <v>37554</v>
      </c>
      <c r="U13" s="330">
        <v>37437</v>
      </c>
      <c r="V13" s="330">
        <v>37446</v>
      </c>
      <c r="W13" s="330">
        <v>37385</v>
      </c>
      <c r="X13" s="330">
        <v>37476</v>
      </c>
      <c r="Y13" s="330">
        <v>37592</v>
      </c>
      <c r="Z13" s="330">
        <v>37560</v>
      </c>
      <c r="AA13" s="330">
        <v>37563</v>
      </c>
      <c r="AB13" s="330">
        <v>37565</v>
      </c>
      <c r="AC13" s="330">
        <v>37560</v>
      </c>
      <c r="AD13" s="330">
        <v>37555</v>
      </c>
      <c r="AE13" s="330">
        <v>37566</v>
      </c>
      <c r="AF13" s="330">
        <v>37496</v>
      </c>
      <c r="AG13" s="330">
        <v>37496</v>
      </c>
      <c r="AH13" s="330">
        <v>37490</v>
      </c>
      <c r="AI13" s="330">
        <v>37480</v>
      </c>
      <c r="AJ13" s="330">
        <v>37470</v>
      </c>
      <c r="AK13" s="330">
        <v>37460</v>
      </c>
      <c r="AL13" s="327" t="s">
        <v>482</v>
      </c>
      <c r="AM13" s="327" t="s">
        <v>483</v>
      </c>
      <c r="AN13" s="327" t="s">
        <v>484</v>
      </c>
      <c r="AO13" s="287"/>
      <c r="AP13" s="329">
        <v>40</v>
      </c>
      <c r="AQ13" s="331">
        <v>25</v>
      </c>
      <c r="AR13" s="331">
        <v>12</v>
      </c>
      <c r="AS13" s="331">
        <v>3</v>
      </c>
      <c r="AT13" s="287"/>
      <c r="AU13" s="332" t="s">
        <v>485</v>
      </c>
      <c r="AV13" s="333" t="s">
        <v>486</v>
      </c>
      <c r="AW13" s="334" t="s">
        <v>487</v>
      </c>
      <c r="AX13" s="335" t="s">
        <v>381</v>
      </c>
      <c r="AY13" s="287"/>
      <c r="AZ13" s="336">
        <v>3</v>
      </c>
      <c r="BA13" s="336">
        <v>0</v>
      </c>
      <c r="BB13" s="336">
        <v>0.3</v>
      </c>
      <c r="BC13" s="336">
        <v>3</v>
      </c>
      <c r="BD13" s="337">
        <f t="shared" si="5"/>
        <v>236224.8</v>
      </c>
      <c r="BE13" s="338">
        <f t="shared" si="6"/>
        <v>112488</v>
      </c>
      <c r="BF13" s="338">
        <f t="shared" si="7"/>
        <v>0</v>
      </c>
      <c r="BG13" s="338">
        <f t="shared" si="8"/>
        <v>11248.8</v>
      </c>
      <c r="BH13" s="338">
        <f t="shared" si="9"/>
        <v>112488</v>
      </c>
      <c r="BI13" s="337">
        <f t="shared" si="10"/>
        <v>235998</v>
      </c>
      <c r="BJ13" s="338">
        <f t="shared" si="11"/>
        <v>112380</v>
      </c>
      <c r="BK13" s="338">
        <f t="shared" si="12"/>
        <v>0</v>
      </c>
      <c r="BL13" s="338">
        <f t="shared" si="13"/>
        <v>11238</v>
      </c>
      <c r="BM13" s="338">
        <f t="shared" si="14"/>
        <v>112380</v>
      </c>
      <c r="BN13" s="287"/>
      <c r="BO13" s="339">
        <v>0.33</v>
      </c>
      <c r="BP13" s="339">
        <v>0.46</v>
      </c>
      <c r="BQ13" s="339">
        <v>0.17</v>
      </c>
      <c r="BR13" s="196">
        <v>0.04</v>
      </c>
      <c r="BS13" s="340">
        <v>0.28999999999999998</v>
      </c>
      <c r="BT13" s="339">
        <v>0.46</v>
      </c>
      <c r="BU13" s="339">
        <v>0.22</v>
      </c>
      <c r="BV13" s="196">
        <v>0.03</v>
      </c>
      <c r="BW13" s="341"/>
      <c r="BX13" s="342"/>
      <c r="BY13" s="198"/>
      <c r="BZ13" s="341"/>
      <c r="CA13" s="342"/>
      <c r="CB13" s="198"/>
      <c r="CC13" s="339">
        <v>0.12</v>
      </c>
      <c r="CD13" s="339">
        <v>0.5</v>
      </c>
      <c r="CE13" s="339">
        <v>0.15</v>
      </c>
      <c r="CF13" s="196">
        <v>0.23</v>
      </c>
      <c r="CG13" s="340">
        <v>0.1</v>
      </c>
      <c r="CH13" s="339">
        <v>0.5</v>
      </c>
      <c r="CI13" s="339">
        <v>0.18</v>
      </c>
      <c r="CJ13" s="196">
        <v>0.22</v>
      </c>
      <c r="CK13" s="343">
        <v>0.55000000000000004</v>
      </c>
      <c r="CL13" s="344">
        <v>0.3</v>
      </c>
      <c r="CM13" s="200">
        <v>0.15</v>
      </c>
      <c r="CN13" s="343">
        <v>0.47</v>
      </c>
      <c r="CO13" s="344">
        <v>0.33</v>
      </c>
      <c r="CP13" s="200">
        <v>0.2</v>
      </c>
      <c r="CQ13" s="287"/>
      <c r="CR13" s="345">
        <v>13</v>
      </c>
      <c r="CS13" s="346">
        <v>14</v>
      </c>
      <c r="CT13" s="346">
        <v>10</v>
      </c>
      <c r="CU13" s="347">
        <v>12</v>
      </c>
      <c r="CV13" s="345"/>
      <c r="CW13" s="346"/>
      <c r="CX13" s="347"/>
      <c r="CY13" s="345">
        <v>11</v>
      </c>
      <c r="CZ13" s="346">
        <v>13</v>
      </c>
      <c r="DA13" s="346">
        <v>9</v>
      </c>
      <c r="DB13" s="347">
        <v>11</v>
      </c>
      <c r="DC13" s="345">
        <v>14</v>
      </c>
      <c r="DD13" s="346">
        <v>14</v>
      </c>
      <c r="DE13" s="347">
        <v>10</v>
      </c>
      <c r="DF13" s="348" t="s">
        <v>488</v>
      </c>
      <c r="DG13" s="287"/>
      <c r="DH13" s="349">
        <f t="shared" si="15"/>
        <v>37121.040000000001</v>
      </c>
      <c r="DI13" s="349">
        <f t="shared" si="16"/>
        <v>51744.480000000003</v>
      </c>
      <c r="DJ13" s="349">
        <f t="shared" si="17"/>
        <v>19122.960000000003</v>
      </c>
      <c r="DK13" s="349">
        <f t="shared" si="18"/>
        <v>4499.5200000000004</v>
      </c>
      <c r="DL13" s="350" t="s">
        <v>489</v>
      </c>
      <c r="DM13" s="349">
        <f t="shared" si="19"/>
        <v>32590.199999999997</v>
      </c>
      <c r="DN13" s="349">
        <f t="shared" si="20"/>
        <v>51694.8</v>
      </c>
      <c r="DO13" s="349">
        <f t="shared" si="21"/>
        <v>24723.599999999999</v>
      </c>
      <c r="DP13" s="349">
        <f t="shared" si="22"/>
        <v>3371.4</v>
      </c>
      <c r="DQ13" s="351" t="s">
        <v>384</v>
      </c>
      <c r="DR13" s="287"/>
      <c r="DS13" s="349">
        <f t="shared" si="23"/>
        <v>0</v>
      </c>
      <c r="DT13" s="349">
        <f t="shared" si="24"/>
        <v>0</v>
      </c>
      <c r="DU13" s="349">
        <f t="shared" si="25"/>
        <v>0</v>
      </c>
      <c r="DV13" s="351" t="s">
        <v>490</v>
      </c>
      <c r="DW13" s="349">
        <f t="shared" si="26"/>
        <v>0</v>
      </c>
      <c r="DX13" s="349">
        <f t="shared" si="27"/>
        <v>0</v>
      </c>
      <c r="DY13" s="349">
        <f t="shared" si="28"/>
        <v>0</v>
      </c>
      <c r="DZ13" s="351" t="s">
        <v>490</v>
      </c>
      <c r="EA13" s="287"/>
      <c r="EB13" s="349">
        <f t="shared" si="29"/>
        <v>1349.8559999999998</v>
      </c>
      <c r="EC13" s="349">
        <f t="shared" si="30"/>
        <v>5624.4</v>
      </c>
      <c r="ED13" s="349">
        <f t="shared" si="31"/>
        <v>1687.32</v>
      </c>
      <c r="EE13" s="349">
        <f t="shared" si="32"/>
        <v>2587.2240000000002</v>
      </c>
      <c r="EF13" s="351" t="s">
        <v>491</v>
      </c>
      <c r="EG13" s="349">
        <f t="shared" si="33"/>
        <v>1123.8</v>
      </c>
      <c r="EH13" s="349">
        <f t="shared" si="34"/>
        <v>5619</v>
      </c>
      <c r="EI13" s="349">
        <f t="shared" si="35"/>
        <v>2022.84</v>
      </c>
      <c r="EJ13" s="349">
        <f t="shared" si="36"/>
        <v>2472.36</v>
      </c>
      <c r="EK13" s="351" t="s">
        <v>388</v>
      </c>
      <c r="EL13" s="287"/>
      <c r="EM13" s="349">
        <f t="shared" si="37"/>
        <v>61868.4</v>
      </c>
      <c r="EN13" s="352">
        <f t="shared" si="38"/>
        <v>33746.400000000001</v>
      </c>
      <c r="EO13" s="352">
        <f t="shared" si="39"/>
        <v>16873.2</v>
      </c>
      <c r="EP13" s="351" t="s">
        <v>492</v>
      </c>
      <c r="EQ13" s="349">
        <f t="shared" si="40"/>
        <v>52818.6</v>
      </c>
      <c r="ER13" s="352">
        <f t="shared" si="41"/>
        <v>37085.4</v>
      </c>
      <c r="ES13" s="352">
        <f t="shared" si="42"/>
        <v>22476</v>
      </c>
      <c r="ET13" s="351" t="s">
        <v>390</v>
      </c>
      <c r="EU13" s="287"/>
      <c r="EV13" s="353">
        <f t="shared" si="43"/>
        <v>0.87516295351729856</v>
      </c>
      <c r="EW13" s="353">
        <f t="shared" si="44"/>
        <v>0.12483704648270134</v>
      </c>
      <c r="EX13" s="354">
        <f t="shared" si="45"/>
        <v>80988.950995416235</v>
      </c>
      <c r="EY13" s="354">
        <f t="shared" si="46"/>
        <v>70878.529555416229</v>
      </c>
      <c r="EZ13" s="354">
        <f t="shared" si="47"/>
        <v>10110.421439999998</v>
      </c>
      <c r="FA13" s="354">
        <f t="shared" si="48"/>
        <v>38986.352534185717</v>
      </c>
      <c r="FB13" s="354">
        <f t="shared" si="49"/>
        <v>34171.866134185715</v>
      </c>
      <c r="FC13" s="354">
        <f t="shared" si="50"/>
        <v>4814.4863999999998</v>
      </c>
      <c r="FD13" s="354">
        <f t="shared" si="51"/>
        <v>0</v>
      </c>
      <c r="FE13" s="354">
        <f t="shared" si="52"/>
        <v>0</v>
      </c>
      <c r="FF13" s="354">
        <f t="shared" si="53"/>
        <v>0</v>
      </c>
      <c r="FG13" s="354">
        <f t="shared" si="54"/>
        <v>4265.4490421590899</v>
      </c>
      <c r="FH13" s="354">
        <f t="shared" si="55"/>
        <v>3784.0004021590903</v>
      </c>
      <c r="FI13" s="354">
        <f t="shared" si="56"/>
        <v>481.44863999999995</v>
      </c>
      <c r="FJ13" s="354">
        <f t="shared" si="57"/>
        <v>37737.149419071429</v>
      </c>
      <c r="FK13" s="354">
        <f t="shared" si="58"/>
        <v>32922.663019071428</v>
      </c>
      <c r="FL13" s="354">
        <f t="shared" si="59"/>
        <v>4814.4863999999998</v>
      </c>
      <c r="FM13" s="355"/>
      <c r="FN13" s="356" t="s">
        <v>391</v>
      </c>
      <c r="FO13" s="353">
        <v>4.2799999999999998E-2</v>
      </c>
      <c r="FP13" s="357">
        <v>0.77415</v>
      </c>
      <c r="FQ13" s="358" t="s">
        <v>493</v>
      </c>
      <c r="FR13" s="355"/>
      <c r="FS13" s="359">
        <v>3.06</v>
      </c>
      <c r="FT13" s="360">
        <f>RANK($FS13,$FS$16:$FS$17,0)+COUNTIF($FS$16:$FS17,$FS13)-1</f>
        <v>2</v>
      </c>
      <c r="FU13" s="359">
        <v>3.57</v>
      </c>
      <c r="FV13" s="360" t="e">
        <f>RANK($FU13,$FU$16:$FU$17,0)+COUNTIF($FU$16:$FU17,$FU13)-1</f>
        <v>#N/A</v>
      </c>
      <c r="FW13" s="359">
        <v>2.14</v>
      </c>
      <c r="FX13" s="360" t="e">
        <f>RANK($FW13,$FW$16:$FW$17,0)+COUNTIF($FW$16:$FW17,$FW13)-1</f>
        <v>#N/A</v>
      </c>
      <c r="FY13" s="355"/>
      <c r="FZ13" s="361" t="s">
        <v>494</v>
      </c>
      <c r="GA13" s="361" t="s">
        <v>495</v>
      </c>
      <c r="GB13" s="361" t="s">
        <v>395</v>
      </c>
      <c r="GC13" s="361" t="s">
        <v>396</v>
      </c>
      <c r="GD13" s="361" t="s">
        <v>397</v>
      </c>
      <c r="GE13" s="361" t="s">
        <v>398</v>
      </c>
      <c r="GF13" s="361" t="str">
        <f>HYPERLINK("https://anct.gouv.fr/france-services-36","https://anct.gouv.fr/france-services-36")&amp;CHAR(10)&amp;HYPERLINK("https://www.economie.gouv.fr/particuliers/gerer-mon-argent/beneficier-daides-et-de-reductions-dimpots/france-services-les-services-publics-pres-de-chez-vous","https://www.economie.gouv.fr/particuliers/gerer-mon-argent/beneficier-daides-et-de-reductions-dimpots/france-services-les-services-publics-pres-de-chez-vous")&amp;CHAR(10)&amp;HYPERLINK("https://www.ecologie.gouv.fr/eco-energie-tertiaire-eet","https://www.ecologie.gouv.fr/eco-energie-tertiaire-eet")&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https://anct.gouv.fr/france-services-36
https://www.economie.gouv.fr/particuliers/gerer-mon-argent/beneficier-daides-et-de-reductions-dimpots/france-services-les-services-publics-pres-de-chez-vous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13" s="355"/>
      <c r="GH13" s="354">
        <f t="shared" si="60"/>
        <v>12431.363320500001</v>
      </c>
      <c r="GI13" s="354">
        <f t="shared" si="61"/>
        <v>11035.162264500001</v>
      </c>
      <c r="GJ13" s="354">
        <f t="shared" si="62"/>
        <v>1396.2010559999999</v>
      </c>
      <c r="GK13" s="354">
        <f t="shared" si="63"/>
        <v>16495.295989285714</v>
      </c>
      <c r="GL13" s="354">
        <f t="shared" si="64"/>
        <v>14280.632245285715</v>
      </c>
      <c r="GM13" s="354">
        <f t="shared" si="65"/>
        <v>2214.663744</v>
      </c>
      <c r="GN13" s="354">
        <f t="shared" si="66"/>
        <v>8464.9969884000002</v>
      </c>
      <c r="GO13" s="354">
        <f t="shared" si="67"/>
        <v>7405.8099804000003</v>
      </c>
      <c r="GP13" s="354">
        <f t="shared" si="68"/>
        <v>1059.1870079999999</v>
      </c>
      <c r="GQ13" s="354">
        <f t="shared" si="69"/>
        <v>1594.696236</v>
      </c>
      <c r="GR13" s="354">
        <f t="shared" si="70"/>
        <v>1450.2616439999999</v>
      </c>
      <c r="GS13" s="354">
        <f t="shared" si="71"/>
        <v>144.43459199999998</v>
      </c>
      <c r="GT13" s="354">
        <f t="shared" si="72"/>
        <v>0</v>
      </c>
      <c r="GU13" s="354">
        <f t="shared" si="73"/>
        <v>0</v>
      </c>
      <c r="GV13" s="354">
        <f t="shared" si="74"/>
        <v>0</v>
      </c>
      <c r="GW13" s="354">
        <f t="shared" si="75"/>
        <v>0</v>
      </c>
      <c r="GX13" s="354">
        <f t="shared" si="76"/>
        <v>0</v>
      </c>
      <c r="GY13" s="354">
        <f t="shared" si="77"/>
        <v>0</v>
      </c>
      <c r="GZ13" s="354">
        <f t="shared" si="78"/>
        <v>0</v>
      </c>
      <c r="HA13" s="354">
        <f t="shared" si="79"/>
        <v>0</v>
      </c>
      <c r="HB13" s="354">
        <f t="shared" si="80"/>
        <v>0</v>
      </c>
      <c r="HC13" s="354">
        <f t="shared" si="81"/>
        <v>523.08757805454547</v>
      </c>
      <c r="HD13" s="354">
        <f t="shared" si="82"/>
        <v>474.94271405454543</v>
      </c>
      <c r="HE13" s="354">
        <f t="shared" si="83"/>
        <v>48.144863999999998</v>
      </c>
      <c r="HF13" s="354">
        <f t="shared" si="84"/>
        <v>1912.7186024999999</v>
      </c>
      <c r="HG13" s="354">
        <f t="shared" si="85"/>
        <v>1671.9942824999998</v>
      </c>
      <c r="HH13" s="354">
        <f t="shared" si="86"/>
        <v>240.72431999999998</v>
      </c>
      <c r="HI13" s="354">
        <f t="shared" si="87"/>
        <v>813.41729220000002</v>
      </c>
      <c r="HJ13" s="354">
        <f t="shared" si="88"/>
        <v>726.75653699999998</v>
      </c>
      <c r="HK13" s="354">
        <f t="shared" si="89"/>
        <v>86.660755199999983</v>
      </c>
      <c r="HL13" s="354">
        <f t="shared" si="90"/>
        <v>1016.2255694045455</v>
      </c>
      <c r="HM13" s="354">
        <f t="shared" si="91"/>
        <v>910.30686860454546</v>
      </c>
      <c r="HN13" s="354">
        <f t="shared" si="92"/>
        <v>105.9187008</v>
      </c>
      <c r="HO13" s="354">
        <f t="shared" si="93"/>
        <v>19337.477596928569</v>
      </c>
      <c r="HP13" s="354">
        <f t="shared" si="94"/>
        <v>17074.66898892857</v>
      </c>
      <c r="HQ13" s="354">
        <f t="shared" si="95"/>
        <v>2262.8086079999998</v>
      </c>
      <c r="HR13" s="354">
        <f t="shared" si="96"/>
        <v>10902.236324142857</v>
      </c>
      <c r="HS13" s="354">
        <f t="shared" si="97"/>
        <v>9313.4558121428581</v>
      </c>
      <c r="HT13" s="354">
        <f t="shared" si="98"/>
        <v>1588.780512</v>
      </c>
      <c r="HU13" s="354">
        <f t="shared" si="99"/>
        <v>7497.4354980000007</v>
      </c>
      <c r="HV13" s="354">
        <f t="shared" si="100"/>
        <v>6534.5382180000006</v>
      </c>
      <c r="HW13" s="354">
        <f t="shared" si="101"/>
        <v>962.89728000000002</v>
      </c>
      <c r="HX13" s="362"/>
      <c r="HY13" s="363">
        <f t="shared" si="102"/>
        <v>236224.8</v>
      </c>
      <c r="HZ13" s="363">
        <f t="shared" si="103"/>
        <v>7649.1839999999993</v>
      </c>
      <c r="IA13" s="363">
        <f t="shared" si="104"/>
        <v>97726.199760000003</v>
      </c>
      <c r="IB13" s="363">
        <f t="shared" si="105"/>
        <v>116006.62463999999</v>
      </c>
      <c r="IC13" s="363">
        <f t="shared" si="106"/>
        <v>14842.7916</v>
      </c>
      <c r="ID13" s="363">
        <f t="shared" si="107"/>
        <v>0</v>
      </c>
      <c r="IE13" s="363">
        <f t="shared" si="108"/>
        <v>70878.529555416244</v>
      </c>
      <c r="IF13" s="363">
        <f t="shared" si="109"/>
        <v>864.3150702291573</v>
      </c>
      <c r="IG13" s="363">
        <f t="shared" si="110"/>
        <v>27616.592411011596</v>
      </c>
      <c r="IH13" s="363">
        <f t="shared" si="111"/>
        <v>36196.804380001086</v>
      </c>
      <c r="II13" s="363">
        <f t="shared" si="112"/>
        <v>5882.6211112554538</v>
      </c>
      <c r="IJ13" s="363">
        <f t="shared" si="113"/>
        <v>318.1965829189412</v>
      </c>
      <c r="IK13" s="364">
        <v>4.13</v>
      </c>
      <c r="IL13" s="365" t="s">
        <v>350</v>
      </c>
      <c r="IM13" s="366" t="s">
        <v>496</v>
      </c>
      <c r="IN13" s="355"/>
      <c r="IO13" s="367">
        <v>0.03</v>
      </c>
      <c r="IP13" s="367">
        <v>0.4</v>
      </c>
      <c r="IQ13" s="367">
        <v>0.5</v>
      </c>
      <c r="IR13" s="367">
        <v>7.0000000000000007E-2</v>
      </c>
      <c r="IS13" s="367">
        <v>0</v>
      </c>
      <c r="IT13" s="367">
        <v>9.7000000000000003E-3</v>
      </c>
      <c r="IU13" s="367">
        <v>0.37530000000000002</v>
      </c>
      <c r="IV13" s="367">
        <v>0.5202</v>
      </c>
      <c r="IW13" s="367">
        <v>9.0300000000000005E-2</v>
      </c>
      <c r="IX13" s="367">
        <v>4.4999999999999997E-3</v>
      </c>
      <c r="IY13" s="367">
        <v>0</v>
      </c>
      <c r="IZ13" s="367">
        <v>0</v>
      </c>
      <c r="JA13" s="367">
        <v>0</v>
      </c>
      <c r="JB13" s="367">
        <v>0</v>
      </c>
      <c r="JC13" s="367">
        <v>0</v>
      </c>
      <c r="JD13" s="367">
        <v>0</v>
      </c>
      <c r="JE13" s="367">
        <v>0</v>
      </c>
      <c r="JF13" s="367">
        <v>0</v>
      </c>
      <c r="JG13" s="367">
        <v>0</v>
      </c>
      <c r="JH13" s="367">
        <v>0</v>
      </c>
      <c r="JI13" s="367">
        <v>5.3999999999999999E-2</v>
      </c>
      <c r="JJ13" s="367">
        <v>0.53969999999999996</v>
      </c>
      <c r="JK13" s="367">
        <v>0.37480000000000002</v>
      </c>
      <c r="JL13" s="367">
        <v>3.15E-2</v>
      </c>
      <c r="JM13" s="367">
        <v>0</v>
      </c>
      <c r="JN13" s="367">
        <v>3.3799999999999997E-2</v>
      </c>
      <c r="JO13" s="367">
        <v>0.51500000000000001</v>
      </c>
      <c r="JP13" s="367">
        <v>0.39510000000000001</v>
      </c>
      <c r="JQ13" s="367">
        <v>5.1799999999999999E-2</v>
      </c>
      <c r="JR13" s="367">
        <v>4.3E-3</v>
      </c>
      <c r="JS13" s="367">
        <v>3.2599999999999997E-2</v>
      </c>
      <c r="JT13" s="367">
        <v>0.4148</v>
      </c>
      <c r="JU13" s="367">
        <v>0.49380000000000002</v>
      </c>
      <c r="JV13" s="367">
        <v>5.8799999999999998E-2</v>
      </c>
      <c r="JW13" s="367">
        <v>0</v>
      </c>
      <c r="JX13" s="367">
        <v>1.23E-2</v>
      </c>
      <c r="JY13" s="367">
        <v>0.3901</v>
      </c>
      <c r="JZ13" s="367">
        <v>0.5141</v>
      </c>
      <c r="KA13" s="367">
        <v>7.9000000000000001E-2</v>
      </c>
      <c r="KB13" s="367">
        <v>4.4999999999999997E-3</v>
      </c>
      <c r="KC13" s="287"/>
      <c r="KD13" s="368" t="s">
        <v>351</v>
      </c>
      <c r="KE13" s="368" t="s">
        <v>351</v>
      </c>
      <c r="KF13" s="369">
        <v>4.16</v>
      </c>
      <c r="KG13" s="368" t="s">
        <v>350</v>
      </c>
      <c r="KH13" s="370" t="s">
        <v>497</v>
      </c>
      <c r="KI13" s="368" t="s">
        <v>401</v>
      </c>
      <c r="KJ13" s="370" t="s">
        <v>498</v>
      </c>
    </row>
    <row r="14" spans="1:327" s="42" customFormat="1" ht="48" customHeight="1" x14ac:dyDescent="0.25">
      <c r="A14" s="381">
        <f t="shared" si="114"/>
        <v>6</v>
      </c>
      <c r="B14" s="280" t="s">
        <v>476</v>
      </c>
      <c r="C14" s="280" t="s">
        <v>19</v>
      </c>
      <c r="D14" s="280" t="s">
        <v>20</v>
      </c>
      <c r="E14" s="281" t="s">
        <v>432</v>
      </c>
      <c r="F14" s="281" t="s">
        <v>499</v>
      </c>
      <c r="G14" s="281" t="s">
        <v>367</v>
      </c>
      <c r="H14" s="281" t="s">
        <v>368</v>
      </c>
      <c r="I14" s="282" t="s">
        <v>500</v>
      </c>
      <c r="J14" s="282" t="s">
        <v>21</v>
      </c>
      <c r="K14" s="283"/>
      <c r="L14" s="283"/>
      <c r="M14" s="283"/>
      <c r="N14" s="283"/>
      <c r="O14" s="281"/>
      <c r="P14" s="282"/>
      <c r="Q14" s="284"/>
      <c r="R14" s="285">
        <v>2800</v>
      </c>
      <c r="S14" s="286">
        <v>7200</v>
      </c>
      <c r="T14" s="286">
        <v>8000</v>
      </c>
      <c r="U14" s="286">
        <v>8900</v>
      </c>
      <c r="V14" s="286">
        <v>9400</v>
      </c>
      <c r="W14" s="286">
        <v>9450</v>
      </c>
      <c r="X14" s="286">
        <v>9500</v>
      </c>
      <c r="Y14" s="286">
        <v>9550</v>
      </c>
      <c r="Z14" s="286">
        <v>9600</v>
      </c>
      <c r="AA14" s="286">
        <v>9650</v>
      </c>
      <c r="AB14" s="286">
        <v>9700</v>
      </c>
      <c r="AC14" s="286">
        <v>9800</v>
      </c>
      <c r="AD14" s="286">
        <v>9900</v>
      </c>
      <c r="AE14" s="286">
        <v>10000</v>
      </c>
      <c r="AF14" s="286">
        <v>10000</v>
      </c>
      <c r="AG14" s="286">
        <v>9950</v>
      </c>
      <c r="AH14" s="286">
        <v>9900</v>
      </c>
      <c r="AI14" s="286">
        <v>9825</v>
      </c>
      <c r="AJ14" s="286">
        <v>9750</v>
      </c>
      <c r="AK14" s="286">
        <v>9650</v>
      </c>
      <c r="AL14" s="282" t="s">
        <v>501</v>
      </c>
      <c r="AM14" s="282" t="s">
        <v>502</v>
      </c>
      <c r="AN14" s="282" t="s">
        <v>503</v>
      </c>
      <c r="AO14" s="287"/>
      <c r="AP14" s="285">
        <v>170</v>
      </c>
      <c r="AQ14" s="285">
        <v>150</v>
      </c>
      <c r="AR14" s="285">
        <v>17</v>
      </c>
      <c r="AS14" s="285">
        <v>3</v>
      </c>
      <c r="AT14" s="287"/>
      <c r="AU14" s="288" t="s">
        <v>504</v>
      </c>
      <c r="AV14" s="289" t="s">
        <v>505</v>
      </c>
      <c r="AW14" s="289" t="s">
        <v>410</v>
      </c>
      <c r="AX14" s="282" t="s">
        <v>381</v>
      </c>
      <c r="AY14" s="287"/>
      <c r="AZ14" s="290">
        <v>16</v>
      </c>
      <c r="BA14" s="290">
        <v>0</v>
      </c>
      <c r="BB14" s="290">
        <v>3.5</v>
      </c>
      <c r="BC14" s="290">
        <v>12</v>
      </c>
      <c r="BD14" s="371">
        <f t="shared" si="5"/>
        <v>315000</v>
      </c>
      <c r="BE14" s="291">
        <f t="shared" si="6"/>
        <v>160000</v>
      </c>
      <c r="BF14" s="291">
        <f t="shared" si="7"/>
        <v>0</v>
      </c>
      <c r="BG14" s="291">
        <f t="shared" si="8"/>
        <v>35000</v>
      </c>
      <c r="BH14" s="291">
        <f t="shared" si="9"/>
        <v>120000</v>
      </c>
      <c r="BI14" s="371">
        <f t="shared" si="10"/>
        <v>303975</v>
      </c>
      <c r="BJ14" s="291">
        <f t="shared" si="11"/>
        <v>154400</v>
      </c>
      <c r="BK14" s="291">
        <f t="shared" si="12"/>
        <v>0</v>
      </c>
      <c r="BL14" s="291">
        <f t="shared" si="13"/>
        <v>33775</v>
      </c>
      <c r="BM14" s="291">
        <f t="shared" si="14"/>
        <v>115800</v>
      </c>
      <c r="BN14" s="287"/>
      <c r="BO14" s="292">
        <v>0.44</v>
      </c>
      <c r="BP14" s="292">
        <v>0.38</v>
      </c>
      <c r="BQ14" s="292">
        <v>0.13</v>
      </c>
      <c r="BR14" s="293">
        <v>0.05</v>
      </c>
      <c r="BS14" s="294">
        <v>0.39</v>
      </c>
      <c r="BT14" s="292">
        <v>0.39</v>
      </c>
      <c r="BU14" s="292">
        <v>0.18</v>
      </c>
      <c r="BV14" s="293">
        <v>0.04</v>
      </c>
      <c r="BW14" s="295"/>
      <c r="BX14" s="296"/>
      <c r="BY14" s="297"/>
      <c r="BZ14" s="295"/>
      <c r="CA14" s="296"/>
      <c r="CB14" s="297"/>
      <c r="CC14" s="294">
        <v>0.08</v>
      </c>
      <c r="CD14" s="292">
        <v>0.45</v>
      </c>
      <c r="CE14" s="292">
        <v>0.25</v>
      </c>
      <c r="CF14" s="293">
        <v>0.22</v>
      </c>
      <c r="CG14" s="294">
        <v>0.06</v>
      </c>
      <c r="CH14" s="292">
        <v>0.45</v>
      </c>
      <c r="CI14" s="292">
        <v>0.28000000000000003</v>
      </c>
      <c r="CJ14" s="293">
        <v>0.21</v>
      </c>
      <c r="CK14" s="298">
        <v>0.35</v>
      </c>
      <c r="CL14" s="299">
        <v>0.5</v>
      </c>
      <c r="CM14" s="300">
        <v>0.15</v>
      </c>
      <c r="CN14" s="298">
        <v>0.25</v>
      </c>
      <c r="CO14" s="299">
        <v>0.5</v>
      </c>
      <c r="CP14" s="300">
        <v>0.25</v>
      </c>
      <c r="CQ14" s="287"/>
      <c r="CR14" s="301">
        <v>13</v>
      </c>
      <c r="CS14" s="302">
        <v>13</v>
      </c>
      <c r="CT14" s="302">
        <v>10</v>
      </c>
      <c r="CU14" s="303">
        <v>12</v>
      </c>
      <c r="CV14" s="301"/>
      <c r="CW14" s="302"/>
      <c r="CX14" s="303"/>
      <c r="CY14" s="301">
        <v>11</v>
      </c>
      <c r="CZ14" s="302">
        <v>13</v>
      </c>
      <c r="DA14" s="302">
        <v>9</v>
      </c>
      <c r="DB14" s="303">
        <v>11</v>
      </c>
      <c r="DC14" s="301">
        <v>14</v>
      </c>
      <c r="DD14" s="302">
        <v>14</v>
      </c>
      <c r="DE14" s="303">
        <v>10</v>
      </c>
      <c r="DF14" s="304" t="s">
        <v>506</v>
      </c>
      <c r="DG14" s="287"/>
      <c r="DH14" s="305">
        <f t="shared" si="15"/>
        <v>70400</v>
      </c>
      <c r="DI14" s="305">
        <f t="shared" si="16"/>
        <v>60800</v>
      </c>
      <c r="DJ14" s="305">
        <f t="shared" si="17"/>
        <v>20800</v>
      </c>
      <c r="DK14" s="305">
        <f t="shared" si="18"/>
        <v>8000</v>
      </c>
      <c r="DL14" s="306" t="s">
        <v>507</v>
      </c>
      <c r="DM14" s="305">
        <f t="shared" si="19"/>
        <v>60216</v>
      </c>
      <c r="DN14" s="305">
        <f t="shared" si="20"/>
        <v>60216</v>
      </c>
      <c r="DO14" s="305">
        <f t="shared" si="21"/>
        <v>27792</v>
      </c>
      <c r="DP14" s="305">
        <f t="shared" si="22"/>
        <v>6176</v>
      </c>
      <c r="DQ14" s="307" t="s">
        <v>508</v>
      </c>
      <c r="DR14" s="287"/>
      <c r="DS14" s="305">
        <f t="shared" si="23"/>
        <v>0</v>
      </c>
      <c r="DT14" s="305">
        <f t="shared" si="24"/>
        <v>0</v>
      </c>
      <c r="DU14" s="305">
        <f t="shared" si="25"/>
        <v>0</v>
      </c>
      <c r="DV14" s="307" t="s">
        <v>490</v>
      </c>
      <c r="DW14" s="305">
        <f t="shared" si="26"/>
        <v>0</v>
      </c>
      <c r="DX14" s="305">
        <f t="shared" si="27"/>
        <v>0</v>
      </c>
      <c r="DY14" s="305">
        <f t="shared" si="28"/>
        <v>0</v>
      </c>
      <c r="DZ14" s="307" t="s">
        <v>490</v>
      </c>
      <c r="EA14" s="287"/>
      <c r="EB14" s="305">
        <f t="shared" si="29"/>
        <v>2800</v>
      </c>
      <c r="EC14" s="305">
        <f t="shared" si="30"/>
        <v>15750</v>
      </c>
      <c r="ED14" s="305">
        <f t="shared" si="31"/>
        <v>8750</v>
      </c>
      <c r="EE14" s="305">
        <f t="shared" si="32"/>
        <v>7700</v>
      </c>
      <c r="EF14" s="307" t="s">
        <v>509</v>
      </c>
      <c r="EG14" s="305">
        <f t="shared" si="33"/>
        <v>2026.5</v>
      </c>
      <c r="EH14" s="305">
        <f t="shared" si="34"/>
        <v>15198.75</v>
      </c>
      <c r="EI14" s="305">
        <f t="shared" si="35"/>
        <v>9457</v>
      </c>
      <c r="EJ14" s="305">
        <f t="shared" si="36"/>
        <v>7092.75</v>
      </c>
      <c r="EK14" s="308" t="s">
        <v>388</v>
      </c>
      <c r="EL14" s="287"/>
      <c r="EM14" s="305">
        <f t="shared" si="37"/>
        <v>42000</v>
      </c>
      <c r="EN14" s="309">
        <f t="shared" si="38"/>
        <v>60000</v>
      </c>
      <c r="EO14" s="309">
        <f t="shared" si="39"/>
        <v>18000</v>
      </c>
      <c r="EP14" s="307" t="s">
        <v>510</v>
      </c>
      <c r="EQ14" s="305">
        <f t="shared" si="40"/>
        <v>28950</v>
      </c>
      <c r="ER14" s="309">
        <f t="shared" si="41"/>
        <v>57900</v>
      </c>
      <c r="ES14" s="309">
        <f t="shared" si="42"/>
        <v>28950</v>
      </c>
      <c r="ET14" s="307" t="s">
        <v>511</v>
      </c>
      <c r="EU14" s="287"/>
      <c r="EV14" s="310">
        <f t="shared" si="43"/>
        <v>0.86989659212702009</v>
      </c>
      <c r="EW14" s="310">
        <f t="shared" si="44"/>
        <v>0.13010340787297986</v>
      </c>
      <c r="EX14" s="311">
        <f t="shared" si="45"/>
        <v>103625.26409117965</v>
      </c>
      <c r="EY14" s="311">
        <f t="shared" si="46"/>
        <v>90143.264091179648</v>
      </c>
      <c r="EZ14" s="311">
        <f t="shared" si="47"/>
        <v>13482</v>
      </c>
      <c r="FA14" s="311">
        <f t="shared" si="48"/>
        <v>53104.421000000002</v>
      </c>
      <c r="FB14" s="311">
        <f t="shared" si="49"/>
        <v>46256.421000000002</v>
      </c>
      <c r="FC14" s="311">
        <f t="shared" si="50"/>
        <v>6848</v>
      </c>
      <c r="FD14" s="311">
        <f t="shared" si="51"/>
        <v>0</v>
      </c>
      <c r="FE14" s="311">
        <f t="shared" si="52"/>
        <v>0</v>
      </c>
      <c r="FF14" s="311">
        <f t="shared" si="53"/>
        <v>0</v>
      </c>
      <c r="FG14" s="311">
        <f t="shared" si="54"/>
        <v>12972.899876893938</v>
      </c>
      <c r="FH14" s="311">
        <f t="shared" si="55"/>
        <v>11474.899876893938</v>
      </c>
      <c r="FI14" s="311">
        <f t="shared" si="56"/>
        <v>1498</v>
      </c>
      <c r="FJ14" s="311">
        <f t="shared" si="57"/>
        <v>37547.943214285719</v>
      </c>
      <c r="FK14" s="311">
        <f t="shared" si="58"/>
        <v>32411.943214285719</v>
      </c>
      <c r="FL14" s="311">
        <f t="shared" si="59"/>
        <v>5136</v>
      </c>
      <c r="FM14" s="287"/>
      <c r="FN14" s="312" t="s">
        <v>391</v>
      </c>
      <c r="FO14" s="310">
        <v>4.2799999999999998E-2</v>
      </c>
      <c r="FP14" s="313">
        <v>0.77575000000000005</v>
      </c>
      <c r="FQ14" s="314" t="s">
        <v>512</v>
      </c>
      <c r="FR14" s="287"/>
      <c r="FS14" s="315">
        <v>3</v>
      </c>
      <c r="FT14" s="316" t="e">
        <f>RANK($FS14,$FS$16:$FS$17,0)+COUNTIF($FS$16:$FS17,$FS14)-1</f>
        <v>#N/A</v>
      </c>
      <c r="FU14" s="315">
        <v>3.57</v>
      </c>
      <c r="FV14" s="316" t="e">
        <f>RANK($FU14,$FU$16:$FU$17,0)+COUNTIF($FU$16:$FU17,$FU14)-1</f>
        <v>#N/A</v>
      </c>
      <c r="FW14" s="315">
        <v>1.98</v>
      </c>
      <c r="FX14" s="316" t="e">
        <f>RANK($FW14,$FW$16:$FW$17,0)+COUNTIF($FW$16:$FW17,$FW14)-1</f>
        <v>#N/A</v>
      </c>
      <c r="FY14" s="287"/>
      <c r="FZ14" s="289" t="s">
        <v>494</v>
      </c>
      <c r="GA14" s="289" t="s">
        <v>513</v>
      </c>
      <c r="GB14" s="289" t="s">
        <v>395</v>
      </c>
      <c r="GC14" s="289" t="s">
        <v>396</v>
      </c>
      <c r="GD14" s="289" t="s">
        <v>397</v>
      </c>
      <c r="GE14" s="289" t="s">
        <v>398</v>
      </c>
      <c r="GF14" s="289" t="str">
        <f>HYPERLINK("https://anct.gouv.fr/france-services-36","https://anct.gouv.fr/france-services-36")&amp;CHAR(10)&amp;HYPERLINK("https://www.economie.gouv.fr/particuliers/gerer-mon-argent/beneficier-daides-et-de-reductions-dimpots/france-services-les-services-publics-pres-de-chez-vous","https://www.economie.gouv.fr/particuliers/gerer-mon-argent/beneficier-daides-et-de-reductions-dimpots/france-services-les-services-publics-pres-de-chez-vous")&amp;CHAR(10)&amp;HYPERLINK("https://www.ecologie.gouv.fr/eco-energie-tertiaire-eet","https://www.ecologie.gouv.fr/eco-energie-tertiaire-eet")&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https://anct.gouv.fr/france-services-36
https://www.economie.gouv.fr/particuliers/gerer-mon-argent/beneficier-daides-et-de-reductions-dimpots/france-services-les-services-publics-pres-de-chez-vous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14" s="287"/>
      <c r="GH14" s="311">
        <f t="shared" si="60"/>
        <v>22058.264000000003</v>
      </c>
      <c r="GI14" s="311">
        <f t="shared" si="61"/>
        <v>19387.544000000002</v>
      </c>
      <c r="GJ14" s="311">
        <f t="shared" si="62"/>
        <v>2670.7200000000003</v>
      </c>
      <c r="GK14" s="311">
        <f t="shared" si="63"/>
        <v>19414.508000000005</v>
      </c>
      <c r="GL14" s="311">
        <f t="shared" si="64"/>
        <v>16743.788000000004</v>
      </c>
      <c r="GM14" s="311">
        <f t="shared" si="65"/>
        <v>2670.7200000000003</v>
      </c>
      <c r="GN14" s="311">
        <f t="shared" si="66"/>
        <v>8937.3889999999992</v>
      </c>
      <c r="GO14" s="311">
        <f t="shared" si="67"/>
        <v>7704.7489999999998</v>
      </c>
      <c r="GP14" s="311">
        <f t="shared" si="68"/>
        <v>1232.6399999999999</v>
      </c>
      <c r="GQ14" s="311">
        <f t="shared" si="69"/>
        <v>2694.26</v>
      </c>
      <c r="GR14" s="311">
        <f t="shared" si="70"/>
        <v>2420.34</v>
      </c>
      <c r="GS14" s="311">
        <f t="shared" si="71"/>
        <v>273.92</v>
      </c>
      <c r="GT14" s="311">
        <f t="shared" si="72"/>
        <v>0</v>
      </c>
      <c r="GU14" s="311">
        <f t="shared" si="73"/>
        <v>0</v>
      </c>
      <c r="GV14" s="311">
        <f t="shared" si="74"/>
        <v>0</v>
      </c>
      <c r="GW14" s="311">
        <f t="shared" si="75"/>
        <v>0</v>
      </c>
      <c r="GX14" s="311">
        <f t="shared" si="76"/>
        <v>0</v>
      </c>
      <c r="GY14" s="311">
        <f t="shared" si="77"/>
        <v>0</v>
      </c>
      <c r="GZ14" s="311">
        <f t="shared" si="78"/>
        <v>0</v>
      </c>
      <c r="HA14" s="311">
        <f t="shared" si="79"/>
        <v>0</v>
      </c>
      <c r="HB14" s="311">
        <f t="shared" si="80"/>
        <v>0</v>
      </c>
      <c r="HC14" s="311">
        <f t="shared" si="81"/>
        <v>1027.832272727273</v>
      </c>
      <c r="HD14" s="311">
        <f t="shared" si="82"/>
        <v>937.95227272727288</v>
      </c>
      <c r="HE14" s="311">
        <f t="shared" si="83"/>
        <v>89.88</v>
      </c>
      <c r="HF14" s="311">
        <f t="shared" si="84"/>
        <v>5011.5121875000004</v>
      </c>
      <c r="HG14" s="311">
        <f t="shared" si="85"/>
        <v>4337.4121875000001</v>
      </c>
      <c r="HH14" s="311">
        <f t="shared" si="86"/>
        <v>674.1</v>
      </c>
      <c r="HI14" s="311">
        <f t="shared" si="87"/>
        <v>4039.6066666666666</v>
      </c>
      <c r="HJ14" s="311">
        <f t="shared" si="88"/>
        <v>3620.1666666666665</v>
      </c>
      <c r="HK14" s="311">
        <f t="shared" si="89"/>
        <v>419.44000000000005</v>
      </c>
      <c r="HL14" s="311">
        <f t="shared" si="90"/>
        <v>2893.9487500000005</v>
      </c>
      <c r="HM14" s="311">
        <f t="shared" si="91"/>
        <v>2579.3687500000005</v>
      </c>
      <c r="HN14" s="311">
        <f t="shared" si="92"/>
        <v>314.58</v>
      </c>
      <c r="HO14" s="311">
        <f t="shared" si="93"/>
        <v>11884.623750000001</v>
      </c>
      <c r="HP14" s="311">
        <f t="shared" si="94"/>
        <v>10600.623750000001</v>
      </c>
      <c r="HQ14" s="311">
        <f t="shared" si="95"/>
        <v>1284</v>
      </c>
      <c r="HR14" s="311">
        <f t="shared" si="96"/>
        <v>17711.748214285719</v>
      </c>
      <c r="HS14" s="311">
        <f t="shared" si="97"/>
        <v>15143.748214285717</v>
      </c>
      <c r="HT14" s="311">
        <f t="shared" si="98"/>
        <v>2568</v>
      </c>
      <c r="HU14" s="311">
        <f t="shared" si="99"/>
        <v>7951.5712500000009</v>
      </c>
      <c r="HV14" s="311">
        <f t="shared" si="100"/>
        <v>6667.5712500000009</v>
      </c>
      <c r="HW14" s="311">
        <f t="shared" si="101"/>
        <v>1284</v>
      </c>
      <c r="HX14" s="74"/>
      <c r="HY14" s="317">
        <f t="shared" si="102"/>
        <v>315000</v>
      </c>
      <c r="HZ14" s="317">
        <f t="shared" si="103"/>
        <v>10602</v>
      </c>
      <c r="IA14" s="317">
        <f t="shared" si="104"/>
        <v>132665.5</v>
      </c>
      <c r="IB14" s="317">
        <f t="shared" si="105"/>
        <v>152374</v>
      </c>
      <c r="IC14" s="317">
        <f t="shared" si="106"/>
        <v>19358.5</v>
      </c>
      <c r="ID14" s="317">
        <f t="shared" si="107"/>
        <v>0</v>
      </c>
      <c r="IE14" s="317">
        <f t="shared" si="108"/>
        <v>90143.264091179663</v>
      </c>
      <c r="IF14" s="317">
        <f t="shared" si="109"/>
        <v>1154.0768633926677</v>
      </c>
      <c r="IG14" s="317">
        <f t="shared" si="110"/>
        <v>35814.349695292942</v>
      </c>
      <c r="IH14" s="317">
        <f t="shared" si="111"/>
        <v>45345.057731807145</v>
      </c>
      <c r="II14" s="317">
        <f t="shared" si="112"/>
        <v>7413.0270815337399</v>
      </c>
      <c r="IJ14" s="317">
        <f t="shared" si="113"/>
        <v>416.75271915316557</v>
      </c>
      <c r="IK14" s="318">
        <v>4.13</v>
      </c>
      <c r="IL14" s="319" t="s">
        <v>350</v>
      </c>
      <c r="IM14" s="320" t="s">
        <v>514</v>
      </c>
      <c r="IN14" s="287"/>
      <c r="IO14" s="321">
        <v>0.03</v>
      </c>
      <c r="IP14" s="321">
        <v>0.4</v>
      </c>
      <c r="IQ14" s="321">
        <v>0.5</v>
      </c>
      <c r="IR14" s="321">
        <v>7.0000000000000007E-2</v>
      </c>
      <c r="IS14" s="321">
        <v>0</v>
      </c>
      <c r="IT14" s="321">
        <v>8.8000000000000005E-3</v>
      </c>
      <c r="IU14" s="321">
        <v>0.37419999999999998</v>
      </c>
      <c r="IV14" s="321">
        <v>0.5212</v>
      </c>
      <c r="IW14" s="321">
        <v>9.1200000000000003E-2</v>
      </c>
      <c r="IX14" s="321">
        <v>4.5999999999999999E-3</v>
      </c>
      <c r="IY14" s="321">
        <v>0</v>
      </c>
      <c r="IZ14" s="321">
        <v>0</v>
      </c>
      <c r="JA14" s="321">
        <v>0</v>
      </c>
      <c r="JB14" s="321">
        <v>0</v>
      </c>
      <c r="JC14" s="321">
        <v>0</v>
      </c>
      <c r="JD14" s="321">
        <v>0</v>
      </c>
      <c r="JE14" s="321">
        <v>0</v>
      </c>
      <c r="JF14" s="321">
        <v>0</v>
      </c>
      <c r="JG14" s="321">
        <v>0</v>
      </c>
      <c r="JH14" s="321">
        <v>0</v>
      </c>
      <c r="JI14" s="321">
        <v>5.3999999999999999E-2</v>
      </c>
      <c r="JJ14" s="321">
        <v>0.53969999999999996</v>
      </c>
      <c r="JK14" s="321">
        <v>0.37480000000000002</v>
      </c>
      <c r="JL14" s="321">
        <v>3.15E-2</v>
      </c>
      <c r="JM14" s="321">
        <v>0</v>
      </c>
      <c r="JN14" s="321">
        <v>3.2899999999999999E-2</v>
      </c>
      <c r="JO14" s="321">
        <v>0.51390000000000002</v>
      </c>
      <c r="JP14" s="321">
        <v>0.39600000000000002</v>
      </c>
      <c r="JQ14" s="321">
        <v>5.2699999999999997E-2</v>
      </c>
      <c r="JR14" s="321">
        <v>4.4999999999999997E-3</v>
      </c>
      <c r="JS14" s="321">
        <v>3.2599999999999997E-2</v>
      </c>
      <c r="JT14" s="321">
        <v>0.4148</v>
      </c>
      <c r="JU14" s="321">
        <v>0.49380000000000002</v>
      </c>
      <c r="JV14" s="321">
        <v>5.8799999999999998E-2</v>
      </c>
      <c r="JW14" s="321">
        <v>0</v>
      </c>
      <c r="JX14" s="321">
        <v>1.14E-2</v>
      </c>
      <c r="JY14" s="321">
        <v>0.38900000000000001</v>
      </c>
      <c r="JZ14" s="321">
        <v>0.51500000000000001</v>
      </c>
      <c r="KA14" s="321">
        <v>7.9899999999999999E-2</v>
      </c>
      <c r="KB14" s="321">
        <v>4.7000000000000002E-3</v>
      </c>
      <c r="KC14" s="287"/>
      <c r="KD14" s="319" t="s">
        <v>351</v>
      </c>
      <c r="KE14" s="319" t="s">
        <v>351</v>
      </c>
      <c r="KF14" s="318">
        <v>4.16</v>
      </c>
      <c r="KG14" s="319" t="s">
        <v>350</v>
      </c>
      <c r="KH14" s="322" t="s">
        <v>497</v>
      </c>
      <c r="KI14" s="319" t="s">
        <v>401</v>
      </c>
      <c r="KJ14" s="322" t="s">
        <v>515</v>
      </c>
    </row>
    <row r="15" spans="1:327" s="42" customFormat="1" ht="48" customHeight="1" x14ac:dyDescent="0.25">
      <c r="A15" s="381">
        <f t="shared" si="114"/>
        <v>7</v>
      </c>
      <c r="B15" s="324" t="s">
        <v>476</v>
      </c>
      <c r="C15" s="324" t="s">
        <v>19</v>
      </c>
      <c r="D15" s="325" t="s">
        <v>26</v>
      </c>
      <c r="E15" s="326" t="s">
        <v>477</v>
      </c>
      <c r="F15" s="326" t="s">
        <v>516</v>
      </c>
      <c r="G15" s="326" t="s">
        <v>478</v>
      </c>
      <c r="H15" s="326" t="s">
        <v>371</v>
      </c>
      <c r="I15" s="327" t="s">
        <v>479</v>
      </c>
      <c r="J15" s="327" t="s">
        <v>27</v>
      </c>
      <c r="K15" s="328" t="s">
        <v>368</v>
      </c>
      <c r="L15" s="328" t="s">
        <v>371</v>
      </c>
      <c r="M15" s="328" t="s">
        <v>517</v>
      </c>
      <c r="N15" s="328" t="s">
        <v>518</v>
      </c>
      <c r="O15" s="326" t="s">
        <v>519</v>
      </c>
      <c r="P15" s="327"/>
      <c r="Q15" s="284">
        <v>1</v>
      </c>
      <c r="R15" s="329">
        <v>3800</v>
      </c>
      <c r="S15" s="330">
        <v>128</v>
      </c>
      <c r="T15" s="330">
        <v>131</v>
      </c>
      <c r="U15" s="330">
        <v>134</v>
      </c>
      <c r="V15" s="330">
        <v>136</v>
      </c>
      <c r="W15" s="330">
        <v>131</v>
      </c>
      <c r="X15" s="330">
        <v>129</v>
      </c>
      <c r="Y15" s="330">
        <v>127</v>
      </c>
      <c r="Z15" s="330">
        <v>126</v>
      </c>
      <c r="AA15" s="330">
        <v>125</v>
      </c>
      <c r="AB15" s="330">
        <v>124</v>
      </c>
      <c r="AC15" s="330">
        <v>123</v>
      </c>
      <c r="AD15" s="330">
        <v>122</v>
      </c>
      <c r="AE15" s="330">
        <v>122</v>
      </c>
      <c r="AF15" s="330">
        <v>121</v>
      </c>
      <c r="AG15" s="330">
        <v>121</v>
      </c>
      <c r="AH15" s="330">
        <v>120</v>
      </c>
      <c r="AI15" s="330">
        <v>120</v>
      </c>
      <c r="AJ15" s="330">
        <v>119</v>
      </c>
      <c r="AK15" s="330">
        <v>119</v>
      </c>
      <c r="AL15" s="327" t="s">
        <v>520</v>
      </c>
      <c r="AM15" s="327" t="s">
        <v>521</v>
      </c>
      <c r="AN15" s="327" t="s">
        <v>522</v>
      </c>
      <c r="AO15" s="287"/>
      <c r="AP15" s="329">
        <v>350</v>
      </c>
      <c r="AQ15" s="331">
        <v>240</v>
      </c>
      <c r="AR15" s="331">
        <v>85</v>
      </c>
      <c r="AS15" s="331">
        <v>25</v>
      </c>
      <c r="AT15" s="287"/>
      <c r="AU15" s="332" t="s">
        <v>523</v>
      </c>
      <c r="AV15" s="333" t="s">
        <v>524</v>
      </c>
      <c r="AW15" s="334" t="s">
        <v>525</v>
      </c>
      <c r="AX15" s="335" t="s">
        <v>381</v>
      </c>
      <c r="AY15" s="287"/>
      <c r="AZ15" s="336">
        <v>25</v>
      </c>
      <c r="BA15" s="336">
        <v>0</v>
      </c>
      <c r="BB15" s="336">
        <v>6</v>
      </c>
      <c r="BC15" s="336">
        <v>20</v>
      </c>
      <c r="BD15" s="337">
        <f t="shared" si="5"/>
        <v>6171</v>
      </c>
      <c r="BE15" s="338">
        <f t="shared" si="6"/>
        <v>3025</v>
      </c>
      <c r="BF15" s="338">
        <f t="shared" si="7"/>
        <v>0</v>
      </c>
      <c r="BG15" s="338">
        <f t="shared" si="8"/>
        <v>726</v>
      </c>
      <c r="BH15" s="338">
        <f t="shared" si="9"/>
        <v>2420</v>
      </c>
      <c r="BI15" s="337">
        <f t="shared" si="10"/>
        <v>6069</v>
      </c>
      <c r="BJ15" s="338">
        <f t="shared" si="11"/>
        <v>2975</v>
      </c>
      <c r="BK15" s="338">
        <f t="shared" si="12"/>
        <v>0</v>
      </c>
      <c r="BL15" s="338">
        <f t="shared" si="13"/>
        <v>714</v>
      </c>
      <c r="BM15" s="338">
        <f t="shared" si="14"/>
        <v>2380</v>
      </c>
      <c r="BN15" s="287"/>
      <c r="BO15" s="339">
        <v>0.36</v>
      </c>
      <c r="BP15" s="339">
        <v>0.42</v>
      </c>
      <c r="BQ15" s="339">
        <v>0.18</v>
      </c>
      <c r="BR15" s="196">
        <v>0.04</v>
      </c>
      <c r="BS15" s="340">
        <v>0.32</v>
      </c>
      <c r="BT15" s="339">
        <v>0.41</v>
      </c>
      <c r="BU15" s="339">
        <v>0.24</v>
      </c>
      <c r="BV15" s="196">
        <v>0.03</v>
      </c>
      <c r="BW15" s="341"/>
      <c r="BX15" s="342"/>
      <c r="BY15" s="198"/>
      <c r="BZ15" s="341"/>
      <c r="CA15" s="342"/>
      <c r="CB15" s="198"/>
      <c r="CC15" s="339">
        <v>0.12</v>
      </c>
      <c r="CD15" s="339">
        <v>0.5</v>
      </c>
      <c r="CE15" s="339">
        <v>0.15</v>
      </c>
      <c r="CF15" s="196">
        <v>0.23</v>
      </c>
      <c r="CG15" s="340">
        <v>0.1</v>
      </c>
      <c r="CH15" s="339">
        <v>0.5</v>
      </c>
      <c r="CI15" s="339">
        <v>0.18</v>
      </c>
      <c r="CJ15" s="196">
        <v>0.22</v>
      </c>
      <c r="CK15" s="343">
        <v>0.55000000000000004</v>
      </c>
      <c r="CL15" s="344">
        <v>0.3</v>
      </c>
      <c r="CM15" s="200">
        <v>0.15</v>
      </c>
      <c r="CN15" s="343">
        <v>0.47</v>
      </c>
      <c r="CO15" s="344">
        <v>0.33</v>
      </c>
      <c r="CP15" s="200">
        <v>0.2</v>
      </c>
      <c r="CQ15" s="287"/>
      <c r="CR15" s="345">
        <v>13</v>
      </c>
      <c r="CS15" s="346">
        <v>14</v>
      </c>
      <c r="CT15" s="346">
        <v>10</v>
      </c>
      <c r="CU15" s="347">
        <v>12</v>
      </c>
      <c r="CV15" s="345"/>
      <c r="CW15" s="346"/>
      <c r="CX15" s="347"/>
      <c r="CY15" s="345">
        <v>11</v>
      </c>
      <c r="CZ15" s="346">
        <v>13</v>
      </c>
      <c r="DA15" s="346">
        <v>9</v>
      </c>
      <c r="DB15" s="347">
        <v>11</v>
      </c>
      <c r="DC15" s="345">
        <v>14</v>
      </c>
      <c r="DD15" s="346">
        <v>14</v>
      </c>
      <c r="DE15" s="347">
        <v>10</v>
      </c>
      <c r="DF15" s="348" t="s">
        <v>526</v>
      </c>
      <c r="DG15" s="287"/>
      <c r="DH15" s="349">
        <f t="shared" si="15"/>
        <v>1089</v>
      </c>
      <c r="DI15" s="349">
        <f t="shared" si="16"/>
        <v>1270.5</v>
      </c>
      <c r="DJ15" s="349">
        <f t="shared" si="17"/>
        <v>544.5</v>
      </c>
      <c r="DK15" s="349">
        <f t="shared" si="18"/>
        <v>121</v>
      </c>
      <c r="DL15" s="350" t="s">
        <v>527</v>
      </c>
      <c r="DM15" s="349">
        <f t="shared" si="19"/>
        <v>952</v>
      </c>
      <c r="DN15" s="349">
        <f t="shared" si="20"/>
        <v>1219.75</v>
      </c>
      <c r="DO15" s="349">
        <f t="shared" si="21"/>
        <v>714</v>
      </c>
      <c r="DP15" s="349">
        <f t="shared" si="22"/>
        <v>89.25</v>
      </c>
      <c r="DQ15" s="351" t="s">
        <v>384</v>
      </c>
      <c r="DR15" s="287"/>
      <c r="DS15" s="349">
        <f t="shared" si="23"/>
        <v>0</v>
      </c>
      <c r="DT15" s="349">
        <f t="shared" si="24"/>
        <v>0</v>
      </c>
      <c r="DU15" s="349">
        <f t="shared" si="25"/>
        <v>0</v>
      </c>
      <c r="DV15" s="351" t="s">
        <v>490</v>
      </c>
      <c r="DW15" s="349">
        <f t="shared" si="26"/>
        <v>0</v>
      </c>
      <c r="DX15" s="349">
        <f t="shared" si="27"/>
        <v>0</v>
      </c>
      <c r="DY15" s="349">
        <f t="shared" si="28"/>
        <v>0</v>
      </c>
      <c r="DZ15" s="351" t="s">
        <v>490</v>
      </c>
      <c r="EA15" s="287"/>
      <c r="EB15" s="349">
        <f t="shared" si="29"/>
        <v>87.11999999999999</v>
      </c>
      <c r="EC15" s="349">
        <f t="shared" si="30"/>
        <v>363</v>
      </c>
      <c r="ED15" s="349">
        <f t="shared" si="31"/>
        <v>108.89999999999999</v>
      </c>
      <c r="EE15" s="349">
        <f t="shared" si="32"/>
        <v>166.98000000000002</v>
      </c>
      <c r="EF15" s="351" t="s">
        <v>528</v>
      </c>
      <c r="EG15" s="349">
        <f t="shared" si="33"/>
        <v>71.400000000000006</v>
      </c>
      <c r="EH15" s="349">
        <f t="shared" si="34"/>
        <v>357</v>
      </c>
      <c r="EI15" s="349">
        <f t="shared" si="35"/>
        <v>128.51999999999998</v>
      </c>
      <c r="EJ15" s="349">
        <f t="shared" si="36"/>
        <v>157.08000000000001</v>
      </c>
      <c r="EK15" s="351" t="s">
        <v>388</v>
      </c>
      <c r="EL15" s="287"/>
      <c r="EM15" s="349">
        <f t="shared" si="37"/>
        <v>1331</v>
      </c>
      <c r="EN15" s="352">
        <f t="shared" si="38"/>
        <v>726</v>
      </c>
      <c r="EO15" s="352">
        <f t="shared" si="39"/>
        <v>363</v>
      </c>
      <c r="EP15" s="351" t="s">
        <v>529</v>
      </c>
      <c r="EQ15" s="349">
        <f t="shared" si="40"/>
        <v>1118.5999999999999</v>
      </c>
      <c r="ER15" s="352">
        <f t="shared" si="41"/>
        <v>785.40000000000009</v>
      </c>
      <c r="ES15" s="352">
        <f t="shared" si="42"/>
        <v>476</v>
      </c>
      <c r="ET15" s="351" t="s">
        <v>390</v>
      </c>
      <c r="EU15" s="287"/>
      <c r="EV15" s="353">
        <f t="shared" si="43"/>
        <v>0.88583636521660647</v>
      </c>
      <c r="EW15" s="353">
        <f t="shared" si="44"/>
        <v>0.11416363478339339</v>
      </c>
      <c r="EX15" s="354">
        <f t="shared" si="45"/>
        <v>2313.5107821428574</v>
      </c>
      <c r="EY15" s="354">
        <f t="shared" si="46"/>
        <v>2049.3919821428572</v>
      </c>
      <c r="EZ15" s="354">
        <f t="shared" si="47"/>
        <v>264.11879999999996</v>
      </c>
      <c r="FA15" s="354">
        <f t="shared" si="48"/>
        <v>1138.41374</v>
      </c>
      <c r="FB15" s="354">
        <f t="shared" si="49"/>
        <v>1008.94374</v>
      </c>
      <c r="FC15" s="354">
        <f t="shared" si="50"/>
        <v>129.47</v>
      </c>
      <c r="FD15" s="354">
        <f t="shared" si="51"/>
        <v>0</v>
      </c>
      <c r="FE15" s="354">
        <f t="shared" si="52"/>
        <v>0</v>
      </c>
      <c r="FF15" s="354">
        <f t="shared" si="53"/>
        <v>0</v>
      </c>
      <c r="FG15" s="354">
        <f t="shared" si="54"/>
        <v>294.46244999999999</v>
      </c>
      <c r="FH15" s="354">
        <f t="shared" si="55"/>
        <v>263.38965000000002</v>
      </c>
      <c r="FI15" s="354">
        <f t="shared" si="56"/>
        <v>31.072799999999997</v>
      </c>
      <c r="FJ15" s="354">
        <f t="shared" si="57"/>
        <v>880.63459214285717</v>
      </c>
      <c r="FK15" s="354">
        <f t="shared" si="58"/>
        <v>777.05859214285715</v>
      </c>
      <c r="FL15" s="354">
        <f t="shared" si="59"/>
        <v>103.57599999999999</v>
      </c>
      <c r="FM15" s="355"/>
      <c r="FN15" s="356" t="s">
        <v>391</v>
      </c>
      <c r="FO15" s="353">
        <v>4.2799999999999998E-2</v>
      </c>
      <c r="FP15" s="357">
        <v>0.77415</v>
      </c>
      <c r="FQ15" s="358" t="s">
        <v>493</v>
      </c>
      <c r="FR15" s="355"/>
      <c r="FS15" s="359">
        <v>3.06</v>
      </c>
      <c r="FT15" s="360">
        <f>RANK($FS15,$FS$16:$FS$17,0)+COUNTIF($FS$16:$FS17,$FS15)-1</f>
        <v>2</v>
      </c>
      <c r="FU15" s="359">
        <v>3.57</v>
      </c>
      <c r="FV15" s="360" t="e">
        <f>RANK($FU15,$FU$16:$FU$17,0)+COUNTIF($FU$16:$FU17,$FU15)-1</f>
        <v>#N/A</v>
      </c>
      <c r="FW15" s="359">
        <v>2.14</v>
      </c>
      <c r="FX15" s="360" t="e">
        <f>RANK($FW15,$FW$16:$FW$17,0)+COUNTIF($FW$16:$FW17,$FW15)-1</f>
        <v>#N/A</v>
      </c>
      <c r="FY15" s="355"/>
      <c r="FZ15" s="361" t="s">
        <v>494</v>
      </c>
      <c r="GA15" s="361" t="s">
        <v>530</v>
      </c>
      <c r="GB15" s="361" t="s">
        <v>395</v>
      </c>
      <c r="GC15" s="361" t="s">
        <v>396</v>
      </c>
      <c r="GD15" s="361" t="s">
        <v>397</v>
      </c>
      <c r="GE15" s="361" t="s">
        <v>398</v>
      </c>
      <c r="GF15" s="361" t="str">
        <f>HYPERLINK("https://anct.gouv.fr/france-services-36","https://anct.gouv.fr/france-services-36")&amp;CHAR(10)&amp;HYPERLINK("https://www.economie.gouv.fr/particuliers/gerer-mon-argent/beneficier-daides-et-de-reductions-dimpots/france-services-les-services-publics-pres-de-chez-vous","https://www.economie.gouv.fr/particuliers/gerer-mon-argent/beneficier-daides-et-de-reductions-dimpots/france-services-les-services-publics-pres-de-chez-vous")&amp;CHAR(10)&amp;HYPERLINK("https://www.ecologie.gouv.fr/eco-energie-tertiaire-eet","https://www.ecologie.gouv.fr/eco-energie-tertiaire-eet")&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https://anct.gouv.fr/france-services-36
https://www.economie.gouv.fr/particuliers/gerer-mon-argent/beneficier-daides-et-de-reductions-dimpots/france-services-les-services-publics-pres-de-chez-vous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15" s="355"/>
      <c r="GH15" s="354">
        <f t="shared" si="60"/>
        <v>397.30120000000005</v>
      </c>
      <c r="GI15" s="354">
        <f t="shared" si="61"/>
        <v>355.87080000000003</v>
      </c>
      <c r="GJ15" s="354">
        <f t="shared" si="62"/>
        <v>41.430399999999999</v>
      </c>
      <c r="GK15" s="354">
        <f t="shared" si="63"/>
        <v>441.51246250000003</v>
      </c>
      <c r="GL15" s="354">
        <f t="shared" si="64"/>
        <v>388.42976250000004</v>
      </c>
      <c r="GM15" s="354">
        <f t="shared" si="65"/>
        <v>53.082699999999996</v>
      </c>
      <c r="GN15" s="354">
        <f t="shared" si="66"/>
        <v>253.331265</v>
      </c>
      <c r="GO15" s="354">
        <f t="shared" si="67"/>
        <v>222.258465</v>
      </c>
      <c r="GP15" s="354">
        <f t="shared" si="68"/>
        <v>31.072799999999997</v>
      </c>
      <c r="GQ15" s="354">
        <f t="shared" si="69"/>
        <v>46.268812499999996</v>
      </c>
      <c r="GR15" s="354">
        <f t="shared" si="70"/>
        <v>42.384712499999999</v>
      </c>
      <c r="GS15" s="354">
        <f t="shared" si="71"/>
        <v>3.8840999999999997</v>
      </c>
      <c r="GT15" s="354">
        <f t="shared" si="72"/>
        <v>0</v>
      </c>
      <c r="GU15" s="354">
        <f t="shared" si="73"/>
        <v>0</v>
      </c>
      <c r="GV15" s="354">
        <f t="shared" si="74"/>
        <v>0</v>
      </c>
      <c r="GW15" s="354">
        <f t="shared" si="75"/>
        <v>0</v>
      </c>
      <c r="GX15" s="354">
        <f t="shared" si="76"/>
        <v>0</v>
      </c>
      <c r="GY15" s="354">
        <f t="shared" si="77"/>
        <v>0</v>
      </c>
      <c r="GZ15" s="354">
        <f t="shared" si="78"/>
        <v>0</v>
      </c>
      <c r="HA15" s="354">
        <f t="shared" si="79"/>
        <v>0</v>
      </c>
      <c r="HB15" s="354">
        <f t="shared" si="80"/>
        <v>0</v>
      </c>
      <c r="HC15" s="354">
        <f t="shared" si="81"/>
        <v>35.993172000000001</v>
      </c>
      <c r="HD15" s="354">
        <f t="shared" si="82"/>
        <v>32.885891999999998</v>
      </c>
      <c r="HE15" s="354">
        <f t="shared" si="83"/>
        <v>3.1072799999999998</v>
      </c>
      <c r="HF15" s="354">
        <f t="shared" si="84"/>
        <v>134.16</v>
      </c>
      <c r="HG15" s="354">
        <f t="shared" si="85"/>
        <v>118.6236</v>
      </c>
      <c r="HH15" s="354">
        <f t="shared" si="86"/>
        <v>15.536399999999999</v>
      </c>
      <c r="HI15" s="354">
        <f t="shared" si="87"/>
        <v>54.441969</v>
      </c>
      <c r="HJ15" s="354">
        <f t="shared" si="88"/>
        <v>48.848865000000004</v>
      </c>
      <c r="HK15" s="354">
        <f t="shared" si="89"/>
        <v>5.5931039999999994</v>
      </c>
      <c r="HL15" s="354">
        <f t="shared" si="90"/>
        <v>69.867309000000006</v>
      </c>
      <c r="HM15" s="354">
        <f t="shared" si="91"/>
        <v>63.031293000000012</v>
      </c>
      <c r="HN15" s="354">
        <f t="shared" si="92"/>
        <v>6.8360159999999999</v>
      </c>
      <c r="HO15" s="354">
        <f t="shared" si="93"/>
        <v>455.60713785714285</v>
      </c>
      <c r="HP15" s="354">
        <f t="shared" si="94"/>
        <v>406.92641785714284</v>
      </c>
      <c r="HQ15" s="354">
        <f t="shared" si="95"/>
        <v>48.680719999999994</v>
      </c>
      <c r="HR15" s="354">
        <f t="shared" si="96"/>
        <v>256.13994428571431</v>
      </c>
      <c r="HS15" s="354">
        <f t="shared" si="97"/>
        <v>221.9598642857143</v>
      </c>
      <c r="HT15" s="354">
        <f t="shared" si="98"/>
        <v>34.180079999999997</v>
      </c>
      <c r="HU15" s="354">
        <f t="shared" si="99"/>
        <v>168.88751000000002</v>
      </c>
      <c r="HV15" s="354">
        <f t="shared" si="100"/>
        <v>148.17231000000001</v>
      </c>
      <c r="HW15" s="354">
        <f t="shared" si="101"/>
        <v>20.715199999999999</v>
      </c>
      <c r="HX15" s="362"/>
      <c r="HY15" s="363">
        <f t="shared" si="102"/>
        <v>6171.0000000000009</v>
      </c>
      <c r="HZ15" s="363">
        <f t="shared" si="103"/>
        <v>208.846</v>
      </c>
      <c r="IA15" s="363">
        <f t="shared" si="104"/>
        <v>2605.6382000000003</v>
      </c>
      <c r="IB15" s="363">
        <f t="shared" si="105"/>
        <v>2979.6008000000002</v>
      </c>
      <c r="IC15" s="363">
        <f t="shared" si="106"/>
        <v>376.91500000000002</v>
      </c>
      <c r="ID15" s="363">
        <f t="shared" si="107"/>
        <v>0</v>
      </c>
      <c r="IE15" s="363">
        <f t="shared" si="108"/>
        <v>2049.3919821428572</v>
      </c>
      <c r="IF15" s="363">
        <f t="shared" si="109"/>
        <v>28.247145131357144</v>
      </c>
      <c r="IG15" s="363">
        <f t="shared" si="110"/>
        <v>817.43281216692856</v>
      </c>
      <c r="IH15" s="363">
        <f t="shared" si="111"/>
        <v>1028.403606483643</v>
      </c>
      <c r="II15" s="363">
        <f t="shared" si="112"/>
        <v>166.13883237128573</v>
      </c>
      <c r="IJ15" s="363">
        <f t="shared" si="113"/>
        <v>9.169585989642858</v>
      </c>
      <c r="IK15" s="364">
        <v>4.13</v>
      </c>
      <c r="IL15" s="365" t="s">
        <v>350</v>
      </c>
      <c r="IM15" s="366" t="s">
        <v>531</v>
      </c>
      <c r="IN15" s="355"/>
      <c r="IO15" s="367">
        <v>0.03</v>
      </c>
      <c r="IP15" s="367">
        <v>0.4</v>
      </c>
      <c r="IQ15" s="367">
        <v>0.5</v>
      </c>
      <c r="IR15" s="367">
        <v>7.0000000000000007E-2</v>
      </c>
      <c r="IS15" s="367">
        <v>0</v>
      </c>
      <c r="IT15" s="367">
        <v>9.7000000000000003E-3</v>
      </c>
      <c r="IU15" s="367">
        <v>0.37530000000000002</v>
      </c>
      <c r="IV15" s="367">
        <v>0.5202</v>
      </c>
      <c r="IW15" s="367">
        <v>9.0300000000000005E-2</v>
      </c>
      <c r="IX15" s="367">
        <v>4.4999999999999997E-3</v>
      </c>
      <c r="IY15" s="367">
        <v>0</v>
      </c>
      <c r="IZ15" s="367">
        <v>0</v>
      </c>
      <c r="JA15" s="367">
        <v>0</v>
      </c>
      <c r="JB15" s="367">
        <v>0</v>
      </c>
      <c r="JC15" s="367">
        <v>0</v>
      </c>
      <c r="JD15" s="367">
        <v>0</v>
      </c>
      <c r="JE15" s="367">
        <v>0</v>
      </c>
      <c r="JF15" s="367">
        <v>0</v>
      </c>
      <c r="JG15" s="367">
        <v>0</v>
      </c>
      <c r="JH15" s="367">
        <v>0</v>
      </c>
      <c r="JI15" s="367">
        <v>5.3999999999999999E-2</v>
      </c>
      <c r="JJ15" s="367">
        <v>0.53969999999999996</v>
      </c>
      <c r="JK15" s="367">
        <v>0.37480000000000002</v>
      </c>
      <c r="JL15" s="367">
        <v>3.15E-2</v>
      </c>
      <c r="JM15" s="367">
        <v>0</v>
      </c>
      <c r="JN15" s="367">
        <v>3.3799999999999997E-2</v>
      </c>
      <c r="JO15" s="367">
        <v>0.51500000000000001</v>
      </c>
      <c r="JP15" s="367">
        <v>0.39510000000000001</v>
      </c>
      <c r="JQ15" s="367">
        <v>5.1799999999999999E-2</v>
      </c>
      <c r="JR15" s="367">
        <v>4.3E-3</v>
      </c>
      <c r="JS15" s="367">
        <v>3.2599999999999997E-2</v>
      </c>
      <c r="JT15" s="367">
        <v>0.4148</v>
      </c>
      <c r="JU15" s="367">
        <v>0.49380000000000002</v>
      </c>
      <c r="JV15" s="367">
        <v>5.8799999999999998E-2</v>
      </c>
      <c r="JW15" s="367">
        <v>0</v>
      </c>
      <c r="JX15" s="367">
        <v>1.23E-2</v>
      </c>
      <c r="JY15" s="367">
        <v>0.3901</v>
      </c>
      <c r="JZ15" s="367">
        <v>0.5141</v>
      </c>
      <c r="KA15" s="367">
        <v>7.9000000000000001E-2</v>
      </c>
      <c r="KB15" s="367">
        <v>4.4999999999999997E-3</v>
      </c>
      <c r="KC15" s="287"/>
      <c r="KD15" s="368" t="s">
        <v>351</v>
      </c>
      <c r="KE15" s="368" t="s">
        <v>351</v>
      </c>
      <c r="KF15" s="369">
        <v>4.16</v>
      </c>
      <c r="KG15" s="368" t="s">
        <v>350</v>
      </c>
      <c r="KH15" s="370" t="s">
        <v>497</v>
      </c>
      <c r="KI15" s="368" t="s">
        <v>401</v>
      </c>
      <c r="KJ15" s="370" t="s">
        <v>532</v>
      </c>
    </row>
    <row r="16" spans="1:327" s="42" customFormat="1" ht="48" customHeight="1" x14ac:dyDescent="0.25">
      <c r="A16" s="381">
        <f t="shared" si="114"/>
        <v>8</v>
      </c>
      <c r="B16" s="324" t="s">
        <v>533</v>
      </c>
      <c r="C16" s="324" t="s">
        <v>31</v>
      </c>
      <c r="D16" s="325" t="s">
        <v>98</v>
      </c>
      <c r="E16" s="326" t="s">
        <v>534</v>
      </c>
      <c r="F16" s="326" t="s">
        <v>478</v>
      </c>
      <c r="G16" s="326" t="s">
        <v>478</v>
      </c>
      <c r="H16" s="326" t="s">
        <v>371</v>
      </c>
      <c r="I16" s="327" t="s">
        <v>535</v>
      </c>
      <c r="J16" s="327" t="s">
        <v>33</v>
      </c>
      <c r="K16" s="328" t="s">
        <v>368</v>
      </c>
      <c r="L16" s="328" t="s">
        <v>371</v>
      </c>
      <c r="M16" s="328" t="s">
        <v>372</v>
      </c>
      <c r="N16" s="328" t="s">
        <v>536</v>
      </c>
      <c r="O16" s="326" t="s">
        <v>374</v>
      </c>
      <c r="P16" s="327"/>
      <c r="Q16" s="284">
        <v>1</v>
      </c>
      <c r="R16" s="329">
        <v>35000</v>
      </c>
      <c r="S16" s="330">
        <v>680</v>
      </c>
      <c r="T16" s="330">
        <v>730</v>
      </c>
      <c r="U16" s="330">
        <v>780</v>
      </c>
      <c r="V16" s="330">
        <v>805</v>
      </c>
      <c r="W16" s="330">
        <v>810</v>
      </c>
      <c r="X16" s="330">
        <v>815</v>
      </c>
      <c r="Y16" s="330">
        <v>820</v>
      </c>
      <c r="Z16" s="330">
        <v>825</v>
      </c>
      <c r="AA16" s="330">
        <v>820</v>
      </c>
      <c r="AB16" s="330">
        <v>820</v>
      </c>
      <c r="AC16" s="330">
        <v>825</v>
      </c>
      <c r="AD16" s="330">
        <v>828</v>
      </c>
      <c r="AE16" s="330">
        <v>830</v>
      </c>
      <c r="AF16" s="330">
        <v>832</v>
      </c>
      <c r="AG16" s="330">
        <v>834</v>
      </c>
      <c r="AH16" s="330">
        <v>836</v>
      </c>
      <c r="AI16" s="330">
        <v>838</v>
      </c>
      <c r="AJ16" s="330">
        <v>840</v>
      </c>
      <c r="AK16" s="330">
        <v>845</v>
      </c>
      <c r="AL16" s="327" t="s">
        <v>537</v>
      </c>
      <c r="AM16" s="327" t="s">
        <v>538</v>
      </c>
      <c r="AN16" s="327" t="s">
        <v>539</v>
      </c>
      <c r="AO16" s="287"/>
      <c r="AP16" s="329">
        <v>3500</v>
      </c>
      <c r="AQ16" s="331">
        <v>2870</v>
      </c>
      <c r="AR16" s="331">
        <v>450</v>
      </c>
      <c r="AS16" s="331">
        <v>180</v>
      </c>
      <c r="AT16" s="287"/>
      <c r="AU16" s="332" t="s">
        <v>540</v>
      </c>
      <c r="AV16" s="333" t="s">
        <v>541</v>
      </c>
      <c r="AW16" s="334" t="s">
        <v>542</v>
      </c>
      <c r="AX16" s="335" t="s">
        <v>381</v>
      </c>
      <c r="AY16" s="287"/>
      <c r="AZ16" s="336">
        <v>80</v>
      </c>
      <c r="BA16" s="336">
        <v>4</v>
      </c>
      <c r="BB16" s="336">
        <v>18</v>
      </c>
      <c r="BC16" s="336">
        <v>75</v>
      </c>
      <c r="BD16" s="337">
        <f t="shared" si="5"/>
        <v>147264</v>
      </c>
      <c r="BE16" s="338">
        <f t="shared" si="6"/>
        <v>66560</v>
      </c>
      <c r="BF16" s="338">
        <f t="shared" si="7"/>
        <v>3328</v>
      </c>
      <c r="BG16" s="338">
        <f t="shared" si="8"/>
        <v>14976</v>
      </c>
      <c r="BH16" s="338">
        <f t="shared" si="9"/>
        <v>62400</v>
      </c>
      <c r="BI16" s="337">
        <f t="shared" si="10"/>
        <v>149565</v>
      </c>
      <c r="BJ16" s="338">
        <f t="shared" si="11"/>
        <v>67600</v>
      </c>
      <c r="BK16" s="338">
        <f t="shared" si="12"/>
        <v>3380</v>
      </c>
      <c r="BL16" s="338">
        <f t="shared" si="13"/>
        <v>15210</v>
      </c>
      <c r="BM16" s="338">
        <f t="shared" si="14"/>
        <v>63375</v>
      </c>
      <c r="BN16" s="287"/>
      <c r="BO16" s="339">
        <v>0.3</v>
      </c>
      <c r="BP16" s="339">
        <v>0.45</v>
      </c>
      <c r="BQ16" s="339">
        <v>0.2</v>
      </c>
      <c r="BR16" s="196">
        <v>0.05</v>
      </c>
      <c r="BS16" s="340">
        <v>0.26</v>
      </c>
      <c r="BT16" s="339">
        <v>0.44</v>
      </c>
      <c r="BU16" s="339">
        <v>0.26</v>
      </c>
      <c r="BV16" s="196">
        <v>0.04</v>
      </c>
      <c r="BW16" s="341">
        <v>0.45</v>
      </c>
      <c r="BX16" s="342">
        <v>0.45</v>
      </c>
      <c r="BY16" s="198">
        <v>0.1</v>
      </c>
      <c r="BZ16" s="341">
        <v>0.4</v>
      </c>
      <c r="CA16" s="342">
        <v>0.47</v>
      </c>
      <c r="CB16" s="198">
        <v>0.13</v>
      </c>
      <c r="CC16" s="339">
        <v>0.1</v>
      </c>
      <c r="CD16" s="339">
        <v>0.55000000000000004</v>
      </c>
      <c r="CE16" s="339">
        <v>0.1</v>
      </c>
      <c r="CF16" s="196">
        <v>0.25</v>
      </c>
      <c r="CG16" s="340">
        <v>0.08</v>
      </c>
      <c r="CH16" s="339">
        <v>0.55000000000000004</v>
      </c>
      <c r="CI16" s="339">
        <v>0.13</v>
      </c>
      <c r="CJ16" s="196">
        <v>0.24</v>
      </c>
      <c r="CK16" s="343">
        <v>0.5</v>
      </c>
      <c r="CL16" s="344">
        <v>0.35</v>
      </c>
      <c r="CM16" s="200">
        <v>0.15</v>
      </c>
      <c r="CN16" s="343">
        <v>0.4</v>
      </c>
      <c r="CO16" s="344">
        <v>0.4</v>
      </c>
      <c r="CP16" s="200">
        <v>0.2</v>
      </c>
      <c r="CQ16" s="287"/>
      <c r="CR16" s="345">
        <v>11</v>
      </c>
      <c r="CS16" s="346">
        <v>12</v>
      </c>
      <c r="CT16" s="346">
        <v>8</v>
      </c>
      <c r="CU16" s="347">
        <v>10</v>
      </c>
      <c r="CV16" s="345">
        <v>10</v>
      </c>
      <c r="CW16" s="346">
        <v>9</v>
      </c>
      <c r="CX16" s="347">
        <v>7</v>
      </c>
      <c r="CY16" s="345">
        <v>9</v>
      </c>
      <c r="CZ16" s="346">
        <v>11</v>
      </c>
      <c r="DA16" s="346">
        <v>7</v>
      </c>
      <c r="DB16" s="347">
        <v>9</v>
      </c>
      <c r="DC16" s="345">
        <v>12</v>
      </c>
      <c r="DD16" s="346">
        <v>12</v>
      </c>
      <c r="DE16" s="347">
        <v>8</v>
      </c>
      <c r="DF16" s="348" t="s">
        <v>543</v>
      </c>
      <c r="DG16" s="287"/>
      <c r="DH16" s="349">
        <f t="shared" si="15"/>
        <v>19968</v>
      </c>
      <c r="DI16" s="349">
        <f t="shared" si="16"/>
        <v>29952</v>
      </c>
      <c r="DJ16" s="349">
        <f t="shared" si="17"/>
        <v>13312</v>
      </c>
      <c r="DK16" s="349">
        <f t="shared" si="18"/>
        <v>3328</v>
      </c>
      <c r="DL16" s="350" t="s">
        <v>544</v>
      </c>
      <c r="DM16" s="349">
        <f t="shared" si="19"/>
        <v>17576</v>
      </c>
      <c r="DN16" s="349">
        <f t="shared" si="20"/>
        <v>29744</v>
      </c>
      <c r="DO16" s="349">
        <f t="shared" si="21"/>
        <v>17576</v>
      </c>
      <c r="DP16" s="349">
        <f t="shared" si="22"/>
        <v>2704</v>
      </c>
      <c r="DQ16" s="351" t="s">
        <v>545</v>
      </c>
      <c r="DR16" s="287"/>
      <c r="DS16" s="349">
        <f t="shared" si="23"/>
        <v>1497.6000000000001</v>
      </c>
      <c r="DT16" s="349">
        <f t="shared" si="24"/>
        <v>1497.6000000000001</v>
      </c>
      <c r="DU16" s="349">
        <f t="shared" si="25"/>
        <v>332.8</v>
      </c>
      <c r="DV16" s="351" t="s">
        <v>546</v>
      </c>
      <c r="DW16" s="349">
        <f t="shared" si="26"/>
        <v>1352</v>
      </c>
      <c r="DX16" s="349">
        <f t="shared" si="27"/>
        <v>1588.6</v>
      </c>
      <c r="DY16" s="349">
        <f t="shared" si="28"/>
        <v>439.40000000000003</v>
      </c>
      <c r="DZ16" s="351" t="s">
        <v>547</v>
      </c>
      <c r="EA16" s="287"/>
      <c r="EB16" s="349">
        <f t="shared" si="29"/>
        <v>1497.6000000000001</v>
      </c>
      <c r="EC16" s="349">
        <f t="shared" si="30"/>
        <v>8236.8000000000011</v>
      </c>
      <c r="ED16" s="349">
        <f t="shared" si="31"/>
        <v>1497.6000000000001</v>
      </c>
      <c r="EE16" s="349">
        <f t="shared" si="32"/>
        <v>3744</v>
      </c>
      <c r="EF16" s="351" t="s">
        <v>548</v>
      </c>
      <c r="EG16" s="349">
        <f t="shared" si="33"/>
        <v>1216.8</v>
      </c>
      <c r="EH16" s="349">
        <f t="shared" si="34"/>
        <v>8365.5</v>
      </c>
      <c r="EI16" s="349">
        <f t="shared" si="35"/>
        <v>1977.3</v>
      </c>
      <c r="EJ16" s="349">
        <f t="shared" si="36"/>
        <v>3650.4</v>
      </c>
      <c r="EK16" s="351" t="s">
        <v>388</v>
      </c>
      <c r="EL16" s="287"/>
      <c r="EM16" s="349">
        <f t="shared" si="37"/>
        <v>31200</v>
      </c>
      <c r="EN16" s="352">
        <f t="shared" si="38"/>
        <v>21840</v>
      </c>
      <c r="EO16" s="352">
        <f t="shared" si="39"/>
        <v>9360</v>
      </c>
      <c r="EP16" s="351" t="s">
        <v>549</v>
      </c>
      <c r="EQ16" s="349">
        <f t="shared" si="40"/>
        <v>25350</v>
      </c>
      <c r="ER16" s="352">
        <f t="shared" si="41"/>
        <v>25350</v>
      </c>
      <c r="ES16" s="352">
        <f t="shared" si="42"/>
        <v>12675</v>
      </c>
      <c r="ET16" s="351" t="s">
        <v>550</v>
      </c>
      <c r="EU16" s="287"/>
      <c r="EV16" s="353">
        <f t="shared" si="43"/>
        <v>0.84504119660090804</v>
      </c>
      <c r="EW16" s="353">
        <f t="shared" si="44"/>
        <v>0.15495880339909196</v>
      </c>
      <c r="EX16" s="354">
        <f t="shared" si="45"/>
        <v>64742.110676745127</v>
      </c>
      <c r="EY16" s="354">
        <f t="shared" si="46"/>
        <v>54709.750676745127</v>
      </c>
      <c r="EZ16" s="354">
        <f t="shared" si="47"/>
        <v>10032.36</v>
      </c>
      <c r="FA16" s="354">
        <f t="shared" si="48"/>
        <v>29560.093572727274</v>
      </c>
      <c r="FB16" s="354">
        <f t="shared" si="49"/>
        <v>25025.693572727272</v>
      </c>
      <c r="FC16" s="354">
        <f t="shared" si="50"/>
        <v>4534.3999999999996</v>
      </c>
      <c r="FD16" s="354">
        <f t="shared" si="51"/>
        <v>1680.6234185714288</v>
      </c>
      <c r="FE16" s="354">
        <f t="shared" si="52"/>
        <v>1453.9034185714288</v>
      </c>
      <c r="FF16" s="354">
        <f t="shared" si="53"/>
        <v>226.72</v>
      </c>
      <c r="FG16" s="354">
        <f t="shared" si="54"/>
        <v>7185.1100135714287</v>
      </c>
      <c r="FH16" s="354">
        <f t="shared" si="55"/>
        <v>6164.8700135714289</v>
      </c>
      <c r="FI16" s="354">
        <f t="shared" si="56"/>
        <v>1020.24</v>
      </c>
      <c r="FJ16" s="354">
        <f t="shared" si="57"/>
        <v>26316.283671875</v>
      </c>
      <c r="FK16" s="354">
        <f t="shared" si="58"/>
        <v>22065.283671875</v>
      </c>
      <c r="FL16" s="354">
        <f t="shared" si="59"/>
        <v>4251</v>
      </c>
      <c r="FM16" s="355"/>
      <c r="FN16" s="356" t="s">
        <v>391</v>
      </c>
      <c r="FO16" s="353">
        <v>5.2499999999999998E-2</v>
      </c>
      <c r="FP16" s="357">
        <v>0.81154999999999999</v>
      </c>
      <c r="FQ16" s="358" t="s">
        <v>551</v>
      </c>
      <c r="FR16" s="355"/>
      <c r="FS16" s="359">
        <v>3.54</v>
      </c>
      <c r="FT16" s="360">
        <f>RANK($FS16,$FS$16:$FS$17,0)+COUNTIF($FS$16:$FS16,$FS16)-1</f>
        <v>1</v>
      </c>
      <c r="FU16" s="359">
        <v>4.13</v>
      </c>
      <c r="FV16" s="360">
        <f>RANK($FU16,$FU$16:$FU$17,0)+COUNTIF($FU$16:$FU16,$FU16)-1</f>
        <v>2</v>
      </c>
      <c r="FW16" s="359">
        <v>2.4900000000000002</v>
      </c>
      <c r="FX16" s="360">
        <f>RANK($FW16,$FW$16:$FW$17,0)+COUNTIF($FW$16:$FW16,$FW16)-1</f>
        <v>1</v>
      </c>
      <c r="FY16" s="355"/>
      <c r="FZ16" s="361" t="s">
        <v>552</v>
      </c>
      <c r="GA16" s="361" t="s">
        <v>553</v>
      </c>
      <c r="GB16" s="361" t="s">
        <v>395</v>
      </c>
      <c r="GC16" s="361" t="s">
        <v>396</v>
      </c>
      <c r="GD16" s="361" t="s">
        <v>554</v>
      </c>
      <c r="GE16" s="361" t="s">
        <v>398</v>
      </c>
      <c r="GF16" s="361" t="str">
        <f>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https://www.statistiques.developpement-durable.gouv.fr/construction-de-locaux-resultats-fin-janvier-2026-france-entiere
https://www.insee.fr/fr/statistiques/8671745
https://www.insee.fr/fr/statistiques/8906564</v>
      </c>
      <c r="GG16" s="355"/>
      <c r="GH16" s="354">
        <f t="shared" si="60"/>
        <v>8394.3612727272721</v>
      </c>
      <c r="GI16" s="354">
        <f t="shared" si="61"/>
        <v>7215.4172727272726</v>
      </c>
      <c r="GJ16" s="354">
        <f t="shared" si="62"/>
        <v>1178.944</v>
      </c>
      <c r="GK16" s="354">
        <f t="shared" si="63"/>
        <v>11806.775500000002</v>
      </c>
      <c r="GL16" s="354">
        <f t="shared" si="64"/>
        <v>9811.6395000000011</v>
      </c>
      <c r="GM16" s="354">
        <f t="shared" si="65"/>
        <v>1995.1359999999997</v>
      </c>
      <c r="GN16" s="354">
        <f t="shared" si="66"/>
        <v>7849.8850000000002</v>
      </c>
      <c r="GO16" s="354">
        <f t="shared" si="67"/>
        <v>6670.9410000000007</v>
      </c>
      <c r="GP16" s="354">
        <f t="shared" si="68"/>
        <v>1178.944</v>
      </c>
      <c r="GQ16" s="354">
        <f t="shared" si="69"/>
        <v>1509.0717999999999</v>
      </c>
      <c r="GR16" s="354">
        <f t="shared" si="70"/>
        <v>1327.6958</v>
      </c>
      <c r="GS16" s="354">
        <f t="shared" si="71"/>
        <v>181.37599999999998</v>
      </c>
      <c r="GT16" s="354">
        <f t="shared" si="72"/>
        <v>688.15111000000013</v>
      </c>
      <c r="GU16" s="354">
        <f t="shared" si="73"/>
        <v>597.46311000000014</v>
      </c>
      <c r="GV16" s="354">
        <f t="shared" si="74"/>
        <v>90.688000000000002</v>
      </c>
      <c r="GW16" s="354">
        <f t="shared" si="75"/>
        <v>772.02940000000001</v>
      </c>
      <c r="GX16" s="354">
        <f t="shared" si="76"/>
        <v>665.471</v>
      </c>
      <c r="GY16" s="354">
        <f t="shared" si="77"/>
        <v>106.55839999999999</v>
      </c>
      <c r="GZ16" s="354">
        <f t="shared" si="78"/>
        <v>220.4429085714286</v>
      </c>
      <c r="HA16" s="354">
        <f t="shared" si="79"/>
        <v>190.9693085714286</v>
      </c>
      <c r="HB16" s="354">
        <f t="shared" si="80"/>
        <v>29.473600000000001</v>
      </c>
      <c r="HC16" s="354">
        <f t="shared" si="81"/>
        <v>747.09019999999998</v>
      </c>
      <c r="HD16" s="354">
        <f t="shared" si="82"/>
        <v>665.471</v>
      </c>
      <c r="HE16" s="354">
        <f t="shared" si="83"/>
        <v>81.619200000000006</v>
      </c>
      <c r="HF16" s="354">
        <f t="shared" si="84"/>
        <v>3537.4916250000001</v>
      </c>
      <c r="HG16" s="354">
        <f t="shared" si="85"/>
        <v>2976.3596250000001</v>
      </c>
      <c r="HH16" s="354">
        <f t="shared" si="86"/>
        <v>561.13200000000006</v>
      </c>
      <c r="HI16" s="354">
        <f t="shared" si="87"/>
        <v>991.99308857142876</v>
      </c>
      <c r="HJ16" s="354">
        <f t="shared" si="88"/>
        <v>859.36188857142872</v>
      </c>
      <c r="HK16" s="354">
        <f t="shared" si="89"/>
        <v>132.63120000000001</v>
      </c>
      <c r="HL16" s="354">
        <f t="shared" si="90"/>
        <v>1908.5351000000001</v>
      </c>
      <c r="HM16" s="354">
        <f t="shared" si="91"/>
        <v>1663.6775</v>
      </c>
      <c r="HN16" s="354">
        <f t="shared" si="92"/>
        <v>244.85759999999999</v>
      </c>
      <c r="HO16" s="354">
        <f t="shared" si="93"/>
        <v>11920.8578125</v>
      </c>
      <c r="HP16" s="354">
        <f t="shared" si="94"/>
        <v>10220.457812500001</v>
      </c>
      <c r="HQ16" s="354">
        <f t="shared" si="95"/>
        <v>1700.4</v>
      </c>
      <c r="HR16" s="354">
        <f t="shared" si="96"/>
        <v>8854.7204687499998</v>
      </c>
      <c r="HS16" s="354">
        <f t="shared" si="97"/>
        <v>7154.3204687500001</v>
      </c>
      <c r="HT16" s="354">
        <f t="shared" si="98"/>
        <v>1700.4</v>
      </c>
      <c r="HU16" s="354">
        <f t="shared" si="99"/>
        <v>5540.7053906249994</v>
      </c>
      <c r="HV16" s="354">
        <f t="shared" si="100"/>
        <v>4690.5053906249996</v>
      </c>
      <c r="HW16" s="354">
        <f t="shared" si="101"/>
        <v>850.2</v>
      </c>
      <c r="HX16" s="362"/>
      <c r="HY16" s="363">
        <f t="shared" si="102"/>
        <v>147264.00000000003</v>
      </c>
      <c r="HZ16" s="363">
        <f t="shared" si="103"/>
        <v>1696.1152000000002</v>
      </c>
      <c r="IA16" s="363">
        <f t="shared" si="104"/>
        <v>44664.422400000003</v>
      </c>
      <c r="IB16" s="363">
        <f t="shared" si="105"/>
        <v>73259.347200000004</v>
      </c>
      <c r="IC16" s="363">
        <f t="shared" si="106"/>
        <v>25270.252800000002</v>
      </c>
      <c r="ID16" s="363">
        <f t="shared" si="107"/>
        <v>2373.8624</v>
      </c>
      <c r="IE16" s="363">
        <f t="shared" si="108"/>
        <v>54709.750676745127</v>
      </c>
      <c r="IF16" s="363">
        <f t="shared" si="109"/>
        <v>0</v>
      </c>
      <c r="IG16" s="363">
        <f t="shared" si="110"/>
        <v>14546.648667983582</v>
      </c>
      <c r="IH16" s="363">
        <f t="shared" si="111"/>
        <v>28231.484383480798</v>
      </c>
      <c r="II16" s="363">
        <f t="shared" si="112"/>
        <v>10731.065287016398</v>
      </c>
      <c r="IJ16" s="363">
        <f t="shared" si="113"/>
        <v>1200.5523382643546</v>
      </c>
      <c r="IK16" s="364">
        <v>4.18</v>
      </c>
      <c r="IL16" s="365" t="s">
        <v>350</v>
      </c>
      <c r="IM16" s="366" t="s">
        <v>555</v>
      </c>
      <c r="IN16" s="355"/>
      <c r="IO16" s="367">
        <v>0.01</v>
      </c>
      <c r="IP16" s="367">
        <v>0.28000000000000003</v>
      </c>
      <c r="IQ16" s="367">
        <v>0.5</v>
      </c>
      <c r="IR16" s="367">
        <v>0.19</v>
      </c>
      <c r="IS16" s="367">
        <v>0.02</v>
      </c>
      <c r="IT16" s="367">
        <v>0</v>
      </c>
      <c r="IU16" s="367">
        <v>0.24129999999999999</v>
      </c>
      <c r="IV16" s="367">
        <v>0.51870000000000005</v>
      </c>
      <c r="IW16" s="367">
        <v>0.2142</v>
      </c>
      <c r="IX16" s="367">
        <v>2.58E-2</v>
      </c>
      <c r="IY16" s="367">
        <v>5.5999999999999999E-3</v>
      </c>
      <c r="IZ16" s="367">
        <v>0.22270000000000001</v>
      </c>
      <c r="JA16" s="367">
        <v>0.49130000000000001</v>
      </c>
      <c r="JB16" s="367">
        <v>0.25779999999999997</v>
      </c>
      <c r="JC16" s="367">
        <v>2.2599999999999999E-2</v>
      </c>
      <c r="JD16" s="367">
        <v>0</v>
      </c>
      <c r="JE16" s="367">
        <v>0.1842</v>
      </c>
      <c r="JF16" s="367">
        <v>0.50800000000000001</v>
      </c>
      <c r="JG16" s="367">
        <v>0.27960000000000002</v>
      </c>
      <c r="JH16" s="367">
        <v>2.8199999999999999E-2</v>
      </c>
      <c r="JI16" s="367">
        <v>2.0899999999999998E-2</v>
      </c>
      <c r="JJ16" s="367">
        <v>0.43930000000000002</v>
      </c>
      <c r="JK16" s="367">
        <v>0.43580000000000002</v>
      </c>
      <c r="JL16" s="367">
        <v>9.9400000000000002E-2</v>
      </c>
      <c r="JM16" s="367">
        <v>4.5999999999999999E-3</v>
      </c>
      <c r="JN16" s="367">
        <v>0</v>
      </c>
      <c r="JO16" s="367">
        <v>0.40210000000000001</v>
      </c>
      <c r="JP16" s="367">
        <v>0.46060000000000001</v>
      </c>
      <c r="JQ16" s="367">
        <v>0.12659999999999999</v>
      </c>
      <c r="JR16" s="367">
        <v>1.0699999999999999E-2</v>
      </c>
      <c r="JS16" s="367">
        <v>1.12E-2</v>
      </c>
      <c r="JT16" s="367">
        <v>0.29980000000000001</v>
      </c>
      <c r="JU16" s="367">
        <v>0.50990000000000002</v>
      </c>
      <c r="JV16" s="367">
        <v>0.16470000000000001</v>
      </c>
      <c r="JW16" s="367">
        <v>1.44E-2</v>
      </c>
      <c r="JX16" s="367">
        <v>0</v>
      </c>
      <c r="JY16" s="367">
        <v>0.2611</v>
      </c>
      <c r="JZ16" s="367">
        <v>0.52900000000000003</v>
      </c>
      <c r="KA16" s="367">
        <v>0.18959999999999999</v>
      </c>
      <c r="KB16" s="367">
        <v>2.0299999999999999E-2</v>
      </c>
      <c r="KC16" s="287"/>
      <c r="KD16" s="368" t="s">
        <v>351</v>
      </c>
      <c r="KE16" s="368" t="s">
        <v>352</v>
      </c>
      <c r="KF16" s="369">
        <v>4.13</v>
      </c>
      <c r="KG16" s="368" t="s">
        <v>350</v>
      </c>
      <c r="KH16" s="370" t="s">
        <v>556</v>
      </c>
      <c r="KI16" s="368" t="s">
        <v>557</v>
      </c>
      <c r="KJ16" s="370" t="s">
        <v>558</v>
      </c>
    </row>
    <row r="17" spans="1:383" s="42" customFormat="1" ht="48" customHeight="1" x14ac:dyDescent="0.25">
      <c r="A17" s="381">
        <f t="shared" si="114"/>
        <v>9</v>
      </c>
      <c r="B17" s="324" t="s">
        <v>533</v>
      </c>
      <c r="C17" s="324" t="s">
        <v>31</v>
      </c>
      <c r="D17" s="325" t="s">
        <v>35</v>
      </c>
      <c r="E17" s="326" t="s">
        <v>534</v>
      </c>
      <c r="F17" s="326" t="s">
        <v>478</v>
      </c>
      <c r="G17" s="326" t="s">
        <v>478</v>
      </c>
      <c r="H17" s="326" t="s">
        <v>371</v>
      </c>
      <c r="I17" s="327" t="s">
        <v>559</v>
      </c>
      <c r="J17" s="327" t="s">
        <v>36</v>
      </c>
      <c r="K17" s="328" t="s">
        <v>368</v>
      </c>
      <c r="L17" s="328" t="s">
        <v>371</v>
      </c>
      <c r="M17" s="328" t="s">
        <v>372</v>
      </c>
      <c r="N17" s="328" t="s">
        <v>536</v>
      </c>
      <c r="O17" s="326" t="s">
        <v>374</v>
      </c>
      <c r="P17" s="327"/>
      <c r="Q17" s="284">
        <v>1</v>
      </c>
      <c r="R17" s="329">
        <v>2500</v>
      </c>
      <c r="S17" s="330">
        <v>470</v>
      </c>
      <c r="T17" s="330">
        <v>450</v>
      </c>
      <c r="U17" s="330">
        <v>430</v>
      </c>
      <c r="V17" s="330">
        <v>440</v>
      </c>
      <c r="W17" s="330">
        <f>V17+10</f>
        <v>450</v>
      </c>
      <c r="X17" s="330">
        <f>W17+10</f>
        <v>460</v>
      </c>
      <c r="Y17" s="330">
        <f>X17+10</f>
        <v>470</v>
      </c>
      <c r="Z17" s="330">
        <f>Y17+10</f>
        <v>480</v>
      </c>
      <c r="AA17" s="330">
        <v>490</v>
      </c>
      <c r="AB17" s="330">
        <f>AA17+6</f>
        <v>496</v>
      </c>
      <c r="AC17" s="330">
        <f>AB17+6</f>
        <v>502</v>
      </c>
      <c r="AD17" s="330">
        <f>AC17+6</f>
        <v>508</v>
      </c>
      <c r="AE17" s="330">
        <f>AD17+6</f>
        <v>514</v>
      </c>
      <c r="AF17" s="330">
        <v>520</v>
      </c>
      <c r="AG17" s="330">
        <f>AF17+8</f>
        <v>528</v>
      </c>
      <c r="AH17" s="330">
        <f>AG17+8</f>
        <v>536</v>
      </c>
      <c r="AI17" s="330">
        <f>AH17+8</f>
        <v>544</v>
      </c>
      <c r="AJ17" s="330">
        <f>AI17+8</f>
        <v>552</v>
      </c>
      <c r="AK17" s="330">
        <v>560</v>
      </c>
      <c r="AL17" s="327" t="s">
        <v>560</v>
      </c>
      <c r="AM17" s="327" t="s">
        <v>561</v>
      </c>
      <c r="AN17" s="327" t="s">
        <v>562</v>
      </c>
      <c r="AO17" s="287"/>
      <c r="AP17" s="329">
        <v>400</v>
      </c>
      <c r="AQ17" s="331">
        <v>312</v>
      </c>
      <c r="AR17" s="331">
        <v>60</v>
      </c>
      <c r="AS17" s="331">
        <v>28</v>
      </c>
      <c r="AT17" s="287"/>
      <c r="AU17" s="332" t="s">
        <v>563</v>
      </c>
      <c r="AV17" s="333" t="s">
        <v>564</v>
      </c>
      <c r="AW17" s="334" t="s">
        <v>565</v>
      </c>
      <c r="AX17" s="335" t="s">
        <v>566</v>
      </c>
      <c r="AY17" s="287"/>
      <c r="AZ17" s="336">
        <v>10</v>
      </c>
      <c r="BA17" s="336">
        <v>0</v>
      </c>
      <c r="BB17" s="336">
        <v>2</v>
      </c>
      <c r="BC17" s="336">
        <v>9</v>
      </c>
      <c r="BD17" s="337">
        <f t="shared" si="5"/>
        <v>10920</v>
      </c>
      <c r="BE17" s="338">
        <f t="shared" si="6"/>
        <v>5200</v>
      </c>
      <c r="BF17" s="338">
        <f t="shared" si="7"/>
        <v>0</v>
      </c>
      <c r="BG17" s="338">
        <f t="shared" si="8"/>
        <v>1040</v>
      </c>
      <c r="BH17" s="338">
        <f t="shared" si="9"/>
        <v>4680</v>
      </c>
      <c r="BI17" s="337">
        <f t="shared" si="10"/>
        <v>11760</v>
      </c>
      <c r="BJ17" s="338">
        <f t="shared" si="11"/>
        <v>5600</v>
      </c>
      <c r="BK17" s="338">
        <f t="shared" si="12"/>
        <v>0</v>
      </c>
      <c r="BL17" s="338">
        <f t="shared" si="13"/>
        <v>1120</v>
      </c>
      <c r="BM17" s="338">
        <f t="shared" si="14"/>
        <v>5040</v>
      </c>
      <c r="BN17" s="287"/>
      <c r="BO17" s="339">
        <v>0.39</v>
      </c>
      <c r="BP17" s="339">
        <v>0.41</v>
      </c>
      <c r="BQ17" s="339">
        <v>0.15</v>
      </c>
      <c r="BR17" s="196">
        <v>0.05</v>
      </c>
      <c r="BS17" s="340">
        <v>0.36</v>
      </c>
      <c r="BT17" s="339">
        <v>0.39</v>
      </c>
      <c r="BU17" s="339">
        <v>0.2</v>
      </c>
      <c r="BV17" s="196">
        <v>0.05</v>
      </c>
      <c r="BW17" s="341"/>
      <c r="BX17" s="342"/>
      <c r="BY17" s="198"/>
      <c r="BZ17" s="341"/>
      <c r="CA17" s="342"/>
      <c r="CB17" s="198"/>
      <c r="CC17" s="339">
        <v>0.15</v>
      </c>
      <c r="CD17" s="339">
        <v>0.55000000000000004</v>
      </c>
      <c r="CE17" s="339">
        <v>0.1</v>
      </c>
      <c r="CF17" s="196">
        <v>0.2</v>
      </c>
      <c r="CG17" s="340">
        <v>0.13</v>
      </c>
      <c r="CH17" s="339">
        <v>0.55000000000000004</v>
      </c>
      <c r="CI17" s="339">
        <v>0.12</v>
      </c>
      <c r="CJ17" s="196">
        <v>0.2</v>
      </c>
      <c r="CK17" s="343">
        <v>0.55000000000000004</v>
      </c>
      <c r="CL17" s="344">
        <v>0.3</v>
      </c>
      <c r="CM17" s="200">
        <v>0.15</v>
      </c>
      <c r="CN17" s="343">
        <v>0.45</v>
      </c>
      <c r="CO17" s="344">
        <v>0.33</v>
      </c>
      <c r="CP17" s="200">
        <v>0.22</v>
      </c>
      <c r="CQ17" s="287"/>
      <c r="CR17" s="345">
        <v>9</v>
      </c>
      <c r="CS17" s="346">
        <v>11</v>
      </c>
      <c r="CT17" s="346">
        <v>8</v>
      </c>
      <c r="CU17" s="347">
        <v>9</v>
      </c>
      <c r="CV17" s="345"/>
      <c r="CW17" s="346"/>
      <c r="CX17" s="347"/>
      <c r="CY17" s="345">
        <v>8</v>
      </c>
      <c r="CZ17" s="346">
        <v>11</v>
      </c>
      <c r="DA17" s="346">
        <v>8</v>
      </c>
      <c r="DB17" s="347">
        <v>9</v>
      </c>
      <c r="DC17" s="345">
        <v>9</v>
      </c>
      <c r="DD17" s="346">
        <v>12</v>
      </c>
      <c r="DE17" s="347">
        <v>9</v>
      </c>
      <c r="DF17" s="348" t="s">
        <v>567</v>
      </c>
      <c r="DG17" s="287"/>
      <c r="DH17" s="349">
        <f t="shared" si="15"/>
        <v>2028</v>
      </c>
      <c r="DI17" s="349">
        <f t="shared" si="16"/>
        <v>2132</v>
      </c>
      <c r="DJ17" s="349">
        <f t="shared" si="17"/>
        <v>780</v>
      </c>
      <c r="DK17" s="349">
        <f t="shared" si="18"/>
        <v>260</v>
      </c>
      <c r="DL17" s="350" t="s">
        <v>568</v>
      </c>
      <c r="DM17" s="349">
        <f t="shared" si="19"/>
        <v>2016</v>
      </c>
      <c r="DN17" s="349">
        <f t="shared" si="20"/>
        <v>2184</v>
      </c>
      <c r="DO17" s="349">
        <f t="shared" si="21"/>
        <v>1120</v>
      </c>
      <c r="DP17" s="349">
        <f t="shared" si="22"/>
        <v>280</v>
      </c>
      <c r="DQ17" s="351" t="s">
        <v>569</v>
      </c>
      <c r="DR17" s="287"/>
      <c r="DS17" s="349">
        <f t="shared" si="23"/>
        <v>0</v>
      </c>
      <c r="DT17" s="349">
        <f t="shared" si="24"/>
        <v>0</v>
      </c>
      <c r="DU17" s="349">
        <f t="shared" si="25"/>
        <v>0</v>
      </c>
      <c r="DV17" s="351" t="s">
        <v>490</v>
      </c>
      <c r="DW17" s="349">
        <f t="shared" si="26"/>
        <v>0</v>
      </c>
      <c r="DX17" s="349">
        <f t="shared" si="27"/>
        <v>0</v>
      </c>
      <c r="DY17" s="349">
        <f t="shared" si="28"/>
        <v>0</v>
      </c>
      <c r="DZ17" s="351" t="s">
        <v>490</v>
      </c>
      <c r="EA17" s="287"/>
      <c r="EB17" s="349">
        <f t="shared" si="29"/>
        <v>156</v>
      </c>
      <c r="EC17" s="349">
        <f t="shared" si="30"/>
        <v>572</v>
      </c>
      <c r="ED17" s="349">
        <f t="shared" si="31"/>
        <v>104</v>
      </c>
      <c r="EE17" s="349">
        <f t="shared" si="32"/>
        <v>208</v>
      </c>
      <c r="EF17" s="351" t="s">
        <v>570</v>
      </c>
      <c r="EG17" s="349">
        <f t="shared" si="33"/>
        <v>145.6</v>
      </c>
      <c r="EH17" s="349">
        <f t="shared" si="34"/>
        <v>616</v>
      </c>
      <c r="EI17" s="349">
        <f t="shared" si="35"/>
        <v>134.4</v>
      </c>
      <c r="EJ17" s="349">
        <f t="shared" si="36"/>
        <v>224</v>
      </c>
      <c r="EK17" s="351" t="s">
        <v>571</v>
      </c>
      <c r="EL17" s="287"/>
      <c r="EM17" s="349">
        <f t="shared" si="37"/>
        <v>2574</v>
      </c>
      <c r="EN17" s="352">
        <f t="shared" si="38"/>
        <v>1404</v>
      </c>
      <c r="EO17" s="352">
        <f t="shared" si="39"/>
        <v>702</v>
      </c>
      <c r="EP17" s="351" t="s">
        <v>572</v>
      </c>
      <c r="EQ17" s="349">
        <f t="shared" si="40"/>
        <v>2268</v>
      </c>
      <c r="ER17" s="352">
        <f t="shared" si="41"/>
        <v>1663.2</v>
      </c>
      <c r="ES17" s="352">
        <f t="shared" si="42"/>
        <v>1108.8</v>
      </c>
      <c r="ET17" s="351" t="s">
        <v>573</v>
      </c>
      <c r="EU17" s="287"/>
      <c r="EV17" s="353">
        <f t="shared" si="43"/>
        <v>0.72740812102428964</v>
      </c>
      <c r="EW17" s="353">
        <f t="shared" si="44"/>
        <v>0.27259187897571041</v>
      </c>
      <c r="EX17" s="354">
        <f t="shared" si="45"/>
        <v>6034.3441124545452</v>
      </c>
      <c r="EY17" s="354">
        <f t="shared" si="46"/>
        <v>4389.4309124545453</v>
      </c>
      <c r="EZ17" s="354">
        <f t="shared" si="47"/>
        <v>1644.9132</v>
      </c>
      <c r="FA17" s="354">
        <f t="shared" si="48"/>
        <v>2898.6372392878784</v>
      </c>
      <c r="FB17" s="354">
        <f t="shared" si="49"/>
        <v>2115.3452392878785</v>
      </c>
      <c r="FC17" s="354">
        <f t="shared" si="50"/>
        <v>783.29199999999992</v>
      </c>
      <c r="FD17" s="354">
        <f t="shared" si="51"/>
        <v>0</v>
      </c>
      <c r="FE17" s="354">
        <f t="shared" si="52"/>
        <v>0</v>
      </c>
      <c r="FF17" s="354">
        <f t="shared" si="53"/>
        <v>0</v>
      </c>
      <c r="FG17" s="354">
        <f t="shared" si="54"/>
        <v>572.67179216666671</v>
      </c>
      <c r="FH17" s="354">
        <f t="shared" si="55"/>
        <v>416.01339216666668</v>
      </c>
      <c r="FI17" s="354">
        <f t="shared" si="56"/>
        <v>156.6584</v>
      </c>
      <c r="FJ17" s="354">
        <f t="shared" si="57"/>
        <v>2563.035081</v>
      </c>
      <c r="FK17" s="354">
        <f t="shared" si="58"/>
        <v>1858.0722809999997</v>
      </c>
      <c r="FL17" s="354">
        <f t="shared" si="59"/>
        <v>704.96280000000002</v>
      </c>
      <c r="FM17" s="355"/>
      <c r="FN17" s="356" t="s">
        <v>391</v>
      </c>
      <c r="FO17" s="353">
        <v>7.3709999999999998E-2</v>
      </c>
      <c r="FP17" s="357">
        <v>0.85097999999999996</v>
      </c>
      <c r="FQ17" s="358" t="s">
        <v>574</v>
      </c>
      <c r="FR17" s="355"/>
      <c r="FS17" s="359">
        <v>3.06</v>
      </c>
      <c r="FT17" s="360">
        <f>RANK($FS17,$FS$16:$FS$17,0)+COUNTIF($FS$16:$FS17,$FS17)-1</f>
        <v>2</v>
      </c>
      <c r="FU17" s="359">
        <v>4.18</v>
      </c>
      <c r="FV17" s="360">
        <f>RANK($FU17,$FU$16:$FU$17,0)+COUNTIF($FU$16:$FU17,$FU17)-1</f>
        <v>1</v>
      </c>
      <c r="FW17" s="359">
        <v>1.69</v>
      </c>
      <c r="FX17" s="360">
        <f>RANK($FW17,$FW$16:$FW$17,0)+COUNTIF($FW$16:$FW17,$FW17)-1</f>
        <v>2</v>
      </c>
      <c r="FY17" s="355"/>
      <c r="FZ17" s="361" t="s">
        <v>575</v>
      </c>
      <c r="GA17" s="361" t="s">
        <v>576</v>
      </c>
      <c r="GB17" s="361" t="s">
        <v>577</v>
      </c>
      <c r="GC17" s="361" t="s">
        <v>578</v>
      </c>
      <c r="GD17" s="361" t="s">
        <v>579</v>
      </c>
      <c r="GE17" s="361" t="s">
        <v>580</v>
      </c>
      <c r="GF17" s="361" t="str">
        <f>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https://www.statistiques.developpement-durable.gouv.fr/construction-de-locaux-resultats-fin-janvier-2026-france-entiere
https://www.insee.fr/fr/statistiques/8671745
https://www.insee.fr/fr/statistiques/8906564</v>
      </c>
      <c r="GG17" s="355"/>
      <c r="GH17" s="354">
        <f t="shared" si="60"/>
        <v>1165.5292879999997</v>
      </c>
      <c r="GI17" s="354">
        <f t="shared" si="61"/>
        <v>883.5441679999999</v>
      </c>
      <c r="GJ17" s="354">
        <f t="shared" si="62"/>
        <v>281.98511999999994</v>
      </c>
      <c r="GK17" s="354">
        <f t="shared" si="63"/>
        <v>1035.0058254545454</v>
      </c>
      <c r="GL17" s="354">
        <f t="shared" si="64"/>
        <v>729.5219454545454</v>
      </c>
      <c r="GM17" s="354">
        <f t="shared" si="65"/>
        <v>305.48388</v>
      </c>
      <c r="GN17" s="354">
        <f t="shared" si="66"/>
        <v>545.66263249999997</v>
      </c>
      <c r="GO17" s="354">
        <f t="shared" si="67"/>
        <v>389.0042325</v>
      </c>
      <c r="GP17" s="354">
        <f t="shared" si="68"/>
        <v>156.6584</v>
      </c>
      <c r="GQ17" s="354">
        <f t="shared" si="69"/>
        <v>152.43949333333333</v>
      </c>
      <c r="GR17" s="354">
        <f t="shared" si="70"/>
        <v>113.27489333333332</v>
      </c>
      <c r="GS17" s="354">
        <f t="shared" si="71"/>
        <v>39.1646</v>
      </c>
      <c r="GT17" s="354">
        <f t="shared" si="72"/>
        <v>0</v>
      </c>
      <c r="GU17" s="354">
        <f t="shared" si="73"/>
        <v>0</v>
      </c>
      <c r="GV17" s="354">
        <f t="shared" si="74"/>
        <v>0</v>
      </c>
      <c r="GW17" s="354">
        <f t="shared" si="75"/>
        <v>0</v>
      </c>
      <c r="GX17" s="354">
        <f t="shared" si="76"/>
        <v>0</v>
      </c>
      <c r="GY17" s="354">
        <f t="shared" si="77"/>
        <v>0</v>
      </c>
      <c r="GZ17" s="354">
        <f t="shared" si="78"/>
        <v>0</v>
      </c>
      <c r="HA17" s="354">
        <f t="shared" si="79"/>
        <v>0</v>
      </c>
      <c r="HB17" s="354">
        <f t="shared" si="80"/>
        <v>0</v>
      </c>
      <c r="HC17" s="354">
        <f t="shared" si="81"/>
        <v>98.166438499999998</v>
      </c>
      <c r="HD17" s="354">
        <f t="shared" si="82"/>
        <v>77.800846500000006</v>
      </c>
      <c r="HE17" s="354">
        <f t="shared" si="83"/>
        <v>20.365591999999999</v>
      </c>
      <c r="HF17" s="354">
        <f t="shared" si="84"/>
        <v>281.88751999999999</v>
      </c>
      <c r="HG17" s="354">
        <f t="shared" si="85"/>
        <v>195.72540000000001</v>
      </c>
      <c r="HH17" s="354">
        <f t="shared" si="86"/>
        <v>86.162120000000002</v>
      </c>
      <c r="HI17" s="354">
        <f t="shared" si="87"/>
        <v>70.66623899999999</v>
      </c>
      <c r="HJ17" s="354">
        <f t="shared" si="88"/>
        <v>51.867230999999997</v>
      </c>
      <c r="HK17" s="354">
        <f t="shared" si="89"/>
        <v>18.799008000000001</v>
      </c>
      <c r="HL17" s="354">
        <f t="shared" si="90"/>
        <v>121.95159466666668</v>
      </c>
      <c r="HM17" s="354">
        <f t="shared" si="91"/>
        <v>90.619914666666673</v>
      </c>
      <c r="HN17" s="354">
        <f t="shared" si="92"/>
        <v>31.331680000000002</v>
      </c>
      <c r="HO17" s="354">
        <f t="shared" si="93"/>
        <v>1438.6547039999998</v>
      </c>
      <c r="HP17" s="354">
        <f t="shared" si="94"/>
        <v>1121.4214439999998</v>
      </c>
      <c r="HQ17" s="354">
        <f t="shared" si="95"/>
        <v>317.23326000000003</v>
      </c>
      <c r="HR17" s="354">
        <f t="shared" si="96"/>
        <v>663.44634900000005</v>
      </c>
      <c r="HS17" s="354">
        <f t="shared" si="97"/>
        <v>430.80862500000001</v>
      </c>
      <c r="HT17" s="354">
        <f t="shared" si="98"/>
        <v>232.63772400000002</v>
      </c>
      <c r="HU17" s="354">
        <f t="shared" si="99"/>
        <v>460.93402800000001</v>
      </c>
      <c r="HV17" s="354">
        <f t="shared" si="100"/>
        <v>305.84221200000002</v>
      </c>
      <c r="HW17" s="354">
        <f t="shared" si="101"/>
        <v>155.09181599999999</v>
      </c>
      <c r="HX17" s="362"/>
      <c r="HY17" s="363">
        <f t="shared" si="102"/>
        <v>10920</v>
      </c>
      <c r="HZ17" s="363">
        <f t="shared" si="103"/>
        <v>2267.5640000000003</v>
      </c>
      <c r="IA17" s="363">
        <f t="shared" si="104"/>
        <v>6228.2479999999996</v>
      </c>
      <c r="IB17" s="363">
        <f t="shared" si="105"/>
        <v>2422.6799999999998</v>
      </c>
      <c r="IC17" s="363">
        <f t="shared" si="106"/>
        <v>0</v>
      </c>
      <c r="ID17" s="363">
        <f t="shared" si="107"/>
        <v>1.508</v>
      </c>
      <c r="IE17" s="363">
        <f t="shared" si="108"/>
        <v>4389.4309124545453</v>
      </c>
      <c r="IF17" s="363">
        <f t="shared" si="109"/>
        <v>511.76139846431357</v>
      </c>
      <c r="IG17" s="363">
        <f t="shared" si="110"/>
        <v>2287.646140681712</v>
      </c>
      <c r="IH17" s="363">
        <f t="shared" si="111"/>
        <v>1535.9445681218954</v>
      </c>
      <c r="II17" s="363">
        <f t="shared" si="112"/>
        <v>51.188482948160598</v>
      </c>
      <c r="IJ17" s="363">
        <f t="shared" si="113"/>
        <v>2.8903222384636358</v>
      </c>
      <c r="IK17" s="364">
        <v>3.55</v>
      </c>
      <c r="IL17" s="365" t="s">
        <v>581</v>
      </c>
      <c r="IM17" s="366" t="s">
        <v>582</v>
      </c>
      <c r="IN17" s="355"/>
      <c r="IO17" s="367">
        <v>0.1938</v>
      </c>
      <c r="IP17" s="367">
        <v>0.57030000000000003</v>
      </c>
      <c r="IQ17" s="367">
        <v>0.23569999999999999</v>
      </c>
      <c r="IR17" s="367">
        <v>0</v>
      </c>
      <c r="IS17" s="367">
        <v>2.0000000000000001E-4</v>
      </c>
      <c r="IT17" s="367">
        <v>0.1075</v>
      </c>
      <c r="IU17" s="367">
        <v>0.51160000000000005</v>
      </c>
      <c r="IV17" s="367">
        <v>0.36530000000000001</v>
      </c>
      <c r="IW17" s="367">
        <v>1.4800000000000001E-2</v>
      </c>
      <c r="IX17" s="367">
        <v>8.0000000000000004E-4</v>
      </c>
      <c r="IY17" s="367">
        <v>0</v>
      </c>
      <c r="IZ17" s="367">
        <v>0</v>
      </c>
      <c r="JA17" s="367">
        <v>0</v>
      </c>
      <c r="JB17" s="367">
        <v>0</v>
      </c>
      <c r="JC17" s="367">
        <v>0</v>
      </c>
      <c r="JD17" s="367">
        <v>0</v>
      </c>
      <c r="JE17" s="367">
        <v>0</v>
      </c>
      <c r="JF17" s="367">
        <v>0</v>
      </c>
      <c r="JG17" s="367">
        <v>0</v>
      </c>
      <c r="JH17" s="367">
        <v>0</v>
      </c>
      <c r="JI17" s="367">
        <v>0.28749999999999998</v>
      </c>
      <c r="JJ17" s="367">
        <v>0.56410000000000005</v>
      </c>
      <c r="JK17" s="367">
        <v>0.1484</v>
      </c>
      <c r="JL17" s="367">
        <v>0</v>
      </c>
      <c r="JM17" s="367">
        <v>0</v>
      </c>
      <c r="JN17" s="367">
        <v>0.17080000000000001</v>
      </c>
      <c r="JO17" s="367">
        <v>0.56479999999999997</v>
      </c>
      <c r="JP17" s="367">
        <v>0.26419999999999999</v>
      </c>
      <c r="JQ17" s="367">
        <v>0</v>
      </c>
      <c r="JR17" s="367">
        <v>2.0000000000000001E-4</v>
      </c>
      <c r="JS17" s="367">
        <v>0.20530000000000001</v>
      </c>
      <c r="JT17" s="367">
        <v>0.57179999999999997</v>
      </c>
      <c r="JU17" s="367">
        <v>0.2228</v>
      </c>
      <c r="JV17" s="367">
        <v>0</v>
      </c>
      <c r="JW17" s="367">
        <v>1E-4</v>
      </c>
      <c r="JX17" s="367">
        <v>0.1148</v>
      </c>
      <c r="JY17" s="367">
        <v>0.52229999999999999</v>
      </c>
      <c r="JZ17" s="367">
        <v>0.35160000000000002</v>
      </c>
      <c r="KA17" s="367">
        <v>1.0699999999999999E-2</v>
      </c>
      <c r="KB17" s="367">
        <v>5.9999999999999995E-4</v>
      </c>
      <c r="KC17" s="287"/>
      <c r="KD17" s="368" t="s">
        <v>352</v>
      </c>
      <c r="KE17" s="368" t="s">
        <v>352</v>
      </c>
      <c r="KF17" s="369">
        <v>3.23</v>
      </c>
      <c r="KG17" s="368" t="s">
        <v>374</v>
      </c>
      <c r="KH17" s="370" t="s">
        <v>583</v>
      </c>
      <c r="KI17" s="368" t="s">
        <v>584</v>
      </c>
      <c r="KJ17" s="370" t="s">
        <v>582</v>
      </c>
    </row>
    <row r="18" spans="1:383" s="5" customFormat="1" x14ac:dyDescent="0.25">
      <c r="A18" s="1"/>
      <c r="B18" s="2"/>
      <c r="C18" s="2"/>
      <c r="D18" s="2"/>
      <c r="E18" s="3"/>
      <c r="F18" s="3"/>
      <c r="G18" s="4"/>
      <c r="H18" s="1"/>
      <c r="I18" s="7"/>
      <c r="J18" s="7"/>
      <c r="K18" s="7"/>
      <c r="L18" s="7"/>
      <c r="M18" s="7"/>
      <c r="N18" s="7"/>
      <c r="O18" s="3"/>
      <c r="P18" s="7"/>
      <c r="AL18" s="7"/>
      <c r="AM18" s="7"/>
      <c r="AN18" s="7"/>
      <c r="AO18" s="7"/>
      <c r="AT18" s="7"/>
      <c r="AV18" s="11"/>
      <c r="AW18" s="7"/>
      <c r="AY18" s="7"/>
      <c r="BN18" s="7"/>
      <c r="CQ18" s="7"/>
      <c r="DF18" s="7"/>
      <c r="DG18" s="7"/>
      <c r="DL18" s="15"/>
      <c r="DQ18" s="16"/>
      <c r="DR18" s="7"/>
      <c r="DV18" s="16"/>
      <c r="DZ18" s="16"/>
      <c r="EA18" s="7"/>
      <c r="EF18" s="16"/>
      <c r="EK18" s="16"/>
      <c r="EL18" s="7"/>
      <c r="EP18" s="16"/>
      <c r="ET18" s="16"/>
      <c r="EU18" s="7"/>
      <c r="FM18" s="7"/>
      <c r="FN18" s="390"/>
      <c r="FO18" s="390"/>
      <c r="FR18" s="7"/>
      <c r="FY18" s="7"/>
      <c r="GG18" s="7"/>
      <c r="HX18" s="74"/>
      <c r="HY18" s="42"/>
      <c r="HZ18" s="42"/>
      <c r="IE18" s="42"/>
      <c r="IF18" s="42"/>
      <c r="IK18" s="42"/>
      <c r="IL18" s="42"/>
      <c r="IM18" s="42"/>
      <c r="IN18" s="7"/>
      <c r="IO18" s="42"/>
      <c r="IT18" s="42"/>
      <c r="IU18" s="42"/>
      <c r="KC18" s="7"/>
      <c r="KD18" s="42"/>
      <c r="KG18" s="391"/>
      <c r="KH18" s="42"/>
      <c r="KI18" s="42"/>
      <c r="KJ18" s="42"/>
      <c r="KK18" s="42"/>
      <c r="KL18" s="42"/>
      <c r="KM18" s="42"/>
      <c r="KN18" s="42"/>
      <c r="KO18" s="42"/>
      <c r="KP18" s="42"/>
      <c r="KQ18" s="42"/>
      <c r="KR18" s="42"/>
      <c r="KS18" s="42"/>
      <c r="KT18" s="42"/>
      <c r="KU18" s="42"/>
      <c r="KV18" s="42"/>
      <c r="KW18" s="42"/>
      <c r="KX18" s="42"/>
      <c r="KY18" s="42"/>
      <c r="KZ18" s="42"/>
      <c r="LA18" s="42"/>
      <c r="LB18" s="42"/>
      <c r="LC18" s="42"/>
      <c r="LD18" s="42"/>
      <c r="LE18" s="42"/>
      <c r="LF18" s="42"/>
      <c r="LG18" s="42"/>
      <c r="LH18" s="42"/>
      <c r="LI18" s="42"/>
      <c r="LJ18" s="42"/>
      <c r="LK18" s="42"/>
      <c r="LL18" s="42"/>
      <c r="LM18" s="42"/>
      <c r="LN18" s="42"/>
      <c r="LO18" s="42"/>
      <c r="LP18" s="42"/>
      <c r="LQ18" s="42"/>
      <c r="LR18" s="42"/>
      <c r="LS18" s="42"/>
      <c r="LT18" s="42"/>
      <c r="LU18" s="42"/>
      <c r="LV18" s="42"/>
      <c r="LW18" s="42"/>
      <c r="LX18" s="42"/>
      <c r="LY18" s="42"/>
      <c r="LZ18" s="42"/>
      <c r="MA18" s="42"/>
      <c r="MB18" s="42"/>
      <c r="MC18" s="42"/>
      <c r="MD18" s="42"/>
      <c r="ME18" s="42"/>
      <c r="MF18" s="42"/>
      <c r="MG18" s="42"/>
      <c r="MH18" s="42"/>
      <c r="MI18" s="42"/>
      <c r="MJ18" s="42"/>
      <c r="MK18" s="42"/>
      <c r="ML18" s="42"/>
      <c r="MM18" s="42"/>
      <c r="MN18" s="42"/>
      <c r="MO18" s="42"/>
      <c r="MP18" s="42"/>
      <c r="MQ18" s="42"/>
      <c r="MR18" s="42"/>
      <c r="MS18" s="42"/>
      <c r="MT18" s="42"/>
      <c r="MU18" s="42"/>
      <c r="MV18" s="42"/>
      <c r="MW18" s="42"/>
      <c r="MX18" s="42"/>
      <c r="MY18" s="42"/>
      <c r="MZ18" s="42"/>
      <c r="NA18" s="42"/>
      <c r="NB18" s="42"/>
      <c r="NC18" s="42"/>
      <c r="ND18" s="42"/>
      <c r="NE18" s="42"/>
      <c r="NF18" s="42"/>
      <c r="NG18" s="42"/>
      <c r="NH18" s="42"/>
      <c r="NI18" s="42"/>
      <c r="NJ18" s="42"/>
      <c r="NK18" s="42"/>
      <c r="NL18" s="42"/>
      <c r="NM18" s="42"/>
      <c r="NN18" s="42"/>
      <c r="NO18" s="42"/>
      <c r="NP18" s="42"/>
      <c r="NQ18" s="42"/>
      <c r="NR18" s="42"/>
      <c r="NS18" s="42"/>
    </row>
    <row r="19" spans="1:383" s="5" customFormat="1" x14ac:dyDescent="0.25">
      <c r="A19" s="1"/>
      <c r="B19" s="2"/>
      <c r="C19" s="2"/>
      <c r="D19" s="2"/>
      <c r="E19" s="3"/>
      <c r="F19" s="3"/>
      <c r="G19" s="4"/>
      <c r="H19" s="1"/>
      <c r="I19" s="7"/>
      <c r="J19" s="7"/>
      <c r="K19" s="7"/>
      <c r="L19" s="7"/>
      <c r="M19" s="7"/>
      <c r="N19" s="7"/>
      <c r="O19" s="3"/>
      <c r="P19" s="7"/>
      <c r="AL19" s="7"/>
      <c r="AM19" s="7"/>
      <c r="AN19" s="7"/>
      <c r="AO19" s="7"/>
      <c r="AT19" s="7"/>
      <c r="AV19" s="11"/>
      <c r="AW19" s="7"/>
      <c r="AY19" s="7"/>
      <c r="BN19" s="7"/>
      <c r="CQ19" s="7"/>
      <c r="DF19" s="7"/>
      <c r="DG19" s="7"/>
      <c r="DL19" s="15"/>
      <c r="DQ19" s="16"/>
      <c r="DR19" s="7"/>
      <c r="DV19" s="16"/>
      <c r="DZ19" s="16"/>
      <c r="EA19" s="7"/>
      <c r="EF19" s="16"/>
      <c r="EK19" s="16"/>
      <c r="EL19" s="7"/>
      <c r="EP19" s="16"/>
      <c r="ET19" s="16"/>
      <c r="EU19" s="7"/>
      <c r="FM19" s="7"/>
      <c r="FN19" s="390"/>
      <c r="FO19" s="390"/>
      <c r="FR19" s="7"/>
      <c r="FY19" s="7"/>
      <c r="GG19" s="7"/>
      <c r="HX19" s="74"/>
      <c r="HY19" s="42"/>
      <c r="HZ19" s="42"/>
      <c r="IE19" s="42"/>
      <c r="IF19" s="42"/>
      <c r="IK19" s="42"/>
      <c r="IL19" s="42"/>
      <c r="IM19" s="42"/>
      <c r="IN19" s="7"/>
      <c r="IO19" s="42"/>
      <c r="IT19" s="42"/>
      <c r="IU19" s="42"/>
      <c r="KC19" s="7"/>
      <c r="KD19" s="42"/>
      <c r="KG19" s="391"/>
      <c r="KH19" s="42"/>
      <c r="KI19" s="42"/>
      <c r="KJ19" s="42"/>
      <c r="KK19" s="42"/>
      <c r="KL19" s="42"/>
      <c r="KM19" s="42"/>
      <c r="KN19" s="42"/>
      <c r="KO19" s="42"/>
      <c r="KP19" s="42"/>
      <c r="KQ19" s="42"/>
      <c r="KR19" s="42"/>
      <c r="KS19" s="42"/>
      <c r="KT19" s="42"/>
      <c r="KU19" s="42"/>
      <c r="KV19" s="42"/>
      <c r="KW19" s="42"/>
      <c r="KX19" s="42"/>
      <c r="KY19" s="42"/>
      <c r="KZ19" s="42"/>
      <c r="LA19" s="42"/>
      <c r="LB19" s="42"/>
      <c r="LC19" s="42"/>
      <c r="LD19" s="42"/>
      <c r="LE19" s="42"/>
      <c r="LF19" s="42"/>
      <c r="LG19" s="42"/>
      <c r="LH19" s="42"/>
      <c r="LI19" s="42"/>
      <c r="LJ19" s="42"/>
      <c r="LK19" s="42"/>
      <c r="LL19" s="42"/>
      <c r="LM19" s="42"/>
      <c r="LN19" s="42"/>
      <c r="LO19" s="42"/>
      <c r="LP19" s="42"/>
      <c r="LQ19" s="42"/>
      <c r="LR19" s="42"/>
      <c r="LS19" s="42"/>
      <c r="LT19" s="42"/>
      <c r="LU19" s="42"/>
      <c r="LV19" s="42"/>
      <c r="LW19" s="42"/>
      <c r="LX19" s="42"/>
      <c r="LY19" s="42"/>
      <c r="LZ19" s="42"/>
      <c r="MA19" s="42"/>
      <c r="MB19" s="42"/>
      <c r="MC19" s="42"/>
      <c r="MD19" s="42"/>
      <c r="ME19" s="42"/>
      <c r="MF19" s="42"/>
      <c r="MG19" s="42"/>
      <c r="MH19" s="42"/>
      <c r="MI19" s="42"/>
      <c r="MJ19" s="42"/>
      <c r="MK19" s="42"/>
      <c r="ML19" s="42"/>
      <c r="MM19" s="42"/>
      <c r="MN19" s="42"/>
      <c r="MO19" s="42"/>
      <c r="MP19" s="42"/>
      <c r="MQ19" s="42"/>
      <c r="MR19" s="42"/>
      <c r="MS19" s="42"/>
      <c r="MT19" s="42"/>
      <c r="MU19" s="42"/>
      <c r="MV19" s="42"/>
      <c r="MW19" s="42"/>
      <c r="MX19" s="42"/>
      <c r="MY19" s="42"/>
      <c r="MZ19" s="42"/>
      <c r="NA19" s="42"/>
      <c r="NB19" s="42"/>
      <c r="NC19" s="42"/>
      <c r="ND19" s="42"/>
      <c r="NE19" s="42"/>
      <c r="NF19" s="42"/>
      <c r="NG19" s="42"/>
      <c r="NH19" s="42"/>
      <c r="NI19" s="42"/>
      <c r="NJ19" s="42"/>
      <c r="NK19" s="42"/>
      <c r="NL19" s="42"/>
      <c r="NM19" s="42"/>
      <c r="NN19" s="42"/>
      <c r="NO19" s="42"/>
      <c r="NP19" s="42"/>
      <c r="NQ19" s="42"/>
      <c r="NR19" s="42"/>
      <c r="NS19" s="42"/>
    </row>
    <row r="20" spans="1:383" s="5" customFormat="1" x14ac:dyDescent="0.25">
      <c r="A20" s="1"/>
      <c r="B20" s="2"/>
      <c r="C20" s="2"/>
      <c r="D20" s="2"/>
      <c r="E20" s="3"/>
      <c r="F20" s="3"/>
      <c r="G20" s="4"/>
      <c r="H20" s="1"/>
      <c r="I20" s="7"/>
      <c r="J20" s="7"/>
      <c r="K20" s="7"/>
      <c r="L20" s="7"/>
      <c r="M20" s="7"/>
      <c r="N20" s="7"/>
      <c r="O20" s="3"/>
      <c r="P20" s="7"/>
      <c r="AL20" s="7"/>
      <c r="AM20" s="7"/>
      <c r="AN20" s="7"/>
      <c r="AO20" s="7"/>
      <c r="AT20" s="7"/>
      <c r="AV20" s="11"/>
      <c r="AW20" s="7"/>
      <c r="AY20" s="7"/>
      <c r="BN20" s="7"/>
      <c r="CQ20" s="7"/>
      <c r="DF20" s="7"/>
      <c r="DG20" s="7"/>
      <c r="DL20" s="15"/>
      <c r="DQ20" s="16"/>
      <c r="DR20" s="7"/>
      <c r="DV20" s="16"/>
      <c r="DZ20" s="16"/>
      <c r="EA20" s="7"/>
      <c r="EF20" s="16"/>
      <c r="EK20" s="16"/>
      <c r="EL20" s="7"/>
      <c r="EP20" s="16"/>
      <c r="ET20" s="16"/>
      <c r="EU20" s="7"/>
      <c r="FM20" s="7"/>
      <c r="FN20" s="390"/>
      <c r="FO20" s="390"/>
      <c r="FR20" s="7"/>
      <c r="FY20" s="7"/>
      <c r="GG20" s="7"/>
      <c r="HX20" s="74"/>
      <c r="HY20" s="42"/>
      <c r="HZ20" s="42"/>
      <c r="IE20" s="42"/>
      <c r="IF20" s="42"/>
      <c r="IK20" s="42"/>
      <c r="IL20" s="42"/>
      <c r="IM20" s="42"/>
      <c r="IN20" s="7"/>
      <c r="IO20" s="42"/>
      <c r="IT20" s="42"/>
      <c r="IU20" s="42"/>
      <c r="KC20" s="7"/>
      <c r="KD20" s="42"/>
      <c r="KG20" s="391"/>
      <c r="KH20" s="42"/>
      <c r="KI20" s="42"/>
      <c r="KJ20" s="42"/>
      <c r="KK20" s="42"/>
      <c r="KL20" s="42"/>
      <c r="KM20" s="42"/>
      <c r="KN20" s="42"/>
      <c r="KO20" s="42"/>
      <c r="KP20" s="42"/>
      <c r="KQ20" s="42"/>
      <c r="KR20" s="42"/>
      <c r="KS20" s="42"/>
      <c r="KT20" s="42"/>
      <c r="KU20" s="42"/>
      <c r="KV20" s="42"/>
      <c r="KW20" s="42"/>
      <c r="KX20" s="42"/>
      <c r="KY20" s="42"/>
      <c r="KZ20" s="42"/>
      <c r="LA20" s="42"/>
      <c r="LB20" s="42"/>
      <c r="LC20" s="42"/>
      <c r="LD20" s="42"/>
      <c r="LE20" s="42"/>
      <c r="LF20" s="42"/>
      <c r="LG20" s="42"/>
      <c r="LH20" s="42"/>
      <c r="LI20" s="42"/>
      <c r="LJ20" s="42"/>
      <c r="LK20" s="42"/>
      <c r="LL20" s="42"/>
      <c r="LM20" s="42"/>
      <c r="LN20" s="42"/>
      <c r="LO20" s="42"/>
      <c r="LP20" s="42"/>
      <c r="LQ20" s="42"/>
      <c r="LR20" s="42"/>
      <c r="LS20" s="42"/>
      <c r="LT20" s="42"/>
      <c r="LU20" s="42"/>
      <c r="LV20" s="42"/>
      <c r="LW20" s="42"/>
      <c r="LX20" s="42"/>
      <c r="LY20" s="42"/>
      <c r="LZ20" s="42"/>
      <c r="MA20" s="42"/>
      <c r="MB20" s="42"/>
      <c r="MC20" s="42"/>
      <c r="MD20" s="42"/>
      <c r="ME20" s="42"/>
      <c r="MF20" s="42"/>
      <c r="MG20" s="42"/>
      <c r="MH20" s="42"/>
      <c r="MI20" s="42"/>
      <c r="MJ20" s="42"/>
      <c r="MK20" s="42"/>
      <c r="ML20" s="42"/>
      <c r="MM20" s="42"/>
      <c r="MN20" s="42"/>
      <c r="MO20" s="42"/>
      <c r="MP20" s="42"/>
      <c r="MQ20" s="42"/>
      <c r="MR20" s="42"/>
      <c r="MS20" s="42"/>
      <c r="MT20" s="42"/>
      <c r="MU20" s="42"/>
      <c r="MV20" s="42"/>
      <c r="MW20" s="42"/>
      <c r="MX20" s="42"/>
      <c r="MY20" s="42"/>
      <c r="MZ20" s="42"/>
      <c r="NA20" s="42"/>
      <c r="NB20" s="42"/>
      <c r="NC20" s="42"/>
      <c r="ND20" s="42"/>
      <c r="NE20" s="42"/>
      <c r="NF20" s="42"/>
      <c r="NG20" s="42"/>
      <c r="NH20" s="42"/>
      <c r="NI20" s="42"/>
      <c r="NJ20" s="42"/>
      <c r="NK20" s="42"/>
      <c r="NL20" s="42"/>
      <c r="NM20" s="42"/>
      <c r="NN20" s="42"/>
      <c r="NO20" s="42"/>
      <c r="NP20" s="42"/>
      <c r="NQ20" s="42"/>
      <c r="NR20" s="42"/>
      <c r="NS20" s="42"/>
    </row>
    <row r="21" spans="1:383" s="5" customFormat="1" x14ac:dyDescent="0.25">
      <c r="A21" s="1"/>
      <c r="B21" s="2"/>
      <c r="C21" s="2"/>
      <c r="D21" s="2"/>
      <c r="E21" s="3"/>
      <c r="F21" s="3"/>
      <c r="G21" s="4"/>
      <c r="H21" s="1"/>
      <c r="I21" s="7"/>
      <c r="J21" s="7"/>
      <c r="K21" s="7"/>
      <c r="L21" s="7"/>
      <c r="M21" s="7"/>
      <c r="N21" s="7"/>
      <c r="O21" s="3"/>
      <c r="P21" s="7"/>
      <c r="AL21" s="7"/>
      <c r="AM21" s="7"/>
      <c r="AN21" s="7"/>
      <c r="AO21" s="7"/>
      <c r="AT21" s="7"/>
      <c r="AV21" s="11"/>
      <c r="AW21" s="7"/>
      <c r="AY21" s="7"/>
      <c r="BN21" s="7"/>
      <c r="CQ21" s="7"/>
      <c r="DF21" s="7"/>
      <c r="DG21" s="7"/>
      <c r="DL21" s="15"/>
      <c r="DQ21" s="16"/>
      <c r="DR21" s="7"/>
      <c r="DV21" s="16"/>
      <c r="DZ21" s="16"/>
      <c r="EA21" s="7"/>
      <c r="EF21" s="16"/>
      <c r="EK21" s="16"/>
      <c r="EL21" s="7"/>
      <c r="EP21" s="16"/>
      <c r="ET21" s="16"/>
      <c r="EU21" s="7"/>
      <c r="FM21" s="7"/>
      <c r="FN21" s="390"/>
      <c r="FO21" s="390"/>
      <c r="FR21" s="7"/>
      <c r="FY21" s="7"/>
      <c r="GG21" s="7"/>
      <c r="HX21" s="74"/>
      <c r="HY21" s="42"/>
      <c r="HZ21" s="42"/>
      <c r="IE21" s="42"/>
      <c r="IF21" s="42"/>
      <c r="IK21" s="42"/>
      <c r="IL21" s="42"/>
      <c r="IM21" s="42"/>
      <c r="IN21" s="7"/>
      <c r="IO21" s="42"/>
      <c r="IT21" s="42"/>
      <c r="IU21" s="42"/>
      <c r="KC21" s="7"/>
      <c r="KD21" s="42"/>
      <c r="KG21" s="391"/>
      <c r="KH21" s="42"/>
      <c r="KI21" s="42"/>
      <c r="KJ21" s="42"/>
      <c r="KK21" s="42"/>
      <c r="KL21" s="42"/>
      <c r="KM21" s="42"/>
      <c r="KN21" s="42"/>
      <c r="KO21" s="42"/>
      <c r="KP21" s="42"/>
      <c r="KQ21" s="42"/>
      <c r="KR21" s="42"/>
      <c r="KS21" s="42"/>
      <c r="KT21" s="42"/>
      <c r="KU21" s="42"/>
      <c r="KV21" s="42"/>
      <c r="KW21" s="42"/>
      <c r="KX21" s="42"/>
      <c r="KY21" s="42"/>
      <c r="KZ21" s="42"/>
      <c r="LA21" s="42"/>
      <c r="LB21" s="42"/>
      <c r="LC21" s="42"/>
      <c r="LD21" s="42"/>
      <c r="LE21" s="42"/>
      <c r="LF21" s="42"/>
      <c r="LG21" s="42"/>
      <c r="LH21" s="42"/>
      <c r="LI21" s="42"/>
      <c r="LJ21" s="42"/>
      <c r="LK21" s="42"/>
      <c r="LL21" s="42"/>
      <c r="LM21" s="42"/>
      <c r="LN21" s="42"/>
      <c r="LO21" s="42"/>
      <c r="LP21" s="42"/>
      <c r="LQ21" s="42"/>
      <c r="LR21" s="42"/>
      <c r="LS21" s="42"/>
      <c r="LT21" s="42"/>
      <c r="LU21" s="42"/>
      <c r="LV21" s="42"/>
      <c r="LW21" s="42"/>
      <c r="LX21" s="42"/>
      <c r="LY21" s="42"/>
      <c r="LZ21" s="42"/>
      <c r="MA21" s="42"/>
      <c r="MB21" s="42"/>
      <c r="MC21" s="42"/>
      <c r="MD21" s="42"/>
      <c r="ME21" s="42"/>
      <c r="MF21" s="42"/>
      <c r="MG21" s="42"/>
      <c r="MH21" s="42"/>
      <c r="MI21" s="42"/>
      <c r="MJ21" s="42"/>
      <c r="MK21" s="42"/>
      <c r="ML21" s="42"/>
      <c r="MM21" s="42"/>
      <c r="MN21" s="42"/>
      <c r="MO21" s="42"/>
      <c r="MP21" s="42"/>
      <c r="MQ21" s="42"/>
      <c r="MR21" s="42"/>
      <c r="MS21" s="42"/>
      <c r="MT21" s="42"/>
      <c r="MU21" s="42"/>
      <c r="MV21" s="42"/>
      <c r="MW21" s="42"/>
      <c r="MX21" s="42"/>
      <c r="MY21" s="42"/>
      <c r="MZ21" s="42"/>
      <c r="NA21" s="42"/>
      <c r="NB21" s="42"/>
      <c r="NC21" s="42"/>
      <c r="ND21" s="42"/>
      <c r="NE21" s="42"/>
      <c r="NF21" s="42"/>
      <c r="NG21" s="42"/>
      <c r="NH21" s="42"/>
      <c r="NI21" s="42"/>
      <c r="NJ21" s="42"/>
      <c r="NK21" s="42"/>
      <c r="NL21" s="42"/>
      <c r="NM21" s="42"/>
      <c r="NN21" s="42"/>
      <c r="NO21" s="42"/>
      <c r="NP21" s="42"/>
      <c r="NQ21" s="42"/>
      <c r="NR21" s="42"/>
      <c r="NS21" s="42"/>
    </row>
    <row r="22" spans="1:383" s="5" customFormat="1" x14ac:dyDescent="0.25">
      <c r="A22" s="1"/>
      <c r="B22" s="2"/>
      <c r="C22" s="2"/>
      <c r="D22" s="2"/>
      <c r="E22" s="3"/>
      <c r="F22" s="3"/>
      <c r="G22" s="4"/>
      <c r="H22" s="1"/>
      <c r="I22" s="7"/>
      <c r="J22" s="7"/>
      <c r="K22" s="7"/>
      <c r="L22" s="7"/>
      <c r="M22" s="7"/>
      <c r="N22" s="7"/>
      <c r="O22" s="3"/>
      <c r="P22" s="7"/>
      <c r="AL22" s="7"/>
      <c r="AM22" s="7"/>
      <c r="AN22" s="7"/>
      <c r="AO22" s="7"/>
      <c r="AT22" s="7"/>
      <c r="AV22" s="11"/>
      <c r="AW22" s="7"/>
      <c r="AY22" s="7"/>
      <c r="BN22" s="7"/>
      <c r="CQ22" s="7"/>
      <c r="DF22" s="7"/>
      <c r="DG22" s="7"/>
      <c r="DL22" s="15"/>
      <c r="DQ22" s="16"/>
      <c r="DR22" s="7"/>
      <c r="DV22" s="16"/>
      <c r="DZ22" s="16"/>
      <c r="EA22" s="7"/>
      <c r="EF22" s="16"/>
      <c r="EK22" s="16"/>
      <c r="EL22" s="7"/>
      <c r="EP22" s="16"/>
      <c r="ET22" s="16"/>
      <c r="EU22" s="7"/>
      <c r="FM22" s="7"/>
      <c r="FN22" s="390"/>
      <c r="FO22" s="390"/>
      <c r="FR22" s="7"/>
      <c r="FY22" s="7"/>
      <c r="GG22" s="7"/>
      <c r="HX22" s="74"/>
      <c r="HY22" s="42"/>
      <c r="HZ22" s="42"/>
      <c r="IE22" s="42"/>
      <c r="IF22" s="42"/>
      <c r="IK22" s="42"/>
      <c r="IL22" s="42"/>
      <c r="IM22" s="42"/>
      <c r="IN22" s="7"/>
      <c r="IO22" s="42"/>
      <c r="IT22" s="42"/>
      <c r="IU22" s="42"/>
      <c r="KC22" s="7"/>
      <c r="KD22" s="42"/>
      <c r="KG22" s="391"/>
      <c r="KH22" s="42"/>
      <c r="KI22" s="42"/>
      <c r="KJ22" s="42"/>
      <c r="KK22" s="42"/>
      <c r="KL22" s="42"/>
      <c r="KM22" s="42"/>
      <c r="KN22" s="42"/>
      <c r="KO22" s="42"/>
      <c r="KP22" s="42"/>
      <c r="KQ22" s="42"/>
      <c r="KR22" s="42"/>
      <c r="KS22" s="42"/>
      <c r="KT22" s="42"/>
      <c r="KU22" s="42"/>
      <c r="KV22" s="42"/>
      <c r="KW22" s="42"/>
      <c r="KX22" s="42"/>
      <c r="KY22" s="42"/>
      <c r="KZ22" s="42"/>
      <c r="LA22" s="42"/>
      <c r="LB22" s="42"/>
      <c r="LC22" s="42"/>
      <c r="LD22" s="42"/>
      <c r="LE22" s="42"/>
      <c r="LF22" s="42"/>
      <c r="LG22" s="42"/>
      <c r="LH22" s="42"/>
      <c r="LI22" s="42"/>
      <c r="LJ22" s="42"/>
      <c r="LK22" s="42"/>
      <c r="LL22" s="42"/>
      <c r="LM22" s="42"/>
      <c r="LN22" s="42"/>
      <c r="LO22" s="42"/>
      <c r="LP22" s="42"/>
      <c r="LQ22" s="42"/>
      <c r="LR22" s="42"/>
      <c r="LS22" s="42"/>
      <c r="LT22" s="42"/>
      <c r="LU22" s="42"/>
      <c r="LV22" s="42"/>
      <c r="LW22" s="42"/>
      <c r="LX22" s="42"/>
      <c r="LY22" s="42"/>
      <c r="LZ22" s="42"/>
      <c r="MA22" s="42"/>
      <c r="MB22" s="42"/>
      <c r="MC22" s="42"/>
      <c r="MD22" s="42"/>
      <c r="ME22" s="42"/>
      <c r="MF22" s="42"/>
      <c r="MG22" s="42"/>
      <c r="MH22" s="42"/>
      <c r="MI22" s="42"/>
      <c r="MJ22" s="42"/>
      <c r="MK22" s="42"/>
      <c r="ML22" s="42"/>
      <c r="MM22" s="42"/>
      <c r="MN22" s="42"/>
      <c r="MO22" s="42"/>
      <c r="MP22" s="42"/>
      <c r="MQ22" s="42"/>
      <c r="MR22" s="42"/>
      <c r="MS22" s="42"/>
      <c r="MT22" s="42"/>
      <c r="MU22" s="42"/>
      <c r="MV22" s="42"/>
      <c r="MW22" s="42"/>
      <c r="MX22" s="42"/>
      <c r="MY22" s="42"/>
      <c r="MZ22" s="42"/>
      <c r="NA22" s="42"/>
      <c r="NB22" s="42"/>
      <c r="NC22" s="42"/>
      <c r="ND22" s="42"/>
      <c r="NE22" s="42"/>
      <c r="NF22" s="42"/>
      <c r="NG22" s="42"/>
      <c r="NH22" s="42"/>
      <c r="NI22" s="42"/>
      <c r="NJ22" s="42"/>
      <c r="NK22" s="42"/>
      <c r="NL22" s="42"/>
      <c r="NM22" s="42"/>
      <c r="NN22" s="42"/>
      <c r="NO22" s="42"/>
      <c r="NP22" s="42"/>
      <c r="NQ22" s="42"/>
      <c r="NR22" s="42"/>
      <c r="NS22" s="42"/>
    </row>
    <row r="23" spans="1:383" s="5" customFormat="1" x14ac:dyDescent="0.25">
      <c r="A23" s="1"/>
      <c r="B23" s="2"/>
      <c r="C23" s="2"/>
      <c r="D23" s="2"/>
      <c r="E23" s="3"/>
      <c r="F23" s="3"/>
      <c r="G23" s="4"/>
      <c r="H23" s="1"/>
      <c r="I23" s="7"/>
      <c r="J23" s="7"/>
      <c r="K23" s="7"/>
      <c r="L23" s="7"/>
      <c r="M23" s="7"/>
      <c r="N23" s="7"/>
      <c r="O23" s="3"/>
      <c r="P23" s="7"/>
      <c r="AL23" s="7"/>
      <c r="AM23" s="7"/>
      <c r="AN23" s="7"/>
      <c r="AO23" s="7"/>
      <c r="AT23" s="7"/>
      <c r="AV23" s="11"/>
      <c r="AW23" s="7"/>
      <c r="AY23" s="7"/>
      <c r="BN23" s="7"/>
      <c r="CQ23" s="7"/>
      <c r="DF23" s="7"/>
      <c r="DG23" s="7"/>
      <c r="DL23" s="15"/>
      <c r="DQ23" s="16"/>
      <c r="DR23" s="7"/>
      <c r="DV23" s="16"/>
      <c r="DZ23" s="16"/>
      <c r="EA23" s="7"/>
      <c r="EF23" s="16"/>
      <c r="EK23" s="16"/>
      <c r="EL23" s="7"/>
      <c r="EP23" s="16"/>
      <c r="ET23" s="16"/>
      <c r="EU23" s="7"/>
      <c r="FM23" s="7"/>
      <c r="FN23" s="390"/>
      <c r="FO23" s="390"/>
      <c r="FR23" s="7"/>
      <c r="FY23" s="7"/>
      <c r="GG23" s="7"/>
      <c r="HX23" s="74"/>
      <c r="HY23" s="42"/>
      <c r="HZ23" s="42"/>
      <c r="IE23" s="42"/>
      <c r="IF23" s="42"/>
      <c r="IK23" s="42"/>
      <c r="IL23" s="42"/>
      <c r="IM23" s="42"/>
      <c r="IN23" s="7"/>
      <c r="IO23" s="42"/>
      <c r="IT23" s="42"/>
      <c r="IU23" s="42"/>
      <c r="KC23" s="7"/>
      <c r="KD23" s="42"/>
      <c r="KG23" s="391"/>
      <c r="KH23" s="42"/>
      <c r="KI23" s="42"/>
      <c r="KJ23" s="42"/>
      <c r="KK23" s="42"/>
      <c r="KL23" s="42"/>
      <c r="KM23" s="42"/>
      <c r="KN23" s="42"/>
      <c r="KO23" s="42"/>
      <c r="KP23" s="42"/>
      <c r="KQ23" s="42"/>
      <c r="KR23" s="42"/>
      <c r="KS23" s="42"/>
      <c r="KT23" s="42"/>
      <c r="KU23" s="42"/>
      <c r="KV23" s="42"/>
      <c r="KW23" s="42"/>
      <c r="KX23" s="42"/>
      <c r="KY23" s="42"/>
      <c r="KZ23" s="42"/>
      <c r="LA23" s="42"/>
      <c r="LB23" s="42"/>
      <c r="LC23" s="42"/>
      <c r="LD23" s="42"/>
      <c r="LE23" s="42"/>
      <c r="LF23" s="42"/>
      <c r="LG23" s="42"/>
      <c r="LH23" s="42"/>
      <c r="LI23" s="42"/>
      <c r="LJ23" s="42"/>
      <c r="LK23" s="42"/>
      <c r="LL23" s="42"/>
      <c r="LM23" s="42"/>
      <c r="LN23" s="42"/>
      <c r="LO23" s="42"/>
      <c r="LP23" s="42"/>
      <c r="LQ23" s="42"/>
      <c r="LR23" s="42"/>
      <c r="LS23" s="42"/>
      <c r="LT23" s="42"/>
      <c r="LU23" s="42"/>
      <c r="LV23" s="42"/>
      <c r="LW23" s="42"/>
      <c r="LX23" s="42"/>
      <c r="LY23" s="42"/>
      <c r="LZ23" s="42"/>
      <c r="MA23" s="42"/>
      <c r="MB23" s="42"/>
      <c r="MC23" s="42"/>
      <c r="MD23" s="42"/>
      <c r="ME23" s="42"/>
      <c r="MF23" s="42"/>
      <c r="MG23" s="42"/>
      <c r="MH23" s="42"/>
      <c r="MI23" s="42"/>
      <c r="MJ23" s="42"/>
      <c r="MK23" s="42"/>
      <c r="ML23" s="42"/>
      <c r="MM23" s="42"/>
      <c r="MN23" s="42"/>
      <c r="MO23" s="42"/>
      <c r="MP23" s="42"/>
      <c r="MQ23" s="42"/>
      <c r="MR23" s="42"/>
      <c r="MS23" s="42"/>
      <c r="MT23" s="42"/>
      <c r="MU23" s="42"/>
      <c r="MV23" s="42"/>
      <c r="MW23" s="42"/>
      <c r="MX23" s="42"/>
      <c r="MY23" s="42"/>
      <c r="MZ23" s="42"/>
      <c r="NA23" s="42"/>
      <c r="NB23" s="42"/>
      <c r="NC23" s="42"/>
      <c r="ND23" s="42"/>
      <c r="NE23" s="42"/>
      <c r="NF23" s="42"/>
      <c r="NG23" s="42"/>
      <c r="NH23" s="42"/>
      <c r="NI23" s="42"/>
      <c r="NJ23" s="42"/>
      <c r="NK23" s="42"/>
      <c r="NL23" s="42"/>
      <c r="NM23" s="42"/>
      <c r="NN23" s="42"/>
      <c r="NO23" s="42"/>
      <c r="NP23" s="42"/>
      <c r="NQ23" s="42"/>
      <c r="NR23" s="42"/>
      <c r="NS23" s="42"/>
    </row>
    <row r="24" spans="1:383" s="5" customFormat="1" x14ac:dyDescent="0.25">
      <c r="A24" s="1"/>
      <c r="B24" s="2"/>
      <c r="C24" s="2"/>
      <c r="D24" s="2"/>
      <c r="E24" s="3"/>
      <c r="F24" s="3"/>
      <c r="G24" s="4"/>
      <c r="H24" s="1"/>
      <c r="I24" s="7"/>
      <c r="J24" s="7"/>
      <c r="K24" s="7"/>
      <c r="L24" s="7"/>
      <c r="M24" s="7"/>
      <c r="N24" s="7"/>
      <c r="O24" s="3"/>
      <c r="P24" s="7"/>
      <c r="AL24" s="7"/>
      <c r="AM24" s="7"/>
      <c r="AN24" s="7"/>
      <c r="AO24" s="7"/>
      <c r="AT24" s="7"/>
      <c r="AV24" s="11"/>
      <c r="AW24" s="7"/>
      <c r="AY24" s="7"/>
      <c r="BN24" s="7"/>
      <c r="CQ24" s="7"/>
      <c r="DF24" s="7"/>
      <c r="DG24" s="7"/>
      <c r="DL24" s="15"/>
      <c r="DQ24" s="16"/>
      <c r="DR24" s="7"/>
      <c r="DV24" s="16"/>
      <c r="DZ24" s="16"/>
      <c r="EA24" s="7"/>
      <c r="EF24" s="16"/>
      <c r="EK24" s="16"/>
      <c r="EL24" s="7"/>
      <c r="EP24" s="16"/>
      <c r="ET24" s="16"/>
      <c r="EU24" s="7"/>
      <c r="FM24" s="7"/>
      <c r="FN24" s="390"/>
      <c r="FO24" s="390"/>
      <c r="FR24" s="7"/>
      <c r="FY24" s="7"/>
      <c r="GG24" s="7"/>
      <c r="HX24" s="74"/>
      <c r="HY24" s="42"/>
      <c r="HZ24" s="42"/>
      <c r="IE24" s="42"/>
      <c r="IF24" s="42"/>
      <c r="IK24" s="42"/>
      <c r="IL24" s="42"/>
      <c r="IM24" s="42"/>
      <c r="IN24" s="7"/>
      <c r="IO24" s="42"/>
      <c r="IT24" s="42"/>
      <c r="IU24" s="42"/>
      <c r="KC24" s="7"/>
      <c r="KD24" s="42"/>
      <c r="KG24" s="391"/>
      <c r="KH24" s="42"/>
      <c r="KI24" s="42"/>
      <c r="KJ24" s="42"/>
      <c r="KK24" s="42"/>
      <c r="KL24" s="42"/>
      <c r="KM24" s="42"/>
      <c r="KN24" s="42"/>
      <c r="KO24" s="42"/>
      <c r="KP24" s="42"/>
      <c r="KQ24" s="42"/>
      <c r="KR24" s="42"/>
      <c r="KS24" s="42"/>
      <c r="KT24" s="42"/>
      <c r="KU24" s="42"/>
      <c r="KV24" s="42"/>
      <c r="KW24" s="42"/>
      <c r="KX24" s="42"/>
      <c r="KY24" s="42"/>
      <c r="KZ24" s="42"/>
      <c r="LA24" s="42"/>
      <c r="LB24" s="42"/>
      <c r="LC24" s="42"/>
      <c r="LD24" s="42"/>
      <c r="LE24" s="42"/>
      <c r="LF24" s="42"/>
      <c r="LG24" s="42"/>
      <c r="LH24" s="42"/>
      <c r="LI24" s="42"/>
      <c r="LJ24" s="42"/>
      <c r="LK24" s="42"/>
      <c r="LL24" s="42"/>
      <c r="LM24" s="42"/>
      <c r="LN24" s="42"/>
      <c r="LO24" s="42"/>
      <c r="LP24" s="42"/>
      <c r="LQ24" s="42"/>
      <c r="LR24" s="42"/>
      <c r="LS24" s="42"/>
      <c r="LT24" s="42"/>
      <c r="LU24" s="42"/>
      <c r="LV24" s="42"/>
      <c r="LW24" s="42"/>
      <c r="LX24" s="42"/>
      <c r="LY24" s="42"/>
      <c r="LZ24" s="42"/>
      <c r="MA24" s="42"/>
      <c r="MB24" s="42"/>
      <c r="MC24" s="42"/>
      <c r="MD24" s="42"/>
      <c r="ME24" s="42"/>
      <c r="MF24" s="42"/>
      <c r="MG24" s="42"/>
      <c r="MH24" s="42"/>
      <c r="MI24" s="42"/>
      <c r="MJ24" s="42"/>
      <c r="MK24" s="42"/>
      <c r="ML24" s="42"/>
      <c r="MM24" s="42"/>
      <c r="MN24" s="42"/>
      <c r="MO24" s="42"/>
      <c r="MP24" s="42"/>
      <c r="MQ24" s="42"/>
      <c r="MR24" s="42"/>
      <c r="MS24" s="42"/>
      <c r="MT24" s="42"/>
      <c r="MU24" s="42"/>
      <c r="MV24" s="42"/>
      <c r="MW24" s="42"/>
      <c r="MX24" s="42"/>
      <c r="MY24" s="42"/>
      <c r="MZ24" s="42"/>
      <c r="NA24" s="42"/>
      <c r="NB24" s="42"/>
      <c r="NC24" s="42"/>
      <c r="ND24" s="42"/>
      <c r="NE24" s="42"/>
      <c r="NF24" s="42"/>
      <c r="NG24" s="42"/>
      <c r="NH24" s="42"/>
      <c r="NI24" s="42"/>
      <c r="NJ24" s="42"/>
      <c r="NK24" s="42"/>
      <c r="NL24" s="42"/>
      <c r="NM24" s="42"/>
      <c r="NN24" s="42"/>
      <c r="NO24" s="42"/>
      <c r="NP24" s="42"/>
      <c r="NQ24" s="42"/>
      <c r="NR24" s="42"/>
      <c r="NS24" s="42"/>
    </row>
    <row r="25" spans="1:383" s="5" customFormat="1" x14ac:dyDescent="0.25">
      <c r="A25" s="1"/>
      <c r="B25" s="2"/>
      <c r="C25" s="2"/>
      <c r="D25" s="2"/>
      <c r="E25" s="3"/>
      <c r="F25" s="3"/>
      <c r="G25" s="4"/>
      <c r="H25" s="1"/>
      <c r="I25" s="7"/>
      <c r="J25" s="7"/>
      <c r="K25" s="7"/>
      <c r="L25" s="7"/>
      <c r="M25" s="7"/>
      <c r="N25" s="7"/>
      <c r="O25" s="3"/>
      <c r="P25" s="7"/>
      <c r="AL25" s="7"/>
      <c r="AM25" s="7"/>
      <c r="AN25" s="7"/>
      <c r="AO25" s="7"/>
      <c r="AT25" s="7"/>
      <c r="AV25" s="11"/>
      <c r="AW25" s="7"/>
      <c r="AY25" s="7"/>
      <c r="BN25" s="7"/>
      <c r="CQ25" s="7"/>
      <c r="DF25" s="7"/>
      <c r="DG25" s="7"/>
      <c r="DL25" s="15"/>
      <c r="DQ25" s="16"/>
      <c r="DR25" s="7"/>
      <c r="DV25" s="16"/>
      <c r="DZ25" s="16"/>
      <c r="EA25" s="7"/>
      <c r="EF25" s="16"/>
      <c r="EK25" s="16"/>
      <c r="EL25" s="7"/>
      <c r="EP25" s="16"/>
      <c r="ET25" s="16"/>
      <c r="EU25" s="7"/>
      <c r="FM25" s="7"/>
      <c r="FN25" s="390"/>
      <c r="FO25" s="390"/>
      <c r="FR25" s="7"/>
      <c r="FY25" s="7"/>
      <c r="GG25" s="7"/>
      <c r="HX25" s="74"/>
      <c r="HY25" s="42"/>
      <c r="HZ25" s="42"/>
      <c r="IE25" s="42"/>
      <c r="IF25" s="42"/>
      <c r="IK25" s="42"/>
      <c r="IL25" s="42"/>
      <c r="IM25" s="42"/>
      <c r="IN25" s="7"/>
      <c r="IO25" s="42"/>
      <c r="IT25" s="42"/>
      <c r="IU25" s="42"/>
      <c r="KC25" s="7"/>
      <c r="KD25" s="42"/>
      <c r="KG25" s="391"/>
      <c r="KH25" s="42"/>
      <c r="KI25" s="42"/>
      <c r="KJ25" s="42"/>
      <c r="KK25" s="42"/>
      <c r="KL25" s="42"/>
      <c r="KM25" s="42"/>
      <c r="KN25" s="42"/>
      <c r="KO25" s="42"/>
      <c r="KP25" s="42"/>
      <c r="KQ25" s="42"/>
      <c r="KR25" s="42"/>
      <c r="KS25" s="42"/>
      <c r="KT25" s="42"/>
      <c r="KU25" s="42"/>
      <c r="KV25" s="42"/>
      <c r="KW25" s="42"/>
      <c r="KX25" s="42"/>
      <c r="KY25" s="42"/>
      <c r="KZ25" s="42"/>
      <c r="LA25" s="42"/>
      <c r="LB25" s="42"/>
      <c r="LC25" s="42"/>
      <c r="LD25" s="42"/>
      <c r="LE25" s="42"/>
      <c r="LF25" s="42"/>
      <c r="LG25" s="42"/>
      <c r="LH25" s="42"/>
      <c r="LI25" s="42"/>
      <c r="LJ25" s="42"/>
      <c r="LK25" s="42"/>
      <c r="LL25" s="42"/>
      <c r="LM25" s="42"/>
      <c r="LN25" s="42"/>
      <c r="LO25" s="42"/>
      <c r="LP25" s="42"/>
      <c r="LQ25" s="42"/>
      <c r="LR25" s="42"/>
      <c r="LS25" s="42"/>
      <c r="LT25" s="42"/>
      <c r="LU25" s="42"/>
      <c r="LV25" s="42"/>
      <c r="LW25" s="42"/>
      <c r="LX25" s="42"/>
      <c r="LY25" s="42"/>
      <c r="LZ25" s="42"/>
      <c r="MA25" s="42"/>
      <c r="MB25" s="42"/>
      <c r="MC25" s="42"/>
      <c r="MD25" s="42"/>
      <c r="ME25" s="42"/>
      <c r="MF25" s="42"/>
      <c r="MG25" s="42"/>
      <c r="MH25" s="42"/>
      <c r="MI25" s="42"/>
      <c r="MJ25" s="42"/>
      <c r="MK25" s="42"/>
      <c r="ML25" s="42"/>
      <c r="MM25" s="42"/>
      <c r="MN25" s="42"/>
      <c r="MO25" s="42"/>
      <c r="MP25" s="42"/>
      <c r="MQ25" s="42"/>
      <c r="MR25" s="42"/>
      <c r="MS25" s="42"/>
      <c r="MT25" s="42"/>
      <c r="MU25" s="42"/>
      <c r="MV25" s="42"/>
      <c r="MW25" s="42"/>
      <c r="MX25" s="42"/>
      <c r="MY25" s="42"/>
      <c r="MZ25" s="42"/>
      <c r="NA25" s="42"/>
      <c r="NB25" s="42"/>
      <c r="NC25" s="42"/>
      <c r="ND25" s="42"/>
      <c r="NE25" s="42"/>
      <c r="NF25" s="42"/>
      <c r="NG25" s="42"/>
      <c r="NH25" s="42"/>
      <c r="NI25" s="42"/>
      <c r="NJ25" s="42"/>
      <c r="NK25" s="42"/>
      <c r="NL25" s="42"/>
      <c r="NM25" s="42"/>
      <c r="NN25" s="42"/>
      <c r="NO25" s="42"/>
      <c r="NP25" s="42"/>
      <c r="NQ25" s="42"/>
      <c r="NR25" s="42"/>
      <c r="NS25" s="42"/>
    </row>
    <row r="26" spans="1:383" s="5" customFormat="1" x14ac:dyDescent="0.25">
      <c r="A26" s="1"/>
      <c r="B26" s="2"/>
      <c r="C26" s="2"/>
      <c r="D26" s="2"/>
      <c r="E26" s="3"/>
      <c r="F26" s="3"/>
      <c r="G26" s="4"/>
      <c r="H26" s="1"/>
      <c r="I26" s="7"/>
      <c r="J26" s="7"/>
      <c r="K26" s="7"/>
      <c r="L26" s="7"/>
      <c r="M26" s="7"/>
      <c r="N26" s="7"/>
      <c r="O26" s="3"/>
      <c r="P26" s="7"/>
      <c r="AL26" s="7"/>
      <c r="AM26" s="7"/>
      <c r="AN26" s="7"/>
      <c r="AO26" s="7"/>
      <c r="AT26" s="7"/>
      <c r="AV26" s="11"/>
      <c r="AW26" s="7"/>
      <c r="AY26" s="7"/>
      <c r="BN26" s="7"/>
      <c r="CQ26" s="7"/>
      <c r="DF26" s="7"/>
      <c r="DG26" s="7"/>
      <c r="DL26" s="15"/>
      <c r="DQ26" s="16"/>
      <c r="DR26" s="7"/>
      <c r="DV26" s="16"/>
      <c r="DZ26" s="16"/>
      <c r="EA26" s="7"/>
      <c r="EF26" s="16"/>
      <c r="EK26" s="16"/>
      <c r="EL26" s="7"/>
      <c r="EP26" s="16"/>
      <c r="ET26" s="16"/>
      <c r="EU26" s="7"/>
      <c r="FM26" s="7"/>
      <c r="FN26" s="390"/>
      <c r="FO26" s="390"/>
      <c r="FR26" s="7"/>
      <c r="FY26" s="7"/>
      <c r="GG26" s="7"/>
      <c r="HX26" s="74"/>
      <c r="HY26" s="42"/>
      <c r="HZ26" s="42"/>
      <c r="IE26" s="42"/>
      <c r="IF26" s="42"/>
      <c r="IK26" s="42"/>
      <c r="IL26" s="42"/>
      <c r="IM26" s="42"/>
      <c r="IN26" s="7"/>
      <c r="IO26" s="42"/>
      <c r="IT26" s="42"/>
      <c r="IU26" s="42"/>
      <c r="KC26" s="7"/>
      <c r="KD26" s="42"/>
      <c r="KG26" s="391"/>
      <c r="KH26" s="42"/>
      <c r="KI26" s="42"/>
      <c r="KJ26" s="42"/>
      <c r="KK26" s="42"/>
      <c r="KL26" s="42"/>
      <c r="KM26" s="42"/>
      <c r="KN26" s="42"/>
      <c r="KO26" s="42"/>
      <c r="KP26" s="42"/>
      <c r="KQ26" s="42"/>
      <c r="KR26" s="42"/>
      <c r="KS26" s="42"/>
      <c r="KT26" s="42"/>
      <c r="KU26" s="42"/>
      <c r="KV26" s="42"/>
      <c r="KW26" s="42"/>
      <c r="KX26" s="42"/>
      <c r="KY26" s="42"/>
      <c r="KZ26" s="42"/>
      <c r="LA26" s="42"/>
      <c r="LB26" s="42"/>
      <c r="LC26" s="42"/>
      <c r="LD26" s="42"/>
      <c r="LE26" s="42"/>
      <c r="LF26" s="42"/>
      <c r="LG26" s="42"/>
      <c r="LH26" s="42"/>
      <c r="LI26" s="42"/>
      <c r="LJ26" s="42"/>
      <c r="LK26" s="42"/>
      <c r="LL26" s="42"/>
      <c r="LM26" s="42"/>
      <c r="LN26" s="42"/>
      <c r="LO26" s="42"/>
      <c r="LP26" s="42"/>
      <c r="LQ26" s="42"/>
      <c r="LR26" s="42"/>
      <c r="LS26" s="42"/>
      <c r="LT26" s="42"/>
      <c r="LU26" s="42"/>
      <c r="LV26" s="42"/>
      <c r="LW26" s="42"/>
      <c r="LX26" s="42"/>
      <c r="LY26" s="42"/>
      <c r="LZ26" s="42"/>
      <c r="MA26" s="42"/>
      <c r="MB26" s="42"/>
      <c r="MC26" s="42"/>
      <c r="MD26" s="42"/>
      <c r="ME26" s="42"/>
      <c r="MF26" s="42"/>
      <c r="MG26" s="42"/>
      <c r="MH26" s="42"/>
      <c r="MI26" s="42"/>
      <c r="MJ26" s="42"/>
      <c r="MK26" s="42"/>
      <c r="ML26" s="42"/>
      <c r="MM26" s="42"/>
      <c r="MN26" s="42"/>
      <c r="MO26" s="42"/>
      <c r="MP26" s="42"/>
      <c r="MQ26" s="42"/>
      <c r="MR26" s="42"/>
      <c r="MS26" s="42"/>
      <c r="MT26" s="42"/>
      <c r="MU26" s="42"/>
      <c r="MV26" s="42"/>
      <c r="MW26" s="42"/>
      <c r="MX26" s="42"/>
      <c r="MY26" s="42"/>
      <c r="MZ26" s="42"/>
      <c r="NA26" s="42"/>
      <c r="NB26" s="42"/>
      <c r="NC26" s="42"/>
      <c r="ND26" s="42"/>
      <c r="NE26" s="42"/>
      <c r="NF26" s="42"/>
      <c r="NG26" s="42"/>
      <c r="NH26" s="42"/>
      <c r="NI26" s="42"/>
      <c r="NJ26" s="42"/>
      <c r="NK26" s="42"/>
      <c r="NL26" s="42"/>
      <c r="NM26" s="42"/>
      <c r="NN26" s="42"/>
      <c r="NO26" s="42"/>
      <c r="NP26" s="42"/>
      <c r="NQ26" s="42"/>
      <c r="NR26" s="42"/>
      <c r="NS26" s="42"/>
    </row>
    <row r="27" spans="1:383" s="5" customFormat="1" x14ac:dyDescent="0.25">
      <c r="A27" s="1"/>
      <c r="B27" s="2"/>
      <c r="C27" s="2"/>
      <c r="D27" s="2"/>
      <c r="E27" s="3"/>
      <c r="F27" s="3"/>
      <c r="G27" s="4"/>
      <c r="H27" s="1"/>
      <c r="I27" s="7"/>
      <c r="J27" s="7"/>
      <c r="K27" s="7"/>
      <c r="L27" s="7"/>
      <c r="M27" s="7"/>
      <c r="N27" s="7"/>
      <c r="O27" s="3"/>
      <c r="P27" s="7"/>
      <c r="AL27" s="7"/>
      <c r="AM27" s="7"/>
      <c r="AN27" s="7"/>
      <c r="AO27" s="7"/>
      <c r="AT27" s="7"/>
      <c r="AV27" s="11"/>
      <c r="AW27" s="7"/>
      <c r="AY27" s="7"/>
      <c r="BN27" s="7"/>
      <c r="CQ27" s="7"/>
      <c r="DF27" s="7"/>
      <c r="DG27" s="7"/>
      <c r="DL27" s="15"/>
      <c r="DQ27" s="16"/>
      <c r="DR27" s="7"/>
      <c r="DV27" s="16"/>
      <c r="DZ27" s="16"/>
      <c r="EA27" s="7"/>
      <c r="EF27" s="16"/>
      <c r="EK27" s="16"/>
      <c r="EL27" s="7"/>
      <c r="EP27" s="16"/>
      <c r="ET27" s="16"/>
      <c r="EU27" s="7"/>
      <c r="FM27" s="7"/>
      <c r="FN27" s="390"/>
      <c r="FO27" s="390"/>
      <c r="FR27" s="7"/>
      <c r="FY27" s="7"/>
      <c r="GG27" s="7"/>
      <c r="HX27" s="74"/>
      <c r="HY27" s="42"/>
      <c r="HZ27" s="42"/>
      <c r="IE27" s="42"/>
      <c r="IF27" s="42"/>
      <c r="IK27" s="42"/>
      <c r="IL27" s="42"/>
      <c r="IM27" s="42"/>
      <c r="IN27" s="7"/>
      <c r="IO27" s="42"/>
      <c r="IT27" s="42"/>
      <c r="IU27" s="42"/>
      <c r="KC27" s="7"/>
      <c r="KD27" s="42"/>
      <c r="KG27" s="391"/>
      <c r="KH27" s="42"/>
      <c r="KI27" s="42"/>
      <c r="KJ27" s="42"/>
      <c r="KK27" s="42"/>
      <c r="KL27" s="42"/>
      <c r="KM27" s="42"/>
      <c r="KN27" s="42"/>
      <c r="KO27" s="42"/>
      <c r="KP27" s="42"/>
      <c r="KQ27" s="42"/>
      <c r="KR27" s="42"/>
      <c r="KS27" s="42"/>
      <c r="KT27" s="42"/>
      <c r="KU27" s="42"/>
      <c r="KV27" s="42"/>
      <c r="KW27" s="42"/>
      <c r="KX27" s="42"/>
      <c r="KY27" s="42"/>
      <c r="KZ27" s="42"/>
      <c r="LA27" s="42"/>
      <c r="LB27" s="42"/>
      <c r="LC27" s="42"/>
      <c r="LD27" s="42"/>
      <c r="LE27" s="42"/>
      <c r="LF27" s="42"/>
      <c r="LG27" s="42"/>
      <c r="LH27" s="42"/>
      <c r="LI27" s="42"/>
      <c r="LJ27" s="42"/>
      <c r="LK27" s="42"/>
      <c r="LL27" s="42"/>
      <c r="LM27" s="42"/>
      <c r="LN27" s="42"/>
      <c r="LO27" s="42"/>
      <c r="LP27" s="42"/>
      <c r="LQ27" s="42"/>
      <c r="LR27" s="42"/>
      <c r="LS27" s="42"/>
      <c r="LT27" s="42"/>
      <c r="LU27" s="42"/>
      <c r="LV27" s="42"/>
      <c r="LW27" s="42"/>
      <c r="LX27" s="42"/>
      <c r="LY27" s="42"/>
      <c r="LZ27" s="42"/>
      <c r="MA27" s="42"/>
      <c r="MB27" s="42"/>
      <c r="MC27" s="42"/>
      <c r="MD27" s="42"/>
      <c r="ME27" s="42"/>
      <c r="MF27" s="42"/>
      <c r="MG27" s="42"/>
      <c r="MH27" s="42"/>
      <c r="MI27" s="42"/>
      <c r="MJ27" s="42"/>
      <c r="MK27" s="42"/>
      <c r="ML27" s="42"/>
      <c r="MM27" s="42"/>
      <c r="MN27" s="42"/>
      <c r="MO27" s="42"/>
      <c r="MP27" s="42"/>
      <c r="MQ27" s="42"/>
      <c r="MR27" s="42"/>
      <c r="MS27" s="42"/>
      <c r="MT27" s="42"/>
      <c r="MU27" s="42"/>
      <c r="MV27" s="42"/>
      <c r="MW27" s="42"/>
      <c r="MX27" s="42"/>
      <c r="MY27" s="42"/>
      <c r="MZ27" s="42"/>
      <c r="NA27" s="42"/>
      <c r="NB27" s="42"/>
      <c r="NC27" s="42"/>
      <c r="ND27" s="42"/>
      <c r="NE27" s="42"/>
      <c r="NF27" s="42"/>
      <c r="NG27" s="42"/>
      <c r="NH27" s="42"/>
      <c r="NI27" s="42"/>
      <c r="NJ27" s="42"/>
      <c r="NK27" s="42"/>
      <c r="NL27" s="42"/>
      <c r="NM27" s="42"/>
      <c r="NN27" s="42"/>
      <c r="NO27" s="42"/>
      <c r="NP27" s="42"/>
      <c r="NQ27" s="42"/>
      <c r="NR27" s="42"/>
      <c r="NS27" s="42"/>
    </row>
    <row r="28" spans="1:383" s="5" customFormat="1" x14ac:dyDescent="0.25">
      <c r="A28" s="1"/>
      <c r="B28" s="2"/>
      <c r="C28" s="2"/>
      <c r="D28" s="2"/>
      <c r="E28" s="3"/>
      <c r="F28" s="3"/>
      <c r="G28" s="4"/>
      <c r="H28" s="1"/>
      <c r="I28" s="7"/>
      <c r="J28" s="7"/>
      <c r="K28" s="7"/>
      <c r="L28" s="7"/>
      <c r="M28" s="7"/>
      <c r="N28" s="7"/>
      <c r="O28" s="3"/>
      <c r="P28" s="7"/>
      <c r="AL28" s="7"/>
      <c r="AM28" s="7"/>
      <c r="AN28" s="7"/>
      <c r="AO28" s="7"/>
      <c r="AT28" s="7"/>
      <c r="AV28" s="11"/>
      <c r="AW28" s="7"/>
      <c r="AY28" s="7"/>
      <c r="BN28" s="7"/>
      <c r="CQ28" s="7"/>
      <c r="DF28" s="7"/>
      <c r="DG28" s="7"/>
      <c r="DL28" s="15"/>
      <c r="DQ28" s="16"/>
      <c r="DR28" s="7"/>
      <c r="DV28" s="16"/>
      <c r="DZ28" s="16"/>
      <c r="EA28" s="7"/>
      <c r="EF28" s="16"/>
      <c r="EK28" s="16"/>
      <c r="EL28" s="7"/>
      <c r="EP28" s="16"/>
      <c r="ET28" s="16"/>
      <c r="EU28" s="7"/>
      <c r="FM28" s="7"/>
      <c r="FN28" s="390"/>
      <c r="FO28" s="390"/>
      <c r="FR28" s="7"/>
      <c r="FY28" s="7"/>
      <c r="GG28" s="7"/>
      <c r="HX28" s="74"/>
      <c r="HY28" s="42"/>
      <c r="HZ28" s="42"/>
      <c r="IE28" s="42"/>
      <c r="IF28" s="42"/>
      <c r="IK28" s="42"/>
      <c r="IL28" s="42"/>
      <c r="IM28" s="42"/>
      <c r="IN28" s="7"/>
      <c r="IO28" s="42"/>
      <c r="IT28" s="42"/>
      <c r="IU28" s="42"/>
      <c r="KC28" s="7"/>
      <c r="KD28" s="42"/>
      <c r="KG28" s="391"/>
      <c r="KH28" s="42"/>
      <c r="KI28" s="42"/>
      <c r="KJ28" s="42"/>
      <c r="KK28" s="42"/>
      <c r="KL28" s="42"/>
      <c r="KM28" s="42"/>
      <c r="KN28" s="42"/>
      <c r="KO28" s="42"/>
      <c r="KP28" s="42"/>
      <c r="KQ28" s="42"/>
      <c r="KR28" s="42"/>
      <c r="KS28" s="42"/>
      <c r="KT28" s="42"/>
      <c r="KU28" s="42"/>
      <c r="KV28" s="42"/>
      <c r="KW28" s="42"/>
      <c r="KX28" s="42"/>
      <c r="KY28" s="42"/>
      <c r="KZ28" s="42"/>
      <c r="LA28" s="42"/>
      <c r="LB28" s="42"/>
      <c r="LC28" s="42"/>
      <c r="LD28" s="42"/>
      <c r="LE28" s="42"/>
      <c r="LF28" s="42"/>
      <c r="LG28" s="42"/>
      <c r="LH28" s="42"/>
      <c r="LI28" s="42"/>
      <c r="LJ28" s="42"/>
      <c r="LK28" s="42"/>
      <c r="LL28" s="42"/>
      <c r="LM28" s="42"/>
      <c r="LN28" s="42"/>
      <c r="LO28" s="42"/>
      <c r="LP28" s="42"/>
      <c r="LQ28" s="42"/>
      <c r="LR28" s="42"/>
      <c r="LS28" s="42"/>
      <c r="LT28" s="42"/>
      <c r="LU28" s="42"/>
      <c r="LV28" s="42"/>
      <c r="LW28" s="42"/>
      <c r="LX28" s="42"/>
      <c r="LY28" s="42"/>
      <c r="LZ28" s="42"/>
      <c r="MA28" s="42"/>
      <c r="MB28" s="42"/>
      <c r="MC28" s="42"/>
      <c r="MD28" s="42"/>
      <c r="ME28" s="42"/>
      <c r="MF28" s="42"/>
      <c r="MG28" s="42"/>
      <c r="MH28" s="42"/>
      <c r="MI28" s="42"/>
      <c r="MJ28" s="42"/>
      <c r="MK28" s="42"/>
      <c r="ML28" s="42"/>
      <c r="MM28" s="42"/>
      <c r="MN28" s="42"/>
      <c r="MO28" s="42"/>
      <c r="MP28" s="42"/>
      <c r="MQ28" s="42"/>
      <c r="MR28" s="42"/>
      <c r="MS28" s="42"/>
      <c r="MT28" s="42"/>
      <c r="MU28" s="42"/>
      <c r="MV28" s="42"/>
      <c r="MW28" s="42"/>
      <c r="MX28" s="42"/>
      <c r="MY28" s="42"/>
      <c r="MZ28" s="42"/>
      <c r="NA28" s="42"/>
      <c r="NB28" s="42"/>
      <c r="NC28" s="42"/>
      <c r="ND28" s="42"/>
      <c r="NE28" s="42"/>
      <c r="NF28" s="42"/>
      <c r="NG28" s="42"/>
      <c r="NH28" s="42"/>
      <c r="NI28" s="42"/>
      <c r="NJ28" s="42"/>
      <c r="NK28" s="42"/>
      <c r="NL28" s="42"/>
      <c r="NM28" s="42"/>
      <c r="NN28" s="42"/>
      <c r="NO28" s="42"/>
      <c r="NP28" s="42"/>
      <c r="NQ28" s="42"/>
      <c r="NR28" s="42"/>
      <c r="NS28" s="42"/>
    </row>
    <row r="29" spans="1:383" s="5" customFormat="1" x14ac:dyDescent="0.25">
      <c r="A29" s="1"/>
      <c r="B29" s="2"/>
      <c r="C29" s="2"/>
      <c r="D29" s="2"/>
      <c r="E29" s="3"/>
      <c r="F29" s="3"/>
      <c r="G29" s="4"/>
      <c r="H29" s="1"/>
      <c r="I29" s="7"/>
      <c r="J29" s="7"/>
      <c r="K29" s="7"/>
      <c r="L29" s="7"/>
      <c r="M29" s="7"/>
      <c r="N29" s="7"/>
      <c r="O29" s="3"/>
      <c r="P29" s="7"/>
      <c r="AL29" s="7"/>
      <c r="AM29" s="7"/>
      <c r="AN29" s="7"/>
      <c r="AO29" s="7"/>
      <c r="AT29" s="7"/>
      <c r="AV29" s="11"/>
      <c r="AW29" s="7"/>
      <c r="AY29" s="7"/>
      <c r="BN29" s="7"/>
      <c r="CQ29" s="7"/>
      <c r="DF29" s="7"/>
      <c r="DG29" s="7"/>
      <c r="DL29" s="15"/>
      <c r="DQ29" s="16"/>
      <c r="DR29" s="7"/>
      <c r="DV29" s="16"/>
      <c r="DZ29" s="16"/>
      <c r="EA29" s="7"/>
      <c r="EF29" s="16"/>
      <c r="EK29" s="16"/>
      <c r="EL29" s="7"/>
      <c r="EP29" s="16"/>
      <c r="ET29" s="16"/>
      <c r="EU29" s="7"/>
      <c r="FM29" s="7"/>
      <c r="FN29" s="390"/>
      <c r="FO29" s="390"/>
      <c r="FR29" s="7"/>
      <c r="FY29" s="7"/>
      <c r="GG29" s="7"/>
      <c r="HX29" s="74"/>
      <c r="HY29" s="42"/>
      <c r="HZ29" s="42"/>
      <c r="IE29" s="42"/>
      <c r="IF29" s="42"/>
      <c r="IK29" s="42"/>
      <c r="IL29" s="42"/>
      <c r="IM29" s="42"/>
      <c r="IN29" s="7"/>
      <c r="IO29" s="42"/>
      <c r="IT29" s="42"/>
      <c r="IU29" s="42"/>
      <c r="KC29" s="7"/>
      <c r="KD29" s="42"/>
      <c r="KG29" s="391"/>
      <c r="KH29" s="42"/>
      <c r="KI29" s="42"/>
      <c r="KJ29" s="42"/>
      <c r="KK29" s="42"/>
      <c r="KL29" s="42"/>
      <c r="KM29" s="42"/>
      <c r="KN29" s="42"/>
      <c r="KO29" s="42"/>
      <c r="KP29" s="42"/>
      <c r="KQ29" s="42"/>
      <c r="KR29" s="42"/>
      <c r="KS29" s="42"/>
      <c r="KT29" s="42"/>
      <c r="KU29" s="42"/>
      <c r="KV29" s="42"/>
      <c r="KW29" s="42"/>
      <c r="KX29" s="42"/>
      <c r="KY29" s="42"/>
      <c r="KZ29" s="42"/>
      <c r="LA29" s="42"/>
      <c r="LB29" s="42"/>
      <c r="LC29" s="42"/>
      <c r="LD29" s="42"/>
      <c r="LE29" s="42"/>
      <c r="LF29" s="42"/>
      <c r="LG29" s="42"/>
      <c r="LH29" s="42"/>
      <c r="LI29" s="42"/>
      <c r="LJ29" s="42"/>
      <c r="LK29" s="42"/>
      <c r="LL29" s="42"/>
      <c r="LM29" s="42"/>
      <c r="LN29" s="42"/>
      <c r="LO29" s="42"/>
      <c r="LP29" s="42"/>
      <c r="LQ29" s="42"/>
      <c r="LR29" s="42"/>
      <c r="LS29" s="42"/>
      <c r="LT29" s="42"/>
      <c r="LU29" s="42"/>
      <c r="LV29" s="42"/>
      <c r="LW29" s="42"/>
      <c r="LX29" s="42"/>
      <c r="LY29" s="42"/>
      <c r="LZ29" s="42"/>
      <c r="MA29" s="42"/>
      <c r="MB29" s="42"/>
      <c r="MC29" s="42"/>
      <c r="MD29" s="42"/>
      <c r="ME29" s="42"/>
      <c r="MF29" s="42"/>
      <c r="MG29" s="42"/>
      <c r="MH29" s="42"/>
      <c r="MI29" s="42"/>
      <c r="MJ29" s="42"/>
      <c r="MK29" s="42"/>
      <c r="ML29" s="42"/>
      <c r="MM29" s="42"/>
      <c r="MN29" s="42"/>
      <c r="MO29" s="42"/>
      <c r="MP29" s="42"/>
      <c r="MQ29" s="42"/>
      <c r="MR29" s="42"/>
      <c r="MS29" s="42"/>
      <c r="MT29" s="42"/>
      <c r="MU29" s="42"/>
      <c r="MV29" s="42"/>
      <c r="MW29" s="42"/>
      <c r="MX29" s="42"/>
      <c r="MY29" s="42"/>
      <c r="MZ29" s="42"/>
      <c r="NA29" s="42"/>
      <c r="NB29" s="42"/>
      <c r="NC29" s="42"/>
      <c r="ND29" s="42"/>
      <c r="NE29" s="42"/>
      <c r="NF29" s="42"/>
      <c r="NG29" s="42"/>
      <c r="NH29" s="42"/>
      <c r="NI29" s="42"/>
      <c r="NJ29" s="42"/>
      <c r="NK29" s="42"/>
      <c r="NL29" s="42"/>
      <c r="NM29" s="42"/>
      <c r="NN29" s="42"/>
      <c r="NO29" s="42"/>
      <c r="NP29" s="42"/>
      <c r="NQ29" s="42"/>
      <c r="NR29" s="42"/>
      <c r="NS29" s="42"/>
    </row>
    <row r="30" spans="1:383" s="5" customFormat="1" x14ac:dyDescent="0.25">
      <c r="A30" s="1"/>
      <c r="B30" s="2"/>
      <c r="C30" s="2"/>
      <c r="D30" s="2"/>
      <c r="E30" s="3"/>
      <c r="F30" s="3"/>
      <c r="G30" s="4"/>
      <c r="H30" s="1"/>
      <c r="I30" s="7"/>
      <c r="J30" s="7"/>
      <c r="K30" s="7"/>
      <c r="L30" s="7"/>
      <c r="M30" s="7"/>
      <c r="N30" s="7"/>
      <c r="O30" s="3"/>
      <c r="P30" s="7"/>
      <c r="AL30" s="7"/>
      <c r="AM30" s="7"/>
      <c r="AN30" s="7"/>
      <c r="AO30" s="7"/>
      <c r="AT30" s="7"/>
      <c r="AV30" s="11"/>
      <c r="AW30" s="7"/>
      <c r="AY30" s="7"/>
      <c r="BN30" s="7"/>
      <c r="CQ30" s="7"/>
      <c r="DF30" s="7"/>
      <c r="DG30" s="7"/>
      <c r="DL30" s="15"/>
      <c r="DQ30" s="16"/>
      <c r="DR30" s="7"/>
      <c r="DV30" s="16"/>
      <c r="DZ30" s="16"/>
      <c r="EA30" s="7"/>
      <c r="EF30" s="16"/>
      <c r="EK30" s="16"/>
      <c r="EL30" s="7"/>
      <c r="EP30" s="16"/>
      <c r="ET30" s="16"/>
      <c r="EU30" s="7"/>
      <c r="FM30" s="7"/>
      <c r="FN30" s="390"/>
      <c r="FO30" s="390"/>
      <c r="FR30" s="7"/>
      <c r="FY30" s="7"/>
      <c r="GG30" s="7"/>
      <c r="HX30" s="74"/>
      <c r="HY30" s="42"/>
      <c r="HZ30" s="42"/>
      <c r="IE30" s="42"/>
      <c r="IF30" s="42"/>
      <c r="IK30" s="42"/>
      <c r="IL30" s="42"/>
      <c r="IM30" s="42"/>
      <c r="IN30" s="7"/>
      <c r="IO30" s="42"/>
      <c r="IT30" s="42"/>
      <c r="IU30" s="42"/>
      <c r="KC30" s="7"/>
      <c r="KD30" s="42"/>
      <c r="KG30" s="391"/>
      <c r="KH30" s="42"/>
      <c r="KI30" s="42"/>
      <c r="KJ30" s="42"/>
      <c r="KK30" s="42"/>
      <c r="KL30" s="42"/>
      <c r="KM30" s="42"/>
      <c r="KN30" s="42"/>
      <c r="KO30" s="42"/>
      <c r="KP30" s="42"/>
      <c r="KQ30" s="42"/>
      <c r="KR30" s="42"/>
      <c r="KS30" s="42"/>
      <c r="KT30" s="42"/>
      <c r="KU30" s="42"/>
      <c r="KV30" s="42"/>
      <c r="KW30" s="42"/>
      <c r="KX30" s="42"/>
      <c r="KY30" s="42"/>
      <c r="KZ30" s="42"/>
      <c r="LA30" s="42"/>
      <c r="LB30" s="42"/>
      <c r="LC30" s="42"/>
      <c r="LD30" s="42"/>
      <c r="LE30" s="42"/>
      <c r="LF30" s="42"/>
      <c r="LG30" s="42"/>
      <c r="LH30" s="42"/>
      <c r="LI30" s="42"/>
      <c r="LJ30" s="42"/>
      <c r="LK30" s="42"/>
      <c r="LL30" s="42"/>
      <c r="LM30" s="42"/>
      <c r="LN30" s="42"/>
      <c r="LO30" s="42"/>
      <c r="LP30" s="42"/>
      <c r="LQ30" s="42"/>
      <c r="LR30" s="42"/>
      <c r="LS30" s="42"/>
      <c r="LT30" s="42"/>
      <c r="LU30" s="42"/>
      <c r="LV30" s="42"/>
      <c r="LW30" s="42"/>
      <c r="LX30" s="42"/>
      <c r="LY30" s="42"/>
      <c r="LZ30" s="42"/>
      <c r="MA30" s="42"/>
      <c r="MB30" s="42"/>
      <c r="MC30" s="42"/>
      <c r="MD30" s="42"/>
      <c r="ME30" s="42"/>
      <c r="MF30" s="42"/>
      <c r="MG30" s="42"/>
      <c r="MH30" s="42"/>
      <c r="MI30" s="42"/>
      <c r="MJ30" s="42"/>
      <c r="MK30" s="42"/>
      <c r="ML30" s="42"/>
      <c r="MM30" s="42"/>
      <c r="MN30" s="42"/>
      <c r="MO30" s="42"/>
      <c r="MP30" s="42"/>
      <c r="MQ30" s="42"/>
      <c r="MR30" s="42"/>
      <c r="MS30" s="42"/>
      <c r="MT30" s="42"/>
      <c r="MU30" s="42"/>
      <c r="MV30" s="42"/>
      <c r="MW30" s="42"/>
      <c r="MX30" s="42"/>
      <c r="MY30" s="42"/>
      <c r="MZ30" s="42"/>
      <c r="NA30" s="42"/>
      <c r="NB30" s="42"/>
      <c r="NC30" s="42"/>
      <c r="ND30" s="42"/>
      <c r="NE30" s="42"/>
      <c r="NF30" s="42"/>
      <c r="NG30" s="42"/>
      <c r="NH30" s="42"/>
      <c r="NI30" s="42"/>
      <c r="NJ30" s="42"/>
      <c r="NK30" s="42"/>
      <c r="NL30" s="42"/>
      <c r="NM30" s="42"/>
      <c r="NN30" s="42"/>
      <c r="NO30" s="42"/>
      <c r="NP30" s="42"/>
      <c r="NQ30" s="42"/>
      <c r="NR30" s="42"/>
      <c r="NS30" s="42"/>
    </row>
    <row r="31" spans="1:383" s="5" customFormat="1" x14ac:dyDescent="0.25">
      <c r="A31" s="1"/>
      <c r="B31" s="2"/>
      <c r="C31" s="2"/>
      <c r="D31" s="2"/>
      <c r="E31" s="3"/>
      <c r="F31" s="3"/>
      <c r="G31" s="4"/>
      <c r="H31" s="1"/>
      <c r="I31" s="7"/>
      <c r="J31" s="7"/>
      <c r="K31" s="7"/>
      <c r="L31" s="7"/>
      <c r="M31" s="7"/>
      <c r="N31" s="7"/>
      <c r="O31" s="3"/>
      <c r="P31" s="7"/>
      <c r="AL31" s="7"/>
      <c r="AM31" s="7"/>
      <c r="AN31" s="7"/>
      <c r="AO31" s="7"/>
      <c r="AT31" s="7"/>
      <c r="AV31" s="11"/>
      <c r="AW31" s="7"/>
      <c r="AY31" s="7"/>
      <c r="BN31" s="7"/>
      <c r="CQ31" s="7"/>
      <c r="DF31" s="7"/>
      <c r="DG31" s="7"/>
      <c r="DL31" s="15"/>
      <c r="DQ31" s="16"/>
      <c r="DR31" s="7"/>
      <c r="DV31" s="16"/>
      <c r="DZ31" s="16"/>
      <c r="EA31" s="7"/>
      <c r="EF31" s="16"/>
      <c r="EK31" s="16"/>
      <c r="EL31" s="7"/>
      <c r="EP31" s="16"/>
      <c r="ET31" s="16"/>
      <c r="EU31" s="7"/>
      <c r="FM31" s="7"/>
      <c r="FN31" s="390"/>
      <c r="FO31" s="390"/>
      <c r="FR31" s="7"/>
      <c r="FY31" s="7"/>
      <c r="GG31" s="7"/>
      <c r="HX31" s="74"/>
      <c r="HY31" s="42"/>
      <c r="HZ31" s="42"/>
      <c r="IE31" s="42"/>
      <c r="IF31" s="42"/>
      <c r="IK31" s="42"/>
      <c r="IL31" s="42"/>
      <c r="IM31" s="42"/>
      <c r="IN31" s="7"/>
      <c r="IO31" s="42"/>
      <c r="IT31" s="42"/>
      <c r="IU31" s="42"/>
      <c r="KC31" s="7"/>
      <c r="KD31" s="42"/>
      <c r="KG31" s="391"/>
      <c r="KH31" s="42"/>
      <c r="KI31" s="42"/>
      <c r="KJ31" s="42"/>
      <c r="KK31" s="42"/>
      <c r="KL31" s="42"/>
      <c r="KM31" s="42"/>
      <c r="KN31" s="42"/>
      <c r="KO31" s="42"/>
      <c r="KP31" s="42"/>
      <c r="KQ31" s="42"/>
      <c r="KR31" s="42"/>
      <c r="KS31" s="42"/>
      <c r="KT31" s="42"/>
      <c r="KU31" s="42"/>
      <c r="KV31" s="42"/>
      <c r="KW31" s="42"/>
      <c r="KX31" s="42"/>
      <c r="KY31" s="42"/>
      <c r="KZ31" s="42"/>
      <c r="LA31" s="42"/>
      <c r="LB31" s="42"/>
      <c r="LC31" s="42"/>
      <c r="LD31" s="42"/>
      <c r="LE31" s="42"/>
      <c r="LF31" s="42"/>
      <c r="LG31" s="42"/>
      <c r="LH31" s="42"/>
      <c r="LI31" s="42"/>
      <c r="LJ31" s="42"/>
      <c r="LK31" s="42"/>
      <c r="LL31" s="42"/>
      <c r="LM31" s="42"/>
      <c r="LN31" s="42"/>
      <c r="LO31" s="42"/>
      <c r="LP31" s="42"/>
      <c r="LQ31" s="42"/>
      <c r="LR31" s="42"/>
      <c r="LS31" s="42"/>
      <c r="LT31" s="42"/>
      <c r="LU31" s="42"/>
      <c r="LV31" s="42"/>
      <c r="LW31" s="42"/>
      <c r="LX31" s="42"/>
      <c r="LY31" s="42"/>
      <c r="LZ31" s="42"/>
      <c r="MA31" s="42"/>
      <c r="MB31" s="42"/>
      <c r="MC31" s="42"/>
      <c r="MD31" s="42"/>
      <c r="ME31" s="42"/>
      <c r="MF31" s="42"/>
      <c r="MG31" s="42"/>
      <c r="MH31" s="42"/>
      <c r="MI31" s="42"/>
      <c r="MJ31" s="42"/>
      <c r="MK31" s="42"/>
      <c r="ML31" s="42"/>
      <c r="MM31" s="42"/>
      <c r="MN31" s="42"/>
      <c r="MO31" s="42"/>
      <c r="MP31" s="42"/>
      <c r="MQ31" s="42"/>
      <c r="MR31" s="42"/>
      <c r="MS31" s="42"/>
      <c r="MT31" s="42"/>
      <c r="MU31" s="42"/>
      <c r="MV31" s="42"/>
      <c r="MW31" s="42"/>
      <c r="MX31" s="42"/>
      <c r="MY31" s="42"/>
      <c r="MZ31" s="42"/>
      <c r="NA31" s="42"/>
      <c r="NB31" s="42"/>
      <c r="NC31" s="42"/>
      <c r="ND31" s="42"/>
      <c r="NE31" s="42"/>
      <c r="NF31" s="42"/>
      <c r="NG31" s="42"/>
      <c r="NH31" s="42"/>
      <c r="NI31" s="42"/>
      <c r="NJ31" s="42"/>
      <c r="NK31" s="42"/>
      <c r="NL31" s="42"/>
      <c r="NM31" s="42"/>
      <c r="NN31" s="42"/>
      <c r="NO31" s="42"/>
      <c r="NP31" s="42"/>
      <c r="NQ31" s="42"/>
      <c r="NR31" s="42"/>
      <c r="NS31" s="42"/>
    </row>
    <row r="32" spans="1:383" s="5" customFormat="1" x14ac:dyDescent="0.25">
      <c r="A32" s="1"/>
      <c r="B32" s="2"/>
      <c r="C32" s="2"/>
      <c r="D32" s="2"/>
      <c r="E32" s="3"/>
      <c r="F32" s="3"/>
      <c r="G32" s="4"/>
      <c r="H32" s="1"/>
      <c r="I32" s="7"/>
      <c r="J32" s="7"/>
      <c r="K32" s="7"/>
      <c r="L32" s="7"/>
      <c r="M32" s="7"/>
      <c r="N32" s="7"/>
      <c r="O32" s="3"/>
      <c r="P32" s="7"/>
      <c r="AL32" s="7"/>
      <c r="AM32" s="7"/>
      <c r="AN32" s="7"/>
      <c r="AO32" s="7"/>
      <c r="AT32" s="7"/>
      <c r="AV32" s="11"/>
      <c r="AW32" s="7"/>
      <c r="AY32" s="7"/>
      <c r="BN32" s="7"/>
      <c r="CQ32" s="7"/>
      <c r="DF32" s="7"/>
      <c r="DG32" s="7"/>
      <c r="DL32" s="15"/>
      <c r="DQ32" s="16"/>
      <c r="DR32" s="7"/>
      <c r="DV32" s="16"/>
      <c r="DZ32" s="16"/>
      <c r="EA32" s="7"/>
      <c r="EF32" s="16"/>
      <c r="EK32" s="16"/>
      <c r="EL32" s="7"/>
      <c r="EP32" s="16"/>
      <c r="ET32" s="16"/>
      <c r="EU32" s="7"/>
      <c r="FM32" s="7"/>
      <c r="FN32" s="390"/>
      <c r="FO32" s="390"/>
      <c r="FR32" s="7"/>
      <c r="FY32" s="7"/>
      <c r="GG32" s="7"/>
      <c r="HX32" s="74"/>
      <c r="HY32" s="42"/>
      <c r="HZ32" s="42"/>
      <c r="IE32" s="42"/>
      <c r="IF32" s="42"/>
      <c r="IK32" s="42"/>
      <c r="IL32" s="42"/>
      <c r="IM32" s="42"/>
      <c r="IN32" s="7"/>
      <c r="IO32" s="42"/>
      <c r="IT32" s="42"/>
      <c r="IU32" s="42"/>
      <c r="KC32" s="7"/>
      <c r="KD32" s="42"/>
      <c r="KG32" s="391"/>
      <c r="KH32" s="42"/>
      <c r="KI32" s="42"/>
      <c r="KJ32" s="42"/>
      <c r="KK32" s="42"/>
      <c r="KL32" s="42"/>
      <c r="KM32" s="42"/>
      <c r="KN32" s="42"/>
      <c r="KO32" s="42"/>
      <c r="KP32" s="42"/>
      <c r="KQ32" s="42"/>
      <c r="KR32" s="42"/>
      <c r="KS32" s="42"/>
      <c r="KT32" s="42"/>
      <c r="KU32" s="42"/>
      <c r="KV32" s="42"/>
      <c r="KW32" s="42"/>
      <c r="KX32" s="42"/>
      <c r="KY32" s="42"/>
      <c r="KZ32" s="42"/>
      <c r="LA32" s="42"/>
      <c r="LB32" s="42"/>
      <c r="LC32" s="42"/>
      <c r="LD32" s="42"/>
      <c r="LE32" s="42"/>
      <c r="LF32" s="42"/>
      <c r="LG32" s="42"/>
      <c r="LH32" s="42"/>
      <c r="LI32" s="42"/>
      <c r="LJ32" s="42"/>
      <c r="LK32" s="42"/>
      <c r="LL32" s="42"/>
      <c r="LM32" s="42"/>
      <c r="LN32" s="42"/>
      <c r="LO32" s="42"/>
      <c r="LP32" s="42"/>
      <c r="LQ32" s="42"/>
      <c r="LR32" s="42"/>
      <c r="LS32" s="42"/>
      <c r="LT32" s="42"/>
      <c r="LU32" s="42"/>
      <c r="LV32" s="42"/>
      <c r="LW32" s="42"/>
      <c r="LX32" s="42"/>
      <c r="LY32" s="42"/>
      <c r="LZ32" s="42"/>
      <c r="MA32" s="42"/>
      <c r="MB32" s="42"/>
      <c r="MC32" s="42"/>
      <c r="MD32" s="42"/>
      <c r="ME32" s="42"/>
      <c r="MF32" s="42"/>
      <c r="MG32" s="42"/>
      <c r="MH32" s="42"/>
      <c r="MI32" s="42"/>
      <c r="MJ32" s="42"/>
      <c r="MK32" s="42"/>
      <c r="ML32" s="42"/>
      <c r="MM32" s="42"/>
      <c r="MN32" s="42"/>
      <c r="MO32" s="42"/>
      <c r="MP32" s="42"/>
      <c r="MQ32" s="42"/>
      <c r="MR32" s="42"/>
      <c r="MS32" s="42"/>
      <c r="MT32" s="42"/>
      <c r="MU32" s="42"/>
      <c r="MV32" s="42"/>
      <c r="MW32" s="42"/>
      <c r="MX32" s="42"/>
      <c r="MY32" s="42"/>
      <c r="MZ32" s="42"/>
      <c r="NA32" s="42"/>
      <c r="NB32" s="42"/>
      <c r="NC32" s="42"/>
      <c r="ND32" s="42"/>
      <c r="NE32" s="42"/>
      <c r="NF32" s="42"/>
      <c r="NG32" s="42"/>
      <c r="NH32" s="42"/>
      <c r="NI32" s="42"/>
      <c r="NJ32" s="42"/>
      <c r="NK32" s="42"/>
      <c r="NL32" s="42"/>
      <c r="NM32" s="42"/>
      <c r="NN32" s="42"/>
      <c r="NO32" s="42"/>
      <c r="NP32" s="42"/>
      <c r="NQ32" s="42"/>
      <c r="NR32" s="42"/>
      <c r="NS32" s="42"/>
    </row>
    <row r="33" spans="1:383" s="5" customFormat="1" x14ac:dyDescent="0.25">
      <c r="A33" s="1"/>
      <c r="B33" s="2"/>
      <c r="C33" s="2"/>
      <c r="D33" s="2"/>
      <c r="E33" s="3"/>
      <c r="F33" s="3"/>
      <c r="G33" s="4"/>
      <c r="H33" s="1"/>
      <c r="I33" s="7"/>
      <c r="J33" s="7"/>
      <c r="K33" s="7"/>
      <c r="L33" s="7"/>
      <c r="M33" s="7"/>
      <c r="N33" s="7"/>
      <c r="O33" s="3"/>
      <c r="P33" s="7"/>
      <c r="AL33" s="7"/>
      <c r="AM33" s="7"/>
      <c r="AN33" s="7"/>
      <c r="AO33" s="7"/>
      <c r="AT33" s="7"/>
      <c r="AV33" s="11"/>
      <c r="AW33" s="7"/>
      <c r="AY33" s="7"/>
      <c r="BN33" s="7"/>
      <c r="CQ33" s="7"/>
      <c r="DF33" s="7"/>
      <c r="DG33" s="7"/>
      <c r="DL33" s="15"/>
      <c r="DQ33" s="16"/>
      <c r="DR33" s="7"/>
      <c r="DV33" s="16"/>
      <c r="DZ33" s="16"/>
      <c r="EA33" s="7"/>
      <c r="EF33" s="16"/>
      <c r="EK33" s="16"/>
      <c r="EL33" s="7"/>
      <c r="EP33" s="16"/>
      <c r="ET33" s="16"/>
      <c r="EU33" s="7"/>
      <c r="FM33" s="7"/>
      <c r="FN33" s="390"/>
      <c r="FO33" s="390"/>
      <c r="FR33" s="7"/>
      <c r="FY33" s="7"/>
      <c r="GG33" s="7"/>
      <c r="HX33" s="74"/>
      <c r="HY33" s="42"/>
      <c r="HZ33" s="42"/>
      <c r="IE33" s="42"/>
      <c r="IF33" s="42"/>
      <c r="IK33" s="42"/>
      <c r="IL33" s="42"/>
      <c r="IM33" s="42"/>
      <c r="IN33" s="7"/>
      <c r="IO33" s="42"/>
      <c r="IT33" s="42"/>
      <c r="IU33" s="42"/>
      <c r="KC33" s="7"/>
      <c r="KD33" s="42"/>
      <c r="KG33" s="391"/>
      <c r="KH33" s="42"/>
      <c r="KI33" s="42"/>
      <c r="KJ33" s="42"/>
      <c r="KK33" s="42"/>
      <c r="KL33" s="42"/>
      <c r="KM33" s="42"/>
      <c r="KN33" s="42"/>
      <c r="KO33" s="42"/>
      <c r="KP33" s="42"/>
      <c r="KQ33" s="42"/>
      <c r="KR33" s="42"/>
      <c r="KS33" s="42"/>
      <c r="KT33" s="42"/>
      <c r="KU33" s="42"/>
      <c r="KV33" s="42"/>
      <c r="KW33" s="42"/>
      <c r="KX33" s="42"/>
      <c r="KY33" s="42"/>
      <c r="KZ33" s="42"/>
      <c r="LA33" s="42"/>
      <c r="LB33" s="42"/>
      <c r="LC33" s="42"/>
      <c r="LD33" s="42"/>
      <c r="LE33" s="42"/>
      <c r="LF33" s="42"/>
      <c r="LG33" s="42"/>
      <c r="LH33" s="42"/>
      <c r="LI33" s="42"/>
      <c r="LJ33" s="42"/>
      <c r="LK33" s="42"/>
      <c r="LL33" s="42"/>
      <c r="LM33" s="42"/>
      <c r="LN33" s="42"/>
      <c r="LO33" s="42"/>
      <c r="LP33" s="42"/>
      <c r="LQ33" s="42"/>
      <c r="LR33" s="42"/>
      <c r="LS33" s="42"/>
      <c r="LT33" s="42"/>
      <c r="LU33" s="42"/>
      <c r="LV33" s="42"/>
      <c r="LW33" s="42"/>
      <c r="LX33" s="42"/>
      <c r="LY33" s="42"/>
      <c r="LZ33" s="42"/>
      <c r="MA33" s="42"/>
      <c r="MB33" s="42"/>
      <c r="MC33" s="42"/>
      <c r="MD33" s="42"/>
      <c r="ME33" s="42"/>
      <c r="MF33" s="42"/>
      <c r="MG33" s="42"/>
      <c r="MH33" s="42"/>
      <c r="MI33" s="42"/>
      <c r="MJ33" s="42"/>
      <c r="MK33" s="42"/>
      <c r="ML33" s="42"/>
      <c r="MM33" s="42"/>
      <c r="MN33" s="42"/>
      <c r="MO33" s="42"/>
      <c r="MP33" s="42"/>
      <c r="MQ33" s="42"/>
      <c r="MR33" s="42"/>
      <c r="MS33" s="42"/>
      <c r="MT33" s="42"/>
      <c r="MU33" s="42"/>
      <c r="MV33" s="42"/>
      <c r="MW33" s="42"/>
      <c r="MX33" s="42"/>
      <c r="MY33" s="42"/>
      <c r="MZ33" s="42"/>
      <c r="NA33" s="42"/>
      <c r="NB33" s="42"/>
      <c r="NC33" s="42"/>
      <c r="ND33" s="42"/>
      <c r="NE33" s="42"/>
      <c r="NF33" s="42"/>
      <c r="NG33" s="42"/>
      <c r="NH33" s="42"/>
      <c r="NI33" s="42"/>
      <c r="NJ33" s="42"/>
      <c r="NK33" s="42"/>
      <c r="NL33" s="42"/>
      <c r="NM33" s="42"/>
      <c r="NN33" s="42"/>
      <c r="NO33" s="42"/>
      <c r="NP33" s="42"/>
      <c r="NQ33" s="42"/>
      <c r="NR33" s="42"/>
      <c r="NS33" s="42"/>
    </row>
    <row r="34" spans="1:383" s="5" customFormat="1" x14ac:dyDescent="0.25">
      <c r="A34" s="1"/>
      <c r="B34" s="2"/>
      <c r="C34" s="2"/>
      <c r="D34" s="2"/>
      <c r="E34" s="3"/>
      <c r="F34" s="3"/>
      <c r="G34" s="4"/>
      <c r="H34" s="1"/>
      <c r="I34" s="7"/>
      <c r="J34" s="7"/>
      <c r="K34" s="7"/>
      <c r="L34" s="7"/>
      <c r="M34" s="7"/>
      <c r="N34" s="7"/>
      <c r="O34" s="3"/>
      <c r="P34" s="7"/>
      <c r="AL34" s="7"/>
      <c r="AM34" s="7"/>
      <c r="AN34" s="7"/>
      <c r="AO34" s="7"/>
      <c r="AT34" s="7"/>
      <c r="AV34" s="11"/>
      <c r="AW34" s="7"/>
      <c r="AY34" s="7"/>
      <c r="BN34" s="7"/>
      <c r="CQ34" s="7"/>
      <c r="DF34" s="7"/>
      <c r="DG34" s="7"/>
      <c r="DL34" s="15"/>
      <c r="DQ34" s="16"/>
      <c r="DR34" s="7"/>
      <c r="DV34" s="16"/>
      <c r="DZ34" s="16"/>
      <c r="EA34" s="7"/>
      <c r="EF34" s="16"/>
      <c r="EK34" s="16"/>
      <c r="EL34" s="7"/>
      <c r="EP34" s="16"/>
      <c r="ET34" s="16"/>
      <c r="EU34" s="7"/>
      <c r="FM34" s="7"/>
      <c r="FN34" s="390"/>
      <c r="FO34" s="390"/>
      <c r="FR34" s="7"/>
      <c r="FY34" s="7"/>
      <c r="GG34" s="7"/>
      <c r="HX34" s="74"/>
      <c r="HY34" s="42"/>
      <c r="HZ34" s="42"/>
      <c r="IE34" s="42"/>
      <c r="IF34" s="42"/>
      <c r="IK34" s="42"/>
      <c r="IL34" s="42"/>
      <c r="IM34" s="42"/>
      <c r="IN34" s="7"/>
      <c r="IO34" s="42"/>
      <c r="IT34" s="42"/>
      <c r="IU34" s="42"/>
      <c r="KC34" s="7"/>
      <c r="KD34" s="42"/>
      <c r="KG34" s="391"/>
      <c r="KH34" s="42"/>
      <c r="KI34" s="42"/>
      <c r="KJ34" s="42"/>
      <c r="KK34" s="42"/>
      <c r="KL34" s="42"/>
      <c r="KM34" s="42"/>
      <c r="KN34" s="42"/>
      <c r="KO34" s="42"/>
      <c r="KP34" s="42"/>
      <c r="KQ34" s="42"/>
      <c r="KR34" s="42"/>
      <c r="KS34" s="42"/>
      <c r="KT34" s="42"/>
      <c r="KU34" s="42"/>
      <c r="KV34" s="42"/>
      <c r="KW34" s="42"/>
      <c r="KX34" s="42"/>
      <c r="KY34" s="42"/>
      <c r="KZ34" s="42"/>
      <c r="LA34" s="42"/>
      <c r="LB34" s="42"/>
      <c r="LC34" s="42"/>
      <c r="LD34" s="42"/>
      <c r="LE34" s="42"/>
      <c r="LF34" s="42"/>
      <c r="LG34" s="42"/>
      <c r="LH34" s="42"/>
      <c r="LI34" s="42"/>
      <c r="LJ34" s="42"/>
      <c r="LK34" s="42"/>
      <c r="LL34" s="42"/>
      <c r="LM34" s="42"/>
      <c r="LN34" s="42"/>
      <c r="LO34" s="42"/>
      <c r="LP34" s="42"/>
      <c r="LQ34" s="42"/>
      <c r="LR34" s="42"/>
      <c r="LS34" s="42"/>
      <c r="LT34" s="42"/>
      <c r="LU34" s="42"/>
      <c r="LV34" s="42"/>
      <c r="LW34" s="42"/>
      <c r="LX34" s="42"/>
      <c r="LY34" s="42"/>
      <c r="LZ34" s="42"/>
      <c r="MA34" s="42"/>
      <c r="MB34" s="42"/>
      <c r="MC34" s="42"/>
      <c r="MD34" s="42"/>
      <c r="ME34" s="42"/>
      <c r="MF34" s="42"/>
      <c r="MG34" s="42"/>
      <c r="MH34" s="42"/>
      <c r="MI34" s="42"/>
      <c r="MJ34" s="42"/>
      <c r="MK34" s="42"/>
      <c r="ML34" s="42"/>
      <c r="MM34" s="42"/>
      <c r="MN34" s="42"/>
      <c r="MO34" s="42"/>
      <c r="MP34" s="42"/>
      <c r="MQ34" s="42"/>
      <c r="MR34" s="42"/>
      <c r="MS34" s="42"/>
      <c r="MT34" s="42"/>
      <c r="MU34" s="42"/>
      <c r="MV34" s="42"/>
      <c r="MW34" s="42"/>
      <c r="MX34" s="42"/>
      <c r="MY34" s="42"/>
      <c r="MZ34" s="42"/>
      <c r="NA34" s="42"/>
      <c r="NB34" s="42"/>
      <c r="NC34" s="42"/>
      <c r="ND34" s="42"/>
      <c r="NE34" s="42"/>
      <c r="NF34" s="42"/>
      <c r="NG34" s="42"/>
      <c r="NH34" s="42"/>
      <c r="NI34" s="42"/>
      <c r="NJ34" s="42"/>
      <c r="NK34" s="42"/>
      <c r="NL34" s="42"/>
      <c r="NM34" s="42"/>
      <c r="NN34" s="42"/>
      <c r="NO34" s="42"/>
      <c r="NP34" s="42"/>
      <c r="NQ34" s="42"/>
      <c r="NR34" s="42"/>
      <c r="NS34" s="42"/>
    </row>
    <row r="35" spans="1:383" s="5" customFormat="1" x14ac:dyDescent="0.25">
      <c r="A35" s="1"/>
      <c r="B35" s="2"/>
      <c r="C35" s="2"/>
      <c r="D35" s="2"/>
      <c r="E35" s="3"/>
      <c r="F35" s="3"/>
      <c r="G35" s="4"/>
      <c r="H35" s="1"/>
      <c r="I35" s="7"/>
      <c r="J35" s="7"/>
      <c r="K35" s="7"/>
      <c r="L35" s="7"/>
      <c r="M35" s="7"/>
      <c r="N35" s="7"/>
      <c r="O35" s="3"/>
      <c r="P35" s="7"/>
      <c r="AL35" s="7"/>
      <c r="AM35" s="7"/>
      <c r="AN35" s="7"/>
      <c r="AO35" s="7"/>
      <c r="AT35" s="7"/>
      <c r="AV35" s="11"/>
      <c r="AW35" s="7"/>
      <c r="AY35" s="7"/>
      <c r="BN35" s="7"/>
      <c r="CQ35" s="7"/>
      <c r="DF35" s="7"/>
      <c r="DG35" s="7"/>
      <c r="DL35" s="15"/>
      <c r="DQ35" s="16"/>
      <c r="DR35" s="7"/>
      <c r="DV35" s="16"/>
      <c r="DZ35" s="16"/>
      <c r="EA35" s="7"/>
      <c r="EF35" s="16"/>
      <c r="EK35" s="16"/>
      <c r="EL35" s="7"/>
      <c r="EP35" s="16"/>
      <c r="ET35" s="16"/>
      <c r="EU35" s="7"/>
      <c r="FM35" s="7"/>
      <c r="FN35" s="390"/>
      <c r="FO35" s="390"/>
      <c r="FR35" s="7"/>
      <c r="FY35" s="7"/>
      <c r="GG35" s="7"/>
      <c r="HX35" s="74"/>
      <c r="HY35" s="42"/>
      <c r="HZ35" s="42"/>
      <c r="IE35" s="42"/>
      <c r="IF35" s="42"/>
      <c r="IK35" s="42"/>
      <c r="IL35" s="42"/>
      <c r="IM35" s="42"/>
      <c r="IN35" s="7"/>
      <c r="IO35" s="42"/>
      <c r="IT35" s="42"/>
      <c r="IU35" s="42"/>
      <c r="KC35" s="7"/>
      <c r="KD35" s="42"/>
      <c r="KG35" s="391"/>
      <c r="KH35" s="42"/>
      <c r="KI35" s="42"/>
      <c r="KJ35" s="42"/>
      <c r="KK35" s="42"/>
      <c r="KL35" s="42"/>
      <c r="KM35" s="42"/>
      <c r="KN35" s="42"/>
      <c r="KO35" s="42"/>
      <c r="KP35" s="42"/>
      <c r="KQ35" s="42"/>
      <c r="KR35" s="42"/>
      <c r="KS35" s="42"/>
      <c r="KT35" s="42"/>
      <c r="KU35" s="42"/>
      <c r="KV35" s="42"/>
      <c r="KW35" s="42"/>
      <c r="KX35" s="42"/>
      <c r="KY35" s="42"/>
      <c r="KZ35" s="42"/>
      <c r="LA35" s="42"/>
      <c r="LB35" s="42"/>
      <c r="LC35" s="42"/>
      <c r="LD35" s="42"/>
      <c r="LE35" s="42"/>
      <c r="LF35" s="42"/>
      <c r="LG35" s="42"/>
      <c r="LH35" s="42"/>
      <c r="LI35" s="42"/>
      <c r="LJ35" s="42"/>
      <c r="LK35" s="42"/>
      <c r="LL35" s="42"/>
      <c r="LM35" s="42"/>
      <c r="LN35" s="42"/>
      <c r="LO35" s="42"/>
      <c r="LP35" s="42"/>
      <c r="LQ35" s="42"/>
      <c r="LR35" s="42"/>
      <c r="LS35" s="42"/>
      <c r="LT35" s="42"/>
      <c r="LU35" s="42"/>
      <c r="LV35" s="42"/>
      <c r="LW35" s="42"/>
      <c r="LX35" s="42"/>
      <c r="LY35" s="42"/>
      <c r="LZ35" s="42"/>
      <c r="MA35" s="42"/>
      <c r="MB35" s="42"/>
      <c r="MC35" s="42"/>
      <c r="MD35" s="42"/>
      <c r="ME35" s="42"/>
      <c r="MF35" s="42"/>
      <c r="MG35" s="42"/>
      <c r="MH35" s="42"/>
      <c r="MI35" s="42"/>
      <c r="MJ35" s="42"/>
      <c r="MK35" s="42"/>
      <c r="ML35" s="42"/>
      <c r="MM35" s="42"/>
      <c r="MN35" s="42"/>
      <c r="MO35" s="42"/>
      <c r="MP35" s="42"/>
      <c r="MQ35" s="42"/>
      <c r="MR35" s="42"/>
      <c r="MS35" s="42"/>
      <c r="MT35" s="42"/>
      <c r="MU35" s="42"/>
      <c r="MV35" s="42"/>
      <c r="MW35" s="42"/>
      <c r="MX35" s="42"/>
      <c r="MY35" s="42"/>
      <c r="MZ35" s="42"/>
      <c r="NA35" s="42"/>
      <c r="NB35" s="42"/>
      <c r="NC35" s="42"/>
      <c r="ND35" s="42"/>
      <c r="NE35" s="42"/>
      <c r="NF35" s="42"/>
      <c r="NG35" s="42"/>
      <c r="NH35" s="42"/>
      <c r="NI35" s="42"/>
      <c r="NJ35" s="42"/>
      <c r="NK35" s="42"/>
      <c r="NL35" s="42"/>
      <c r="NM35" s="42"/>
      <c r="NN35" s="42"/>
      <c r="NO35" s="42"/>
      <c r="NP35" s="42"/>
      <c r="NQ35" s="42"/>
      <c r="NR35" s="42"/>
      <c r="NS35" s="42"/>
    </row>
    <row r="36" spans="1:383" s="5" customFormat="1" x14ac:dyDescent="0.25">
      <c r="A36" s="1"/>
      <c r="B36" s="2"/>
      <c r="C36" s="2"/>
      <c r="D36" s="2"/>
      <c r="E36" s="3"/>
      <c r="F36" s="3"/>
      <c r="G36" s="4"/>
      <c r="H36" s="1"/>
      <c r="I36" s="7"/>
      <c r="J36" s="7"/>
      <c r="K36" s="7"/>
      <c r="L36" s="7"/>
      <c r="M36" s="7"/>
      <c r="N36" s="7"/>
      <c r="O36" s="3"/>
      <c r="P36" s="7"/>
      <c r="AL36" s="7"/>
      <c r="AM36" s="7"/>
      <c r="AN36" s="7"/>
      <c r="AO36" s="7"/>
      <c r="AT36" s="7"/>
      <c r="AV36" s="11"/>
      <c r="AW36" s="7"/>
      <c r="AY36" s="7"/>
      <c r="BN36" s="7"/>
      <c r="CQ36" s="7"/>
      <c r="DF36" s="7"/>
      <c r="DG36" s="7"/>
      <c r="DL36" s="15"/>
      <c r="DQ36" s="16"/>
      <c r="DR36" s="7"/>
      <c r="DV36" s="16"/>
      <c r="DZ36" s="16"/>
      <c r="EA36" s="7"/>
      <c r="EF36" s="16"/>
      <c r="EK36" s="16"/>
      <c r="EL36" s="7"/>
      <c r="EP36" s="16"/>
      <c r="ET36" s="16"/>
      <c r="EU36" s="7"/>
      <c r="FM36" s="7"/>
      <c r="FN36" s="390"/>
      <c r="FO36" s="390"/>
      <c r="FR36" s="7"/>
      <c r="FY36" s="7"/>
      <c r="GG36" s="7"/>
      <c r="HX36" s="74"/>
      <c r="HY36" s="42"/>
      <c r="HZ36" s="42"/>
      <c r="IE36" s="42"/>
      <c r="IF36" s="42"/>
      <c r="IK36" s="42"/>
      <c r="IL36" s="42"/>
      <c r="IM36" s="42"/>
      <c r="IN36" s="7"/>
      <c r="IO36" s="42"/>
      <c r="IT36" s="42"/>
      <c r="IU36" s="42"/>
      <c r="KC36" s="7"/>
      <c r="KD36" s="42"/>
      <c r="KG36" s="391"/>
      <c r="KH36" s="42"/>
      <c r="KI36" s="42"/>
      <c r="KJ36" s="42"/>
      <c r="KK36" s="42"/>
      <c r="KL36" s="42"/>
      <c r="KM36" s="42"/>
      <c r="KN36" s="42"/>
      <c r="KO36" s="42"/>
      <c r="KP36" s="42"/>
      <c r="KQ36" s="42"/>
      <c r="KR36" s="42"/>
      <c r="KS36" s="42"/>
      <c r="KT36" s="42"/>
      <c r="KU36" s="42"/>
      <c r="KV36" s="42"/>
      <c r="KW36" s="42"/>
      <c r="KX36" s="42"/>
      <c r="KY36" s="42"/>
      <c r="KZ36" s="42"/>
      <c r="LA36" s="42"/>
      <c r="LB36" s="42"/>
      <c r="LC36" s="42"/>
      <c r="LD36" s="42"/>
      <c r="LE36" s="42"/>
      <c r="LF36" s="42"/>
      <c r="LG36" s="42"/>
      <c r="LH36" s="42"/>
      <c r="LI36" s="42"/>
      <c r="LJ36" s="42"/>
      <c r="LK36" s="42"/>
      <c r="LL36" s="42"/>
      <c r="LM36" s="42"/>
      <c r="LN36" s="42"/>
      <c r="LO36" s="42"/>
      <c r="LP36" s="42"/>
      <c r="LQ36" s="42"/>
      <c r="LR36" s="42"/>
      <c r="LS36" s="42"/>
      <c r="LT36" s="42"/>
      <c r="LU36" s="42"/>
      <c r="LV36" s="42"/>
      <c r="LW36" s="42"/>
      <c r="LX36" s="42"/>
      <c r="LY36" s="42"/>
      <c r="LZ36" s="42"/>
      <c r="MA36" s="42"/>
      <c r="MB36" s="42"/>
      <c r="MC36" s="42"/>
      <c r="MD36" s="42"/>
      <c r="ME36" s="42"/>
      <c r="MF36" s="42"/>
      <c r="MG36" s="42"/>
      <c r="MH36" s="42"/>
      <c r="MI36" s="42"/>
      <c r="MJ36" s="42"/>
      <c r="MK36" s="42"/>
      <c r="ML36" s="42"/>
      <c r="MM36" s="42"/>
      <c r="MN36" s="42"/>
      <c r="MO36" s="42"/>
      <c r="MP36" s="42"/>
      <c r="MQ36" s="42"/>
      <c r="MR36" s="42"/>
      <c r="MS36" s="42"/>
      <c r="MT36" s="42"/>
      <c r="MU36" s="42"/>
      <c r="MV36" s="42"/>
      <c r="MW36" s="42"/>
      <c r="MX36" s="42"/>
      <c r="MY36" s="42"/>
      <c r="MZ36" s="42"/>
      <c r="NA36" s="42"/>
      <c r="NB36" s="42"/>
      <c r="NC36" s="42"/>
      <c r="ND36" s="42"/>
      <c r="NE36" s="42"/>
      <c r="NF36" s="42"/>
      <c r="NG36" s="42"/>
      <c r="NH36" s="42"/>
      <c r="NI36" s="42"/>
      <c r="NJ36" s="42"/>
      <c r="NK36" s="42"/>
      <c r="NL36" s="42"/>
      <c r="NM36" s="42"/>
      <c r="NN36" s="42"/>
      <c r="NO36" s="42"/>
      <c r="NP36" s="42"/>
      <c r="NQ36" s="42"/>
      <c r="NR36" s="42"/>
      <c r="NS36" s="42"/>
    </row>
    <row r="37" spans="1:383" s="5" customFormat="1" x14ac:dyDescent="0.25">
      <c r="A37" s="1"/>
      <c r="B37" s="2"/>
      <c r="C37" s="2"/>
      <c r="D37" s="2"/>
      <c r="E37" s="3"/>
      <c r="F37" s="3"/>
      <c r="G37" s="4"/>
      <c r="H37" s="1"/>
      <c r="I37" s="7"/>
      <c r="J37" s="7"/>
      <c r="K37" s="7"/>
      <c r="L37" s="7"/>
      <c r="M37" s="7"/>
      <c r="N37" s="7"/>
      <c r="O37" s="3"/>
      <c r="P37" s="7"/>
      <c r="AL37" s="7"/>
      <c r="AM37" s="7"/>
      <c r="AN37" s="7"/>
      <c r="AO37" s="7"/>
      <c r="AT37" s="7"/>
      <c r="AV37" s="11"/>
      <c r="AW37" s="7"/>
      <c r="AY37" s="7"/>
      <c r="BN37" s="7"/>
      <c r="CQ37" s="7"/>
      <c r="DF37" s="7"/>
      <c r="DG37" s="7"/>
      <c r="DL37" s="15"/>
      <c r="DQ37" s="16"/>
      <c r="DR37" s="7"/>
      <c r="DV37" s="16"/>
      <c r="DZ37" s="16"/>
      <c r="EA37" s="7"/>
      <c r="EF37" s="16"/>
      <c r="EK37" s="16"/>
      <c r="EL37" s="7"/>
      <c r="EP37" s="16"/>
      <c r="ET37" s="16"/>
      <c r="EU37" s="7"/>
      <c r="FM37" s="7"/>
      <c r="FN37" s="390"/>
      <c r="FO37" s="390"/>
      <c r="FR37" s="7"/>
      <c r="FY37" s="7"/>
      <c r="GG37" s="7"/>
      <c r="HX37" s="74"/>
      <c r="HY37" s="42"/>
      <c r="HZ37" s="42"/>
      <c r="IE37" s="42"/>
      <c r="IF37" s="42"/>
      <c r="IK37" s="42"/>
      <c r="IL37" s="42"/>
      <c r="IM37" s="42"/>
      <c r="IN37" s="7"/>
      <c r="IO37" s="42"/>
      <c r="IT37" s="42"/>
      <c r="IU37" s="42"/>
      <c r="KC37" s="7"/>
      <c r="KD37" s="42"/>
      <c r="KG37" s="391"/>
      <c r="KH37" s="42"/>
      <c r="KI37" s="42"/>
      <c r="KJ37" s="42"/>
      <c r="KK37" s="42"/>
      <c r="KL37" s="42"/>
      <c r="KM37" s="42"/>
      <c r="KN37" s="42"/>
      <c r="KO37" s="42"/>
      <c r="KP37" s="42"/>
      <c r="KQ37" s="42"/>
      <c r="KR37" s="42"/>
      <c r="KS37" s="42"/>
      <c r="KT37" s="42"/>
      <c r="KU37" s="42"/>
      <c r="KV37" s="42"/>
      <c r="KW37" s="42"/>
      <c r="KX37" s="42"/>
      <c r="KY37" s="42"/>
      <c r="KZ37" s="42"/>
      <c r="LA37" s="42"/>
      <c r="LB37" s="42"/>
      <c r="LC37" s="42"/>
      <c r="LD37" s="42"/>
      <c r="LE37" s="42"/>
      <c r="LF37" s="42"/>
      <c r="LG37" s="42"/>
      <c r="LH37" s="42"/>
      <c r="LI37" s="42"/>
      <c r="LJ37" s="42"/>
      <c r="LK37" s="42"/>
      <c r="LL37" s="42"/>
      <c r="LM37" s="42"/>
      <c r="LN37" s="42"/>
      <c r="LO37" s="42"/>
      <c r="LP37" s="42"/>
      <c r="LQ37" s="42"/>
      <c r="LR37" s="42"/>
      <c r="LS37" s="42"/>
      <c r="LT37" s="42"/>
      <c r="LU37" s="42"/>
      <c r="LV37" s="42"/>
      <c r="LW37" s="42"/>
      <c r="LX37" s="42"/>
      <c r="LY37" s="42"/>
      <c r="LZ37" s="42"/>
      <c r="MA37" s="42"/>
      <c r="MB37" s="42"/>
      <c r="MC37" s="42"/>
      <c r="MD37" s="42"/>
      <c r="ME37" s="42"/>
      <c r="MF37" s="42"/>
      <c r="MG37" s="42"/>
      <c r="MH37" s="42"/>
      <c r="MI37" s="42"/>
      <c r="MJ37" s="42"/>
      <c r="MK37" s="42"/>
      <c r="ML37" s="42"/>
      <c r="MM37" s="42"/>
      <c r="MN37" s="42"/>
      <c r="MO37" s="42"/>
      <c r="MP37" s="42"/>
      <c r="MQ37" s="42"/>
      <c r="MR37" s="42"/>
      <c r="MS37" s="42"/>
      <c r="MT37" s="42"/>
      <c r="MU37" s="42"/>
      <c r="MV37" s="42"/>
      <c r="MW37" s="42"/>
      <c r="MX37" s="42"/>
      <c r="MY37" s="42"/>
      <c r="MZ37" s="42"/>
      <c r="NA37" s="42"/>
      <c r="NB37" s="42"/>
      <c r="NC37" s="42"/>
      <c r="ND37" s="42"/>
      <c r="NE37" s="42"/>
      <c r="NF37" s="42"/>
      <c r="NG37" s="42"/>
      <c r="NH37" s="42"/>
      <c r="NI37" s="42"/>
      <c r="NJ37" s="42"/>
      <c r="NK37" s="42"/>
      <c r="NL37" s="42"/>
      <c r="NM37" s="42"/>
      <c r="NN37" s="42"/>
      <c r="NO37" s="42"/>
      <c r="NP37" s="42"/>
      <c r="NQ37" s="42"/>
      <c r="NR37" s="42"/>
      <c r="NS37" s="42"/>
    </row>
    <row r="38" spans="1:383" s="5" customFormat="1" x14ac:dyDescent="0.25">
      <c r="A38" s="1"/>
      <c r="B38" s="2"/>
      <c r="C38" s="2"/>
      <c r="D38" s="2"/>
      <c r="E38" s="3"/>
      <c r="F38" s="3"/>
      <c r="G38" s="4"/>
      <c r="H38" s="1"/>
      <c r="I38" s="7"/>
      <c r="J38" s="7"/>
      <c r="K38" s="7"/>
      <c r="L38" s="7"/>
      <c r="M38" s="7"/>
      <c r="N38" s="7"/>
      <c r="O38" s="3"/>
      <c r="P38" s="7"/>
      <c r="AL38" s="7"/>
      <c r="AM38" s="7"/>
      <c r="AN38" s="7"/>
      <c r="AO38" s="7"/>
      <c r="AT38" s="7"/>
      <c r="AV38" s="11"/>
      <c r="AW38" s="7"/>
      <c r="AY38" s="7"/>
      <c r="BN38" s="7"/>
      <c r="CQ38" s="7"/>
      <c r="DF38" s="7"/>
      <c r="DG38" s="7"/>
      <c r="DL38" s="15"/>
      <c r="DQ38" s="16"/>
      <c r="DR38" s="7"/>
      <c r="DV38" s="16"/>
      <c r="DZ38" s="16"/>
      <c r="EA38" s="7"/>
      <c r="EF38" s="16"/>
      <c r="EK38" s="16"/>
      <c r="EL38" s="7"/>
      <c r="EP38" s="16"/>
      <c r="ET38" s="16"/>
      <c r="EU38" s="7"/>
      <c r="FM38" s="7"/>
      <c r="FN38" s="390"/>
      <c r="FO38" s="390"/>
      <c r="FR38" s="7"/>
      <c r="FY38" s="7"/>
      <c r="GG38" s="7"/>
      <c r="HX38" s="74"/>
      <c r="HY38" s="42"/>
      <c r="HZ38" s="42"/>
      <c r="IE38" s="42"/>
      <c r="IF38" s="42"/>
      <c r="IK38" s="42"/>
      <c r="IL38" s="42"/>
      <c r="IM38" s="42"/>
      <c r="IN38" s="7"/>
      <c r="IO38" s="42"/>
      <c r="IT38" s="42"/>
      <c r="IU38" s="42"/>
      <c r="KC38" s="7"/>
      <c r="KD38" s="42"/>
      <c r="KG38" s="391"/>
      <c r="KH38" s="42"/>
      <c r="KI38" s="42"/>
      <c r="KJ38" s="42"/>
      <c r="KK38" s="42"/>
      <c r="KL38" s="42"/>
      <c r="KM38" s="42"/>
      <c r="KN38" s="42"/>
      <c r="KO38" s="42"/>
      <c r="KP38" s="42"/>
      <c r="KQ38" s="42"/>
      <c r="KR38" s="42"/>
      <c r="KS38" s="42"/>
      <c r="KT38" s="42"/>
      <c r="KU38" s="42"/>
      <c r="KV38" s="42"/>
      <c r="KW38" s="42"/>
      <c r="KX38" s="42"/>
      <c r="KY38" s="42"/>
      <c r="KZ38" s="42"/>
      <c r="LA38" s="42"/>
      <c r="LB38" s="42"/>
      <c r="LC38" s="42"/>
      <c r="LD38" s="42"/>
      <c r="LE38" s="42"/>
      <c r="LF38" s="42"/>
      <c r="LG38" s="42"/>
      <c r="LH38" s="42"/>
      <c r="LI38" s="42"/>
      <c r="LJ38" s="42"/>
      <c r="LK38" s="42"/>
      <c r="LL38" s="42"/>
      <c r="LM38" s="42"/>
      <c r="LN38" s="42"/>
      <c r="LO38" s="42"/>
      <c r="LP38" s="42"/>
      <c r="LQ38" s="42"/>
      <c r="LR38" s="42"/>
      <c r="LS38" s="42"/>
      <c r="LT38" s="42"/>
      <c r="LU38" s="42"/>
      <c r="LV38" s="42"/>
      <c r="LW38" s="42"/>
      <c r="LX38" s="42"/>
      <c r="LY38" s="42"/>
      <c r="LZ38" s="42"/>
      <c r="MA38" s="42"/>
      <c r="MB38" s="42"/>
      <c r="MC38" s="42"/>
      <c r="MD38" s="42"/>
      <c r="ME38" s="42"/>
      <c r="MF38" s="42"/>
      <c r="MG38" s="42"/>
      <c r="MH38" s="42"/>
      <c r="MI38" s="42"/>
      <c r="MJ38" s="42"/>
      <c r="MK38" s="42"/>
      <c r="ML38" s="42"/>
      <c r="MM38" s="42"/>
      <c r="MN38" s="42"/>
      <c r="MO38" s="42"/>
      <c r="MP38" s="42"/>
      <c r="MQ38" s="42"/>
      <c r="MR38" s="42"/>
      <c r="MS38" s="42"/>
      <c r="MT38" s="42"/>
      <c r="MU38" s="42"/>
      <c r="MV38" s="42"/>
      <c r="MW38" s="42"/>
      <c r="MX38" s="42"/>
      <c r="MY38" s="42"/>
      <c r="MZ38" s="42"/>
      <c r="NA38" s="42"/>
      <c r="NB38" s="42"/>
      <c r="NC38" s="42"/>
      <c r="ND38" s="42"/>
      <c r="NE38" s="42"/>
      <c r="NF38" s="42"/>
      <c r="NG38" s="42"/>
      <c r="NH38" s="42"/>
      <c r="NI38" s="42"/>
      <c r="NJ38" s="42"/>
      <c r="NK38" s="42"/>
      <c r="NL38" s="42"/>
      <c r="NM38" s="42"/>
      <c r="NN38" s="42"/>
      <c r="NO38" s="42"/>
      <c r="NP38" s="42"/>
      <c r="NQ38" s="42"/>
      <c r="NR38" s="42"/>
      <c r="NS38" s="42"/>
    </row>
    <row r="39" spans="1:383" s="5" customFormat="1" x14ac:dyDescent="0.25">
      <c r="A39" s="1"/>
      <c r="B39" s="2"/>
      <c r="C39" s="2"/>
      <c r="D39" s="2"/>
      <c r="E39" s="3"/>
      <c r="F39" s="3"/>
      <c r="G39" s="4"/>
      <c r="H39" s="1"/>
      <c r="I39" s="7"/>
      <c r="J39" s="7"/>
      <c r="K39" s="7"/>
      <c r="L39" s="7"/>
      <c r="M39" s="7"/>
      <c r="N39" s="7"/>
      <c r="O39" s="3"/>
      <c r="P39" s="7"/>
      <c r="AL39" s="7"/>
      <c r="AM39" s="7"/>
      <c r="AN39" s="7"/>
      <c r="AO39" s="7"/>
      <c r="AT39" s="7"/>
      <c r="AV39" s="11"/>
      <c r="AW39" s="7"/>
      <c r="AY39" s="7"/>
      <c r="BN39" s="7"/>
      <c r="CQ39" s="7"/>
      <c r="DF39" s="7"/>
      <c r="DG39" s="7"/>
      <c r="DL39" s="15"/>
      <c r="DQ39" s="16"/>
      <c r="DR39" s="7"/>
      <c r="DV39" s="16"/>
      <c r="DZ39" s="16"/>
      <c r="EA39" s="7"/>
      <c r="EF39" s="16"/>
      <c r="EK39" s="16"/>
      <c r="EL39" s="7"/>
      <c r="EP39" s="16"/>
      <c r="ET39" s="16"/>
      <c r="EU39" s="7"/>
      <c r="FM39" s="7"/>
      <c r="FN39" s="390"/>
      <c r="FO39" s="390"/>
      <c r="FR39" s="7"/>
      <c r="FY39" s="7"/>
      <c r="GG39" s="7"/>
      <c r="HX39" s="74"/>
      <c r="HY39" s="42"/>
      <c r="HZ39" s="42"/>
      <c r="IE39" s="42"/>
      <c r="IF39" s="42"/>
      <c r="IK39" s="42"/>
      <c r="IL39" s="42"/>
      <c r="IM39" s="42"/>
      <c r="IN39" s="7"/>
      <c r="IO39" s="42"/>
      <c r="IT39" s="42"/>
      <c r="IU39" s="42"/>
      <c r="KC39" s="7"/>
      <c r="KD39" s="42"/>
      <c r="KG39" s="391"/>
      <c r="KH39" s="42"/>
      <c r="KI39" s="42"/>
      <c r="KJ39" s="42"/>
      <c r="KK39" s="42"/>
      <c r="KL39" s="42"/>
      <c r="KM39" s="42"/>
      <c r="KN39" s="42"/>
      <c r="KO39" s="42"/>
      <c r="KP39" s="42"/>
      <c r="KQ39" s="42"/>
      <c r="KR39" s="42"/>
      <c r="KS39" s="42"/>
      <c r="KT39" s="42"/>
      <c r="KU39" s="42"/>
      <c r="KV39" s="42"/>
      <c r="KW39" s="42"/>
      <c r="KX39" s="42"/>
      <c r="KY39" s="42"/>
      <c r="KZ39" s="42"/>
      <c r="LA39" s="42"/>
      <c r="LB39" s="42"/>
      <c r="LC39" s="42"/>
      <c r="LD39" s="42"/>
      <c r="LE39" s="42"/>
      <c r="LF39" s="42"/>
      <c r="LG39" s="42"/>
      <c r="LH39" s="42"/>
      <c r="LI39" s="42"/>
      <c r="LJ39" s="42"/>
      <c r="LK39" s="42"/>
      <c r="LL39" s="42"/>
      <c r="LM39" s="42"/>
      <c r="LN39" s="42"/>
      <c r="LO39" s="42"/>
      <c r="LP39" s="42"/>
      <c r="LQ39" s="42"/>
      <c r="LR39" s="42"/>
      <c r="LS39" s="42"/>
      <c r="LT39" s="42"/>
      <c r="LU39" s="42"/>
      <c r="LV39" s="42"/>
      <c r="LW39" s="42"/>
      <c r="LX39" s="42"/>
      <c r="LY39" s="42"/>
      <c r="LZ39" s="42"/>
      <c r="MA39" s="42"/>
      <c r="MB39" s="42"/>
      <c r="MC39" s="42"/>
      <c r="MD39" s="42"/>
      <c r="ME39" s="42"/>
      <c r="MF39" s="42"/>
      <c r="MG39" s="42"/>
      <c r="MH39" s="42"/>
      <c r="MI39" s="42"/>
      <c r="MJ39" s="42"/>
      <c r="MK39" s="42"/>
      <c r="ML39" s="42"/>
      <c r="MM39" s="42"/>
      <c r="MN39" s="42"/>
      <c r="MO39" s="42"/>
      <c r="MP39" s="42"/>
      <c r="MQ39" s="42"/>
      <c r="MR39" s="42"/>
      <c r="MS39" s="42"/>
      <c r="MT39" s="42"/>
      <c r="MU39" s="42"/>
      <c r="MV39" s="42"/>
      <c r="MW39" s="42"/>
      <c r="MX39" s="42"/>
      <c r="MY39" s="42"/>
      <c r="MZ39" s="42"/>
      <c r="NA39" s="42"/>
      <c r="NB39" s="42"/>
      <c r="NC39" s="42"/>
      <c r="ND39" s="42"/>
      <c r="NE39" s="42"/>
      <c r="NF39" s="42"/>
      <c r="NG39" s="42"/>
      <c r="NH39" s="42"/>
      <c r="NI39" s="42"/>
      <c r="NJ39" s="42"/>
      <c r="NK39" s="42"/>
      <c r="NL39" s="42"/>
      <c r="NM39" s="42"/>
      <c r="NN39" s="42"/>
      <c r="NO39" s="42"/>
      <c r="NP39" s="42"/>
      <c r="NQ39" s="42"/>
      <c r="NR39" s="42"/>
      <c r="NS39" s="42"/>
    </row>
    <row r="40" spans="1:383" s="5" customFormat="1" x14ac:dyDescent="0.25">
      <c r="A40" s="1"/>
      <c r="B40" s="2"/>
      <c r="C40" s="2"/>
      <c r="D40" s="2"/>
      <c r="E40" s="3"/>
      <c r="F40" s="3"/>
      <c r="G40" s="4"/>
      <c r="H40" s="1"/>
      <c r="I40" s="7"/>
      <c r="J40" s="7"/>
      <c r="K40" s="7"/>
      <c r="L40" s="7"/>
      <c r="M40" s="7"/>
      <c r="N40" s="7"/>
      <c r="O40" s="3"/>
      <c r="P40" s="7"/>
      <c r="AL40" s="7"/>
      <c r="AM40" s="7"/>
      <c r="AN40" s="7"/>
      <c r="AO40" s="7"/>
      <c r="AT40" s="7"/>
      <c r="AV40" s="11"/>
      <c r="AW40" s="7"/>
      <c r="AY40" s="7"/>
      <c r="BN40" s="7"/>
      <c r="CQ40" s="7"/>
      <c r="DF40" s="7"/>
      <c r="DG40" s="7"/>
      <c r="DL40" s="15"/>
      <c r="DQ40" s="16"/>
      <c r="DR40" s="7"/>
      <c r="DV40" s="16"/>
      <c r="DZ40" s="16"/>
      <c r="EA40" s="7"/>
      <c r="EF40" s="16"/>
      <c r="EK40" s="16"/>
      <c r="EL40" s="7"/>
      <c r="EP40" s="16"/>
      <c r="ET40" s="16"/>
      <c r="EU40" s="7"/>
      <c r="FM40" s="7"/>
      <c r="FN40" s="390"/>
      <c r="FO40" s="390"/>
      <c r="FR40" s="7"/>
      <c r="FY40" s="7"/>
      <c r="GG40" s="7"/>
      <c r="HX40" s="74"/>
      <c r="HY40" s="42"/>
      <c r="HZ40" s="42"/>
      <c r="IE40" s="42"/>
      <c r="IF40" s="42"/>
      <c r="IK40" s="42"/>
      <c r="IL40" s="42"/>
      <c r="IM40" s="42"/>
      <c r="IN40" s="7"/>
      <c r="IO40" s="42"/>
      <c r="IT40" s="42"/>
      <c r="IU40" s="42"/>
      <c r="KC40" s="7"/>
      <c r="KD40" s="42"/>
      <c r="KG40" s="391"/>
      <c r="KH40" s="42"/>
      <c r="KI40" s="42"/>
      <c r="KJ40" s="42"/>
      <c r="KK40" s="42"/>
      <c r="KL40" s="42"/>
      <c r="KM40" s="42"/>
      <c r="KN40" s="42"/>
      <c r="KO40" s="42"/>
      <c r="KP40" s="42"/>
      <c r="KQ40" s="42"/>
      <c r="KR40" s="42"/>
      <c r="KS40" s="42"/>
      <c r="KT40" s="42"/>
      <c r="KU40" s="42"/>
      <c r="KV40" s="42"/>
      <c r="KW40" s="42"/>
      <c r="KX40" s="42"/>
      <c r="KY40" s="42"/>
      <c r="KZ40" s="42"/>
      <c r="LA40" s="42"/>
      <c r="LB40" s="42"/>
      <c r="LC40" s="42"/>
      <c r="LD40" s="42"/>
      <c r="LE40" s="42"/>
      <c r="LF40" s="42"/>
      <c r="LG40" s="42"/>
      <c r="LH40" s="42"/>
      <c r="LI40" s="42"/>
      <c r="LJ40" s="42"/>
      <c r="LK40" s="42"/>
      <c r="LL40" s="42"/>
      <c r="LM40" s="42"/>
      <c r="LN40" s="42"/>
      <c r="LO40" s="42"/>
      <c r="LP40" s="42"/>
      <c r="LQ40" s="42"/>
      <c r="LR40" s="42"/>
      <c r="LS40" s="42"/>
      <c r="LT40" s="42"/>
      <c r="LU40" s="42"/>
      <c r="LV40" s="42"/>
      <c r="LW40" s="42"/>
      <c r="LX40" s="42"/>
      <c r="LY40" s="42"/>
      <c r="LZ40" s="42"/>
      <c r="MA40" s="42"/>
      <c r="MB40" s="42"/>
      <c r="MC40" s="42"/>
      <c r="MD40" s="42"/>
      <c r="ME40" s="42"/>
      <c r="MF40" s="42"/>
      <c r="MG40" s="42"/>
      <c r="MH40" s="42"/>
      <c r="MI40" s="42"/>
      <c r="MJ40" s="42"/>
      <c r="MK40" s="42"/>
      <c r="ML40" s="42"/>
      <c r="MM40" s="42"/>
      <c r="MN40" s="42"/>
      <c r="MO40" s="42"/>
      <c r="MP40" s="42"/>
      <c r="MQ40" s="42"/>
      <c r="MR40" s="42"/>
      <c r="MS40" s="42"/>
      <c r="MT40" s="42"/>
      <c r="MU40" s="42"/>
      <c r="MV40" s="42"/>
      <c r="MW40" s="42"/>
      <c r="MX40" s="42"/>
      <c r="MY40" s="42"/>
      <c r="MZ40" s="42"/>
      <c r="NA40" s="42"/>
      <c r="NB40" s="42"/>
      <c r="NC40" s="42"/>
      <c r="ND40" s="42"/>
      <c r="NE40" s="42"/>
      <c r="NF40" s="42"/>
      <c r="NG40" s="42"/>
      <c r="NH40" s="42"/>
      <c r="NI40" s="42"/>
      <c r="NJ40" s="42"/>
      <c r="NK40" s="42"/>
      <c r="NL40" s="42"/>
      <c r="NM40" s="42"/>
      <c r="NN40" s="42"/>
      <c r="NO40" s="42"/>
      <c r="NP40" s="42"/>
      <c r="NQ40" s="42"/>
      <c r="NR40" s="42"/>
      <c r="NS40" s="42"/>
    </row>
    <row r="41" spans="1:383" s="5" customFormat="1" x14ac:dyDescent="0.25">
      <c r="A41" s="1"/>
      <c r="B41" s="2"/>
      <c r="C41" s="2"/>
      <c r="D41" s="2"/>
      <c r="E41" s="3"/>
      <c r="F41" s="3"/>
      <c r="G41" s="4"/>
      <c r="H41" s="1"/>
      <c r="I41" s="7"/>
      <c r="J41" s="7"/>
      <c r="K41" s="7"/>
      <c r="L41" s="7"/>
      <c r="M41" s="7"/>
      <c r="N41" s="7"/>
      <c r="O41" s="3"/>
      <c r="P41" s="7"/>
      <c r="AL41" s="7"/>
      <c r="AM41" s="7"/>
      <c r="AN41" s="7"/>
      <c r="AO41" s="7"/>
      <c r="AT41" s="7"/>
      <c r="AV41" s="11"/>
      <c r="AW41" s="7"/>
      <c r="AY41" s="7"/>
      <c r="BN41" s="7"/>
      <c r="CQ41" s="7"/>
      <c r="DF41" s="7"/>
      <c r="DG41" s="7"/>
      <c r="DL41" s="15"/>
      <c r="DQ41" s="16"/>
      <c r="DR41" s="7"/>
      <c r="DV41" s="16"/>
      <c r="DZ41" s="16"/>
      <c r="EA41" s="7"/>
      <c r="EF41" s="16"/>
      <c r="EK41" s="16"/>
      <c r="EL41" s="7"/>
      <c r="EP41" s="16"/>
      <c r="ET41" s="16"/>
      <c r="EU41" s="7"/>
      <c r="FM41" s="7"/>
      <c r="FN41" s="390"/>
      <c r="FO41" s="390"/>
      <c r="FR41" s="7"/>
      <c r="FY41" s="7"/>
      <c r="GG41" s="7"/>
      <c r="HX41" s="74"/>
      <c r="HY41" s="42"/>
      <c r="HZ41" s="42"/>
      <c r="IE41" s="42"/>
      <c r="IF41" s="42"/>
      <c r="IK41" s="42"/>
      <c r="IL41" s="42"/>
      <c r="IM41" s="42"/>
      <c r="IN41" s="7"/>
      <c r="IO41" s="42"/>
      <c r="IT41" s="42"/>
      <c r="IU41" s="42"/>
      <c r="KC41" s="7"/>
      <c r="KD41" s="42"/>
      <c r="KG41" s="391"/>
      <c r="KH41" s="42"/>
      <c r="KI41" s="42"/>
      <c r="KJ41" s="42"/>
      <c r="KK41" s="42"/>
      <c r="KL41" s="42"/>
      <c r="KM41" s="42"/>
      <c r="KN41" s="42"/>
      <c r="KO41" s="42"/>
      <c r="KP41" s="42"/>
      <c r="KQ41" s="42"/>
      <c r="KR41" s="42"/>
      <c r="KS41" s="42"/>
      <c r="KT41" s="42"/>
      <c r="KU41" s="42"/>
      <c r="KV41" s="42"/>
      <c r="KW41" s="42"/>
      <c r="KX41" s="42"/>
      <c r="KY41" s="42"/>
      <c r="KZ41" s="42"/>
      <c r="LA41" s="42"/>
      <c r="LB41" s="42"/>
      <c r="LC41" s="42"/>
      <c r="LD41" s="42"/>
      <c r="LE41" s="42"/>
      <c r="LF41" s="42"/>
      <c r="LG41" s="42"/>
      <c r="LH41" s="42"/>
      <c r="LI41" s="42"/>
      <c r="LJ41" s="42"/>
      <c r="LK41" s="42"/>
      <c r="LL41" s="42"/>
      <c r="LM41" s="42"/>
      <c r="LN41" s="42"/>
      <c r="LO41" s="42"/>
      <c r="LP41" s="42"/>
      <c r="LQ41" s="42"/>
      <c r="LR41" s="42"/>
      <c r="LS41" s="42"/>
      <c r="LT41" s="42"/>
      <c r="LU41" s="42"/>
      <c r="LV41" s="42"/>
      <c r="LW41" s="42"/>
      <c r="LX41" s="42"/>
      <c r="LY41" s="42"/>
      <c r="LZ41" s="42"/>
      <c r="MA41" s="42"/>
      <c r="MB41" s="42"/>
      <c r="MC41" s="42"/>
      <c r="MD41" s="42"/>
      <c r="ME41" s="42"/>
      <c r="MF41" s="42"/>
      <c r="MG41" s="42"/>
      <c r="MH41" s="42"/>
      <c r="MI41" s="42"/>
      <c r="MJ41" s="42"/>
      <c r="MK41" s="42"/>
      <c r="ML41" s="42"/>
      <c r="MM41" s="42"/>
      <c r="MN41" s="42"/>
      <c r="MO41" s="42"/>
      <c r="MP41" s="42"/>
      <c r="MQ41" s="42"/>
      <c r="MR41" s="42"/>
      <c r="MS41" s="42"/>
      <c r="MT41" s="42"/>
      <c r="MU41" s="42"/>
      <c r="MV41" s="42"/>
      <c r="MW41" s="42"/>
      <c r="MX41" s="42"/>
      <c r="MY41" s="42"/>
      <c r="MZ41" s="42"/>
      <c r="NA41" s="42"/>
      <c r="NB41" s="42"/>
      <c r="NC41" s="42"/>
      <c r="ND41" s="42"/>
      <c r="NE41" s="42"/>
      <c r="NF41" s="42"/>
      <c r="NG41" s="42"/>
      <c r="NH41" s="42"/>
      <c r="NI41" s="42"/>
      <c r="NJ41" s="42"/>
      <c r="NK41" s="42"/>
      <c r="NL41" s="42"/>
      <c r="NM41" s="42"/>
      <c r="NN41" s="42"/>
      <c r="NO41" s="42"/>
      <c r="NP41" s="42"/>
      <c r="NQ41" s="42"/>
      <c r="NR41" s="42"/>
      <c r="NS41" s="42"/>
    </row>
    <row r="42" spans="1:383" s="5" customFormat="1" x14ac:dyDescent="0.25">
      <c r="A42" s="1"/>
      <c r="B42" s="2"/>
      <c r="C42" s="2"/>
      <c r="D42" s="2"/>
      <c r="E42" s="3"/>
      <c r="F42" s="3"/>
      <c r="G42" s="4"/>
      <c r="H42" s="1"/>
      <c r="I42" s="7"/>
      <c r="J42" s="7"/>
      <c r="K42" s="7"/>
      <c r="L42" s="7"/>
      <c r="M42" s="7"/>
      <c r="N42" s="7"/>
      <c r="O42" s="3"/>
      <c r="P42" s="7"/>
      <c r="AL42" s="7"/>
      <c r="AM42" s="7"/>
      <c r="AN42" s="7"/>
      <c r="AO42" s="7"/>
      <c r="AT42" s="7"/>
      <c r="AV42" s="11"/>
      <c r="AW42" s="7"/>
      <c r="AY42" s="7"/>
      <c r="BN42" s="7"/>
      <c r="CQ42" s="7"/>
      <c r="DF42" s="7"/>
      <c r="DG42" s="7"/>
      <c r="DL42" s="15"/>
      <c r="DQ42" s="16"/>
      <c r="DR42" s="7"/>
      <c r="DV42" s="16"/>
      <c r="DZ42" s="16"/>
      <c r="EA42" s="7"/>
      <c r="EF42" s="16"/>
      <c r="EK42" s="16"/>
      <c r="EL42" s="7"/>
      <c r="EP42" s="16"/>
      <c r="ET42" s="16"/>
      <c r="EU42" s="7"/>
      <c r="FM42" s="7"/>
      <c r="FN42" s="390"/>
      <c r="FO42" s="390"/>
      <c r="FR42" s="7"/>
      <c r="FY42" s="7"/>
      <c r="GG42" s="7"/>
      <c r="HX42" s="74"/>
      <c r="HY42" s="42"/>
      <c r="HZ42" s="42"/>
      <c r="IE42" s="42"/>
      <c r="IF42" s="42"/>
      <c r="IK42" s="42"/>
      <c r="IL42" s="42"/>
      <c r="IM42" s="42"/>
      <c r="IN42" s="7"/>
      <c r="IO42" s="42"/>
      <c r="IT42" s="42"/>
      <c r="IU42" s="42"/>
      <c r="KC42" s="7"/>
      <c r="KD42" s="42"/>
      <c r="KG42" s="391"/>
      <c r="KH42" s="42"/>
      <c r="KI42" s="42"/>
      <c r="KJ42" s="42"/>
      <c r="KK42" s="42"/>
      <c r="KL42" s="42"/>
      <c r="KM42" s="42"/>
      <c r="KN42" s="42"/>
      <c r="KO42" s="42"/>
      <c r="KP42" s="42"/>
      <c r="KQ42" s="42"/>
      <c r="KR42" s="42"/>
      <c r="KS42" s="42"/>
      <c r="KT42" s="42"/>
      <c r="KU42" s="42"/>
      <c r="KV42" s="42"/>
      <c r="KW42" s="42"/>
      <c r="KX42" s="42"/>
      <c r="KY42" s="42"/>
      <c r="KZ42" s="42"/>
      <c r="LA42" s="42"/>
      <c r="LB42" s="42"/>
      <c r="LC42" s="42"/>
      <c r="LD42" s="42"/>
      <c r="LE42" s="42"/>
      <c r="LF42" s="42"/>
      <c r="LG42" s="42"/>
      <c r="LH42" s="42"/>
      <c r="LI42" s="42"/>
      <c r="LJ42" s="42"/>
      <c r="LK42" s="42"/>
      <c r="LL42" s="42"/>
      <c r="LM42" s="42"/>
      <c r="LN42" s="42"/>
      <c r="LO42" s="42"/>
      <c r="LP42" s="42"/>
      <c r="LQ42" s="42"/>
      <c r="LR42" s="42"/>
      <c r="LS42" s="42"/>
      <c r="LT42" s="42"/>
      <c r="LU42" s="42"/>
      <c r="LV42" s="42"/>
      <c r="LW42" s="42"/>
      <c r="LX42" s="42"/>
      <c r="LY42" s="42"/>
      <c r="LZ42" s="42"/>
      <c r="MA42" s="42"/>
      <c r="MB42" s="42"/>
      <c r="MC42" s="42"/>
      <c r="MD42" s="42"/>
      <c r="ME42" s="42"/>
      <c r="MF42" s="42"/>
      <c r="MG42" s="42"/>
      <c r="MH42" s="42"/>
      <c r="MI42" s="42"/>
      <c r="MJ42" s="42"/>
      <c r="MK42" s="42"/>
      <c r="ML42" s="42"/>
      <c r="MM42" s="42"/>
      <c r="MN42" s="42"/>
      <c r="MO42" s="42"/>
      <c r="MP42" s="42"/>
      <c r="MQ42" s="42"/>
      <c r="MR42" s="42"/>
      <c r="MS42" s="42"/>
      <c r="MT42" s="42"/>
      <c r="MU42" s="42"/>
      <c r="MV42" s="42"/>
      <c r="MW42" s="42"/>
      <c r="MX42" s="42"/>
      <c r="MY42" s="42"/>
      <c r="MZ42" s="42"/>
      <c r="NA42" s="42"/>
      <c r="NB42" s="42"/>
      <c r="NC42" s="42"/>
      <c r="ND42" s="42"/>
      <c r="NE42" s="42"/>
      <c r="NF42" s="42"/>
      <c r="NG42" s="42"/>
      <c r="NH42" s="42"/>
      <c r="NI42" s="42"/>
      <c r="NJ42" s="42"/>
      <c r="NK42" s="42"/>
      <c r="NL42" s="42"/>
      <c r="NM42" s="42"/>
      <c r="NN42" s="42"/>
      <c r="NO42" s="42"/>
      <c r="NP42" s="42"/>
      <c r="NQ42" s="42"/>
      <c r="NR42" s="42"/>
      <c r="NS42" s="42"/>
    </row>
    <row r="43" spans="1:383" s="5" customFormat="1" x14ac:dyDescent="0.25">
      <c r="A43" s="1"/>
      <c r="B43" s="2"/>
      <c r="C43" s="2"/>
      <c r="D43" s="2"/>
      <c r="E43" s="3"/>
      <c r="F43" s="3"/>
      <c r="G43" s="4"/>
      <c r="H43" s="1"/>
      <c r="I43" s="7"/>
      <c r="J43" s="7"/>
      <c r="K43" s="7"/>
      <c r="L43" s="7"/>
      <c r="M43" s="7"/>
      <c r="N43" s="7"/>
      <c r="O43" s="3"/>
      <c r="P43" s="7"/>
      <c r="AL43" s="7"/>
      <c r="AM43" s="7"/>
      <c r="AN43" s="7"/>
      <c r="AO43" s="7"/>
      <c r="AT43" s="7"/>
      <c r="AV43" s="11"/>
      <c r="AW43" s="7"/>
      <c r="AY43" s="7"/>
      <c r="BN43" s="7"/>
      <c r="CQ43" s="7"/>
      <c r="DF43" s="7"/>
      <c r="DG43" s="7"/>
      <c r="DL43" s="15"/>
      <c r="DQ43" s="16"/>
      <c r="DR43" s="7"/>
      <c r="DV43" s="16"/>
      <c r="DZ43" s="16"/>
      <c r="EA43" s="7"/>
      <c r="EF43" s="16"/>
      <c r="EK43" s="16"/>
      <c r="EL43" s="7"/>
      <c r="EP43" s="16"/>
      <c r="ET43" s="16"/>
      <c r="EU43" s="7"/>
      <c r="FM43" s="7"/>
      <c r="FN43" s="390"/>
      <c r="FO43" s="390"/>
      <c r="FR43" s="7"/>
      <c r="FY43" s="7"/>
      <c r="GG43" s="7"/>
      <c r="HX43" s="74"/>
      <c r="HY43" s="42"/>
      <c r="HZ43" s="42"/>
      <c r="IE43" s="42"/>
      <c r="IF43" s="42"/>
      <c r="IK43" s="42"/>
      <c r="IL43" s="42"/>
      <c r="IM43" s="42"/>
      <c r="IN43" s="7"/>
      <c r="IO43" s="42"/>
      <c r="IT43" s="42"/>
      <c r="IU43" s="42"/>
      <c r="KC43" s="7"/>
      <c r="KD43" s="42"/>
      <c r="KG43" s="391"/>
      <c r="KH43" s="42"/>
      <c r="KI43" s="42"/>
      <c r="KJ43" s="42"/>
      <c r="KK43" s="42"/>
      <c r="KL43" s="42"/>
      <c r="KM43" s="42"/>
      <c r="KN43" s="42"/>
      <c r="KO43" s="42"/>
      <c r="KP43" s="42"/>
      <c r="KQ43" s="42"/>
      <c r="KR43" s="42"/>
      <c r="KS43" s="42"/>
      <c r="KT43" s="42"/>
      <c r="KU43" s="42"/>
      <c r="KV43" s="42"/>
      <c r="KW43" s="42"/>
      <c r="KX43" s="42"/>
      <c r="KY43" s="42"/>
      <c r="KZ43" s="42"/>
      <c r="LA43" s="42"/>
      <c r="LB43" s="42"/>
      <c r="LC43" s="42"/>
      <c r="LD43" s="42"/>
      <c r="LE43" s="42"/>
      <c r="LF43" s="42"/>
      <c r="LG43" s="42"/>
      <c r="LH43" s="42"/>
      <c r="LI43" s="42"/>
      <c r="LJ43" s="42"/>
      <c r="LK43" s="42"/>
      <c r="LL43" s="42"/>
      <c r="LM43" s="42"/>
      <c r="LN43" s="42"/>
      <c r="LO43" s="42"/>
      <c r="LP43" s="42"/>
      <c r="LQ43" s="42"/>
      <c r="LR43" s="42"/>
      <c r="LS43" s="42"/>
      <c r="LT43" s="42"/>
      <c r="LU43" s="42"/>
      <c r="LV43" s="42"/>
      <c r="LW43" s="42"/>
      <c r="LX43" s="42"/>
      <c r="LY43" s="42"/>
      <c r="LZ43" s="42"/>
      <c r="MA43" s="42"/>
      <c r="MB43" s="42"/>
      <c r="MC43" s="42"/>
      <c r="MD43" s="42"/>
      <c r="ME43" s="42"/>
      <c r="MF43" s="42"/>
      <c r="MG43" s="42"/>
      <c r="MH43" s="42"/>
      <c r="MI43" s="42"/>
      <c r="MJ43" s="42"/>
      <c r="MK43" s="42"/>
      <c r="ML43" s="42"/>
      <c r="MM43" s="42"/>
      <c r="MN43" s="42"/>
      <c r="MO43" s="42"/>
      <c r="MP43" s="42"/>
      <c r="MQ43" s="42"/>
      <c r="MR43" s="42"/>
      <c r="MS43" s="42"/>
      <c r="MT43" s="42"/>
      <c r="MU43" s="42"/>
      <c r="MV43" s="42"/>
      <c r="MW43" s="42"/>
      <c r="MX43" s="42"/>
      <c r="MY43" s="42"/>
      <c r="MZ43" s="42"/>
      <c r="NA43" s="42"/>
      <c r="NB43" s="42"/>
      <c r="NC43" s="42"/>
      <c r="ND43" s="42"/>
      <c r="NE43" s="42"/>
      <c r="NF43" s="42"/>
      <c r="NG43" s="42"/>
      <c r="NH43" s="42"/>
      <c r="NI43" s="42"/>
      <c r="NJ43" s="42"/>
      <c r="NK43" s="42"/>
      <c r="NL43" s="42"/>
      <c r="NM43" s="42"/>
      <c r="NN43" s="42"/>
      <c r="NO43" s="42"/>
      <c r="NP43" s="42"/>
      <c r="NQ43" s="42"/>
      <c r="NR43" s="42"/>
      <c r="NS43" s="42"/>
    </row>
    <row r="44" spans="1:383" s="5" customFormat="1" x14ac:dyDescent="0.25">
      <c r="A44" s="1"/>
      <c r="B44" s="2"/>
      <c r="C44" s="2"/>
      <c r="D44" s="2"/>
      <c r="E44" s="3"/>
      <c r="F44" s="3"/>
      <c r="G44" s="4"/>
      <c r="H44" s="1"/>
      <c r="I44" s="7"/>
      <c r="J44" s="7"/>
      <c r="K44" s="7"/>
      <c r="L44" s="7"/>
      <c r="M44" s="7"/>
      <c r="N44" s="7"/>
      <c r="O44" s="3"/>
      <c r="P44" s="7"/>
      <c r="AL44" s="7"/>
      <c r="AM44" s="7"/>
      <c r="AN44" s="7"/>
      <c r="AO44" s="7"/>
      <c r="AT44" s="7"/>
      <c r="AV44" s="11"/>
      <c r="AW44" s="7"/>
      <c r="AY44" s="7"/>
      <c r="BN44" s="7"/>
      <c r="CQ44" s="7"/>
      <c r="DF44" s="7"/>
      <c r="DG44" s="7"/>
      <c r="DL44" s="15"/>
      <c r="DQ44" s="16"/>
      <c r="DR44" s="7"/>
      <c r="DV44" s="16"/>
      <c r="DZ44" s="16"/>
      <c r="EA44" s="7"/>
      <c r="EF44" s="16"/>
      <c r="EK44" s="16"/>
      <c r="EL44" s="7"/>
      <c r="EP44" s="16"/>
      <c r="ET44" s="16"/>
      <c r="EU44" s="7"/>
      <c r="FM44" s="7"/>
      <c r="FN44" s="390"/>
      <c r="FO44" s="390"/>
      <c r="FR44" s="7"/>
      <c r="FY44" s="7"/>
      <c r="GG44" s="7"/>
      <c r="HX44" s="74"/>
      <c r="HY44" s="42"/>
      <c r="HZ44" s="42"/>
      <c r="IE44" s="42"/>
      <c r="IF44" s="42"/>
      <c r="IK44" s="42"/>
      <c r="IL44" s="42"/>
      <c r="IM44" s="42"/>
      <c r="IN44" s="7"/>
      <c r="IO44" s="42"/>
      <c r="IT44" s="42"/>
      <c r="IU44" s="42"/>
      <c r="KC44" s="7"/>
      <c r="KD44" s="42"/>
      <c r="KG44" s="391"/>
      <c r="KH44" s="42"/>
      <c r="KI44" s="42"/>
      <c r="KJ44" s="42"/>
      <c r="KK44" s="42"/>
      <c r="KL44" s="42"/>
      <c r="KM44" s="42"/>
      <c r="KN44" s="42"/>
      <c r="KO44" s="42"/>
      <c r="KP44" s="42"/>
      <c r="KQ44" s="42"/>
      <c r="KR44" s="42"/>
      <c r="KS44" s="42"/>
      <c r="KT44" s="42"/>
      <c r="KU44" s="42"/>
      <c r="KV44" s="42"/>
      <c r="KW44" s="42"/>
      <c r="KX44" s="42"/>
      <c r="KY44" s="42"/>
      <c r="KZ44" s="42"/>
      <c r="LA44" s="42"/>
      <c r="LB44" s="42"/>
      <c r="LC44" s="42"/>
      <c r="LD44" s="42"/>
      <c r="LE44" s="42"/>
      <c r="LF44" s="42"/>
      <c r="LG44" s="42"/>
      <c r="LH44" s="42"/>
      <c r="LI44" s="42"/>
      <c r="LJ44" s="42"/>
      <c r="LK44" s="42"/>
      <c r="LL44" s="42"/>
      <c r="LM44" s="42"/>
      <c r="LN44" s="42"/>
      <c r="LO44" s="42"/>
      <c r="LP44" s="42"/>
      <c r="LQ44" s="42"/>
      <c r="LR44" s="42"/>
      <c r="LS44" s="42"/>
      <c r="LT44" s="42"/>
      <c r="LU44" s="42"/>
      <c r="LV44" s="42"/>
      <c r="LW44" s="42"/>
      <c r="LX44" s="42"/>
      <c r="LY44" s="42"/>
      <c r="LZ44" s="42"/>
      <c r="MA44" s="42"/>
      <c r="MB44" s="42"/>
      <c r="MC44" s="42"/>
      <c r="MD44" s="42"/>
      <c r="ME44" s="42"/>
      <c r="MF44" s="42"/>
      <c r="MG44" s="42"/>
      <c r="MH44" s="42"/>
      <c r="MI44" s="42"/>
      <c r="MJ44" s="42"/>
      <c r="MK44" s="42"/>
      <c r="ML44" s="42"/>
      <c r="MM44" s="42"/>
      <c r="MN44" s="42"/>
      <c r="MO44" s="42"/>
      <c r="MP44" s="42"/>
      <c r="MQ44" s="42"/>
      <c r="MR44" s="42"/>
      <c r="MS44" s="42"/>
      <c r="MT44" s="42"/>
      <c r="MU44" s="42"/>
      <c r="MV44" s="42"/>
      <c r="MW44" s="42"/>
      <c r="MX44" s="42"/>
      <c r="MY44" s="42"/>
      <c r="MZ44" s="42"/>
      <c r="NA44" s="42"/>
      <c r="NB44" s="42"/>
      <c r="NC44" s="42"/>
      <c r="ND44" s="42"/>
      <c r="NE44" s="42"/>
      <c r="NF44" s="42"/>
      <c r="NG44" s="42"/>
      <c r="NH44" s="42"/>
      <c r="NI44" s="42"/>
      <c r="NJ44" s="42"/>
      <c r="NK44" s="42"/>
      <c r="NL44" s="42"/>
      <c r="NM44" s="42"/>
      <c r="NN44" s="42"/>
      <c r="NO44" s="42"/>
      <c r="NP44" s="42"/>
      <c r="NQ44" s="42"/>
      <c r="NR44" s="42"/>
      <c r="NS44" s="42"/>
    </row>
    <row r="45" spans="1:383" s="5" customFormat="1" x14ac:dyDescent="0.25">
      <c r="A45" s="1"/>
      <c r="B45" s="2"/>
      <c r="C45" s="2"/>
      <c r="D45" s="2"/>
      <c r="E45" s="3"/>
      <c r="F45" s="3"/>
      <c r="G45" s="4"/>
      <c r="H45" s="1"/>
      <c r="I45" s="7"/>
      <c r="J45" s="7"/>
      <c r="K45" s="7"/>
      <c r="L45" s="7"/>
      <c r="M45" s="7"/>
      <c r="N45" s="7"/>
      <c r="O45" s="3"/>
      <c r="P45" s="7"/>
      <c r="AL45" s="7"/>
      <c r="AM45" s="7"/>
      <c r="AN45" s="7"/>
      <c r="AO45" s="7"/>
      <c r="AT45" s="7"/>
      <c r="AV45" s="11"/>
      <c r="AW45" s="7"/>
      <c r="AY45" s="7"/>
      <c r="BN45" s="7"/>
      <c r="CQ45" s="7"/>
      <c r="DF45" s="7"/>
      <c r="DG45" s="7"/>
      <c r="DL45" s="15"/>
      <c r="DQ45" s="16"/>
      <c r="DR45" s="7"/>
      <c r="DV45" s="16"/>
      <c r="DZ45" s="16"/>
      <c r="EA45" s="7"/>
      <c r="EF45" s="16"/>
      <c r="EK45" s="16"/>
      <c r="EL45" s="7"/>
      <c r="EP45" s="16"/>
      <c r="ET45" s="16"/>
      <c r="EU45" s="7"/>
      <c r="FM45" s="7"/>
      <c r="FN45" s="390"/>
      <c r="FO45" s="390"/>
      <c r="FR45" s="7"/>
      <c r="FY45" s="7"/>
      <c r="GG45" s="7"/>
      <c r="HX45" s="74"/>
      <c r="HY45" s="42"/>
      <c r="HZ45" s="42"/>
      <c r="IE45" s="42"/>
      <c r="IF45" s="42"/>
      <c r="IK45" s="42"/>
      <c r="IL45" s="42"/>
      <c r="IM45" s="42"/>
      <c r="IN45" s="7"/>
      <c r="IO45" s="42"/>
      <c r="IT45" s="42"/>
      <c r="IU45" s="42"/>
      <c r="KC45" s="7"/>
      <c r="KD45" s="42"/>
      <c r="KG45" s="391"/>
      <c r="KH45" s="42"/>
      <c r="KI45" s="42"/>
      <c r="KJ45" s="42"/>
      <c r="KK45" s="42"/>
      <c r="KL45" s="42"/>
      <c r="KM45" s="42"/>
      <c r="KN45" s="42"/>
      <c r="KO45" s="42"/>
      <c r="KP45" s="42"/>
      <c r="KQ45" s="42"/>
      <c r="KR45" s="42"/>
      <c r="KS45" s="42"/>
      <c r="KT45" s="42"/>
      <c r="KU45" s="42"/>
      <c r="KV45" s="42"/>
      <c r="KW45" s="42"/>
      <c r="KX45" s="42"/>
      <c r="KY45" s="42"/>
      <c r="KZ45" s="42"/>
      <c r="LA45" s="42"/>
      <c r="LB45" s="42"/>
      <c r="LC45" s="42"/>
      <c r="LD45" s="42"/>
      <c r="LE45" s="42"/>
      <c r="LF45" s="42"/>
      <c r="LG45" s="42"/>
      <c r="LH45" s="42"/>
      <c r="LI45" s="42"/>
      <c r="LJ45" s="42"/>
      <c r="LK45" s="42"/>
      <c r="LL45" s="42"/>
      <c r="LM45" s="42"/>
      <c r="LN45" s="42"/>
      <c r="LO45" s="42"/>
      <c r="LP45" s="42"/>
      <c r="LQ45" s="42"/>
      <c r="LR45" s="42"/>
      <c r="LS45" s="42"/>
      <c r="LT45" s="42"/>
      <c r="LU45" s="42"/>
      <c r="LV45" s="42"/>
      <c r="LW45" s="42"/>
      <c r="LX45" s="42"/>
      <c r="LY45" s="42"/>
      <c r="LZ45" s="42"/>
      <c r="MA45" s="42"/>
      <c r="MB45" s="42"/>
      <c r="MC45" s="42"/>
      <c r="MD45" s="42"/>
      <c r="ME45" s="42"/>
      <c r="MF45" s="42"/>
      <c r="MG45" s="42"/>
      <c r="MH45" s="42"/>
      <c r="MI45" s="42"/>
      <c r="MJ45" s="42"/>
      <c r="MK45" s="42"/>
      <c r="ML45" s="42"/>
      <c r="MM45" s="42"/>
      <c r="MN45" s="42"/>
      <c r="MO45" s="42"/>
      <c r="MP45" s="42"/>
      <c r="MQ45" s="42"/>
      <c r="MR45" s="42"/>
      <c r="MS45" s="42"/>
      <c r="MT45" s="42"/>
      <c r="MU45" s="42"/>
      <c r="MV45" s="42"/>
      <c r="MW45" s="42"/>
      <c r="MX45" s="42"/>
      <c r="MY45" s="42"/>
      <c r="MZ45" s="42"/>
      <c r="NA45" s="42"/>
      <c r="NB45" s="42"/>
      <c r="NC45" s="42"/>
      <c r="ND45" s="42"/>
      <c r="NE45" s="42"/>
      <c r="NF45" s="42"/>
      <c r="NG45" s="42"/>
      <c r="NH45" s="42"/>
      <c r="NI45" s="42"/>
      <c r="NJ45" s="42"/>
      <c r="NK45" s="42"/>
      <c r="NL45" s="42"/>
      <c r="NM45" s="42"/>
      <c r="NN45" s="42"/>
      <c r="NO45" s="42"/>
      <c r="NP45" s="42"/>
      <c r="NQ45" s="42"/>
      <c r="NR45" s="42"/>
      <c r="NS45" s="42"/>
    </row>
    <row r="46" spans="1:383" s="5" customFormat="1" x14ac:dyDescent="0.25">
      <c r="A46" s="1"/>
      <c r="B46" s="2"/>
      <c r="C46" s="2"/>
      <c r="D46" s="2"/>
      <c r="E46" s="3"/>
      <c r="F46" s="3"/>
      <c r="G46" s="4"/>
      <c r="H46" s="1"/>
      <c r="I46" s="7"/>
      <c r="J46" s="7"/>
      <c r="K46" s="7"/>
      <c r="L46" s="7"/>
      <c r="M46" s="7"/>
      <c r="N46" s="7"/>
      <c r="O46" s="3"/>
      <c r="P46" s="7"/>
      <c r="AL46" s="7"/>
      <c r="AM46" s="7"/>
      <c r="AN46" s="7"/>
      <c r="AO46" s="7"/>
      <c r="AT46" s="7"/>
      <c r="AV46" s="11"/>
      <c r="AW46" s="7"/>
      <c r="AY46" s="7"/>
      <c r="BN46" s="7"/>
      <c r="CQ46" s="7"/>
      <c r="DF46" s="7"/>
      <c r="DG46" s="7"/>
      <c r="DL46" s="15"/>
      <c r="DQ46" s="16"/>
      <c r="DR46" s="7"/>
      <c r="DV46" s="16"/>
      <c r="DZ46" s="16"/>
      <c r="EA46" s="7"/>
      <c r="EF46" s="16"/>
      <c r="EK46" s="16"/>
      <c r="EL46" s="7"/>
      <c r="EP46" s="16"/>
      <c r="ET46" s="16"/>
      <c r="EU46" s="7"/>
      <c r="FM46" s="7"/>
      <c r="FN46" s="390"/>
      <c r="FO46" s="390"/>
      <c r="FR46" s="7"/>
      <c r="FY46" s="7"/>
      <c r="GG46" s="7"/>
      <c r="HX46" s="74"/>
      <c r="HY46" s="42"/>
      <c r="HZ46" s="42"/>
      <c r="IE46" s="42"/>
      <c r="IF46" s="42"/>
      <c r="IK46" s="42"/>
      <c r="IL46" s="42"/>
      <c r="IM46" s="42"/>
      <c r="IN46" s="7"/>
      <c r="IO46" s="42"/>
      <c r="IT46" s="42"/>
      <c r="IU46" s="42"/>
      <c r="KC46" s="7"/>
      <c r="KD46" s="42"/>
      <c r="KG46" s="391"/>
      <c r="KH46" s="42"/>
      <c r="KI46" s="42"/>
      <c r="KJ46" s="42"/>
      <c r="KK46" s="42"/>
      <c r="KL46" s="42"/>
      <c r="KM46" s="42"/>
      <c r="KN46" s="42"/>
      <c r="KO46" s="42"/>
      <c r="KP46" s="42"/>
      <c r="KQ46" s="42"/>
      <c r="KR46" s="42"/>
      <c r="KS46" s="42"/>
      <c r="KT46" s="42"/>
      <c r="KU46" s="42"/>
      <c r="KV46" s="42"/>
      <c r="KW46" s="42"/>
      <c r="KX46" s="42"/>
      <c r="KY46" s="42"/>
      <c r="KZ46" s="42"/>
      <c r="LA46" s="42"/>
      <c r="LB46" s="42"/>
      <c r="LC46" s="42"/>
      <c r="LD46" s="42"/>
      <c r="LE46" s="42"/>
      <c r="LF46" s="42"/>
      <c r="LG46" s="42"/>
      <c r="LH46" s="42"/>
      <c r="LI46" s="42"/>
      <c r="LJ46" s="42"/>
      <c r="LK46" s="42"/>
      <c r="LL46" s="42"/>
      <c r="LM46" s="42"/>
      <c r="LN46" s="42"/>
      <c r="LO46" s="42"/>
      <c r="LP46" s="42"/>
      <c r="LQ46" s="42"/>
      <c r="LR46" s="42"/>
      <c r="LS46" s="42"/>
      <c r="LT46" s="42"/>
      <c r="LU46" s="42"/>
      <c r="LV46" s="42"/>
      <c r="LW46" s="42"/>
      <c r="LX46" s="42"/>
      <c r="LY46" s="42"/>
      <c r="LZ46" s="42"/>
      <c r="MA46" s="42"/>
      <c r="MB46" s="42"/>
      <c r="MC46" s="42"/>
      <c r="MD46" s="42"/>
      <c r="ME46" s="42"/>
      <c r="MF46" s="42"/>
      <c r="MG46" s="42"/>
      <c r="MH46" s="42"/>
      <c r="MI46" s="42"/>
      <c r="MJ46" s="42"/>
      <c r="MK46" s="42"/>
      <c r="ML46" s="42"/>
      <c r="MM46" s="42"/>
      <c r="MN46" s="42"/>
      <c r="MO46" s="42"/>
      <c r="MP46" s="42"/>
      <c r="MQ46" s="42"/>
      <c r="MR46" s="42"/>
      <c r="MS46" s="42"/>
      <c r="MT46" s="42"/>
      <c r="MU46" s="42"/>
      <c r="MV46" s="42"/>
      <c r="MW46" s="42"/>
      <c r="MX46" s="42"/>
      <c r="MY46" s="42"/>
      <c r="MZ46" s="42"/>
      <c r="NA46" s="42"/>
      <c r="NB46" s="42"/>
      <c r="NC46" s="42"/>
      <c r="ND46" s="42"/>
      <c r="NE46" s="42"/>
      <c r="NF46" s="42"/>
      <c r="NG46" s="42"/>
      <c r="NH46" s="42"/>
      <c r="NI46" s="42"/>
      <c r="NJ46" s="42"/>
      <c r="NK46" s="42"/>
      <c r="NL46" s="42"/>
      <c r="NM46" s="42"/>
      <c r="NN46" s="42"/>
      <c r="NO46" s="42"/>
      <c r="NP46" s="42"/>
      <c r="NQ46" s="42"/>
      <c r="NR46" s="42"/>
      <c r="NS46" s="42"/>
    </row>
    <row r="47" spans="1:383" s="5" customFormat="1" x14ac:dyDescent="0.25">
      <c r="A47" s="1"/>
      <c r="B47" s="2"/>
      <c r="C47" s="2"/>
      <c r="D47" s="2"/>
      <c r="E47" s="3"/>
      <c r="F47" s="3"/>
      <c r="G47" s="4"/>
      <c r="H47" s="1"/>
      <c r="I47" s="7"/>
      <c r="J47" s="7"/>
      <c r="K47" s="7"/>
      <c r="L47" s="7"/>
      <c r="M47" s="7"/>
      <c r="N47" s="7"/>
      <c r="O47" s="3"/>
      <c r="P47" s="7"/>
      <c r="AL47" s="7"/>
      <c r="AM47" s="7"/>
      <c r="AN47" s="7"/>
      <c r="AO47" s="7"/>
      <c r="AT47" s="7"/>
      <c r="AV47" s="11"/>
      <c r="AW47" s="7"/>
      <c r="AY47" s="7"/>
      <c r="BN47" s="7"/>
      <c r="CQ47" s="7"/>
      <c r="DF47" s="7"/>
      <c r="DG47" s="7"/>
      <c r="DL47" s="15"/>
      <c r="DQ47" s="16"/>
      <c r="DR47" s="7"/>
      <c r="DV47" s="16"/>
      <c r="DZ47" s="16"/>
      <c r="EA47" s="7"/>
      <c r="EF47" s="16"/>
      <c r="EK47" s="16"/>
      <c r="EL47" s="7"/>
      <c r="EP47" s="16"/>
      <c r="ET47" s="16"/>
      <c r="EU47" s="7"/>
      <c r="FM47" s="7"/>
      <c r="FN47" s="390"/>
      <c r="FO47" s="390"/>
      <c r="FR47" s="7"/>
      <c r="FY47" s="7"/>
      <c r="GG47" s="7"/>
      <c r="HX47" s="74"/>
      <c r="HY47" s="42"/>
      <c r="HZ47" s="42"/>
      <c r="IE47" s="42"/>
      <c r="IF47" s="42"/>
      <c r="IK47" s="42"/>
      <c r="IL47" s="42"/>
      <c r="IM47" s="42"/>
      <c r="IN47" s="7"/>
      <c r="IO47" s="42"/>
      <c r="IT47" s="42"/>
      <c r="IU47" s="42"/>
      <c r="KC47" s="7"/>
      <c r="KD47" s="42"/>
      <c r="KG47" s="391"/>
      <c r="KH47" s="42"/>
      <c r="KI47" s="42"/>
      <c r="KJ47" s="42"/>
      <c r="KK47" s="42"/>
      <c r="KL47" s="42"/>
      <c r="KM47" s="42"/>
      <c r="KN47" s="42"/>
      <c r="KO47" s="42"/>
      <c r="KP47" s="42"/>
      <c r="KQ47" s="42"/>
      <c r="KR47" s="42"/>
      <c r="KS47" s="42"/>
      <c r="KT47" s="42"/>
      <c r="KU47" s="42"/>
      <c r="KV47" s="42"/>
      <c r="KW47" s="42"/>
      <c r="KX47" s="42"/>
      <c r="KY47" s="42"/>
      <c r="KZ47" s="42"/>
      <c r="LA47" s="42"/>
      <c r="LB47" s="42"/>
      <c r="LC47" s="42"/>
      <c r="LD47" s="42"/>
      <c r="LE47" s="42"/>
      <c r="LF47" s="42"/>
      <c r="LG47" s="42"/>
      <c r="LH47" s="42"/>
      <c r="LI47" s="42"/>
      <c r="LJ47" s="42"/>
      <c r="LK47" s="42"/>
      <c r="LL47" s="42"/>
      <c r="LM47" s="42"/>
      <c r="LN47" s="42"/>
      <c r="LO47" s="42"/>
      <c r="LP47" s="42"/>
      <c r="LQ47" s="42"/>
      <c r="LR47" s="42"/>
      <c r="LS47" s="42"/>
      <c r="LT47" s="42"/>
      <c r="LU47" s="42"/>
      <c r="LV47" s="42"/>
      <c r="LW47" s="42"/>
      <c r="LX47" s="42"/>
      <c r="LY47" s="42"/>
      <c r="LZ47" s="42"/>
      <c r="MA47" s="42"/>
      <c r="MB47" s="42"/>
      <c r="MC47" s="42"/>
      <c r="MD47" s="42"/>
      <c r="ME47" s="42"/>
      <c r="MF47" s="42"/>
      <c r="MG47" s="42"/>
      <c r="MH47" s="42"/>
      <c r="MI47" s="42"/>
      <c r="MJ47" s="42"/>
      <c r="MK47" s="42"/>
      <c r="ML47" s="42"/>
      <c r="MM47" s="42"/>
      <c r="MN47" s="42"/>
      <c r="MO47" s="42"/>
      <c r="MP47" s="42"/>
      <c r="MQ47" s="42"/>
      <c r="MR47" s="42"/>
      <c r="MS47" s="42"/>
      <c r="MT47" s="42"/>
      <c r="MU47" s="42"/>
      <c r="MV47" s="42"/>
      <c r="MW47" s="42"/>
      <c r="MX47" s="42"/>
      <c r="MY47" s="42"/>
      <c r="MZ47" s="42"/>
      <c r="NA47" s="42"/>
      <c r="NB47" s="42"/>
      <c r="NC47" s="42"/>
      <c r="ND47" s="42"/>
      <c r="NE47" s="42"/>
      <c r="NF47" s="42"/>
      <c r="NG47" s="42"/>
      <c r="NH47" s="42"/>
      <c r="NI47" s="42"/>
      <c r="NJ47" s="42"/>
      <c r="NK47" s="42"/>
      <c r="NL47" s="42"/>
      <c r="NM47" s="42"/>
      <c r="NN47" s="42"/>
      <c r="NO47" s="42"/>
      <c r="NP47" s="42"/>
      <c r="NQ47" s="42"/>
      <c r="NR47" s="42"/>
      <c r="NS47" s="42"/>
    </row>
    <row r="48" spans="1:383" s="5" customFormat="1" x14ac:dyDescent="0.25">
      <c r="A48" s="1"/>
      <c r="B48" s="2"/>
      <c r="C48" s="2"/>
      <c r="D48" s="2"/>
      <c r="E48" s="3"/>
      <c r="F48" s="3"/>
      <c r="G48" s="4"/>
      <c r="H48" s="1"/>
      <c r="I48" s="7"/>
      <c r="J48" s="7"/>
      <c r="K48" s="7"/>
      <c r="L48" s="7"/>
      <c r="M48" s="7"/>
      <c r="N48" s="7"/>
      <c r="O48" s="3"/>
      <c r="P48" s="7"/>
      <c r="AL48" s="7"/>
      <c r="AM48" s="7"/>
      <c r="AN48" s="7"/>
      <c r="AO48" s="7"/>
      <c r="AT48" s="7"/>
      <c r="AV48" s="11"/>
      <c r="AW48" s="7"/>
      <c r="AY48" s="7"/>
      <c r="BN48" s="7"/>
      <c r="CQ48" s="7"/>
      <c r="DF48" s="7"/>
      <c r="DG48" s="7"/>
      <c r="DL48" s="15"/>
      <c r="DQ48" s="16"/>
      <c r="DR48" s="7"/>
      <c r="DV48" s="16"/>
      <c r="DZ48" s="16"/>
      <c r="EA48" s="7"/>
      <c r="EF48" s="16"/>
      <c r="EK48" s="16"/>
      <c r="EL48" s="7"/>
      <c r="EP48" s="16"/>
      <c r="ET48" s="16"/>
      <c r="EU48" s="7"/>
      <c r="FM48" s="7"/>
      <c r="FN48" s="390"/>
      <c r="FO48" s="390"/>
      <c r="FR48" s="7"/>
      <c r="FY48" s="7"/>
      <c r="GG48" s="7"/>
      <c r="HX48" s="74"/>
      <c r="HY48" s="42"/>
      <c r="HZ48" s="42"/>
      <c r="IE48" s="42"/>
      <c r="IF48" s="42"/>
      <c r="IK48" s="42"/>
      <c r="IL48" s="42"/>
      <c r="IM48" s="42"/>
      <c r="IN48" s="7"/>
      <c r="IO48" s="42"/>
      <c r="IT48" s="42"/>
      <c r="IU48" s="42"/>
      <c r="KC48" s="7"/>
      <c r="KD48" s="42"/>
      <c r="KG48" s="391"/>
      <c r="KH48" s="42"/>
      <c r="KI48" s="42"/>
      <c r="KJ48" s="42"/>
      <c r="KK48" s="42"/>
      <c r="KL48" s="42"/>
      <c r="KM48" s="42"/>
      <c r="KN48" s="42"/>
      <c r="KO48" s="42"/>
      <c r="KP48" s="42"/>
      <c r="KQ48" s="42"/>
      <c r="KR48" s="42"/>
      <c r="KS48" s="42"/>
      <c r="KT48" s="42"/>
      <c r="KU48" s="42"/>
      <c r="KV48" s="42"/>
      <c r="KW48" s="42"/>
      <c r="KX48" s="42"/>
      <c r="KY48" s="42"/>
      <c r="KZ48" s="42"/>
      <c r="LA48" s="42"/>
      <c r="LB48" s="42"/>
      <c r="LC48" s="42"/>
      <c r="LD48" s="42"/>
      <c r="LE48" s="42"/>
      <c r="LF48" s="42"/>
      <c r="LG48" s="42"/>
      <c r="LH48" s="42"/>
      <c r="LI48" s="42"/>
      <c r="LJ48" s="42"/>
      <c r="LK48" s="42"/>
      <c r="LL48" s="42"/>
      <c r="LM48" s="42"/>
      <c r="LN48" s="42"/>
      <c r="LO48" s="42"/>
      <c r="LP48" s="42"/>
      <c r="LQ48" s="42"/>
      <c r="LR48" s="42"/>
      <c r="LS48" s="42"/>
      <c r="LT48" s="42"/>
      <c r="LU48" s="42"/>
      <c r="LV48" s="42"/>
      <c r="LW48" s="42"/>
      <c r="LX48" s="42"/>
      <c r="LY48" s="42"/>
      <c r="LZ48" s="42"/>
      <c r="MA48" s="42"/>
      <c r="MB48" s="42"/>
      <c r="MC48" s="42"/>
      <c r="MD48" s="42"/>
      <c r="ME48" s="42"/>
      <c r="MF48" s="42"/>
      <c r="MG48" s="42"/>
      <c r="MH48" s="42"/>
      <c r="MI48" s="42"/>
      <c r="MJ48" s="42"/>
      <c r="MK48" s="42"/>
      <c r="ML48" s="42"/>
      <c r="MM48" s="42"/>
      <c r="MN48" s="42"/>
      <c r="MO48" s="42"/>
      <c r="MP48" s="42"/>
      <c r="MQ48" s="42"/>
      <c r="MR48" s="42"/>
      <c r="MS48" s="42"/>
      <c r="MT48" s="42"/>
      <c r="MU48" s="42"/>
      <c r="MV48" s="42"/>
      <c r="MW48" s="42"/>
      <c r="MX48" s="42"/>
      <c r="MY48" s="42"/>
      <c r="MZ48" s="42"/>
      <c r="NA48" s="42"/>
      <c r="NB48" s="42"/>
      <c r="NC48" s="42"/>
      <c r="ND48" s="42"/>
      <c r="NE48" s="42"/>
      <c r="NF48" s="42"/>
      <c r="NG48" s="42"/>
      <c r="NH48" s="42"/>
      <c r="NI48" s="42"/>
      <c r="NJ48" s="42"/>
      <c r="NK48" s="42"/>
      <c r="NL48" s="42"/>
      <c r="NM48" s="42"/>
      <c r="NN48" s="42"/>
      <c r="NO48" s="42"/>
      <c r="NP48" s="42"/>
      <c r="NQ48" s="42"/>
      <c r="NR48" s="42"/>
      <c r="NS48" s="42"/>
    </row>
    <row r="49" spans="1:383" s="5" customFormat="1" x14ac:dyDescent="0.25">
      <c r="A49" s="1"/>
      <c r="B49" s="2"/>
      <c r="C49" s="2"/>
      <c r="D49" s="2"/>
      <c r="E49" s="3"/>
      <c r="F49" s="3"/>
      <c r="G49" s="4"/>
      <c r="H49" s="1"/>
      <c r="I49" s="7"/>
      <c r="J49" s="7"/>
      <c r="K49" s="7"/>
      <c r="L49" s="7"/>
      <c r="M49" s="7"/>
      <c r="N49" s="7"/>
      <c r="O49" s="3"/>
      <c r="P49" s="7"/>
      <c r="AL49" s="7"/>
      <c r="AM49" s="7"/>
      <c r="AN49" s="7"/>
      <c r="AO49" s="7"/>
      <c r="AT49" s="7"/>
      <c r="AV49" s="11"/>
      <c r="AW49" s="7"/>
      <c r="AY49" s="7"/>
      <c r="BN49" s="7"/>
      <c r="CQ49" s="7"/>
      <c r="DF49" s="7"/>
      <c r="DG49" s="7"/>
      <c r="DL49" s="15"/>
      <c r="DQ49" s="16"/>
      <c r="DR49" s="7"/>
      <c r="DV49" s="16"/>
      <c r="DZ49" s="16"/>
      <c r="EA49" s="7"/>
      <c r="EF49" s="16"/>
      <c r="EK49" s="16"/>
      <c r="EL49" s="7"/>
      <c r="EP49" s="16"/>
      <c r="ET49" s="16"/>
      <c r="EU49" s="7"/>
      <c r="FM49" s="7"/>
      <c r="FN49" s="390"/>
      <c r="FO49" s="390"/>
      <c r="FR49" s="7"/>
      <c r="FY49" s="7"/>
      <c r="GG49" s="7"/>
      <c r="HX49" s="74"/>
      <c r="HY49" s="42"/>
      <c r="HZ49" s="42"/>
      <c r="IE49" s="42"/>
      <c r="IF49" s="42"/>
      <c r="IK49" s="42"/>
      <c r="IL49" s="42"/>
      <c r="IM49" s="42"/>
      <c r="IN49" s="7"/>
      <c r="IO49" s="42"/>
      <c r="IT49" s="42"/>
      <c r="IU49" s="42"/>
      <c r="KC49" s="7"/>
      <c r="KD49" s="42"/>
      <c r="KG49" s="391"/>
      <c r="KH49" s="42"/>
      <c r="KI49" s="42"/>
      <c r="KJ49" s="42"/>
      <c r="KK49" s="42"/>
      <c r="KL49" s="42"/>
      <c r="KM49" s="42"/>
      <c r="KN49" s="42"/>
      <c r="KO49" s="42"/>
      <c r="KP49" s="42"/>
      <c r="KQ49" s="42"/>
      <c r="KR49" s="42"/>
      <c r="KS49" s="42"/>
      <c r="KT49" s="42"/>
      <c r="KU49" s="42"/>
      <c r="KV49" s="42"/>
      <c r="KW49" s="42"/>
      <c r="KX49" s="42"/>
      <c r="KY49" s="42"/>
      <c r="KZ49" s="42"/>
      <c r="LA49" s="42"/>
      <c r="LB49" s="42"/>
      <c r="LC49" s="42"/>
      <c r="LD49" s="42"/>
      <c r="LE49" s="42"/>
      <c r="LF49" s="42"/>
      <c r="LG49" s="42"/>
      <c r="LH49" s="42"/>
      <c r="LI49" s="42"/>
      <c r="LJ49" s="42"/>
      <c r="LK49" s="42"/>
      <c r="LL49" s="42"/>
      <c r="LM49" s="42"/>
      <c r="LN49" s="42"/>
      <c r="LO49" s="42"/>
      <c r="LP49" s="42"/>
      <c r="LQ49" s="42"/>
      <c r="LR49" s="42"/>
      <c r="LS49" s="42"/>
      <c r="LT49" s="42"/>
      <c r="LU49" s="42"/>
      <c r="LV49" s="42"/>
      <c r="LW49" s="42"/>
      <c r="LX49" s="42"/>
      <c r="LY49" s="42"/>
      <c r="LZ49" s="42"/>
      <c r="MA49" s="42"/>
      <c r="MB49" s="42"/>
      <c r="MC49" s="42"/>
      <c r="MD49" s="42"/>
      <c r="ME49" s="42"/>
      <c r="MF49" s="42"/>
      <c r="MG49" s="42"/>
      <c r="MH49" s="42"/>
      <c r="MI49" s="42"/>
      <c r="MJ49" s="42"/>
      <c r="MK49" s="42"/>
      <c r="ML49" s="42"/>
      <c r="MM49" s="42"/>
      <c r="MN49" s="42"/>
      <c r="MO49" s="42"/>
      <c r="MP49" s="42"/>
      <c r="MQ49" s="42"/>
      <c r="MR49" s="42"/>
      <c r="MS49" s="42"/>
      <c r="MT49" s="42"/>
      <c r="MU49" s="42"/>
      <c r="MV49" s="42"/>
      <c r="MW49" s="42"/>
      <c r="MX49" s="42"/>
      <c r="MY49" s="42"/>
      <c r="MZ49" s="42"/>
      <c r="NA49" s="42"/>
      <c r="NB49" s="42"/>
      <c r="NC49" s="42"/>
      <c r="ND49" s="42"/>
      <c r="NE49" s="42"/>
      <c r="NF49" s="42"/>
      <c r="NG49" s="42"/>
      <c r="NH49" s="42"/>
      <c r="NI49" s="42"/>
      <c r="NJ49" s="42"/>
      <c r="NK49" s="42"/>
      <c r="NL49" s="42"/>
      <c r="NM49" s="42"/>
      <c r="NN49" s="42"/>
      <c r="NO49" s="42"/>
      <c r="NP49" s="42"/>
      <c r="NQ49" s="42"/>
      <c r="NR49" s="42"/>
      <c r="NS49" s="42"/>
    </row>
    <row r="50" spans="1:383" s="5" customFormat="1" x14ac:dyDescent="0.25">
      <c r="A50" s="1"/>
      <c r="B50" s="2"/>
      <c r="C50" s="2"/>
      <c r="D50" s="2"/>
      <c r="E50" s="3"/>
      <c r="F50" s="3"/>
      <c r="G50" s="4"/>
      <c r="H50" s="1"/>
      <c r="I50" s="7"/>
      <c r="J50" s="7"/>
      <c r="K50" s="7"/>
      <c r="L50" s="7"/>
      <c r="M50" s="7"/>
      <c r="N50" s="7"/>
      <c r="O50" s="3"/>
      <c r="P50" s="7"/>
      <c r="AL50" s="7"/>
      <c r="AM50" s="7"/>
      <c r="AN50" s="7"/>
      <c r="AO50" s="7"/>
      <c r="AT50" s="7"/>
      <c r="AV50" s="11"/>
      <c r="AW50" s="7"/>
      <c r="AY50" s="7"/>
      <c r="BN50" s="7"/>
      <c r="CQ50" s="7"/>
      <c r="DF50" s="7"/>
      <c r="DG50" s="7"/>
      <c r="DL50" s="15"/>
      <c r="DQ50" s="16"/>
      <c r="DR50" s="7"/>
      <c r="DV50" s="16"/>
      <c r="DZ50" s="16"/>
      <c r="EA50" s="7"/>
      <c r="EF50" s="16"/>
      <c r="EK50" s="16"/>
      <c r="EL50" s="7"/>
      <c r="EP50" s="16"/>
      <c r="ET50" s="16"/>
      <c r="EU50" s="7"/>
      <c r="FM50" s="7"/>
      <c r="FN50" s="390"/>
      <c r="FO50" s="390"/>
      <c r="FR50" s="7"/>
      <c r="FY50" s="7"/>
      <c r="GG50" s="7"/>
      <c r="HX50" s="74"/>
      <c r="HY50" s="42"/>
      <c r="HZ50" s="42"/>
      <c r="IE50" s="42"/>
      <c r="IF50" s="42"/>
      <c r="IK50" s="42"/>
      <c r="IL50" s="42"/>
      <c r="IM50" s="42"/>
      <c r="IN50" s="7"/>
      <c r="IO50" s="42"/>
      <c r="IT50" s="42"/>
      <c r="IU50" s="42"/>
      <c r="KC50" s="7"/>
      <c r="KD50" s="42"/>
      <c r="KG50" s="391"/>
      <c r="KH50" s="42"/>
      <c r="KI50" s="42"/>
      <c r="KJ50" s="42"/>
      <c r="KK50" s="42"/>
      <c r="KL50" s="42"/>
      <c r="KM50" s="42"/>
      <c r="KN50" s="42"/>
      <c r="KO50" s="42"/>
      <c r="KP50" s="42"/>
      <c r="KQ50" s="42"/>
      <c r="KR50" s="42"/>
      <c r="KS50" s="42"/>
      <c r="KT50" s="42"/>
      <c r="KU50" s="42"/>
      <c r="KV50" s="42"/>
      <c r="KW50" s="42"/>
      <c r="KX50" s="42"/>
      <c r="KY50" s="42"/>
      <c r="KZ50" s="42"/>
      <c r="LA50" s="42"/>
      <c r="LB50" s="42"/>
      <c r="LC50" s="42"/>
      <c r="LD50" s="42"/>
      <c r="LE50" s="42"/>
      <c r="LF50" s="42"/>
      <c r="LG50" s="42"/>
      <c r="LH50" s="42"/>
      <c r="LI50" s="42"/>
      <c r="LJ50" s="42"/>
      <c r="LK50" s="42"/>
      <c r="LL50" s="42"/>
      <c r="LM50" s="42"/>
      <c r="LN50" s="42"/>
      <c r="LO50" s="42"/>
      <c r="LP50" s="42"/>
      <c r="LQ50" s="42"/>
      <c r="LR50" s="42"/>
      <c r="LS50" s="42"/>
      <c r="LT50" s="42"/>
      <c r="LU50" s="42"/>
      <c r="LV50" s="42"/>
      <c r="LW50" s="42"/>
      <c r="LX50" s="42"/>
      <c r="LY50" s="42"/>
      <c r="LZ50" s="42"/>
      <c r="MA50" s="42"/>
      <c r="MB50" s="42"/>
      <c r="MC50" s="42"/>
      <c r="MD50" s="42"/>
      <c r="ME50" s="42"/>
      <c r="MF50" s="42"/>
      <c r="MG50" s="42"/>
      <c r="MH50" s="42"/>
      <c r="MI50" s="42"/>
      <c r="MJ50" s="42"/>
      <c r="MK50" s="42"/>
      <c r="ML50" s="42"/>
      <c r="MM50" s="42"/>
      <c r="MN50" s="42"/>
      <c r="MO50" s="42"/>
      <c r="MP50" s="42"/>
      <c r="MQ50" s="42"/>
      <c r="MR50" s="42"/>
      <c r="MS50" s="42"/>
      <c r="MT50" s="42"/>
      <c r="MU50" s="42"/>
      <c r="MV50" s="42"/>
      <c r="MW50" s="42"/>
      <c r="MX50" s="42"/>
      <c r="MY50" s="42"/>
      <c r="MZ50" s="42"/>
      <c r="NA50" s="42"/>
      <c r="NB50" s="42"/>
      <c r="NC50" s="42"/>
      <c r="ND50" s="42"/>
      <c r="NE50" s="42"/>
      <c r="NF50" s="42"/>
      <c r="NG50" s="42"/>
      <c r="NH50" s="42"/>
      <c r="NI50" s="42"/>
      <c r="NJ50" s="42"/>
      <c r="NK50" s="42"/>
      <c r="NL50" s="42"/>
      <c r="NM50" s="42"/>
      <c r="NN50" s="42"/>
      <c r="NO50" s="42"/>
      <c r="NP50" s="42"/>
      <c r="NQ50" s="42"/>
      <c r="NR50" s="42"/>
      <c r="NS50" s="42"/>
    </row>
    <row r="51" spans="1:383" s="5" customFormat="1" x14ac:dyDescent="0.25">
      <c r="A51" s="1"/>
      <c r="B51" s="2"/>
      <c r="C51" s="2"/>
      <c r="D51" s="2"/>
      <c r="E51" s="3"/>
      <c r="F51" s="3"/>
      <c r="G51" s="4"/>
      <c r="H51" s="1"/>
      <c r="I51" s="7"/>
      <c r="J51" s="7"/>
      <c r="K51" s="7"/>
      <c r="L51" s="7"/>
      <c r="M51" s="7"/>
      <c r="N51" s="7"/>
      <c r="O51" s="3"/>
      <c r="P51" s="7"/>
      <c r="AL51" s="7"/>
      <c r="AM51" s="7"/>
      <c r="AN51" s="7"/>
      <c r="AO51" s="7"/>
      <c r="AT51" s="7"/>
      <c r="AV51" s="11"/>
      <c r="AW51" s="7"/>
      <c r="AY51" s="7"/>
      <c r="BN51" s="7"/>
      <c r="CQ51" s="7"/>
      <c r="DF51" s="7"/>
      <c r="DG51" s="7"/>
      <c r="DL51" s="15"/>
      <c r="DQ51" s="16"/>
      <c r="DR51" s="7"/>
      <c r="DV51" s="16"/>
      <c r="DZ51" s="16"/>
      <c r="EA51" s="7"/>
      <c r="EF51" s="16"/>
      <c r="EK51" s="16"/>
      <c r="EL51" s="7"/>
      <c r="EP51" s="16"/>
      <c r="ET51" s="16"/>
      <c r="EU51" s="7"/>
      <c r="FM51" s="7"/>
      <c r="FN51" s="390"/>
      <c r="FO51" s="390"/>
      <c r="FR51" s="7"/>
      <c r="FY51" s="7"/>
      <c r="GG51" s="7"/>
      <c r="HX51" s="74"/>
      <c r="HY51" s="42"/>
      <c r="HZ51" s="42"/>
      <c r="IE51" s="42"/>
      <c r="IF51" s="42"/>
      <c r="IK51" s="42"/>
      <c r="IL51" s="42"/>
      <c r="IM51" s="42"/>
      <c r="IN51" s="7"/>
      <c r="IO51" s="42"/>
      <c r="IT51" s="42"/>
      <c r="IU51" s="42"/>
      <c r="KC51" s="7"/>
      <c r="KD51" s="42"/>
      <c r="KG51" s="391"/>
      <c r="KH51" s="42"/>
      <c r="KI51" s="42"/>
      <c r="KJ51" s="42"/>
      <c r="KK51" s="42"/>
      <c r="KL51" s="42"/>
      <c r="KM51" s="42"/>
      <c r="KN51" s="42"/>
      <c r="KO51" s="42"/>
      <c r="KP51" s="42"/>
      <c r="KQ51" s="42"/>
      <c r="KR51" s="42"/>
      <c r="KS51" s="42"/>
      <c r="KT51" s="42"/>
      <c r="KU51" s="42"/>
      <c r="KV51" s="42"/>
      <c r="KW51" s="42"/>
      <c r="KX51" s="42"/>
      <c r="KY51" s="42"/>
      <c r="KZ51" s="42"/>
      <c r="LA51" s="42"/>
      <c r="LB51" s="42"/>
      <c r="LC51" s="42"/>
      <c r="LD51" s="42"/>
      <c r="LE51" s="42"/>
      <c r="LF51" s="42"/>
      <c r="LG51" s="42"/>
      <c r="LH51" s="42"/>
      <c r="LI51" s="42"/>
      <c r="LJ51" s="42"/>
      <c r="LK51" s="42"/>
      <c r="LL51" s="42"/>
      <c r="LM51" s="42"/>
      <c r="LN51" s="42"/>
      <c r="LO51" s="42"/>
      <c r="LP51" s="42"/>
      <c r="LQ51" s="42"/>
      <c r="LR51" s="42"/>
      <c r="LS51" s="42"/>
      <c r="LT51" s="42"/>
      <c r="LU51" s="42"/>
      <c r="LV51" s="42"/>
      <c r="LW51" s="42"/>
      <c r="LX51" s="42"/>
      <c r="LY51" s="42"/>
      <c r="LZ51" s="42"/>
      <c r="MA51" s="42"/>
      <c r="MB51" s="42"/>
      <c r="MC51" s="42"/>
      <c r="MD51" s="42"/>
      <c r="ME51" s="42"/>
      <c r="MF51" s="42"/>
      <c r="MG51" s="42"/>
      <c r="MH51" s="42"/>
      <c r="MI51" s="42"/>
      <c r="MJ51" s="42"/>
      <c r="MK51" s="42"/>
      <c r="ML51" s="42"/>
      <c r="MM51" s="42"/>
      <c r="MN51" s="42"/>
      <c r="MO51" s="42"/>
      <c r="MP51" s="42"/>
      <c r="MQ51" s="42"/>
      <c r="MR51" s="42"/>
      <c r="MS51" s="42"/>
      <c r="MT51" s="42"/>
      <c r="MU51" s="42"/>
      <c r="MV51" s="42"/>
      <c r="MW51" s="42"/>
      <c r="MX51" s="42"/>
      <c r="MY51" s="42"/>
      <c r="MZ51" s="42"/>
      <c r="NA51" s="42"/>
      <c r="NB51" s="42"/>
      <c r="NC51" s="42"/>
      <c r="ND51" s="42"/>
      <c r="NE51" s="42"/>
      <c r="NF51" s="42"/>
      <c r="NG51" s="42"/>
      <c r="NH51" s="42"/>
      <c r="NI51" s="42"/>
      <c r="NJ51" s="42"/>
      <c r="NK51" s="42"/>
      <c r="NL51" s="42"/>
      <c r="NM51" s="42"/>
      <c r="NN51" s="42"/>
      <c r="NO51" s="42"/>
      <c r="NP51" s="42"/>
      <c r="NQ51" s="42"/>
      <c r="NR51" s="42"/>
      <c r="NS51" s="42"/>
    </row>
    <row r="52" spans="1:383" s="5" customFormat="1" x14ac:dyDescent="0.25">
      <c r="A52" s="1"/>
      <c r="B52" s="2"/>
      <c r="C52" s="2"/>
      <c r="D52" s="2"/>
      <c r="E52" s="3"/>
      <c r="F52" s="3"/>
      <c r="G52" s="4"/>
      <c r="H52" s="1"/>
      <c r="I52" s="7"/>
      <c r="J52" s="7"/>
      <c r="K52" s="7"/>
      <c r="L52" s="7"/>
      <c r="M52" s="7"/>
      <c r="N52" s="7"/>
      <c r="O52" s="3"/>
      <c r="P52" s="7"/>
      <c r="AL52" s="7"/>
      <c r="AM52" s="7"/>
      <c r="AN52" s="7"/>
      <c r="AO52" s="7"/>
      <c r="AT52" s="7"/>
      <c r="AV52" s="11"/>
      <c r="AW52" s="7"/>
      <c r="AY52" s="7"/>
      <c r="BN52" s="7"/>
      <c r="CQ52" s="7"/>
      <c r="DF52" s="7"/>
      <c r="DG52" s="7"/>
      <c r="DL52" s="15"/>
      <c r="DQ52" s="16"/>
      <c r="DR52" s="7"/>
      <c r="DV52" s="16"/>
      <c r="DZ52" s="16"/>
      <c r="EA52" s="7"/>
      <c r="EF52" s="16"/>
      <c r="EK52" s="16"/>
      <c r="EL52" s="7"/>
      <c r="EP52" s="16"/>
      <c r="ET52" s="16"/>
      <c r="EU52" s="7"/>
      <c r="FM52" s="7"/>
      <c r="FN52" s="390"/>
      <c r="FO52" s="390"/>
      <c r="FR52" s="7"/>
      <c r="FY52" s="7"/>
      <c r="GG52" s="7"/>
      <c r="HX52" s="74"/>
      <c r="HY52" s="42"/>
      <c r="HZ52" s="42"/>
      <c r="IE52" s="42"/>
      <c r="IF52" s="42"/>
      <c r="IK52" s="42"/>
      <c r="IL52" s="42"/>
      <c r="IM52" s="42"/>
      <c r="IN52" s="7"/>
      <c r="IO52" s="42"/>
      <c r="IT52" s="42"/>
      <c r="IU52" s="42"/>
      <c r="KC52" s="7"/>
      <c r="KD52" s="42"/>
      <c r="KG52" s="391"/>
      <c r="KH52" s="42"/>
      <c r="KI52" s="42"/>
      <c r="KJ52" s="42"/>
      <c r="KK52" s="42"/>
      <c r="KL52" s="42"/>
      <c r="KM52" s="42"/>
      <c r="KN52" s="42"/>
      <c r="KO52" s="42"/>
      <c r="KP52" s="42"/>
      <c r="KQ52" s="42"/>
      <c r="KR52" s="42"/>
      <c r="KS52" s="42"/>
      <c r="KT52" s="42"/>
      <c r="KU52" s="42"/>
      <c r="KV52" s="42"/>
      <c r="KW52" s="42"/>
      <c r="KX52" s="42"/>
      <c r="KY52" s="42"/>
      <c r="KZ52" s="42"/>
      <c r="LA52" s="42"/>
      <c r="LB52" s="42"/>
      <c r="LC52" s="42"/>
      <c r="LD52" s="42"/>
      <c r="LE52" s="42"/>
      <c r="LF52" s="42"/>
      <c r="LG52" s="42"/>
      <c r="LH52" s="42"/>
      <c r="LI52" s="42"/>
      <c r="LJ52" s="42"/>
      <c r="LK52" s="42"/>
      <c r="LL52" s="42"/>
      <c r="LM52" s="42"/>
      <c r="LN52" s="42"/>
      <c r="LO52" s="42"/>
      <c r="LP52" s="42"/>
      <c r="LQ52" s="42"/>
      <c r="LR52" s="42"/>
      <c r="LS52" s="42"/>
      <c r="LT52" s="42"/>
      <c r="LU52" s="42"/>
      <c r="LV52" s="42"/>
      <c r="LW52" s="42"/>
      <c r="LX52" s="42"/>
      <c r="LY52" s="42"/>
      <c r="LZ52" s="42"/>
      <c r="MA52" s="42"/>
      <c r="MB52" s="42"/>
      <c r="MC52" s="42"/>
      <c r="MD52" s="42"/>
      <c r="ME52" s="42"/>
      <c r="MF52" s="42"/>
      <c r="MG52" s="42"/>
      <c r="MH52" s="42"/>
      <c r="MI52" s="42"/>
      <c r="MJ52" s="42"/>
      <c r="MK52" s="42"/>
      <c r="ML52" s="42"/>
      <c r="MM52" s="42"/>
      <c r="MN52" s="42"/>
      <c r="MO52" s="42"/>
      <c r="MP52" s="42"/>
      <c r="MQ52" s="42"/>
      <c r="MR52" s="42"/>
      <c r="MS52" s="42"/>
      <c r="MT52" s="42"/>
      <c r="MU52" s="42"/>
      <c r="MV52" s="42"/>
      <c r="MW52" s="42"/>
      <c r="MX52" s="42"/>
      <c r="MY52" s="42"/>
      <c r="MZ52" s="42"/>
      <c r="NA52" s="42"/>
      <c r="NB52" s="42"/>
      <c r="NC52" s="42"/>
      <c r="ND52" s="42"/>
      <c r="NE52" s="42"/>
      <c r="NF52" s="42"/>
      <c r="NG52" s="42"/>
      <c r="NH52" s="42"/>
      <c r="NI52" s="42"/>
      <c r="NJ52" s="42"/>
      <c r="NK52" s="42"/>
      <c r="NL52" s="42"/>
      <c r="NM52" s="42"/>
      <c r="NN52" s="42"/>
      <c r="NO52" s="42"/>
      <c r="NP52" s="42"/>
      <c r="NQ52" s="42"/>
      <c r="NR52" s="42"/>
      <c r="NS52" s="42"/>
    </row>
    <row r="53" spans="1:383" s="5" customFormat="1" x14ac:dyDescent="0.25">
      <c r="A53" s="1"/>
      <c r="B53" s="2"/>
      <c r="C53" s="2"/>
      <c r="D53" s="2"/>
      <c r="E53" s="3"/>
      <c r="F53" s="3"/>
      <c r="G53" s="4"/>
      <c r="H53" s="1"/>
      <c r="I53" s="7"/>
      <c r="J53" s="7"/>
      <c r="K53" s="7"/>
      <c r="L53" s="7"/>
      <c r="M53" s="7"/>
      <c r="N53" s="7"/>
      <c r="O53" s="3"/>
      <c r="P53" s="7"/>
      <c r="AL53" s="7"/>
      <c r="AM53" s="7"/>
      <c r="AN53" s="7"/>
      <c r="AO53" s="7"/>
      <c r="AT53" s="7"/>
      <c r="AV53" s="11"/>
      <c r="AW53" s="7"/>
      <c r="AY53" s="7"/>
      <c r="BN53" s="7"/>
      <c r="CQ53" s="7"/>
      <c r="DF53" s="7"/>
      <c r="DG53" s="7"/>
      <c r="DL53" s="15"/>
      <c r="DQ53" s="16"/>
      <c r="DR53" s="7"/>
      <c r="DV53" s="16"/>
      <c r="DZ53" s="16"/>
      <c r="EA53" s="7"/>
      <c r="EF53" s="16"/>
      <c r="EK53" s="16"/>
      <c r="EL53" s="7"/>
      <c r="EP53" s="16"/>
      <c r="ET53" s="16"/>
      <c r="EU53" s="7"/>
      <c r="FM53" s="7"/>
      <c r="FN53" s="390"/>
      <c r="FO53" s="390"/>
      <c r="FR53" s="7"/>
      <c r="FY53" s="7"/>
      <c r="GG53" s="7"/>
      <c r="HX53" s="74"/>
      <c r="HY53" s="42"/>
      <c r="HZ53" s="42"/>
      <c r="IE53" s="42"/>
      <c r="IF53" s="42"/>
      <c r="IK53" s="42"/>
      <c r="IL53" s="42"/>
      <c r="IM53" s="42"/>
      <c r="IN53" s="7"/>
      <c r="IO53" s="42"/>
      <c r="IT53" s="42"/>
      <c r="IU53" s="42"/>
      <c r="KC53" s="7"/>
      <c r="KD53" s="42"/>
      <c r="KG53" s="391"/>
      <c r="KH53" s="42"/>
      <c r="KI53" s="42"/>
      <c r="KJ53" s="42"/>
      <c r="KK53" s="42"/>
      <c r="KL53" s="42"/>
      <c r="KM53" s="42"/>
      <c r="KN53" s="42"/>
      <c r="KO53" s="42"/>
      <c r="KP53" s="42"/>
      <c r="KQ53" s="42"/>
      <c r="KR53" s="42"/>
      <c r="KS53" s="42"/>
      <c r="KT53" s="42"/>
      <c r="KU53" s="42"/>
      <c r="KV53" s="42"/>
      <c r="KW53" s="42"/>
      <c r="KX53" s="42"/>
      <c r="KY53" s="42"/>
      <c r="KZ53" s="42"/>
      <c r="LA53" s="42"/>
      <c r="LB53" s="42"/>
      <c r="LC53" s="42"/>
      <c r="LD53" s="42"/>
      <c r="LE53" s="42"/>
      <c r="LF53" s="42"/>
      <c r="LG53" s="42"/>
      <c r="LH53" s="42"/>
      <c r="LI53" s="42"/>
      <c r="LJ53" s="42"/>
      <c r="LK53" s="42"/>
      <c r="LL53" s="42"/>
      <c r="LM53" s="42"/>
      <c r="LN53" s="42"/>
      <c r="LO53" s="42"/>
      <c r="LP53" s="42"/>
      <c r="LQ53" s="42"/>
      <c r="LR53" s="42"/>
      <c r="LS53" s="42"/>
      <c r="LT53" s="42"/>
      <c r="LU53" s="42"/>
      <c r="LV53" s="42"/>
      <c r="LW53" s="42"/>
      <c r="LX53" s="42"/>
      <c r="LY53" s="42"/>
      <c r="LZ53" s="42"/>
      <c r="MA53" s="42"/>
      <c r="MB53" s="42"/>
      <c r="MC53" s="42"/>
      <c r="MD53" s="42"/>
      <c r="ME53" s="42"/>
      <c r="MF53" s="42"/>
      <c r="MG53" s="42"/>
      <c r="MH53" s="42"/>
      <c r="MI53" s="42"/>
      <c r="MJ53" s="42"/>
      <c r="MK53" s="42"/>
      <c r="ML53" s="42"/>
      <c r="MM53" s="42"/>
      <c r="MN53" s="42"/>
      <c r="MO53" s="42"/>
      <c r="MP53" s="42"/>
      <c r="MQ53" s="42"/>
      <c r="MR53" s="42"/>
      <c r="MS53" s="42"/>
      <c r="MT53" s="42"/>
      <c r="MU53" s="42"/>
      <c r="MV53" s="42"/>
      <c r="MW53" s="42"/>
      <c r="MX53" s="42"/>
      <c r="MY53" s="42"/>
      <c r="MZ53" s="42"/>
      <c r="NA53" s="42"/>
      <c r="NB53" s="42"/>
      <c r="NC53" s="42"/>
      <c r="ND53" s="42"/>
      <c r="NE53" s="42"/>
      <c r="NF53" s="42"/>
      <c r="NG53" s="42"/>
      <c r="NH53" s="42"/>
      <c r="NI53" s="42"/>
      <c r="NJ53" s="42"/>
      <c r="NK53" s="42"/>
      <c r="NL53" s="42"/>
      <c r="NM53" s="42"/>
      <c r="NN53" s="42"/>
      <c r="NO53" s="42"/>
      <c r="NP53" s="42"/>
      <c r="NQ53" s="42"/>
      <c r="NR53" s="42"/>
      <c r="NS53" s="42"/>
    </row>
    <row r="54" spans="1:383" s="5" customFormat="1" x14ac:dyDescent="0.25">
      <c r="A54" s="1"/>
      <c r="B54" s="2"/>
      <c r="C54" s="2"/>
      <c r="D54" s="2"/>
      <c r="E54" s="3"/>
      <c r="F54" s="3"/>
      <c r="G54" s="4"/>
      <c r="H54" s="1"/>
      <c r="I54" s="7"/>
      <c r="J54" s="7"/>
      <c r="K54" s="7"/>
      <c r="L54" s="7"/>
      <c r="M54" s="7"/>
      <c r="N54" s="7"/>
      <c r="O54" s="3"/>
      <c r="P54" s="7"/>
      <c r="AL54" s="7"/>
      <c r="AM54" s="7"/>
      <c r="AN54" s="7"/>
      <c r="AO54" s="7"/>
      <c r="AT54" s="7"/>
      <c r="AV54" s="11"/>
      <c r="AW54" s="7"/>
      <c r="AY54" s="7"/>
      <c r="BN54" s="7"/>
      <c r="CQ54" s="7"/>
      <c r="DF54" s="7"/>
      <c r="DG54" s="7"/>
      <c r="DL54" s="15"/>
      <c r="DQ54" s="16"/>
      <c r="DR54" s="7"/>
      <c r="DV54" s="16"/>
      <c r="DZ54" s="16"/>
      <c r="EA54" s="7"/>
      <c r="EF54" s="16"/>
      <c r="EK54" s="16"/>
      <c r="EL54" s="7"/>
      <c r="EP54" s="16"/>
      <c r="ET54" s="16"/>
      <c r="EU54" s="7"/>
      <c r="FM54" s="7"/>
      <c r="FN54" s="390"/>
      <c r="FO54" s="390"/>
      <c r="FR54" s="7"/>
      <c r="FY54" s="7"/>
      <c r="GG54" s="7"/>
      <c r="HX54" s="74"/>
      <c r="HY54" s="42"/>
      <c r="HZ54" s="42"/>
      <c r="IE54" s="42"/>
      <c r="IF54" s="42"/>
      <c r="IK54" s="42"/>
      <c r="IL54" s="42"/>
      <c r="IM54" s="42"/>
      <c r="IN54" s="7"/>
      <c r="IO54" s="42"/>
      <c r="IT54" s="42"/>
      <c r="IU54" s="42"/>
      <c r="KC54" s="7"/>
      <c r="KD54" s="42"/>
      <c r="KG54" s="391"/>
      <c r="KH54" s="42"/>
      <c r="KI54" s="42"/>
      <c r="KJ54" s="42"/>
      <c r="KK54" s="42"/>
      <c r="KL54" s="42"/>
      <c r="KM54" s="42"/>
      <c r="KN54" s="42"/>
      <c r="KO54" s="42"/>
      <c r="KP54" s="42"/>
      <c r="KQ54" s="42"/>
      <c r="KR54" s="42"/>
      <c r="KS54" s="42"/>
      <c r="KT54" s="42"/>
      <c r="KU54" s="42"/>
      <c r="KV54" s="42"/>
      <c r="KW54" s="42"/>
      <c r="KX54" s="42"/>
      <c r="KY54" s="42"/>
      <c r="KZ54" s="42"/>
      <c r="LA54" s="42"/>
      <c r="LB54" s="42"/>
      <c r="LC54" s="42"/>
      <c r="LD54" s="42"/>
      <c r="LE54" s="42"/>
      <c r="LF54" s="42"/>
      <c r="LG54" s="42"/>
      <c r="LH54" s="42"/>
      <c r="LI54" s="42"/>
      <c r="LJ54" s="42"/>
      <c r="LK54" s="42"/>
      <c r="LL54" s="42"/>
      <c r="LM54" s="42"/>
      <c r="LN54" s="42"/>
      <c r="LO54" s="42"/>
      <c r="LP54" s="42"/>
      <c r="LQ54" s="42"/>
      <c r="LR54" s="42"/>
      <c r="LS54" s="42"/>
      <c r="LT54" s="42"/>
      <c r="LU54" s="42"/>
      <c r="LV54" s="42"/>
      <c r="LW54" s="42"/>
      <c r="LX54" s="42"/>
      <c r="LY54" s="42"/>
      <c r="LZ54" s="42"/>
      <c r="MA54" s="42"/>
      <c r="MB54" s="42"/>
      <c r="MC54" s="42"/>
      <c r="MD54" s="42"/>
      <c r="ME54" s="42"/>
      <c r="MF54" s="42"/>
      <c r="MG54" s="42"/>
      <c r="MH54" s="42"/>
      <c r="MI54" s="42"/>
      <c r="MJ54" s="42"/>
      <c r="MK54" s="42"/>
      <c r="ML54" s="42"/>
      <c r="MM54" s="42"/>
      <c r="MN54" s="42"/>
      <c r="MO54" s="42"/>
      <c r="MP54" s="42"/>
      <c r="MQ54" s="42"/>
      <c r="MR54" s="42"/>
      <c r="MS54" s="42"/>
      <c r="MT54" s="42"/>
      <c r="MU54" s="42"/>
      <c r="MV54" s="42"/>
      <c r="MW54" s="42"/>
      <c r="MX54" s="42"/>
      <c r="MY54" s="42"/>
      <c r="MZ54" s="42"/>
      <c r="NA54" s="42"/>
      <c r="NB54" s="42"/>
      <c r="NC54" s="42"/>
      <c r="ND54" s="42"/>
      <c r="NE54" s="42"/>
      <c r="NF54" s="42"/>
      <c r="NG54" s="42"/>
      <c r="NH54" s="42"/>
      <c r="NI54" s="42"/>
      <c r="NJ54" s="42"/>
      <c r="NK54" s="42"/>
      <c r="NL54" s="42"/>
      <c r="NM54" s="42"/>
      <c r="NN54" s="42"/>
      <c r="NO54" s="42"/>
      <c r="NP54" s="42"/>
      <c r="NQ54" s="42"/>
      <c r="NR54" s="42"/>
      <c r="NS54" s="42"/>
    </row>
    <row r="55" spans="1:383" s="5" customFormat="1" x14ac:dyDescent="0.25">
      <c r="A55" s="1"/>
      <c r="B55" s="2"/>
      <c r="C55" s="2"/>
      <c r="D55" s="2"/>
      <c r="E55" s="3"/>
      <c r="F55" s="3"/>
      <c r="G55" s="4"/>
      <c r="H55" s="1"/>
      <c r="I55" s="7"/>
      <c r="J55" s="7"/>
      <c r="K55" s="7"/>
      <c r="L55" s="7"/>
      <c r="M55" s="7"/>
      <c r="N55" s="7"/>
      <c r="O55" s="3"/>
      <c r="P55" s="7"/>
      <c r="AL55" s="7"/>
      <c r="AM55" s="7"/>
      <c r="AN55" s="7"/>
      <c r="AO55" s="7"/>
      <c r="AT55" s="7"/>
      <c r="AV55" s="11"/>
      <c r="AW55" s="7"/>
      <c r="AY55" s="7"/>
      <c r="BN55" s="7"/>
      <c r="CQ55" s="7"/>
      <c r="DF55" s="7"/>
      <c r="DG55" s="7"/>
      <c r="DL55" s="15"/>
      <c r="DQ55" s="16"/>
      <c r="DR55" s="7"/>
      <c r="DV55" s="16"/>
      <c r="DZ55" s="16"/>
      <c r="EA55" s="7"/>
      <c r="EF55" s="16"/>
      <c r="EK55" s="16"/>
      <c r="EL55" s="7"/>
      <c r="EP55" s="16"/>
      <c r="ET55" s="16"/>
      <c r="EU55" s="7"/>
      <c r="FM55" s="7"/>
      <c r="FN55" s="390"/>
      <c r="FO55" s="390"/>
      <c r="FR55" s="7"/>
      <c r="FY55" s="7"/>
      <c r="GG55" s="7"/>
      <c r="HX55" s="74"/>
      <c r="HY55" s="42"/>
      <c r="HZ55" s="42"/>
      <c r="IE55" s="42"/>
      <c r="IF55" s="42"/>
      <c r="IK55" s="42"/>
      <c r="IL55" s="42"/>
      <c r="IM55" s="42"/>
      <c r="IN55" s="7"/>
      <c r="IO55" s="42"/>
      <c r="IT55" s="42"/>
      <c r="IU55" s="42"/>
      <c r="KC55" s="7"/>
      <c r="KD55" s="42"/>
      <c r="KG55" s="391"/>
      <c r="KH55" s="42"/>
      <c r="KI55" s="42"/>
      <c r="KJ55" s="42"/>
      <c r="KK55" s="42"/>
      <c r="KL55" s="42"/>
      <c r="KM55" s="42"/>
      <c r="KN55" s="42"/>
      <c r="KO55" s="42"/>
      <c r="KP55" s="42"/>
      <c r="KQ55" s="42"/>
      <c r="KR55" s="42"/>
      <c r="KS55" s="42"/>
      <c r="KT55" s="42"/>
      <c r="KU55" s="42"/>
      <c r="KV55" s="42"/>
      <c r="KW55" s="42"/>
      <c r="KX55" s="42"/>
      <c r="KY55" s="42"/>
      <c r="KZ55" s="42"/>
      <c r="LA55" s="42"/>
      <c r="LB55" s="42"/>
      <c r="LC55" s="42"/>
      <c r="LD55" s="42"/>
      <c r="LE55" s="42"/>
      <c r="LF55" s="42"/>
      <c r="LG55" s="42"/>
      <c r="LH55" s="42"/>
      <c r="LI55" s="42"/>
      <c r="LJ55" s="42"/>
      <c r="LK55" s="42"/>
      <c r="LL55" s="42"/>
      <c r="LM55" s="42"/>
      <c r="LN55" s="42"/>
      <c r="LO55" s="42"/>
      <c r="LP55" s="42"/>
      <c r="LQ55" s="42"/>
      <c r="LR55" s="42"/>
      <c r="LS55" s="42"/>
      <c r="LT55" s="42"/>
      <c r="LU55" s="42"/>
      <c r="LV55" s="42"/>
      <c r="LW55" s="42"/>
      <c r="LX55" s="42"/>
      <c r="LY55" s="42"/>
      <c r="LZ55" s="42"/>
      <c r="MA55" s="42"/>
      <c r="MB55" s="42"/>
      <c r="MC55" s="42"/>
      <c r="MD55" s="42"/>
      <c r="ME55" s="42"/>
      <c r="MF55" s="42"/>
      <c r="MG55" s="42"/>
      <c r="MH55" s="42"/>
      <c r="MI55" s="42"/>
      <c r="MJ55" s="42"/>
      <c r="MK55" s="42"/>
      <c r="ML55" s="42"/>
      <c r="MM55" s="42"/>
      <c r="MN55" s="42"/>
      <c r="MO55" s="42"/>
      <c r="MP55" s="42"/>
      <c r="MQ55" s="42"/>
      <c r="MR55" s="42"/>
      <c r="MS55" s="42"/>
      <c r="MT55" s="42"/>
      <c r="MU55" s="42"/>
      <c r="MV55" s="42"/>
      <c r="MW55" s="42"/>
      <c r="MX55" s="42"/>
      <c r="MY55" s="42"/>
      <c r="MZ55" s="42"/>
      <c r="NA55" s="42"/>
      <c r="NB55" s="42"/>
      <c r="NC55" s="42"/>
      <c r="ND55" s="42"/>
      <c r="NE55" s="42"/>
      <c r="NF55" s="42"/>
      <c r="NG55" s="42"/>
      <c r="NH55" s="42"/>
      <c r="NI55" s="42"/>
      <c r="NJ55" s="42"/>
      <c r="NK55" s="42"/>
      <c r="NL55" s="42"/>
      <c r="NM55" s="42"/>
      <c r="NN55" s="42"/>
      <c r="NO55" s="42"/>
      <c r="NP55" s="42"/>
      <c r="NQ55" s="42"/>
      <c r="NR55" s="42"/>
      <c r="NS55" s="42"/>
    </row>
    <row r="56" spans="1:383" s="5" customFormat="1" x14ac:dyDescent="0.25">
      <c r="A56" s="1"/>
      <c r="B56" s="2"/>
      <c r="C56" s="2"/>
      <c r="D56" s="2"/>
      <c r="E56" s="3"/>
      <c r="F56" s="3"/>
      <c r="G56" s="4"/>
      <c r="H56" s="1"/>
      <c r="I56" s="7"/>
      <c r="J56" s="7"/>
      <c r="K56" s="7"/>
      <c r="L56" s="7"/>
      <c r="M56" s="7"/>
      <c r="N56" s="7"/>
      <c r="O56" s="3"/>
      <c r="P56" s="7"/>
      <c r="AL56" s="7"/>
      <c r="AM56" s="7"/>
      <c r="AN56" s="7"/>
      <c r="AO56" s="7"/>
      <c r="AT56" s="7"/>
      <c r="AV56" s="11"/>
      <c r="AW56" s="7"/>
      <c r="AY56" s="7"/>
      <c r="BN56" s="7"/>
      <c r="CQ56" s="7"/>
      <c r="DF56" s="7"/>
      <c r="DG56" s="7"/>
      <c r="DL56" s="15"/>
      <c r="DQ56" s="16"/>
      <c r="DR56" s="7"/>
      <c r="DV56" s="16"/>
      <c r="DZ56" s="16"/>
      <c r="EA56" s="7"/>
      <c r="EF56" s="16"/>
      <c r="EK56" s="16"/>
      <c r="EL56" s="7"/>
      <c r="EP56" s="16"/>
      <c r="ET56" s="16"/>
      <c r="EU56" s="7"/>
      <c r="FM56" s="7"/>
      <c r="FN56" s="390"/>
      <c r="FO56" s="390"/>
      <c r="FR56" s="7"/>
      <c r="FY56" s="7"/>
      <c r="GG56" s="7"/>
      <c r="HX56" s="74"/>
      <c r="HY56" s="42"/>
      <c r="HZ56" s="42"/>
      <c r="IE56" s="42"/>
      <c r="IF56" s="42"/>
      <c r="IK56" s="42"/>
      <c r="IL56" s="42"/>
      <c r="IM56" s="42"/>
      <c r="IN56" s="7"/>
      <c r="IO56" s="42"/>
      <c r="IT56" s="42"/>
      <c r="IU56" s="42"/>
      <c r="KC56" s="7"/>
      <c r="KD56" s="42"/>
      <c r="KG56" s="391"/>
      <c r="KH56" s="42"/>
      <c r="KI56" s="42"/>
      <c r="KJ56" s="42"/>
      <c r="KK56" s="42"/>
      <c r="KL56" s="42"/>
      <c r="KM56" s="42"/>
      <c r="KN56" s="42"/>
      <c r="KO56" s="42"/>
      <c r="KP56" s="42"/>
      <c r="KQ56" s="42"/>
      <c r="KR56" s="42"/>
      <c r="KS56" s="42"/>
      <c r="KT56" s="42"/>
      <c r="KU56" s="42"/>
      <c r="KV56" s="42"/>
      <c r="KW56" s="42"/>
      <c r="KX56" s="42"/>
      <c r="KY56" s="42"/>
      <c r="KZ56" s="42"/>
      <c r="LA56" s="42"/>
      <c r="LB56" s="42"/>
      <c r="LC56" s="42"/>
      <c r="LD56" s="42"/>
      <c r="LE56" s="42"/>
      <c r="LF56" s="42"/>
      <c r="LG56" s="42"/>
      <c r="LH56" s="42"/>
      <c r="LI56" s="42"/>
      <c r="LJ56" s="42"/>
      <c r="LK56" s="42"/>
      <c r="LL56" s="42"/>
      <c r="LM56" s="42"/>
      <c r="LN56" s="42"/>
      <c r="LO56" s="42"/>
      <c r="LP56" s="42"/>
      <c r="LQ56" s="42"/>
      <c r="LR56" s="42"/>
      <c r="LS56" s="42"/>
      <c r="LT56" s="42"/>
      <c r="LU56" s="42"/>
      <c r="LV56" s="42"/>
      <c r="LW56" s="42"/>
      <c r="LX56" s="42"/>
      <c r="LY56" s="42"/>
      <c r="LZ56" s="42"/>
      <c r="MA56" s="42"/>
      <c r="MB56" s="42"/>
      <c r="MC56" s="42"/>
      <c r="MD56" s="42"/>
      <c r="ME56" s="42"/>
      <c r="MF56" s="42"/>
      <c r="MG56" s="42"/>
      <c r="MH56" s="42"/>
      <c r="MI56" s="42"/>
      <c r="MJ56" s="42"/>
      <c r="MK56" s="42"/>
      <c r="ML56" s="42"/>
      <c r="MM56" s="42"/>
      <c r="MN56" s="42"/>
      <c r="MO56" s="42"/>
      <c r="MP56" s="42"/>
      <c r="MQ56" s="42"/>
      <c r="MR56" s="42"/>
      <c r="MS56" s="42"/>
      <c r="MT56" s="42"/>
      <c r="MU56" s="42"/>
      <c r="MV56" s="42"/>
      <c r="MW56" s="42"/>
      <c r="MX56" s="42"/>
      <c r="MY56" s="42"/>
      <c r="MZ56" s="42"/>
      <c r="NA56" s="42"/>
      <c r="NB56" s="42"/>
      <c r="NC56" s="42"/>
      <c r="ND56" s="42"/>
      <c r="NE56" s="42"/>
      <c r="NF56" s="42"/>
      <c r="NG56" s="42"/>
      <c r="NH56" s="42"/>
      <c r="NI56" s="42"/>
      <c r="NJ56" s="42"/>
      <c r="NK56" s="42"/>
      <c r="NL56" s="42"/>
      <c r="NM56" s="42"/>
      <c r="NN56" s="42"/>
      <c r="NO56" s="42"/>
      <c r="NP56" s="42"/>
      <c r="NQ56" s="42"/>
      <c r="NR56" s="42"/>
      <c r="NS56" s="42"/>
    </row>
    <row r="57" spans="1:383" s="5" customFormat="1" x14ac:dyDescent="0.25">
      <c r="A57" s="1"/>
      <c r="B57" s="2"/>
      <c r="C57" s="2"/>
      <c r="D57" s="2"/>
      <c r="E57" s="3"/>
      <c r="F57" s="3"/>
      <c r="G57" s="4"/>
      <c r="H57" s="1"/>
      <c r="I57" s="7"/>
      <c r="J57" s="7"/>
      <c r="K57" s="7"/>
      <c r="L57" s="7"/>
      <c r="M57" s="7"/>
      <c r="N57" s="7"/>
      <c r="O57" s="3"/>
      <c r="P57" s="7"/>
      <c r="AL57" s="7"/>
      <c r="AM57" s="7"/>
      <c r="AN57" s="7"/>
      <c r="AO57" s="7"/>
      <c r="AT57" s="7"/>
      <c r="AV57" s="11"/>
      <c r="AW57" s="7"/>
      <c r="AY57" s="7"/>
      <c r="BN57" s="7"/>
      <c r="CQ57" s="7"/>
      <c r="DF57" s="7"/>
      <c r="DG57" s="7"/>
      <c r="DL57" s="15"/>
      <c r="DQ57" s="16"/>
      <c r="DR57" s="7"/>
      <c r="DV57" s="16"/>
      <c r="DZ57" s="16"/>
      <c r="EA57" s="7"/>
      <c r="EF57" s="16"/>
      <c r="EK57" s="16"/>
      <c r="EL57" s="7"/>
      <c r="EP57" s="16"/>
      <c r="ET57" s="16"/>
      <c r="EU57" s="7"/>
      <c r="FM57" s="7"/>
      <c r="FN57" s="390"/>
      <c r="FO57" s="390"/>
      <c r="FR57" s="7"/>
      <c r="FY57" s="7"/>
      <c r="GG57" s="7"/>
      <c r="HX57" s="74"/>
      <c r="HY57" s="42"/>
      <c r="HZ57" s="42"/>
      <c r="IE57" s="42"/>
      <c r="IF57" s="42"/>
      <c r="IK57" s="42"/>
      <c r="IL57" s="42"/>
      <c r="IM57" s="42"/>
      <c r="IN57" s="7"/>
      <c r="IO57" s="42"/>
      <c r="IT57" s="42"/>
      <c r="IU57" s="42"/>
      <c r="KC57" s="7"/>
      <c r="KD57" s="42"/>
      <c r="KG57" s="391"/>
      <c r="KH57" s="42"/>
      <c r="KI57" s="42"/>
      <c r="KJ57" s="42"/>
      <c r="KK57" s="42"/>
      <c r="KL57" s="42"/>
      <c r="KM57" s="42"/>
      <c r="KN57" s="42"/>
      <c r="KO57" s="42"/>
      <c r="KP57" s="42"/>
      <c r="KQ57" s="42"/>
      <c r="KR57" s="42"/>
      <c r="KS57" s="42"/>
      <c r="KT57" s="42"/>
      <c r="KU57" s="42"/>
      <c r="KV57" s="42"/>
      <c r="KW57" s="42"/>
      <c r="KX57" s="42"/>
      <c r="KY57" s="42"/>
      <c r="KZ57" s="42"/>
      <c r="LA57" s="42"/>
      <c r="LB57" s="42"/>
      <c r="LC57" s="42"/>
      <c r="LD57" s="42"/>
      <c r="LE57" s="42"/>
      <c r="LF57" s="42"/>
      <c r="LG57" s="42"/>
      <c r="LH57" s="42"/>
      <c r="LI57" s="42"/>
      <c r="LJ57" s="42"/>
      <c r="LK57" s="42"/>
      <c r="LL57" s="42"/>
      <c r="LM57" s="42"/>
      <c r="LN57" s="42"/>
      <c r="LO57" s="42"/>
      <c r="LP57" s="42"/>
      <c r="LQ57" s="42"/>
      <c r="LR57" s="42"/>
      <c r="LS57" s="42"/>
      <c r="LT57" s="42"/>
      <c r="LU57" s="42"/>
      <c r="LV57" s="42"/>
      <c r="LW57" s="42"/>
      <c r="LX57" s="42"/>
      <c r="LY57" s="42"/>
      <c r="LZ57" s="42"/>
      <c r="MA57" s="42"/>
      <c r="MB57" s="42"/>
      <c r="MC57" s="42"/>
      <c r="MD57" s="42"/>
      <c r="ME57" s="42"/>
      <c r="MF57" s="42"/>
      <c r="MG57" s="42"/>
      <c r="MH57" s="42"/>
      <c r="MI57" s="42"/>
      <c r="MJ57" s="42"/>
      <c r="MK57" s="42"/>
      <c r="ML57" s="42"/>
      <c r="MM57" s="42"/>
      <c r="MN57" s="42"/>
      <c r="MO57" s="42"/>
      <c r="MP57" s="42"/>
      <c r="MQ57" s="42"/>
      <c r="MR57" s="42"/>
      <c r="MS57" s="42"/>
      <c r="MT57" s="42"/>
      <c r="MU57" s="42"/>
      <c r="MV57" s="42"/>
      <c r="MW57" s="42"/>
      <c r="MX57" s="42"/>
      <c r="MY57" s="42"/>
      <c r="MZ57" s="42"/>
      <c r="NA57" s="42"/>
      <c r="NB57" s="42"/>
      <c r="NC57" s="42"/>
      <c r="ND57" s="42"/>
      <c r="NE57" s="42"/>
      <c r="NF57" s="42"/>
      <c r="NG57" s="42"/>
      <c r="NH57" s="42"/>
      <c r="NI57" s="42"/>
      <c r="NJ57" s="42"/>
      <c r="NK57" s="42"/>
      <c r="NL57" s="42"/>
      <c r="NM57" s="42"/>
      <c r="NN57" s="42"/>
      <c r="NO57" s="42"/>
      <c r="NP57" s="42"/>
      <c r="NQ57" s="42"/>
      <c r="NR57" s="42"/>
      <c r="NS57" s="42"/>
    </row>
    <row r="58" spans="1:383" s="5" customFormat="1" x14ac:dyDescent="0.25">
      <c r="A58" s="1"/>
      <c r="B58" s="2"/>
      <c r="C58" s="2"/>
      <c r="D58" s="2"/>
      <c r="E58" s="3"/>
      <c r="F58" s="3"/>
      <c r="G58" s="4"/>
      <c r="H58" s="1"/>
      <c r="I58" s="7"/>
      <c r="J58" s="7"/>
      <c r="K58" s="7"/>
      <c r="L58" s="7"/>
      <c r="M58" s="7"/>
      <c r="N58" s="7"/>
      <c r="O58" s="3"/>
      <c r="P58" s="7"/>
      <c r="AL58" s="7"/>
      <c r="AM58" s="7"/>
      <c r="AN58" s="7"/>
      <c r="AO58" s="7"/>
      <c r="AT58" s="7"/>
      <c r="AV58" s="11"/>
      <c r="AW58" s="7"/>
      <c r="AY58" s="7"/>
      <c r="BN58" s="7"/>
      <c r="CQ58" s="7"/>
      <c r="DF58" s="7"/>
      <c r="DG58" s="7"/>
      <c r="DL58" s="15"/>
      <c r="DQ58" s="16"/>
      <c r="DR58" s="7"/>
      <c r="DV58" s="16"/>
      <c r="DZ58" s="16"/>
      <c r="EA58" s="7"/>
      <c r="EF58" s="16"/>
      <c r="EK58" s="16"/>
      <c r="EL58" s="7"/>
      <c r="EP58" s="16"/>
      <c r="ET58" s="16"/>
      <c r="EU58" s="7"/>
      <c r="FM58" s="7"/>
      <c r="FN58" s="390"/>
      <c r="FO58" s="390"/>
      <c r="FR58" s="7"/>
      <c r="FY58" s="7"/>
      <c r="GG58" s="7"/>
      <c r="HX58" s="74"/>
      <c r="HY58" s="42"/>
      <c r="HZ58" s="42"/>
      <c r="IE58" s="42"/>
      <c r="IF58" s="42"/>
      <c r="IK58" s="42"/>
      <c r="IL58" s="42"/>
      <c r="IM58" s="42"/>
      <c r="IN58" s="7"/>
      <c r="IO58" s="42"/>
      <c r="IT58" s="42"/>
      <c r="IU58" s="42"/>
      <c r="KC58" s="7"/>
      <c r="KD58" s="42"/>
      <c r="KG58" s="391"/>
      <c r="KH58" s="42"/>
      <c r="KI58" s="42"/>
      <c r="KJ58" s="42"/>
      <c r="KK58" s="42"/>
      <c r="KL58" s="42"/>
      <c r="KM58" s="42"/>
      <c r="KN58" s="42"/>
      <c r="KO58" s="42"/>
      <c r="KP58" s="42"/>
      <c r="KQ58" s="42"/>
      <c r="KR58" s="42"/>
      <c r="KS58" s="42"/>
      <c r="KT58" s="42"/>
      <c r="KU58" s="42"/>
      <c r="KV58" s="42"/>
      <c r="KW58" s="42"/>
      <c r="KX58" s="42"/>
      <c r="KY58" s="42"/>
      <c r="KZ58" s="42"/>
      <c r="LA58" s="42"/>
      <c r="LB58" s="42"/>
      <c r="LC58" s="42"/>
      <c r="LD58" s="42"/>
      <c r="LE58" s="42"/>
      <c r="LF58" s="42"/>
      <c r="LG58" s="42"/>
      <c r="LH58" s="42"/>
      <c r="LI58" s="42"/>
      <c r="LJ58" s="42"/>
      <c r="LK58" s="42"/>
      <c r="LL58" s="42"/>
      <c r="LM58" s="42"/>
      <c r="LN58" s="42"/>
      <c r="LO58" s="42"/>
      <c r="LP58" s="42"/>
      <c r="LQ58" s="42"/>
      <c r="LR58" s="42"/>
      <c r="LS58" s="42"/>
      <c r="LT58" s="42"/>
      <c r="LU58" s="42"/>
      <c r="LV58" s="42"/>
      <c r="LW58" s="42"/>
      <c r="LX58" s="42"/>
      <c r="LY58" s="42"/>
      <c r="LZ58" s="42"/>
      <c r="MA58" s="42"/>
      <c r="MB58" s="42"/>
      <c r="MC58" s="42"/>
      <c r="MD58" s="42"/>
      <c r="ME58" s="42"/>
      <c r="MF58" s="42"/>
      <c r="MG58" s="42"/>
      <c r="MH58" s="42"/>
      <c r="MI58" s="42"/>
      <c r="MJ58" s="42"/>
      <c r="MK58" s="42"/>
      <c r="ML58" s="42"/>
      <c r="MM58" s="42"/>
      <c r="MN58" s="42"/>
      <c r="MO58" s="42"/>
      <c r="MP58" s="42"/>
      <c r="MQ58" s="42"/>
      <c r="MR58" s="42"/>
      <c r="MS58" s="42"/>
      <c r="MT58" s="42"/>
      <c r="MU58" s="42"/>
      <c r="MV58" s="42"/>
      <c r="MW58" s="42"/>
      <c r="MX58" s="42"/>
      <c r="MY58" s="42"/>
      <c r="MZ58" s="42"/>
      <c r="NA58" s="42"/>
      <c r="NB58" s="42"/>
      <c r="NC58" s="42"/>
      <c r="ND58" s="42"/>
      <c r="NE58" s="42"/>
      <c r="NF58" s="42"/>
      <c r="NG58" s="42"/>
      <c r="NH58" s="42"/>
      <c r="NI58" s="42"/>
      <c r="NJ58" s="42"/>
      <c r="NK58" s="42"/>
      <c r="NL58" s="42"/>
      <c r="NM58" s="42"/>
      <c r="NN58" s="42"/>
      <c r="NO58" s="42"/>
      <c r="NP58" s="42"/>
      <c r="NQ58" s="42"/>
      <c r="NR58" s="42"/>
      <c r="NS58" s="42"/>
    </row>
    <row r="59" spans="1:383" s="5" customFormat="1" x14ac:dyDescent="0.25">
      <c r="A59" s="1"/>
      <c r="B59" s="2"/>
      <c r="C59" s="2"/>
      <c r="D59" s="2"/>
      <c r="E59" s="3"/>
      <c r="F59" s="3"/>
      <c r="G59" s="4"/>
      <c r="H59" s="1"/>
      <c r="I59" s="7"/>
      <c r="J59" s="7"/>
      <c r="K59" s="7"/>
      <c r="L59" s="7"/>
      <c r="M59" s="7"/>
      <c r="N59" s="7"/>
      <c r="O59" s="3"/>
      <c r="P59" s="7"/>
      <c r="AL59" s="7"/>
      <c r="AM59" s="7"/>
      <c r="AN59" s="7"/>
      <c r="AO59" s="7"/>
      <c r="AT59" s="7"/>
      <c r="AV59" s="11"/>
      <c r="AW59" s="7"/>
      <c r="AY59" s="7"/>
      <c r="BN59" s="7"/>
      <c r="CQ59" s="7"/>
      <c r="DF59" s="7"/>
      <c r="DG59" s="7"/>
      <c r="DL59" s="15"/>
      <c r="DQ59" s="16"/>
      <c r="DR59" s="7"/>
      <c r="DV59" s="16"/>
      <c r="DZ59" s="16"/>
      <c r="EA59" s="7"/>
      <c r="EF59" s="16"/>
      <c r="EK59" s="16"/>
      <c r="EL59" s="7"/>
      <c r="EP59" s="16"/>
      <c r="ET59" s="16"/>
      <c r="EU59" s="7"/>
      <c r="FM59" s="7"/>
      <c r="FN59" s="390"/>
      <c r="FO59" s="390"/>
      <c r="FR59" s="7"/>
      <c r="FY59" s="7"/>
      <c r="GG59" s="7"/>
      <c r="HX59" s="74"/>
      <c r="HY59" s="42"/>
      <c r="HZ59" s="42"/>
      <c r="IE59" s="42"/>
      <c r="IF59" s="42"/>
      <c r="IK59" s="42"/>
      <c r="IL59" s="42"/>
      <c r="IM59" s="42"/>
      <c r="IN59" s="7"/>
      <c r="IO59" s="42"/>
      <c r="IT59" s="42"/>
      <c r="IU59" s="42"/>
      <c r="KC59" s="7"/>
      <c r="KD59" s="42"/>
      <c r="KG59" s="391"/>
      <c r="KH59" s="42"/>
      <c r="KI59" s="42"/>
      <c r="KJ59" s="42"/>
      <c r="KK59" s="42"/>
      <c r="KL59" s="42"/>
      <c r="KM59" s="42"/>
      <c r="KN59" s="42"/>
      <c r="KO59" s="42"/>
      <c r="KP59" s="42"/>
      <c r="KQ59" s="42"/>
      <c r="KR59" s="42"/>
      <c r="KS59" s="42"/>
      <c r="KT59" s="42"/>
      <c r="KU59" s="42"/>
      <c r="KV59" s="42"/>
      <c r="KW59" s="42"/>
      <c r="KX59" s="42"/>
      <c r="KY59" s="42"/>
      <c r="KZ59" s="42"/>
      <c r="LA59" s="42"/>
      <c r="LB59" s="42"/>
      <c r="LC59" s="42"/>
      <c r="LD59" s="42"/>
      <c r="LE59" s="42"/>
      <c r="LF59" s="42"/>
      <c r="LG59" s="42"/>
      <c r="LH59" s="42"/>
      <c r="LI59" s="42"/>
      <c r="LJ59" s="42"/>
      <c r="LK59" s="42"/>
      <c r="LL59" s="42"/>
      <c r="LM59" s="42"/>
      <c r="LN59" s="42"/>
      <c r="LO59" s="42"/>
      <c r="LP59" s="42"/>
      <c r="LQ59" s="42"/>
      <c r="LR59" s="42"/>
      <c r="LS59" s="42"/>
      <c r="LT59" s="42"/>
      <c r="LU59" s="42"/>
      <c r="LV59" s="42"/>
      <c r="LW59" s="42"/>
      <c r="LX59" s="42"/>
      <c r="LY59" s="42"/>
      <c r="LZ59" s="42"/>
      <c r="MA59" s="42"/>
      <c r="MB59" s="42"/>
      <c r="MC59" s="42"/>
      <c r="MD59" s="42"/>
      <c r="ME59" s="42"/>
      <c r="MF59" s="42"/>
      <c r="MG59" s="42"/>
      <c r="MH59" s="42"/>
      <c r="MI59" s="42"/>
      <c r="MJ59" s="42"/>
      <c r="MK59" s="42"/>
      <c r="ML59" s="42"/>
      <c r="MM59" s="42"/>
      <c r="MN59" s="42"/>
      <c r="MO59" s="42"/>
      <c r="MP59" s="42"/>
      <c r="MQ59" s="42"/>
      <c r="MR59" s="42"/>
      <c r="MS59" s="42"/>
      <c r="MT59" s="42"/>
      <c r="MU59" s="42"/>
      <c r="MV59" s="42"/>
      <c r="MW59" s="42"/>
      <c r="MX59" s="42"/>
      <c r="MY59" s="42"/>
      <c r="MZ59" s="42"/>
      <c r="NA59" s="42"/>
      <c r="NB59" s="42"/>
      <c r="NC59" s="42"/>
      <c r="ND59" s="42"/>
      <c r="NE59" s="42"/>
      <c r="NF59" s="42"/>
      <c r="NG59" s="42"/>
      <c r="NH59" s="42"/>
      <c r="NI59" s="42"/>
      <c r="NJ59" s="42"/>
      <c r="NK59" s="42"/>
      <c r="NL59" s="42"/>
      <c r="NM59" s="42"/>
      <c r="NN59" s="42"/>
      <c r="NO59" s="42"/>
      <c r="NP59" s="42"/>
      <c r="NQ59" s="42"/>
      <c r="NR59" s="42"/>
      <c r="NS59" s="42"/>
    </row>
    <row r="60" spans="1:383" s="5" customFormat="1" x14ac:dyDescent="0.25">
      <c r="A60" s="1"/>
      <c r="B60" s="2"/>
      <c r="C60" s="2"/>
      <c r="D60" s="2"/>
      <c r="E60" s="3"/>
      <c r="F60" s="3"/>
      <c r="G60" s="4"/>
      <c r="H60" s="1"/>
      <c r="I60" s="7"/>
      <c r="J60" s="7"/>
      <c r="K60" s="7"/>
      <c r="L60" s="7"/>
      <c r="M60" s="7"/>
      <c r="N60" s="7"/>
      <c r="O60" s="3"/>
      <c r="P60" s="7"/>
      <c r="AL60" s="7"/>
      <c r="AM60" s="7"/>
      <c r="AN60" s="7"/>
      <c r="AO60" s="7"/>
      <c r="AT60" s="7"/>
      <c r="AV60" s="11"/>
      <c r="AW60" s="7"/>
      <c r="AY60" s="7"/>
      <c r="BN60" s="7"/>
      <c r="CQ60" s="7"/>
      <c r="DF60" s="7"/>
      <c r="DG60" s="7"/>
      <c r="DL60" s="15"/>
      <c r="DQ60" s="16"/>
      <c r="DR60" s="7"/>
      <c r="DV60" s="16"/>
      <c r="DZ60" s="16"/>
      <c r="EA60" s="7"/>
      <c r="EF60" s="16"/>
      <c r="EK60" s="16"/>
      <c r="EL60" s="7"/>
      <c r="EP60" s="16"/>
      <c r="ET60" s="16"/>
      <c r="EU60" s="7"/>
      <c r="FM60" s="7"/>
      <c r="FN60" s="390"/>
      <c r="FO60" s="390"/>
      <c r="FR60" s="7"/>
      <c r="FY60" s="7"/>
      <c r="GG60" s="7"/>
      <c r="HX60" s="74"/>
      <c r="HY60" s="42"/>
      <c r="HZ60" s="42"/>
      <c r="IE60" s="42"/>
      <c r="IF60" s="42"/>
      <c r="IK60" s="42"/>
      <c r="IL60" s="42"/>
      <c r="IM60" s="42"/>
      <c r="IN60" s="7"/>
      <c r="IO60" s="42"/>
      <c r="IT60" s="42"/>
      <c r="IU60" s="42"/>
      <c r="KC60" s="7"/>
      <c r="KD60" s="42"/>
      <c r="KG60" s="391"/>
      <c r="KH60" s="42"/>
      <c r="KI60" s="42"/>
      <c r="KJ60" s="42"/>
      <c r="KK60" s="42"/>
      <c r="KL60" s="42"/>
      <c r="KM60" s="42"/>
      <c r="KN60" s="42"/>
      <c r="KO60" s="42"/>
      <c r="KP60" s="42"/>
      <c r="KQ60" s="42"/>
      <c r="KR60" s="42"/>
      <c r="KS60" s="42"/>
      <c r="KT60" s="42"/>
      <c r="KU60" s="42"/>
      <c r="KV60" s="42"/>
      <c r="KW60" s="42"/>
      <c r="KX60" s="42"/>
      <c r="KY60" s="42"/>
      <c r="KZ60" s="42"/>
      <c r="LA60" s="42"/>
      <c r="LB60" s="42"/>
      <c r="LC60" s="42"/>
      <c r="LD60" s="42"/>
      <c r="LE60" s="42"/>
      <c r="LF60" s="42"/>
      <c r="LG60" s="42"/>
      <c r="LH60" s="42"/>
      <c r="LI60" s="42"/>
      <c r="LJ60" s="42"/>
      <c r="LK60" s="42"/>
      <c r="LL60" s="42"/>
      <c r="LM60" s="42"/>
      <c r="LN60" s="42"/>
      <c r="LO60" s="42"/>
      <c r="LP60" s="42"/>
      <c r="LQ60" s="42"/>
      <c r="LR60" s="42"/>
      <c r="LS60" s="42"/>
      <c r="LT60" s="42"/>
      <c r="LU60" s="42"/>
      <c r="LV60" s="42"/>
      <c r="LW60" s="42"/>
      <c r="LX60" s="42"/>
      <c r="LY60" s="42"/>
      <c r="LZ60" s="42"/>
      <c r="MA60" s="42"/>
      <c r="MB60" s="42"/>
      <c r="MC60" s="42"/>
      <c r="MD60" s="42"/>
      <c r="ME60" s="42"/>
      <c r="MF60" s="42"/>
      <c r="MG60" s="42"/>
      <c r="MH60" s="42"/>
      <c r="MI60" s="42"/>
      <c r="MJ60" s="42"/>
      <c r="MK60" s="42"/>
      <c r="ML60" s="42"/>
      <c r="MM60" s="42"/>
      <c r="MN60" s="42"/>
      <c r="MO60" s="42"/>
      <c r="MP60" s="42"/>
      <c r="MQ60" s="42"/>
      <c r="MR60" s="42"/>
      <c r="MS60" s="42"/>
      <c r="MT60" s="42"/>
      <c r="MU60" s="42"/>
      <c r="MV60" s="42"/>
      <c r="MW60" s="42"/>
      <c r="MX60" s="42"/>
      <c r="MY60" s="42"/>
      <c r="MZ60" s="42"/>
      <c r="NA60" s="42"/>
      <c r="NB60" s="42"/>
      <c r="NC60" s="42"/>
      <c r="ND60" s="42"/>
      <c r="NE60" s="42"/>
      <c r="NF60" s="42"/>
      <c r="NG60" s="42"/>
      <c r="NH60" s="42"/>
      <c r="NI60" s="42"/>
      <c r="NJ60" s="42"/>
      <c r="NK60" s="42"/>
      <c r="NL60" s="42"/>
      <c r="NM60" s="42"/>
      <c r="NN60" s="42"/>
      <c r="NO60" s="42"/>
      <c r="NP60" s="42"/>
      <c r="NQ60" s="42"/>
      <c r="NR60" s="42"/>
      <c r="NS60" s="42"/>
    </row>
    <row r="61" spans="1:383" s="5" customFormat="1" x14ac:dyDescent="0.25">
      <c r="A61" s="1"/>
      <c r="B61" s="2"/>
      <c r="C61" s="2"/>
      <c r="D61" s="2"/>
      <c r="E61" s="3"/>
      <c r="F61" s="3"/>
      <c r="G61" s="4"/>
      <c r="H61" s="1"/>
      <c r="I61" s="7"/>
      <c r="J61" s="7"/>
      <c r="K61" s="7"/>
      <c r="L61" s="7"/>
      <c r="M61" s="7"/>
      <c r="N61" s="7"/>
      <c r="O61" s="3"/>
      <c r="P61" s="7"/>
      <c r="AL61" s="7"/>
      <c r="AM61" s="7"/>
      <c r="AN61" s="7"/>
      <c r="AO61" s="7"/>
      <c r="AT61" s="7"/>
      <c r="AV61" s="11"/>
      <c r="AW61" s="7"/>
      <c r="AY61" s="7"/>
      <c r="BN61" s="7"/>
      <c r="CQ61" s="7"/>
      <c r="DF61" s="7"/>
      <c r="DG61" s="7"/>
      <c r="DL61" s="15"/>
      <c r="DQ61" s="16"/>
      <c r="DR61" s="7"/>
      <c r="DV61" s="16"/>
      <c r="DZ61" s="16"/>
      <c r="EA61" s="7"/>
      <c r="EF61" s="16"/>
      <c r="EK61" s="16"/>
      <c r="EL61" s="7"/>
      <c r="EP61" s="16"/>
      <c r="ET61" s="16"/>
      <c r="EU61" s="7"/>
      <c r="FM61" s="7"/>
      <c r="FN61" s="390"/>
      <c r="FO61" s="390"/>
      <c r="FR61" s="7"/>
      <c r="FY61" s="7"/>
      <c r="GG61" s="7"/>
      <c r="HX61" s="74"/>
      <c r="HY61" s="42"/>
      <c r="HZ61" s="42"/>
      <c r="IE61" s="42"/>
      <c r="IF61" s="42"/>
      <c r="IK61" s="42"/>
      <c r="IL61" s="42"/>
      <c r="IM61" s="42"/>
      <c r="IN61" s="7"/>
      <c r="IO61" s="42"/>
      <c r="IT61" s="42"/>
      <c r="IU61" s="42"/>
      <c r="KC61" s="7"/>
      <c r="KD61" s="42"/>
      <c r="KG61" s="391"/>
      <c r="KH61" s="42"/>
      <c r="KI61" s="42"/>
      <c r="KJ61" s="42"/>
      <c r="KK61" s="42"/>
      <c r="KL61" s="42"/>
      <c r="KM61" s="42"/>
      <c r="KN61" s="42"/>
      <c r="KO61" s="42"/>
      <c r="KP61" s="42"/>
      <c r="KQ61" s="42"/>
      <c r="KR61" s="42"/>
      <c r="KS61" s="42"/>
      <c r="KT61" s="42"/>
      <c r="KU61" s="42"/>
      <c r="KV61" s="42"/>
      <c r="KW61" s="42"/>
      <c r="KX61" s="42"/>
      <c r="KY61" s="42"/>
      <c r="KZ61" s="42"/>
      <c r="LA61" s="42"/>
      <c r="LB61" s="42"/>
      <c r="LC61" s="42"/>
      <c r="LD61" s="42"/>
      <c r="LE61" s="42"/>
      <c r="LF61" s="42"/>
      <c r="LG61" s="42"/>
      <c r="LH61" s="42"/>
      <c r="LI61" s="42"/>
      <c r="LJ61" s="42"/>
      <c r="LK61" s="42"/>
      <c r="LL61" s="42"/>
      <c r="LM61" s="42"/>
      <c r="LN61" s="42"/>
      <c r="LO61" s="42"/>
      <c r="LP61" s="42"/>
      <c r="LQ61" s="42"/>
      <c r="LR61" s="42"/>
      <c r="LS61" s="42"/>
      <c r="LT61" s="42"/>
      <c r="LU61" s="42"/>
      <c r="LV61" s="42"/>
      <c r="LW61" s="42"/>
      <c r="LX61" s="42"/>
      <c r="LY61" s="42"/>
      <c r="LZ61" s="42"/>
      <c r="MA61" s="42"/>
      <c r="MB61" s="42"/>
      <c r="MC61" s="42"/>
      <c r="MD61" s="42"/>
      <c r="ME61" s="42"/>
      <c r="MF61" s="42"/>
      <c r="MG61" s="42"/>
      <c r="MH61" s="42"/>
      <c r="MI61" s="42"/>
      <c r="MJ61" s="42"/>
      <c r="MK61" s="42"/>
      <c r="ML61" s="42"/>
      <c r="MM61" s="42"/>
      <c r="MN61" s="42"/>
      <c r="MO61" s="42"/>
      <c r="MP61" s="42"/>
      <c r="MQ61" s="42"/>
      <c r="MR61" s="42"/>
      <c r="MS61" s="42"/>
      <c r="MT61" s="42"/>
      <c r="MU61" s="42"/>
      <c r="MV61" s="42"/>
      <c r="MW61" s="42"/>
      <c r="MX61" s="42"/>
      <c r="MY61" s="42"/>
      <c r="MZ61" s="42"/>
      <c r="NA61" s="42"/>
      <c r="NB61" s="42"/>
      <c r="NC61" s="42"/>
      <c r="ND61" s="42"/>
      <c r="NE61" s="42"/>
      <c r="NF61" s="42"/>
      <c r="NG61" s="42"/>
      <c r="NH61" s="42"/>
      <c r="NI61" s="42"/>
      <c r="NJ61" s="42"/>
      <c r="NK61" s="42"/>
      <c r="NL61" s="42"/>
      <c r="NM61" s="42"/>
      <c r="NN61" s="42"/>
      <c r="NO61" s="42"/>
      <c r="NP61" s="42"/>
      <c r="NQ61" s="42"/>
      <c r="NR61" s="42"/>
      <c r="NS61" s="42"/>
    </row>
    <row r="62" spans="1:383" s="5" customFormat="1" x14ac:dyDescent="0.25">
      <c r="A62" s="1"/>
      <c r="B62" s="2"/>
      <c r="C62" s="2"/>
      <c r="D62" s="2"/>
      <c r="E62" s="3"/>
      <c r="F62" s="3"/>
      <c r="G62" s="4"/>
      <c r="H62" s="1"/>
      <c r="I62" s="7"/>
      <c r="J62" s="7"/>
      <c r="K62" s="7"/>
      <c r="L62" s="7"/>
      <c r="M62" s="7"/>
      <c r="N62" s="7"/>
      <c r="O62" s="3"/>
      <c r="P62" s="7"/>
      <c r="AL62" s="7"/>
      <c r="AM62" s="7"/>
      <c r="AN62" s="7"/>
      <c r="AO62" s="7"/>
      <c r="AT62" s="7"/>
      <c r="AV62" s="11"/>
      <c r="AW62" s="7"/>
      <c r="AY62" s="7"/>
      <c r="BN62" s="7"/>
      <c r="CQ62" s="7"/>
      <c r="DF62" s="7"/>
      <c r="DG62" s="7"/>
      <c r="DL62" s="15"/>
      <c r="DQ62" s="16"/>
      <c r="DR62" s="7"/>
      <c r="DV62" s="16"/>
      <c r="DZ62" s="16"/>
      <c r="EA62" s="7"/>
      <c r="EF62" s="16"/>
      <c r="EK62" s="16"/>
      <c r="EL62" s="7"/>
      <c r="EP62" s="16"/>
      <c r="ET62" s="16"/>
      <c r="EU62" s="7"/>
      <c r="FM62" s="7"/>
      <c r="FN62" s="390"/>
      <c r="FO62" s="390"/>
      <c r="FR62" s="7"/>
      <c r="FY62" s="7"/>
      <c r="GG62" s="7"/>
      <c r="HX62" s="74"/>
      <c r="HY62" s="42"/>
      <c r="HZ62" s="42"/>
      <c r="IE62" s="42"/>
      <c r="IF62" s="42"/>
      <c r="IK62" s="42"/>
      <c r="IL62" s="42"/>
      <c r="IM62" s="42"/>
      <c r="IN62" s="7"/>
      <c r="IO62" s="42"/>
      <c r="IT62" s="42"/>
      <c r="IU62" s="42"/>
      <c r="KC62" s="7"/>
      <c r="KD62" s="42"/>
      <c r="KG62" s="391"/>
      <c r="KH62" s="42"/>
      <c r="KI62" s="42"/>
      <c r="KJ62" s="42"/>
      <c r="KK62" s="42"/>
      <c r="KL62" s="42"/>
      <c r="KM62" s="42"/>
      <c r="KN62" s="42"/>
      <c r="KO62" s="42"/>
      <c r="KP62" s="42"/>
      <c r="KQ62" s="42"/>
      <c r="KR62" s="42"/>
      <c r="KS62" s="42"/>
      <c r="KT62" s="42"/>
      <c r="KU62" s="42"/>
      <c r="KV62" s="42"/>
      <c r="KW62" s="42"/>
      <c r="KX62" s="42"/>
      <c r="KY62" s="42"/>
      <c r="KZ62" s="42"/>
      <c r="LA62" s="42"/>
      <c r="LB62" s="42"/>
      <c r="LC62" s="42"/>
      <c r="LD62" s="42"/>
      <c r="LE62" s="42"/>
      <c r="LF62" s="42"/>
      <c r="LG62" s="42"/>
      <c r="LH62" s="42"/>
      <c r="LI62" s="42"/>
      <c r="LJ62" s="42"/>
      <c r="LK62" s="42"/>
      <c r="LL62" s="42"/>
      <c r="LM62" s="42"/>
      <c r="LN62" s="42"/>
      <c r="LO62" s="42"/>
      <c r="LP62" s="42"/>
      <c r="LQ62" s="42"/>
      <c r="LR62" s="42"/>
      <c r="LS62" s="42"/>
      <c r="LT62" s="42"/>
      <c r="LU62" s="42"/>
      <c r="LV62" s="42"/>
      <c r="LW62" s="42"/>
      <c r="LX62" s="42"/>
      <c r="LY62" s="42"/>
      <c r="LZ62" s="42"/>
      <c r="MA62" s="42"/>
      <c r="MB62" s="42"/>
      <c r="MC62" s="42"/>
      <c r="MD62" s="42"/>
      <c r="ME62" s="42"/>
      <c r="MF62" s="42"/>
      <c r="MG62" s="42"/>
      <c r="MH62" s="42"/>
      <c r="MI62" s="42"/>
      <c r="MJ62" s="42"/>
      <c r="MK62" s="42"/>
      <c r="ML62" s="42"/>
      <c r="MM62" s="42"/>
      <c r="MN62" s="42"/>
      <c r="MO62" s="42"/>
      <c r="MP62" s="42"/>
      <c r="MQ62" s="42"/>
      <c r="MR62" s="42"/>
      <c r="MS62" s="42"/>
      <c r="MT62" s="42"/>
      <c r="MU62" s="42"/>
      <c r="MV62" s="42"/>
      <c r="MW62" s="42"/>
      <c r="MX62" s="42"/>
      <c r="MY62" s="42"/>
      <c r="MZ62" s="42"/>
      <c r="NA62" s="42"/>
      <c r="NB62" s="42"/>
      <c r="NC62" s="42"/>
      <c r="ND62" s="42"/>
      <c r="NE62" s="42"/>
      <c r="NF62" s="42"/>
      <c r="NG62" s="42"/>
      <c r="NH62" s="42"/>
      <c r="NI62" s="42"/>
      <c r="NJ62" s="42"/>
      <c r="NK62" s="42"/>
      <c r="NL62" s="42"/>
      <c r="NM62" s="42"/>
      <c r="NN62" s="42"/>
      <c r="NO62" s="42"/>
      <c r="NP62" s="42"/>
      <c r="NQ62" s="42"/>
      <c r="NR62" s="42"/>
      <c r="NS62" s="42"/>
    </row>
    <row r="63" spans="1:383" s="5" customFormat="1" x14ac:dyDescent="0.25">
      <c r="A63" s="1"/>
      <c r="B63" s="2"/>
      <c r="C63" s="2"/>
      <c r="D63" s="2"/>
      <c r="E63" s="3"/>
      <c r="F63" s="3"/>
      <c r="G63" s="4"/>
      <c r="H63" s="1"/>
      <c r="I63" s="7"/>
      <c r="J63" s="7"/>
      <c r="K63" s="7"/>
      <c r="L63" s="7"/>
      <c r="M63" s="7"/>
      <c r="N63" s="7"/>
      <c r="O63" s="3"/>
      <c r="P63" s="7"/>
      <c r="AL63" s="7"/>
      <c r="AM63" s="7"/>
      <c r="AN63" s="7"/>
      <c r="AO63" s="7"/>
      <c r="AT63" s="7"/>
      <c r="AV63" s="11"/>
      <c r="AW63" s="7"/>
      <c r="AY63" s="7"/>
      <c r="BN63" s="7"/>
      <c r="CQ63" s="7"/>
      <c r="DF63" s="7"/>
      <c r="DG63" s="7"/>
      <c r="DL63" s="15"/>
      <c r="DQ63" s="16"/>
      <c r="DR63" s="7"/>
      <c r="DV63" s="16"/>
      <c r="DZ63" s="16"/>
      <c r="EA63" s="7"/>
      <c r="EF63" s="16"/>
      <c r="EK63" s="16"/>
      <c r="EL63" s="7"/>
      <c r="EP63" s="16"/>
      <c r="ET63" s="16"/>
      <c r="EU63" s="7"/>
      <c r="FM63" s="7"/>
      <c r="FN63" s="390"/>
      <c r="FO63" s="390"/>
      <c r="FR63" s="7"/>
      <c r="FY63" s="7"/>
      <c r="GG63" s="7"/>
      <c r="HX63" s="74"/>
      <c r="HY63" s="42"/>
      <c r="HZ63" s="42"/>
      <c r="IE63" s="42"/>
      <c r="IF63" s="42"/>
      <c r="IK63" s="42"/>
      <c r="IL63" s="42"/>
      <c r="IM63" s="42"/>
      <c r="IN63" s="7"/>
      <c r="IO63" s="42"/>
      <c r="IT63" s="42"/>
      <c r="IU63" s="42"/>
      <c r="KC63" s="7"/>
      <c r="KD63" s="42"/>
      <c r="KG63" s="391"/>
      <c r="KH63" s="42"/>
      <c r="KI63" s="42"/>
      <c r="KJ63" s="42"/>
      <c r="KK63" s="42"/>
      <c r="KL63" s="42"/>
      <c r="KM63" s="42"/>
      <c r="KN63" s="42"/>
      <c r="KO63" s="42"/>
      <c r="KP63" s="42"/>
      <c r="KQ63" s="42"/>
      <c r="KR63" s="42"/>
      <c r="KS63" s="42"/>
      <c r="KT63" s="42"/>
      <c r="KU63" s="42"/>
      <c r="KV63" s="42"/>
      <c r="KW63" s="42"/>
      <c r="KX63" s="42"/>
      <c r="KY63" s="42"/>
      <c r="KZ63" s="42"/>
      <c r="LA63" s="42"/>
      <c r="LB63" s="42"/>
      <c r="LC63" s="42"/>
      <c r="LD63" s="42"/>
      <c r="LE63" s="42"/>
      <c r="LF63" s="42"/>
      <c r="LG63" s="42"/>
      <c r="LH63" s="42"/>
      <c r="LI63" s="42"/>
      <c r="LJ63" s="42"/>
      <c r="LK63" s="42"/>
      <c r="LL63" s="42"/>
      <c r="LM63" s="42"/>
      <c r="LN63" s="42"/>
      <c r="LO63" s="42"/>
      <c r="LP63" s="42"/>
      <c r="LQ63" s="42"/>
      <c r="LR63" s="42"/>
      <c r="LS63" s="42"/>
      <c r="LT63" s="42"/>
      <c r="LU63" s="42"/>
      <c r="LV63" s="42"/>
      <c r="LW63" s="42"/>
      <c r="LX63" s="42"/>
      <c r="LY63" s="42"/>
      <c r="LZ63" s="42"/>
      <c r="MA63" s="42"/>
      <c r="MB63" s="42"/>
      <c r="MC63" s="42"/>
      <c r="MD63" s="42"/>
      <c r="ME63" s="42"/>
      <c r="MF63" s="42"/>
      <c r="MG63" s="42"/>
      <c r="MH63" s="42"/>
      <c r="MI63" s="42"/>
      <c r="MJ63" s="42"/>
      <c r="MK63" s="42"/>
      <c r="ML63" s="42"/>
      <c r="MM63" s="42"/>
      <c r="MN63" s="42"/>
      <c r="MO63" s="42"/>
      <c r="MP63" s="42"/>
      <c r="MQ63" s="42"/>
      <c r="MR63" s="42"/>
      <c r="MS63" s="42"/>
      <c r="MT63" s="42"/>
      <c r="MU63" s="42"/>
      <c r="MV63" s="42"/>
      <c r="MW63" s="42"/>
      <c r="MX63" s="42"/>
      <c r="MY63" s="42"/>
      <c r="MZ63" s="42"/>
      <c r="NA63" s="42"/>
      <c r="NB63" s="42"/>
      <c r="NC63" s="42"/>
      <c r="ND63" s="42"/>
      <c r="NE63" s="42"/>
      <c r="NF63" s="42"/>
      <c r="NG63" s="42"/>
      <c r="NH63" s="42"/>
      <c r="NI63" s="42"/>
      <c r="NJ63" s="42"/>
      <c r="NK63" s="42"/>
      <c r="NL63" s="42"/>
      <c r="NM63" s="42"/>
      <c r="NN63" s="42"/>
      <c r="NO63" s="42"/>
      <c r="NP63" s="42"/>
      <c r="NQ63" s="42"/>
      <c r="NR63" s="42"/>
      <c r="NS63" s="42"/>
    </row>
    <row r="64" spans="1:383" s="5" customFormat="1" x14ac:dyDescent="0.25">
      <c r="A64" s="1"/>
      <c r="B64" s="2"/>
      <c r="C64" s="2"/>
      <c r="D64" s="2"/>
      <c r="E64" s="3"/>
      <c r="F64" s="3"/>
      <c r="G64" s="4"/>
      <c r="H64" s="1"/>
      <c r="I64" s="7"/>
      <c r="J64" s="7"/>
      <c r="K64" s="7"/>
      <c r="L64" s="7"/>
      <c r="M64" s="7"/>
      <c r="N64" s="7"/>
      <c r="O64" s="3"/>
      <c r="P64" s="7"/>
      <c r="AL64" s="7"/>
      <c r="AM64" s="7"/>
      <c r="AN64" s="7"/>
      <c r="AO64" s="7"/>
      <c r="AT64" s="7"/>
      <c r="AV64" s="11"/>
      <c r="AW64" s="7"/>
      <c r="AY64" s="7"/>
      <c r="BN64" s="7"/>
      <c r="CQ64" s="7"/>
      <c r="DF64" s="7"/>
      <c r="DG64" s="7"/>
      <c r="DL64" s="15"/>
      <c r="DQ64" s="16"/>
      <c r="DR64" s="7"/>
      <c r="DV64" s="16"/>
      <c r="DZ64" s="16"/>
      <c r="EA64" s="7"/>
      <c r="EF64" s="16"/>
      <c r="EK64" s="16"/>
      <c r="EL64" s="7"/>
      <c r="EP64" s="16"/>
      <c r="ET64" s="16"/>
      <c r="EU64" s="7"/>
      <c r="FM64" s="7"/>
      <c r="FN64" s="390"/>
      <c r="FO64" s="390"/>
      <c r="FR64" s="7"/>
      <c r="FY64" s="7"/>
      <c r="GG64" s="7"/>
      <c r="HX64" s="74"/>
      <c r="HY64" s="42"/>
      <c r="HZ64" s="42"/>
      <c r="IE64" s="42"/>
      <c r="IF64" s="42"/>
      <c r="IK64" s="42"/>
      <c r="IL64" s="42"/>
      <c r="IM64" s="42"/>
      <c r="IN64" s="7"/>
      <c r="IO64" s="42"/>
      <c r="IT64" s="42"/>
      <c r="IU64" s="42"/>
      <c r="KC64" s="7"/>
      <c r="KD64" s="42"/>
      <c r="KG64" s="391"/>
      <c r="KH64" s="42"/>
      <c r="KI64" s="42"/>
      <c r="KJ64" s="42"/>
      <c r="KK64" s="42"/>
      <c r="KL64" s="42"/>
      <c r="KM64" s="42"/>
      <c r="KN64" s="42"/>
      <c r="KO64" s="42"/>
      <c r="KP64" s="42"/>
      <c r="KQ64" s="42"/>
      <c r="KR64" s="42"/>
      <c r="KS64" s="42"/>
      <c r="KT64" s="42"/>
      <c r="KU64" s="42"/>
      <c r="KV64" s="42"/>
      <c r="KW64" s="42"/>
      <c r="KX64" s="42"/>
      <c r="KY64" s="42"/>
      <c r="KZ64" s="42"/>
      <c r="LA64" s="42"/>
      <c r="LB64" s="42"/>
      <c r="LC64" s="42"/>
      <c r="LD64" s="42"/>
      <c r="LE64" s="42"/>
      <c r="LF64" s="42"/>
      <c r="LG64" s="42"/>
      <c r="LH64" s="42"/>
      <c r="LI64" s="42"/>
      <c r="LJ64" s="42"/>
      <c r="LK64" s="42"/>
      <c r="LL64" s="42"/>
      <c r="LM64" s="42"/>
      <c r="LN64" s="42"/>
      <c r="LO64" s="42"/>
      <c r="LP64" s="42"/>
      <c r="LQ64" s="42"/>
      <c r="LR64" s="42"/>
      <c r="LS64" s="42"/>
      <c r="LT64" s="42"/>
      <c r="LU64" s="42"/>
      <c r="LV64" s="42"/>
      <c r="LW64" s="42"/>
      <c r="LX64" s="42"/>
      <c r="LY64" s="42"/>
      <c r="LZ64" s="42"/>
      <c r="MA64" s="42"/>
      <c r="MB64" s="42"/>
      <c r="MC64" s="42"/>
      <c r="MD64" s="42"/>
      <c r="ME64" s="42"/>
      <c r="MF64" s="42"/>
      <c r="MG64" s="42"/>
      <c r="MH64" s="42"/>
      <c r="MI64" s="42"/>
      <c r="MJ64" s="42"/>
      <c r="MK64" s="42"/>
      <c r="ML64" s="42"/>
      <c r="MM64" s="42"/>
      <c r="MN64" s="42"/>
      <c r="MO64" s="42"/>
      <c r="MP64" s="42"/>
      <c r="MQ64" s="42"/>
      <c r="MR64" s="42"/>
      <c r="MS64" s="42"/>
      <c r="MT64" s="42"/>
      <c r="MU64" s="42"/>
      <c r="MV64" s="42"/>
      <c r="MW64" s="42"/>
      <c r="MX64" s="42"/>
      <c r="MY64" s="42"/>
      <c r="MZ64" s="42"/>
      <c r="NA64" s="42"/>
      <c r="NB64" s="42"/>
      <c r="NC64" s="42"/>
      <c r="ND64" s="42"/>
      <c r="NE64" s="42"/>
      <c r="NF64" s="42"/>
      <c r="NG64" s="42"/>
      <c r="NH64" s="42"/>
      <c r="NI64" s="42"/>
      <c r="NJ64" s="42"/>
      <c r="NK64" s="42"/>
      <c r="NL64" s="42"/>
      <c r="NM64" s="42"/>
      <c r="NN64" s="42"/>
      <c r="NO64" s="42"/>
      <c r="NP64" s="42"/>
      <c r="NQ64" s="42"/>
      <c r="NR64" s="42"/>
      <c r="NS64" s="42"/>
    </row>
    <row r="65" spans="1:383" s="5" customFormat="1" x14ac:dyDescent="0.25">
      <c r="A65" s="1"/>
      <c r="B65" s="2"/>
      <c r="C65" s="2"/>
      <c r="D65" s="2"/>
      <c r="E65" s="3"/>
      <c r="F65" s="3"/>
      <c r="G65" s="4"/>
      <c r="H65" s="1"/>
      <c r="I65" s="7"/>
      <c r="J65" s="7"/>
      <c r="K65" s="7"/>
      <c r="L65" s="7"/>
      <c r="M65" s="7"/>
      <c r="N65" s="7"/>
      <c r="O65" s="3"/>
      <c r="P65" s="7"/>
      <c r="AL65" s="7"/>
      <c r="AM65" s="7"/>
      <c r="AN65" s="7"/>
      <c r="AO65" s="7"/>
      <c r="AT65" s="7"/>
      <c r="AV65" s="11"/>
      <c r="AW65" s="7"/>
      <c r="AY65" s="7"/>
      <c r="BN65" s="7"/>
      <c r="CQ65" s="7"/>
      <c r="DF65" s="7"/>
      <c r="DG65" s="7"/>
      <c r="DL65" s="15"/>
      <c r="DQ65" s="16"/>
      <c r="DR65" s="7"/>
      <c r="DV65" s="16"/>
      <c r="DZ65" s="16"/>
      <c r="EA65" s="7"/>
      <c r="EF65" s="16"/>
      <c r="EK65" s="16"/>
      <c r="EL65" s="7"/>
      <c r="EP65" s="16"/>
      <c r="ET65" s="16"/>
      <c r="EU65" s="7"/>
      <c r="FM65" s="7"/>
      <c r="FN65" s="390"/>
      <c r="FO65" s="390"/>
      <c r="FR65" s="7"/>
      <c r="FY65" s="7"/>
      <c r="GG65" s="7"/>
      <c r="HX65" s="74"/>
      <c r="HY65" s="42"/>
      <c r="HZ65" s="42"/>
      <c r="IE65" s="42"/>
      <c r="IF65" s="42"/>
      <c r="IK65" s="42"/>
      <c r="IL65" s="42"/>
      <c r="IM65" s="42"/>
      <c r="IN65" s="7"/>
      <c r="IO65" s="42"/>
      <c r="IT65" s="42"/>
      <c r="IU65" s="42"/>
      <c r="KC65" s="7"/>
      <c r="KD65" s="42"/>
      <c r="KG65" s="391"/>
      <c r="KH65" s="42"/>
      <c r="KI65" s="42"/>
      <c r="KJ65" s="42"/>
      <c r="KK65" s="42"/>
      <c r="KL65" s="42"/>
      <c r="KM65" s="42"/>
      <c r="KN65" s="42"/>
      <c r="KO65" s="42"/>
      <c r="KP65" s="42"/>
      <c r="KQ65" s="42"/>
      <c r="KR65" s="42"/>
      <c r="KS65" s="42"/>
      <c r="KT65" s="42"/>
      <c r="KU65" s="42"/>
      <c r="KV65" s="42"/>
      <c r="KW65" s="42"/>
      <c r="KX65" s="42"/>
      <c r="KY65" s="42"/>
      <c r="KZ65" s="42"/>
      <c r="LA65" s="42"/>
      <c r="LB65" s="42"/>
      <c r="LC65" s="42"/>
      <c r="LD65" s="42"/>
      <c r="LE65" s="42"/>
      <c r="LF65" s="42"/>
      <c r="LG65" s="42"/>
      <c r="LH65" s="42"/>
      <c r="LI65" s="42"/>
      <c r="LJ65" s="42"/>
      <c r="LK65" s="42"/>
      <c r="LL65" s="42"/>
      <c r="LM65" s="42"/>
      <c r="LN65" s="42"/>
      <c r="LO65" s="42"/>
      <c r="LP65" s="42"/>
      <c r="LQ65" s="42"/>
      <c r="LR65" s="42"/>
      <c r="LS65" s="42"/>
      <c r="LT65" s="42"/>
      <c r="LU65" s="42"/>
      <c r="LV65" s="42"/>
      <c r="LW65" s="42"/>
      <c r="LX65" s="42"/>
      <c r="LY65" s="42"/>
      <c r="LZ65" s="42"/>
      <c r="MA65" s="42"/>
      <c r="MB65" s="42"/>
      <c r="MC65" s="42"/>
      <c r="MD65" s="42"/>
      <c r="ME65" s="42"/>
      <c r="MF65" s="42"/>
      <c r="MG65" s="42"/>
      <c r="MH65" s="42"/>
      <c r="MI65" s="42"/>
      <c r="MJ65" s="42"/>
      <c r="MK65" s="42"/>
      <c r="ML65" s="42"/>
      <c r="MM65" s="42"/>
      <c r="MN65" s="42"/>
      <c r="MO65" s="42"/>
      <c r="MP65" s="42"/>
      <c r="MQ65" s="42"/>
      <c r="MR65" s="42"/>
      <c r="MS65" s="42"/>
      <c r="MT65" s="42"/>
      <c r="MU65" s="42"/>
      <c r="MV65" s="42"/>
      <c r="MW65" s="42"/>
      <c r="MX65" s="42"/>
      <c r="MY65" s="42"/>
      <c r="MZ65" s="42"/>
      <c r="NA65" s="42"/>
      <c r="NB65" s="42"/>
      <c r="NC65" s="42"/>
      <c r="ND65" s="42"/>
      <c r="NE65" s="42"/>
      <c r="NF65" s="42"/>
      <c r="NG65" s="42"/>
      <c r="NH65" s="42"/>
      <c r="NI65" s="42"/>
      <c r="NJ65" s="42"/>
      <c r="NK65" s="42"/>
      <c r="NL65" s="42"/>
      <c r="NM65" s="42"/>
      <c r="NN65" s="42"/>
      <c r="NO65" s="42"/>
      <c r="NP65" s="42"/>
      <c r="NQ65" s="42"/>
      <c r="NR65" s="42"/>
      <c r="NS65" s="42"/>
    </row>
    <row r="66" spans="1:383" s="5" customFormat="1" x14ac:dyDescent="0.25">
      <c r="A66" s="1"/>
      <c r="B66" s="2"/>
      <c r="C66" s="2"/>
      <c r="D66" s="2"/>
      <c r="E66" s="3"/>
      <c r="F66" s="3"/>
      <c r="G66" s="4"/>
      <c r="H66" s="1"/>
      <c r="I66" s="7"/>
      <c r="J66" s="7"/>
      <c r="K66" s="7"/>
      <c r="L66" s="7"/>
      <c r="M66" s="7"/>
      <c r="N66" s="7"/>
      <c r="O66" s="3"/>
      <c r="P66" s="7"/>
      <c r="AL66" s="7"/>
      <c r="AM66" s="7"/>
      <c r="AN66" s="7"/>
      <c r="AO66" s="7"/>
      <c r="AT66" s="7"/>
      <c r="AV66" s="11"/>
      <c r="AW66" s="7"/>
      <c r="AY66" s="7"/>
      <c r="BN66" s="7"/>
      <c r="CQ66" s="7"/>
      <c r="DF66" s="7"/>
      <c r="DG66" s="7"/>
      <c r="DL66" s="15"/>
      <c r="DQ66" s="16"/>
      <c r="DR66" s="7"/>
      <c r="DV66" s="16"/>
      <c r="DZ66" s="16"/>
      <c r="EA66" s="7"/>
      <c r="EF66" s="16"/>
      <c r="EK66" s="16"/>
      <c r="EL66" s="7"/>
      <c r="EP66" s="16"/>
      <c r="ET66" s="16"/>
      <c r="EU66" s="7"/>
      <c r="FM66" s="7"/>
      <c r="FN66" s="390"/>
      <c r="FO66" s="390"/>
      <c r="FR66" s="7"/>
      <c r="FY66" s="7"/>
      <c r="GG66" s="7"/>
      <c r="HX66" s="74"/>
      <c r="HY66" s="42"/>
      <c r="HZ66" s="42"/>
      <c r="IE66" s="42"/>
      <c r="IF66" s="42"/>
      <c r="IK66" s="42"/>
      <c r="IL66" s="42"/>
      <c r="IM66" s="42"/>
      <c r="IN66" s="7"/>
      <c r="IO66" s="42"/>
      <c r="IT66" s="42"/>
      <c r="IU66" s="42"/>
      <c r="KC66" s="7"/>
      <c r="KD66" s="42"/>
      <c r="KG66" s="391"/>
      <c r="KH66" s="42"/>
      <c r="KI66" s="42"/>
      <c r="KJ66" s="42"/>
      <c r="KK66" s="42"/>
      <c r="KL66" s="42"/>
      <c r="KM66" s="42"/>
      <c r="KN66" s="42"/>
      <c r="KO66" s="42"/>
      <c r="KP66" s="42"/>
      <c r="KQ66" s="42"/>
      <c r="KR66" s="42"/>
      <c r="KS66" s="42"/>
      <c r="KT66" s="42"/>
      <c r="KU66" s="42"/>
      <c r="KV66" s="42"/>
      <c r="KW66" s="42"/>
      <c r="KX66" s="42"/>
      <c r="KY66" s="42"/>
      <c r="KZ66" s="42"/>
      <c r="LA66" s="42"/>
      <c r="LB66" s="42"/>
      <c r="LC66" s="42"/>
      <c r="LD66" s="42"/>
      <c r="LE66" s="42"/>
      <c r="LF66" s="42"/>
      <c r="LG66" s="42"/>
      <c r="LH66" s="42"/>
      <c r="LI66" s="42"/>
      <c r="LJ66" s="42"/>
      <c r="LK66" s="42"/>
      <c r="LL66" s="42"/>
      <c r="LM66" s="42"/>
      <c r="LN66" s="42"/>
      <c r="LO66" s="42"/>
      <c r="LP66" s="42"/>
      <c r="LQ66" s="42"/>
      <c r="LR66" s="42"/>
      <c r="LS66" s="42"/>
      <c r="LT66" s="42"/>
      <c r="LU66" s="42"/>
      <c r="LV66" s="42"/>
      <c r="LW66" s="42"/>
      <c r="LX66" s="42"/>
      <c r="LY66" s="42"/>
      <c r="LZ66" s="42"/>
      <c r="MA66" s="42"/>
      <c r="MB66" s="42"/>
      <c r="MC66" s="42"/>
      <c r="MD66" s="42"/>
      <c r="ME66" s="42"/>
      <c r="MF66" s="42"/>
      <c r="MG66" s="42"/>
      <c r="MH66" s="42"/>
      <c r="MI66" s="42"/>
      <c r="MJ66" s="42"/>
      <c r="MK66" s="42"/>
      <c r="ML66" s="42"/>
      <c r="MM66" s="42"/>
      <c r="MN66" s="42"/>
      <c r="MO66" s="42"/>
      <c r="MP66" s="42"/>
      <c r="MQ66" s="42"/>
      <c r="MR66" s="42"/>
      <c r="MS66" s="42"/>
      <c r="MT66" s="42"/>
      <c r="MU66" s="42"/>
      <c r="MV66" s="42"/>
      <c r="MW66" s="42"/>
      <c r="MX66" s="42"/>
      <c r="MY66" s="42"/>
      <c r="MZ66" s="42"/>
      <c r="NA66" s="42"/>
      <c r="NB66" s="42"/>
      <c r="NC66" s="42"/>
      <c r="ND66" s="42"/>
      <c r="NE66" s="42"/>
      <c r="NF66" s="42"/>
      <c r="NG66" s="42"/>
      <c r="NH66" s="42"/>
      <c r="NI66" s="42"/>
      <c r="NJ66" s="42"/>
      <c r="NK66" s="42"/>
      <c r="NL66" s="42"/>
      <c r="NM66" s="42"/>
      <c r="NN66" s="42"/>
      <c r="NO66" s="42"/>
      <c r="NP66" s="42"/>
      <c r="NQ66" s="42"/>
      <c r="NR66" s="42"/>
      <c r="NS66" s="42"/>
    </row>
    <row r="67" spans="1:383" s="5" customFormat="1" x14ac:dyDescent="0.25">
      <c r="A67" s="1"/>
      <c r="B67" s="2"/>
      <c r="C67" s="2"/>
      <c r="D67" s="2"/>
      <c r="E67" s="3"/>
      <c r="F67" s="3"/>
      <c r="G67" s="4"/>
      <c r="H67" s="1"/>
      <c r="I67" s="7"/>
      <c r="J67" s="7"/>
      <c r="K67" s="7"/>
      <c r="L67" s="7"/>
      <c r="M67" s="7"/>
      <c r="N67" s="7"/>
      <c r="O67" s="3"/>
      <c r="P67" s="7"/>
      <c r="AL67" s="7"/>
      <c r="AM67" s="7"/>
      <c r="AN67" s="7"/>
      <c r="AO67" s="7"/>
      <c r="AT67" s="7"/>
      <c r="AV67" s="11"/>
      <c r="AW67" s="7"/>
      <c r="AY67" s="7"/>
      <c r="BN67" s="7"/>
      <c r="CQ67" s="7"/>
      <c r="DF67" s="7"/>
      <c r="DG67" s="7"/>
      <c r="DL67" s="15"/>
      <c r="DQ67" s="16"/>
      <c r="DR67" s="7"/>
      <c r="DV67" s="16"/>
      <c r="DZ67" s="16"/>
      <c r="EA67" s="7"/>
      <c r="EF67" s="16"/>
      <c r="EK67" s="16"/>
      <c r="EL67" s="7"/>
      <c r="EP67" s="16"/>
      <c r="ET67" s="16"/>
      <c r="EU67" s="7"/>
      <c r="FM67" s="7"/>
      <c r="FN67" s="390"/>
      <c r="FO67" s="390"/>
      <c r="FR67" s="7"/>
      <c r="FY67" s="7"/>
      <c r="GG67" s="7"/>
      <c r="HX67" s="74"/>
      <c r="HY67" s="42"/>
      <c r="HZ67" s="42"/>
      <c r="IE67" s="42"/>
      <c r="IF67" s="42"/>
      <c r="IK67" s="42"/>
      <c r="IL67" s="42"/>
      <c r="IM67" s="42"/>
      <c r="IN67" s="7"/>
      <c r="IO67" s="42"/>
      <c r="IT67" s="42"/>
      <c r="IU67" s="42"/>
      <c r="KC67" s="7"/>
      <c r="KD67" s="42"/>
      <c r="KG67" s="391"/>
      <c r="KH67" s="42"/>
      <c r="KI67" s="42"/>
      <c r="KJ67" s="42"/>
      <c r="KK67" s="42"/>
      <c r="KL67" s="42"/>
      <c r="KM67" s="42"/>
      <c r="KN67" s="42"/>
      <c r="KO67" s="42"/>
      <c r="KP67" s="42"/>
      <c r="KQ67" s="42"/>
      <c r="KR67" s="42"/>
      <c r="KS67" s="42"/>
      <c r="KT67" s="42"/>
      <c r="KU67" s="42"/>
      <c r="KV67" s="42"/>
      <c r="KW67" s="42"/>
      <c r="KX67" s="42"/>
      <c r="KY67" s="42"/>
      <c r="KZ67" s="42"/>
      <c r="LA67" s="42"/>
      <c r="LB67" s="42"/>
      <c r="LC67" s="42"/>
      <c r="LD67" s="42"/>
      <c r="LE67" s="42"/>
      <c r="LF67" s="42"/>
      <c r="LG67" s="42"/>
      <c r="LH67" s="42"/>
      <c r="LI67" s="42"/>
      <c r="LJ67" s="42"/>
      <c r="LK67" s="42"/>
      <c r="LL67" s="42"/>
      <c r="LM67" s="42"/>
      <c r="LN67" s="42"/>
      <c r="LO67" s="42"/>
      <c r="LP67" s="42"/>
      <c r="LQ67" s="42"/>
      <c r="LR67" s="42"/>
      <c r="LS67" s="42"/>
      <c r="LT67" s="42"/>
      <c r="LU67" s="42"/>
      <c r="LV67" s="42"/>
      <c r="LW67" s="42"/>
      <c r="LX67" s="42"/>
      <c r="LY67" s="42"/>
      <c r="LZ67" s="42"/>
      <c r="MA67" s="42"/>
      <c r="MB67" s="42"/>
      <c r="MC67" s="42"/>
      <c r="MD67" s="42"/>
      <c r="ME67" s="42"/>
      <c r="MF67" s="42"/>
      <c r="MG67" s="42"/>
      <c r="MH67" s="42"/>
      <c r="MI67" s="42"/>
      <c r="MJ67" s="42"/>
      <c r="MK67" s="42"/>
      <c r="ML67" s="42"/>
      <c r="MM67" s="42"/>
      <c r="MN67" s="42"/>
      <c r="MO67" s="42"/>
      <c r="MP67" s="42"/>
      <c r="MQ67" s="42"/>
      <c r="MR67" s="42"/>
      <c r="MS67" s="42"/>
      <c r="MT67" s="42"/>
      <c r="MU67" s="42"/>
      <c r="MV67" s="42"/>
      <c r="MW67" s="42"/>
      <c r="MX67" s="42"/>
      <c r="MY67" s="42"/>
      <c r="MZ67" s="42"/>
      <c r="NA67" s="42"/>
      <c r="NB67" s="42"/>
      <c r="NC67" s="42"/>
      <c r="ND67" s="42"/>
      <c r="NE67" s="42"/>
      <c r="NF67" s="42"/>
      <c r="NG67" s="42"/>
      <c r="NH67" s="42"/>
      <c r="NI67" s="42"/>
      <c r="NJ67" s="42"/>
      <c r="NK67" s="42"/>
      <c r="NL67" s="42"/>
      <c r="NM67" s="42"/>
      <c r="NN67" s="42"/>
      <c r="NO67" s="42"/>
      <c r="NP67" s="42"/>
      <c r="NQ67" s="42"/>
      <c r="NR67" s="42"/>
      <c r="NS67" s="42"/>
    </row>
    <row r="68" spans="1:383" s="5" customFormat="1" x14ac:dyDescent="0.25">
      <c r="A68" s="1"/>
      <c r="B68" s="2"/>
      <c r="C68" s="2"/>
      <c r="D68" s="2"/>
      <c r="E68" s="3"/>
      <c r="F68" s="3"/>
      <c r="G68" s="4"/>
      <c r="H68" s="1"/>
      <c r="I68" s="7"/>
      <c r="J68" s="7"/>
      <c r="K68" s="7"/>
      <c r="L68" s="7"/>
      <c r="M68" s="7"/>
      <c r="N68" s="7"/>
      <c r="O68" s="3"/>
      <c r="P68" s="7"/>
      <c r="AL68" s="7"/>
      <c r="AM68" s="7"/>
      <c r="AN68" s="7"/>
      <c r="AO68" s="7"/>
      <c r="AT68" s="7"/>
      <c r="AV68" s="11"/>
      <c r="AW68" s="7"/>
      <c r="AY68" s="7"/>
      <c r="BN68" s="7"/>
      <c r="CQ68" s="7"/>
      <c r="DF68" s="7"/>
      <c r="DG68" s="7"/>
      <c r="DL68" s="15"/>
      <c r="DQ68" s="16"/>
      <c r="DR68" s="7"/>
      <c r="DV68" s="16"/>
      <c r="DZ68" s="16"/>
      <c r="EA68" s="7"/>
      <c r="EF68" s="16"/>
      <c r="EK68" s="16"/>
      <c r="EL68" s="7"/>
      <c r="EP68" s="16"/>
      <c r="ET68" s="16"/>
      <c r="EU68" s="7"/>
      <c r="FM68" s="7"/>
      <c r="FN68" s="390"/>
      <c r="FO68" s="390"/>
      <c r="FR68" s="7"/>
      <c r="FY68" s="7"/>
      <c r="GG68" s="7"/>
      <c r="HX68" s="74"/>
      <c r="HY68" s="42"/>
      <c r="HZ68" s="42"/>
      <c r="IE68" s="42"/>
      <c r="IF68" s="42"/>
      <c r="IK68" s="42"/>
      <c r="IL68" s="42"/>
      <c r="IM68" s="42"/>
      <c r="IN68" s="7"/>
      <c r="IO68" s="42"/>
      <c r="IT68" s="42"/>
      <c r="IU68" s="42"/>
      <c r="KC68" s="7"/>
      <c r="KD68" s="42"/>
      <c r="KG68" s="391"/>
      <c r="KH68" s="42"/>
      <c r="KI68" s="42"/>
      <c r="KJ68" s="42"/>
      <c r="KK68" s="42"/>
      <c r="KL68" s="42"/>
      <c r="KM68" s="42"/>
      <c r="KN68" s="42"/>
      <c r="KO68" s="42"/>
      <c r="KP68" s="42"/>
      <c r="KQ68" s="42"/>
      <c r="KR68" s="42"/>
      <c r="KS68" s="42"/>
      <c r="KT68" s="42"/>
      <c r="KU68" s="42"/>
      <c r="KV68" s="42"/>
      <c r="KW68" s="42"/>
      <c r="KX68" s="42"/>
      <c r="KY68" s="42"/>
      <c r="KZ68" s="42"/>
      <c r="LA68" s="42"/>
      <c r="LB68" s="42"/>
      <c r="LC68" s="42"/>
      <c r="LD68" s="42"/>
      <c r="LE68" s="42"/>
      <c r="LF68" s="42"/>
      <c r="LG68" s="42"/>
      <c r="LH68" s="42"/>
      <c r="LI68" s="42"/>
      <c r="LJ68" s="42"/>
      <c r="LK68" s="42"/>
      <c r="LL68" s="42"/>
      <c r="LM68" s="42"/>
      <c r="LN68" s="42"/>
      <c r="LO68" s="42"/>
      <c r="LP68" s="42"/>
      <c r="LQ68" s="42"/>
      <c r="LR68" s="42"/>
      <c r="LS68" s="42"/>
      <c r="LT68" s="42"/>
      <c r="LU68" s="42"/>
      <c r="LV68" s="42"/>
      <c r="LW68" s="42"/>
      <c r="LX68" s="42"/>
      <c r="LY68" s="42"/>
      <c r="LZ68" s="42"/>
      <c r="MA68" s="42"/>
      <c r="MB68" s="42"/>
      <c r="MC68" s="42"/>
      <c r="MD68" s="42"/>
      <c r="ME68" s="42"/>
      <c r="MF68" s="42"/>
      <c r="MG68" s="42"/>
      <c r="MH68" s="42"/>
      <c r="MI68" s="42"/>
      <c r="MJ68" s="42"/>
      <c r="MK68" s="42"/>
      <c r="ML68" s="42"/>
      <c r="MM68" s="42"/>
      <c r="MN68" s="42"/>
      <c r="MO68" s="42"/>
      <c r="MP68" s="42"/>
      <c r="MQ68" s="42"/>
      <c r="MR68" s="42"/>
      <c r="MS68" s="42"/>
      <c r="MT68" s="42"/>
      <c r="MU68" s="42"/>
      <c r="MV68" s="42"/>
      <c r="MW68" s="42"/>
      <c r="MX68" s="42"/>
      <c r="MY68" s="42"/>
      <c r="MZ68" s="42"/>
      <c r="NA68" s="42"/>
      <c r="NB68" s="42"/>
      <c r="NC68" s="42"/>
      <c r="ND68" s="42"/>
      <c r="NE68" s="42"/>
      <c r="NF68" s="42"/>
      <c r="NG68" s="42"/>
      <c r="NH68" s="42"/>
      <c r="NI68" s="42"/>
      <c r="NJ68" s="42"/>
      <c r="NK68" s="42"/>
      <c r="NL68" s="42"/>
      <c r="NM68" s="42"/>
      <c r="NN68" s="42"/>
      <c r="NO68" s="42"/>
      <c r="NP68" s="42"/>
      <c r="NQ68" s="42"/>
      <c r="NR68" s="42"/>
      <c r="NS68" s="42"/>
    </row>
    <row r="69" spans="1:383" s="5" customFormat="1" x14ac:dyDescent="0.25">
      <c r="A69" s="1"/>
      <c r="B69" s="2"/>
      <c r="C69" s="2"/>
      <c r="D69" s="2"/>
      <c r="E69" s="3"/>
      <c r="F69" s="3"/>
      <c r="G69" s="4"/>
      <c r="H69" s="1"/>
      <c r="I69" s="7"/>
      <c r="J69" s="7"/>
      <c r="K69" s="7"/>
      <c r="L69" s="7"/>
      <c r="M69" s="7"/>
      <c r="N69" s="7"/>
      <c r="O69" s="3"/>
      <c r="P69" s="7"/>
      <c r="AL69" s="7"/>
      <c r="AM69" s="7"/>
      <c r="AN69" s="7"/>
      <c r="AO69" s="7"/>
      <c r="AT69" s="7"/>
      <c r="AV69" s="11"/>
      <c r="AW69" s="7"/>
      <c r="AY69" s="7"/>
      <c r="BN69" s="7"/>
      <c r="CQ69" s="7"/>
      <c r="DF69" s="7"/>
      <c r="DG69" s="7"/>
      <c r="DL69" s="15"/>
      <c r="DQ69" s="16"/>
      <c r="DR69" s="7"/>
      <c r="DV69" s="16"/>
      <c r="DZ69" s="16"/>
      <c r="EA69" s="7"/>
      <c r="EF69" s="16"/>
      <c r="EK69" s="16"/>
      <c r="EL69" s="7"/>
      <c r="EP69" s="16"/>
      <c r="ET69" s="16"/>
      <c r="EU69" s="7"/>
      <c r="FM69" s="7"/>
      <c r="FN69" s="390"/>
      <c r="FO69" s="390"/>
      <c r="FR69" s="7"/>
      <c r="FY69" s="7"/>
      <c r="GG69" s="7"/>
      <c r="HX69" s="74"/>
      <c r="HY69" s="42"/>
      <c r="HZ69" s="42"/>
      <c r="IE69" s="42"/>
      <c r="IF69" s="42"/>
      <c r="IK69" s="42"/>
      <c r="IL69" s="42"/>
      <c r="IM69" s="42"/>
      <c r="IN69" s="7"/>
      <c r="IO69" s="42"/>
      <c r="IT69" s="42"/>
      <c r="IU69" s="42"/>
      <c r="KC69" s="7"/>
      <c r="KD69" s="42"/>
      <c r="KG69" s="391"/>
      <c r="KH69" s="42"/>
      <c r="KI69" s="42"/>
      <c r="KJ69" s="42"/>
      <c r="KK69" s="42"/>
      <c r="KL69" s="42"/>
      <c r="KM69" s="42"/>
      <c r="KN69" s="42"/>
      <c r="KO69" s="42"/>
      <c r="KP69" s="42"/>
      <c r="KQ69" s="42"/>
      <c r="KR69" s="42"/>
      <c r="KS69" s="42"/>
      <c r="KT69" s="42"/>
      <c r="KU69" s="42"/>
      <c r="KV69" s="42"/>
      <c r="KW69" s="42"/>
      <c r="KX69" s="42"/>
      <c r="KY69" s="42"/>
      <c r="KZ69" s="42"/>
      <c r="LA69" s="42"/>
      <c r="LB69" s="42"/>
      <c r="LC69" s="42"/>
      <c r="LD69" s="42"/>
      <c r="LE69" s="42"/>
      <c r="LF69" s="42"/>
      <c r="LG69" s="42"/>
      <c r="LH69" s="42"/>
      <c r="LI69" s="42"/>
      <c r="LJ69" s="42"/>
      <c r="LK69" s="42"/>
      <c r="LL69" s="42"/>
      <c r="LM69" s="42"/>
      <c r="LN69" s="42"/>
      <c r="LO69" s="42"/>
      <c r="LP69" s="42"/>
      <c r="LQ69" s="42"/>
      <c r="LR69" s="42"/>
      <c r="LS69" s="42"/>
      <c r="LT69" s="42"/>
      <c r="LU69" s="42"/>
      <c r="LV69" s="42"/>
      <c r="LW69" s="42"/>
      <c r="LX69" s="42"/>
      <c r="LY69" s="42"/>
      <c r="LZ69" s="42"/>
      <c r="MA69" s="42"/>
      <c r="MB69" s="42"/>
      <c r="MC69" s="42"/>
      <c r="MD69" s="42"/>
      <c r="ME69" s="42"/>
      <c r="MF69" s="42"/>
      <c r="MG69" s="42"/>
      <c r="MH69" s="42"/>
      <c r="MI69" s="42"/>
      <c r="MJ69" s="42"/>
      <c r="MK69" s="42"/>
      <c r="ML69" s="42"/>
      <c r="MM69" s="42"/>
      <c r="MN69" s="42"/>
      <c r="MO69" s="42"/>
      <c r="MP69" s="42"/>
      <c r="MQ69" s="42"/>
      <c r="MR69" s="42"/>
      <c r="MS69" s="42"/>
      <c r="MT69" s="42"/>
      <c r="MU69" s="42"/>
      <c r="MV69" s="42"/>
      <c r="MW69" s="42"/>
      <c r="MX69" s="42"/>
      <c r="MY69" s="42"/>
      <c r="MZ69" s="42"/>
      <c r="NA69" s="42"/>
      <c r="NB69" s="42"/>
      <c r="NC69" s="42"/>
      <c r="ND69" s="42"/>
      <c r="NE69" s="42"/>
      <c r="NF69" s="42"/>
      <c r="NG69" s="42"/>
      <c r="NH69" s="42"/>
      <c r="NI69" s="42"/>
      <c r="NJ69" s="42"/>
      <c r="NK69" s="42"/>
      <c r="NL69" s="42"/>
      <c r="NM69" s="42"/>
      <c r="NN69" s="42"/>
      <c r="NO69" s="42"/>
      <c r="NP69" s="42"/>
      <c r="NQ69" s="42"/>
      <c r="NR69" s="42"/>
      <c r="NS69" s="42"/>
    </row>
    <row r="70" spans="1:383" s="5" customFormat="1" x14ac:dyDescent="0.25">
      <c r="A70" s="1"/>
      <c r="B70" s="2"/>
      <c r="C70" s="2"/>
      <c r="D70" s="2"/>
      <c r="E70" s="3"/>
      <c r="F70" s="3"/>
      <c r="G70" s="4"/>
      <c r="H70" s="1"/>
      <c r="I70" s="7"/>
      <c r="J70" s="7"/>
      <c r="K70" s="7"/>
      <c r="L70" s="7"/>
      <c r="M70" s="7"/>
      <c r="N70" s="7"/>
      <c r="O70" s="3"/>
      <c r="P70" s="7"/>
      <c r="AL70" s="7"/>
      <c r="AM70" s="7"/>
      <c r="AN70" s="7"/>
      <c r="AO70" s="7"/>
      <c r="AT70" s="7"/>
      <c r="AV70" s="11"/>
      <c r="AW70" s="7"/>
      <c r="AY70" s="7"/>
      <c r="BN70" s="7"/>
      <c r="CQ70" s="7"/>
      <c r="DF70" s="7"/>
      <c r="DG70" s="7"/>
      <c r="DL70" s="15"/>
      <c r="DQ70" s="16"/>
      <c r="DR70" s="7"/>
      <c r="DV70" s="16"/>
      <c r="DZ70" s="16"/>
      <c r="EA70" s="7"/>
      <c r="EF70" s="16"/>
      <c r="EK70" s="16"/>
      <c r="EL70" s="7"/>
      <c r="EP70" s="16"/>
      <c r="ET70" s="16"/>
      <c r="EU70" s="7"/>
      <c r="FM70" s="7"/>
      <c r="FN70" s="390"/>
      <c r="FO70" s="390"/>
      <c r="FR70" s="7"/>
      <c r="FY70" s="7"/>
      <c r="GG70" s="7"/>
      <c r="HX70" s="74"/>
      <c r="HY70" s="42"/>
      <c r="HZ70" s="42"/>
      <c r="IE70" s="42"/>
      <c r="IF70" s="42"/>
      <c r="IK70" s="42"/>
      <c r="IL70" s="42"/>
      <c r="IM70" s="42"/>
      <c r="IN70" s="7"/>
      <c r="IO70" s="42"/>
      <c r="IT70" s="42"/>
      <c r="IU70" s="42"/>
      <c r="KC70" s="7"/>
      <c r="KD70" s="42"/>
      <c r="KG70" s="391"/>
      <c r="KH70" s="42"/>
      <c r="KI70" s="42"/>
      <c r="KJ70" s="42"/>
      <c r="KK70" s="42"/>
      <c r="KL70" s="42"/>
      <c r="KM70" s="42"/>
      <c r="KN70" s="42"/>
      <c r="KO70" s="42"/>
      <c r="KP70" s="42"/>
      <c r="KQ70" s="42"/>
      <c r="KR70" s="42"/>
      <c r="KS70" s="42"/>
      <c r="KT70" s="42"/>
      <c r="KU70" s="42"/>
      <c r="KV70" s="42"/>
      <c r="KW70" s="42"/>
      <c r="KX70" s="42"/>
      <c r="KY70" s="42"/>
      <c r="KZ70" s="42"/>
      <c r="LA70" s="42"/>
      <c r="LB70" s="42"/>
      <c r="LC70" s="42"/>
      <c r="LD70" s="42"/>
      <c r="LE70" s="42"/>
      <c r="LF70" s="42"/>
      <c r="LG70" s="42"/>
      <c r="LH70" s="42"/>
      <c r="LI70" s="42"/>
      <c r="LJ70" s="42"/>
      <c r="LK70" s="42"/>
      <c r="LL70" s="42"/>
      <c r="LM70" s="42"/>
      <c r="LN70" s="42"/>
      <c r="LO70" s="42"/>
      <c r="LP70" s="42"/>
      <c r="LQ70" s="42"/>
      <c r="LR70" s="42"/>
      <c r="LS70" s="42"/>
      <c r="LT70" s="42"/>
      <c r="LU70" s="42"/>
      <c r="LV70" s="42"/>
      <c r="LW70" s="42"/>
      <c r="LX70" s="42"/>
      <c r="LY70" s="42"/>
      <c r="LZ70" s="42"/>
      <c r="MA70" s="42"/>
      <c r="MB70" s="42"/>
      <c r="MC70" s="42"/>
      <c r="MD70" s="42"/>
      <c r="ME70" s="42"/>
      <c r="MF70" s="42"/>
      <c r="MG70" s="42"/>
      <c r="MH70" s="42"/>
      <c r="MI70" s="42"/>
      <c r="MJ70" s="42"/>
      <c r="MK70" s="42"/>
      <c r="ML70" s="42"/>
      <c r="MM70" s="42"/>
      <c r="MN70" s="42"/>
      <c r="MO70" s="42"/>
      <c r="MP70" s="42"/>
      <c r="MQ70" s="42"/>
      <c r="MR70" s="42"/>
      <c r="MS70" s="42"/>
      <c r="MT70" s="42"/>
      <c r="MU70" s="42"/>
      <c r="MV70" s="42"/>
      <c r="MW70" s="42"/>
      <c r="MX70" s="42"/>
      <c r="MY70" s="42"/>
      <c r="MZ70" s="42"/>
      <c r="NA70" s="42"/>
      <c r="NB70" s="42"/>
      <c r="NC70" s="42"/>
      <c r="ND70" s="42"/>
      <c r="NE70" s="42"/>
      <c r="NF70" s="42"/>
      <c r="NG70" s="42"/>
      <c r="NH70" s="42"/>
      <c r="NI70" s="42"/>
      <c r="NJ70" s="42"/>
      <c r="NK70" s="42"/>
      <c r="NL70" s="42"/>
      <c r="NM70" s="42"/>
      <c r="NN70" s="42"/>
      <c r="NO70" s="42"/>
      <c r="NP70" s="42"/>
      <c r="NQ70" s="42"/>
      <c r="NR70" s="42"/>
      <c r="NS70" s="42"/>
    </row>
    <row r="71" spans="1:383" s="5" customFormat="1" x14ac:dyDescent="0.25">
      <c r="A71" s="1"/>
      <c r="B71" s="2"/>
      <c r="C71" s="2"/>
      <c r="D71" s="2"/>
      <c r="E71" s="3"/>
      <c r="F71" s="3"/>
      <c r="G71" s="4"/>
      <c r="H71" s="1"/>
      <c r="I71" s="7"/>
      <c r="J71" s="7"/>
      <c r="K71" s="7"/>
      <c r="L71" s="7"/>
      <c r="M71" s="7"/>
      <c r="N71" s="7"/>
      <c r="O71" s="3"/>
      <c r="P71" s="7"/>
      <c r="AL71" s="7"/>
      <c r="AM71" s="7"/>
      <c r="AN71" s="7"/>
      <c r="AO71" s="7"/>
      <c r="AT71" s="7"/>
      <c r="AV71" s="11"/>
      <c r="AW71" s="7"/>
      <c r="AY71" s="7"/>
      <c r="BN71" s="7"/>
      <c r="CQ71" s="7"/>
      <c r="DF71" s="7"/>
      <c r="DG71" s="7"/>
      <c r="DL71" s="15"/>
      <c r="DQ71" s="16"/>
      <c r="DR71" s="7"/>
      <c r="DV71" s="16"/>
      <c r="DZ71" s="16"/>
      <c r="EA71" s="7"/>
      <c r="EF71" s="16"/>
      <c r="EK71" s="16"/>
      <c r="EL71" s="7"/>
      <c r="EP71" s="16"/>
      <c r="ET71" s="16"/>
      <c r="EU71" s="7"/>
      <c r="FM71" s="7"/>
      <c r="FN71" s="390"/>
      <c r="FO71" s="390"/>
      <c r="FR71" s="7"/>
      <c r="FY71" s="7"/>
      <c r="GG71" s="7"/>
      <c r="HX71" s="74"/>
      <c r="HY71" s="42"/>
      <c r="HZ71" s="42"/>
      <c r="IE71" s="42"/>
      <c r="IF71" s="42"/>
      <c r="IK71" s="42"/>
      <c r="IL71" s="42"/>
      <c r="IM71" s="42"/>
      <c r="IN71" s="7"/>
      <c r="IO71" s="42"/>
      <c r="IT71" s="42"/>
      <c r="IU71" s="42"/>
      <c r="KC71" s="7"/>
      <c r="KD71" s="42"/>
      <c r="KG71" s="391"/>
      <c r="KH71" s="42"/>
      <c r="KI71" s="42"/>
      <c r="KJ71" s="42"/>
      <c r="KK71" s="42"/>
      <c r="KL71" s="42"/>
      <c r="KM71" s="42"/>
      <c r="KN71" s="42"/>
      <c r="KO71" s="42"/>
      <c r="KP71" s="42"/>
      <c r="KQ71" s="42"/>
      <c r="KR71" s="42"/>
      <c r="KS71" s="42"/>
      <c r="KT71" s="42"/>
      <c r="KU71" s="42"/>
      <c r="KV71" s="42"/>
      <c r="KW71" s="42"/>
      <c r="KX71" s="42"/>
      <c r="KY71" s="42"/>
      <c r="KZ71" s="42"/>
      <c r="LA71" s="42"/>
      <c r="LB71" s="42"/>
      <c r="LC71" s="42"/>
      <c r="LD71" s="42"/>
      <c r="LE71" s="42"/>
      <c r="LF71" s="42"/>
      <c r="LG71" s="42"/>
      <c r="LH71" s="42"/>
      <c r="LI71" s="42"/>
      <c r="LJ71" s="42"/>
      <c r="LK71" s="42"/>
      <c r="LL71" s="42"/>
      <c r="LM71" s="42"/>
      <c r="LN71" s="42"/>
      <c r="LO71" s="42"/>
      <c r="LP71" s="42"/>
      <c r="LQ71" s="42"/>
      <c r="LR71" s="42"/>
      <c r="LS71" s="42"/>
      <c r="LT71" s="42"/>
      <c r="LU71" s="42"/>
      <c r="LV71" s="42"/>
      <c r="LW71" s="42"/>
      <c r="LX71" s="42"/>
      <c r="LY71" s="42"/>
      <c r="LZ71" s="42"/>
      <c r="MA71" s="42"/>
      <c r="MB71" s="42"/>
      <c r="MC71" s="42"/>
      <c r="MD71" s="42"/>
      <c r="ME71" s="42"/>
      <c r="MF71" s="42"/>
      <c r="MG71" s="42"/>
      <c r="MH71" s="42"/>
      <c r="MI71" s="42"/>
      <c r="MJ71" s="42"/>
      <c r="MK71" s="42"/>
      <c r="ML71" s="42"/>
      <c r="MM71" s="42"/>
      <c r="MN71" s="42"/>
      <c r="MO71" s="42"/>
      <c r="MP71" s="42"/>
      <c r="MQ71" s="42"/>
      <c r="MR71" s="42"/>
      <c r="MS71" s="42"/>
      <c r="MT71" s="42"/>
      <c r="MU71" s="42"/>
      <c r="MV71" s="42"/>
      <c r="MW71" s="42"/>
      <c r="MX71" s="42"/>
      <c r="MY71" s="42"/>
      <c r="MZ71" s="42"/>
      <c r="NA71" s="42"/>
      <c r="NB71" s="42"/>
      <c r="NC71" s="42"/>
      <c r="ND71" s="42"/>
      <c r="NE71" s="42"/>
      <c r="NF71" s="42"/>
      <c r="NG71" s="42"/>
      <c r="NH71" s="42"/>
      <c r="NI71" s="42"/>
      <c r="NJ71" s="42"/>
      <c r="NK71" s="42"/>
      <c r="NL71" s="42"/>
      <c r="NM71" s="42"/>
      <c r="NN71" s="42"/>
      <c r="NO71" s="42"/>
      <c r="NP71" s="42"/>
      <c r="NQ71" s="42"/>
      <c r="NR71" s="42"/>
      <c r="NS71" s="42"/>
    </row>
    <row r="72" spans="1:383" s="5" customFormat="1" x14ac:dyDescent="0.25">
      <c r="A72" s="1"/>
      <c r="B72" s="2"/>
      <c r="C72" s="2"/>
      <c r="D72" s="2"/>
      <c r="E72" s="3"/>
      <c r="F72" s="3"/>
      <c r="G72" s="4"/>
      <c r="H72" s="1"/>
      <c r="I72" s="7"/>
      <c r="J72" s="7"/>
      <c r="K72" s="7"/>
      <c r="L72" s="7"/>
      <c r="M72" s="7"/>
      <c r="N72" s="7"/>
      <c r="O72" s="3"/>
      <c r="P72" s="7"/>
      <c r="AL72" s="7"/>
      <c r="AM72" s="7"/>
      <c r="AN72" s="7"/>
      <c r="AO72" s="7"/>
      <c r="AT72" s="7"/>
      <c r="AV72" s="11"/>
      <c r="AW72" s="7"/>
      <c r="AY72" s="7"/>
      <c r="BN72" s="7"/>
      <c r="CQ72" s="7"/>
      <c r="DF72" s="7"/>
      <c r="DG72" s="7"/>
      <c r="DL72" s="15"/>
      <c r="DQ72" s="16"/>
      <c r="DR72" s="7"/>
      <c r="DV72" s="16"/>
      <c r="DZ72" s="16"/>
      <c r="EA72" s="7"/>
      <c r="EF72" s="16"/>
      <c r="EK72" s="16"/>
      <c r="EL72" s="7"/>
      <c r="EP72" s="16"/>
      <c r="ET72" s="16"/>
      <c r="EU72" s="7"/>
      <c r="FM72" s="7"/>
      <c r="FN72" s="390"/>
      <c r="FO72" s="390"/>
      <c r="FR72" s="7"/>
      <c r="FY72" s="7"/>
      <c r="GG72" s="7"/>
      <c r="HX72" s="74"/>
      <c r="HY72" s="42"/>
      <c r="HZ72" s="42"/>
      <c r="IE72" s="42"/>
      <c r="IF72" s="42"/>
      <c r="IK72" s="42"/>
      <c r="IL72" s="42"/>
      <c r="IM72" s="42"/>
      <c r="IN72" s="7"/>
      <c r="IO72" s="42"/>
      <c r="IT72" s="42"/>
      <c r="IU72" s="42"/>
      <c r="KC72" s="7"/>
      <c r="KD72" s="42"/>
      <c r="KG72" s="391"/>
      <c r="KH72" s="42"/>
      <c r="KI72" s="42"/>
      <c r="KJ72" s="42"/>
      <c r="KK72" s="42"/>
      <c r="KL72" s="42"/>
      <c r="KM72" s="42"/>
      <c r="KN72" s="42"/>
      <c r="KO72" s="42"/>
      <c r="KP72" s="42"/>
      <c r="KQ72" s="42"/>
      <c r="KR72" s="42"/>
      <c r="KS72" s="42"/>
      <c r="KT72" s="42"/>
      <c r="KU72" s="42"/>
      <c r="KV72" s="42"/>
      <c r="KW72" s="42"/>
      <c r="KX72" s="42"/>
      <c r="KY72" s="42"/>
      <c r="KZ72" s="42"/>
      <c r="LA72" s="42"/>
      <c r="LB72" s="42"/>
      <c r="LC72" s="42"/>
      <c r="LD72" s="42"/>
      <c r="LE72" s="42"/>
      <c r="LF72" s="42"/>
      <c r="LG72" s="42"/>
      <c r="LH72" s="42"/>
      <c r="LI72" s="42"/>
      <c r="LJ72" s="42"/>
      <c r="LK72" s="42"/>
      <c r="LL72" s="42"/>
      <c r="LM72" s="42"/>
      <c r="LN72" s="42"/>
      <c r="LO72" s="42"/>
      <c r="LP72" s="42"/>
      <c r="LQ72" s="42"/>
      <c r="LR72" s="42"/>
      <c r="LS72" s="42"/>
      <c r="LT72" s="42"/>
      <c r="LU72" s="42"/>
      <c r="LV72" s="42"/>
      <c r="LW72" s="42"/>
      <c r="LX72" s="42"/>
      <c r="LY72" s="42"/>
      <c r="LZ72" s="42"/>
      <c r="MA72" s="42"/>
      <c r="MB72" s="42"/>
      <c r="MC72" s="42"/>
      <c r="MD72" s="42"/>
      <c r="ME72" s="42"/>
      <c r="MF72" s="42"/>
      <c r="MG72" s="42"/>
      <c r="MH72" s="42"/>
      <c r="MI72" s="42"/>
      <c r="MJ72" s="42"/>
      <c r="MK72" s="42"/>
      <c r="ML72" s="42"/>
      <c r="MM72" s="42"/>
      <c r="MN72" s="42"/>
      <c r="MO72" s="42"/>
      <c r="MP72" s="42"/>
      <c r="MQ72" s="42"/>
      <c r="MR72" s="42"/>
      <c r="MS72" s="42"/>
      <c r="MT72" s="42"/>
      <c r="MU72" s="42"/>
      <c r="MV72" s="42"/>
      <c r="MW72" s="42"/>
      <c r="MX72" s="42"/>
      <c r="MY72" s="42"/>
      <c r="MZ72" s="42"/>
      <c r="NA72" s="42"/>
      <c r="NB72" s="42"/>
      <c r="NC72" s="42"/>
      <c r="ND72" s="42"/>
      <c r="NE72" s="42"/>
      <c r="NF72" s="42"/>
      <c r="NG72" s="42"/>
      <c r="NH72" s="42"/>
      <c r="NI72" s="42"/>
      <c r="NJ72" s="42"/>
      <c r="NK72" s="42"/>
      <c r="NL72" s="42"/>
      <c r="NM72" s="42"/>
      <c r="NN72" s="42"/>
      <c r="NO72" s="42"/>
      <c r="NP72" s="42"/>
      <c r="NQ72" s="42"/>
      <c r="NR72" s="42"/>
      <c r="NS72" s="42"/>
    </row>
    <row r="73" spans="1:383" s="5" customFormat="1" x14ac:dyDescent="0.25">
      <c r="A73" s="1"/>
      <c r="B73" s="2"/>
      <c r="C73" s="2"/>
      <c r="D73" s="2"/>
      <c r="E73" s="3"/>
      <c r="F73" s="3"/>
      <c r="G73" s="4"/>
      <c r="H73" s="1"/>
      <c r="I73" s="7"/>
      <c r="J73" s="7"/>
      <c r="K73" s="7"/>
      <c r="L73" s="7"/>
      <c r="M73" s="7"/>
      <c r="N73" s="7"/>
      <c r="O73" s="3"/>
      <c r="P73" s="7"/>
      <c r="AL73" s="7"/>
      <c r="AM73" s="7"/>
      <c r="AN73" s="7"/>
      <c r="AO73" s="7"/>
      <c r="AT73" s="7"/>
      <c r="AV73" s="11"/>
      <c r="AW73" s="7"/>
      <c r="AY73" s="7"/>
      <c r="BN73" s="7"/>
      <c r="CQ73" s="7"/>
      <c r="DF73" s="7"/>
      <c r="DG73" s="7"/>
      <c r="DL73" s="15"/>
      <c r="DQ73" s="16"/>
      <c r="DR73" s="7"/>
      <c r="DV73" s="16"/>
      <c r="DZ73" s="16"/>
      <c r="EA73" s="7"/>
      <c r="EF73" s="16"/>
      <c r="EK73" s="16"/>
      <c r="EL73" s="7"/>
      <c r="EP73" s="16"/>
      <c r="ET73" s="16"/>
      <c r="EU73" s="7"/>
      <c r="FM73" s="7"/>
      <c r="FN73" s="390"/>
      <c r="FO73" s="390"/>
      <c r="FR73" s="7"/>
      <c r="FY73" s="7"/>
      <c r="GG73" s="7"/>
      <c r="HX73" s="74"/>
      <c r="HY73" s="42"/>
      <c r="HZ73" s="42"/>
      <c r="IE73" s="42"/>
      <c r="IF73" s="42"/>
      <c r="IK73" s="42"/>
      <c r="IL73" s="42"/>
      <c r="IM73" s="42"/>
      <c r="IN73" s="7"/>
      <c r="IO73" s="42"/>
      <c r="IT73" s="42"/>
      <c r="IU73" s="42"/>
      <c r="KC73" s="7"/>
      <c r="KD73" s="42"/>
      <c r="KG73" s="391"/>
      <c r="KH73" s="42"/>
      <c r="KI73" s="42"/>
      <c r="KJ73" s="42"/>
      <c r="KK73" s="42"/>
      <c r="KL73" s="42"/>
      <c r="KM73" s="42"/>
      <c r="KN73" s="42"/>
      <c r="KO73" s="42"/>
      <c r="KP73" s="42"/>
      <c r="KQ73" s="42"/>
      <c r="KR73" s="42"/>
      <c r="KS73" s="42"/>
      <c r="KT73" s="42"/>
      <c r="KU73" s="42"/>
      <c r="KV73" s="42"/>
      <c r="KW73" s="42"/>
      <c r="KX73" s="42"/>
      <c r="KY73" s="42"/>
      <c r="KZ73" s="42"/>
      <c r="LA73" s="42"/>
      <c r="LB73" s="42"/>
      <c r="LC73" s="42"/>
      <c r="LD73" s="42"/>
      <c r="LE73" s="42"/>
      <c r="LF73" s="42"/>
      <c r="LG73" s="42"/>
      <c r="LH73" s="42"/>
      <c r="LI73" s="42"/>
      <c r="LJ73" s="42"/>
      <c r="LK73" s="42"/>
      <c r="LL73" s="42"/>
      <c r="LM73" s="42"/>
      <c r="LN73" s="42"/>
      <c r="LO73" s="42"/>
      <c r="LP73" s="42"/>
      <c r="LQ73" s="42"/>
      <c r="LR73" s="42"/>
      <c r="LS73" s="42"/>
      <c r="LT73" s="42"/>
      <c r="LU73" s="42"/>
      <c r="LV73" s="42"/>
      <c r="LW73" s="42"/>
      <c r="LX73" s="42"/>
      <c r="LY73" s="42"/>
      <c r="LZ73" s="42"/>
      <c r="MA73" s="42"/>
      <c r="MB73" s="42"/>
      <c r="MC73" s="42"/>
      <c r="MD73" s="42"/>
      <c r="ME73" s="42"/>
      <c r="MF73" s="42"/>
      <c r="MG73" s="42"/>
      <c r="MH73" s="42"/>
      <c r="MI73" s="42"/>
      <c r="MJ73" s="42"/>
      <c r="MK73" s="42"/>
      <c r="ML73" s="42"/>
      <c r="MM73" s="42"/>
      <c r="MN73" s="42"/>
      <c r="MO73" s="42"/>
      <c r="MP73" s="42"/>
      <c r="MQ73" s="42"/>
      <c r="MR73" s="42"/>
      <c r="MS73" s="42"/>
      <c r="MT73" s="42"/>
      <c r="MU73" s="42"/>
      <c r="MV73" s="42"/>
      <c r="MW73" s="42"/>
      <c r="MX73" s="42"/>
      <c r="MY73" s="42"/>
      <c r="MZ73" s="42"/>
      <c r="NA73" s="42"/>
      <c r="NB73" s="42"/>
      <c r="NC73" s="42"/>
      <c r="ND73" s="42"/>
      <c r="NE73" s="42"/>
      <c r="NF73" s="42"/>
      <c r="NG73" s="42"/>
      <c r="NH73" s="42"/>
      <c r="NI73" s="42"/>
      <c r="NJ73" s="42"/>
      <c r="NK73" s="42"/>
      <c r="NL73" s="42"/>
      <c r="NM73" s="42"/>
      <c r="NN73" s="42"/>
      <c r="NO73" s="42"/>
      <c r="NP73" s="42"/>
      <c r="NQ73" s="42"/>
      <c r="NR73" s="42"/>
      <c r="NS73" s="42"/>
    </row>
    <row r="74" spans="1:383" s="5" customFormat="1" x14ac:dyDescent="0.25">
      <c r="A74" s="1"/>
      <c r="B74" s="2"/>
      <c r="C74" s="2"/>
      <c r="D74" s="2"/>
      <c r="E74" s="3"/>
      <c r="F74" s="3"/>
      <c r="G74" s="4"/>
      <c r="H74" s="1"/>
      <c r="I74" s="7"/>
      <c r="J74" s="7"/>
      <c r="K74" s="7"/>
      <c r="L74" s="7"/>
      <c r="M74" s="7"/>
      <c r="N74" s="7"/>
      <c r="O74" s="3"/>
      <c r="P74" s="7"/>
      <c r="AL74" s="7"/>
      <c r="AM74" s="7"/>
      <c r="AN74" s="7"/>
      <c r="AO74" s="7"/>
      <c r="AT74" s="7"/>
      <c r="AV74" s="11"/>
      <c r="AW74" s="7"/>
      <c r="AY74" s="7"/>
      <c r="BN74" s="7"/>
      <c r="CQ74" s="7"/>
      <c r="DF74" s="7"/>
      <c r="DG74" s="7"/>
      <c r="DL74" s="15"/>
      <c r="DQ74" s="16"/>
      <c r="DR74" s="7"/>
      <c r="DV74" s="16"/>
      <c r="DZ74" s="16"/>
      <c r="EA74" s="7"/>
      <c r="EF74" s="16"/>
      <c r="EK74" s="16"/>
      <c r="EL74" s="7"/>
      <c r="EP74" s="16"/>
      <c r="ET74" s="16"/>
      <c r="EU74" s="7"/>
      <c r="FM74" s="7"/>
      <c r="FN74" s="390"/>
      <c r="FO74" s="390"/>
      <c r="FR74" s="7"/>
      <c r="FY74" s="7"/>
      <c r="GG74" s="7"/>
      <c r="HX74" s="74"/>
      <c r="HY74" s="42"/>
      <c r="HZ74" s="42"/>
      <c r="IE74" s="42"/>
      <c r="IF74" s="42"/>
      <c r="IK74" s="42"/>
      <c r="IL74" s="42"/>
      <c r="IM74" s="42"/>
      <c r="IN74" s="7"/>
      <c r="IO74" s="42"/>
      <c r="IT74" s="42"/>
      <c r="IU74" s="42"/>
      <c r="KC74" s="7"/>
      <c r="KD74" s="42"/>
      <c r="KG74" s="391"/>
      <c r="KH74" s="42"/>
      <c r="KI74" s="42"/>
      <c r="KJ74" s="42"/>
      <c r="KK74" s="42"/>
      <c r="KL74" s="42"/>
      <c r="KM74" s="42"/>
      <c r="KN74" s="42"/>
      <c r="KO74" s="42"/>
      <c r="KP74" s="42"/>
      <c r="KQ74" s="42"/>
      <c r="KR74" s="42"/>
      <c r="KS74" s="42"/>
      <c r="KT74" s="42"/>
      <c r="KU74" s="42"/>
      <c r="KV74" s="42"/>
      <c r="KW74" s="42"/>
      <c r="KX74" s="42"/>
      <c r="KY74" s="42"/>
      <c r="KZ74" s="42"/>
      <c r="LA74" s="42"/>
      <c r="LB74" s="42"/>
      <c r="LC74" s="42"/>
      <c r="LD74" s="42"/>
      <c r="LE74" s="42"/>
      <c r="LF74" s="42"/>
      <c r="LG74" s="42"/>
      <c r="LH74" s="42"/>
      <c r="LI74" s="42"/>
      <c r="LJ74" s="42"/>
      <c r="LK74" s="42"/>
      <c r="LL74" s="42"/>
      <c r="LM74" s="42"/>
      <c r="LN74" s="42"/>
      <c r="LO74" s="42"/>
      <c r="LP74" s="42"/>
      <c r="LQ74" s="42"/>
      <c r="LR74" s="42"/>
      <c r="LS74" s="42"/>
      <c r="LT74" s="42"/>
      <c r="LU74" s="42"/>
      <c r="LV74" s="42"/>
      <c r="LW74" s="42"/>
      <c r="LX74" s="42"/>
      <c r="LY74" s="42"/>
      <c r="LZ74" s="42"/>
      <c r="MA74" s="42"/>
      <c r="MB74" s="42"/>
      <c r="MC74" s="42"/>
      <c r="MD74" s="42"/>
      <c r="ME74" s="42"/>
      <c r="MF74" s="42"/>
      <c r="MG74" s="42"/>
      <c r="MH74" s="42"/>
      <c r="MI74" s="42"/>
      <c r="MJ74" s="42"/>
      <c r="MK74" s="42"/>
      <c r="ML74" s="42"/>
      <c r="MM74" s="42"/>
      <c r="MN74" s="42"/>
      <c r="MO74" s="42"/>
      <c r="MP74" s="42"/>
      <c r="MQ74" s="42"/>
      <c r="MR74" s="42"/>
      <c r="MS74" s="42"/>
      <c r="MT74" s="42"/>
      <c r="MU74" s="42"/>
      <c r="MV74" s="42"/>
      <c r="MW74" s="42"/>
      <c r="MX74" s="42"/>
      <c r="MY74" s="42"/>
      <c r="MZ74" s="42"/>
      <c r="NA74" s="42"/>
      <c r="NB74" s="42"/>
      <c r="NC74" s="42"/>
      <c r="ND74" s="42"/>
      <c r="NE74" s="42"/>
      <c r="NF74" s="42"/>
      <c r="NG74" s="42"/>
      <c r="NH74" s="42"/>
      <c r="NI74" s="42"/>
      <c r="NJ74" s="42"/>
      <c r="NK74" s="42"/>
      <c r="NL74" s="42"/>
      <c r="NM74" s="42"/>
      <c r="NN74" s="42"/>
      <c r="NO74" s="42"/>
      <c r="NP74" s="42"/>
      <c r="NQ74" s="42"/>
      <c r="NR74" s="42"/>
      <c r="NS74" s="42"/>
    </row>
    <row r="75" spans="1:383" s="5" customFormat="1" x14ac:dyDescent="0.25">
      <c r="A75" s="1"/>
      <c r="B75" s="2"/>
      <c r="C75" s="2"/>
      <c r="D75" s="2"/>
      <c r="E75" s="3"/>
      <c r="F75" s="3"/>
      <c r="G75" s="4"/>
      <c r="H75" s="1"/>
      <c r="I75" s="7"/>
      <c r="J75" s="7"/>
      <c r="K75" s="7"/>
      <c r="L75" s="7"/>
      <c r="M75" s="7"/>
      <c r="N75" s="7"/>
      <c r="O75" s="3"/>
      <c r="P75" s="7"/>
      <c r="AL75" s="7"/>
      <c r="AM75" s="7"/>
      <c r="AN75" s="7"/>
      <c r="AO75" s="7"/>
      <c r="AT75" s="7"/>
      <c r="AV75" s="11"/>
      <c r="AW75" s="7"/>
      <c r="AY75" s="7"/>
      <c r="BN75" s="7"/>
      <c r="CQ75" s="7"/>
      <c r="DF75" s="7"/>
      <c r="DG75" s="7"/>
      <c r="DL75" s="15"/>
      <c r="DQ75" s="16"/>
      <c r="DR75" s="7"/>
      <c r="DV75" s="16"/>
      <c r="DZ75" s="16"/>
      <c r="EA75" s="7"/>
      <c r="EF75" s="16"/>
      <c r="EK75" s="16"/>
      <c r="EL75" s="7"/>
      <c r="EP75" s="16"/>
      <c r="ET75" s="16"/>
      <c r="EU75" s="7"/>
      <c r="FM75" s="7"/>
      <c r="FN75" s="390"/>
      <c r="FO75" s="390"/>
      <c r="FR75" s="7"/>
      <c r="FY75" s="7"/>
      <c r="GG75" s="7"/>
      <c r="HX75" s="74"/>
      <c r="HY75" s="42"/>
      <c r="HZ75" s="42"/>
      <c r="IE75" s="42"/>
      <c r="IF75" s="42"/>
      <c r="IK75" s="42"/>
      <c r="IL75" s="42"/>
      <c r="IM75" s="42"/>
      <c r="IN75" s="7"/>
      <c r="IO75" s="42"/>
      <c r="IT75" s="42"/>
      <c r="IU75" s="42"/>
      <c r="KC75" s="7"/>
      <c r="KD75" s="42"/>
      <c r="KG75" s="391"/>
      <c r="KH75" s="42"/>
      <c r="KI75" s="42"/>
      <c r="KJ75" s="42"/>
      <c r="KK75" s="42"/>
      <c r="KL75" s="42"/>
      <c r="KM75" s="42"/>
      <c r="KN75" s="42"/>
      <c r="KO75" s="42"/>
      <c r="KP75" s="42"/>
      <c r="KQ75" s="42"/>
      <c r="KR75" s="42"/>
      <c r="KS75" s="42"/>
      <c r="KT75" s="42"/>
      <c r="KU75" s="42"/>
      <c r="KV75" s="42"/>
      <c r="KW75" s="42"/>
      <c r="KX75" s="42"/>
      <c r="KY75" s="42"/>
      <c r="KZ75" s="42"/>
      <c r="LA75" s="42"/>
      <c r="LB75" s="42"/>
      <c r="LC75" s="42"/>
      <c r="LD75" s="42"/>
      <c r="LE75" s="42"/>
      <c r="LF75" s="42"/>
      <c r="LG75" s="42"/>
      <c r="LH75" s="42"/>
      <c r="LI75" s="42"/>
      <c r="LJ75" s="42"/>
      <c r="LK75" s="42"/>
      <c r="LL75" s="42"/>
      <c r="LM75" s="42"/>
      <c r="LN75" s="42"/>
      <c r="LO75" s="42"/>
      <c r="LP75" s="42"/>
      <c r="LQ75" s="42"/>
      <c r="LR75" s="42"/>
      <c r="LS75" s="42"/>
      <c r="LT75" s="42"/>
      <c r="LU75" s="42"/>
      <c r="LV75" s="42"/>
      <c r="LW75" s="42"/>
      <c r="LX75" s="42"/>
      <c r="LY75" s="42"/>
      <c r="LZ75" s="42"/>
      <c r="MA75" s="42"/>
      <c r="MB75" s="42"/>
      <c r="MC75" s="42"/>
      <c r="MD75" s="42"/>
      <c r="ME75" s="42"/>
      <c r="MF75" s="42"/>
      <c r="MG75" s="42"/>
      <c r="MH75" s="42"/>
      <c r="MI75" s="42"/>
      <c r="MJ75" s="42"/>
      <c r="MK75" s="42"/>
      <c r="ML75" s="42"/>
      <c r="MM75" s="42"/>
      <c r="MN75" s="42"/>
      <c r="MO75" s="42"/>
      <c r="MP75" s="42"/>
      <c r="MQ75" s="42"/>
      <c r="MR75" s="42"/>
      <c r="MS75" s="42"/>
      <c r="MT75" s="42"/>
      <c r="MU75" s="42"/>
      <c r="MV75" s="42"/>
      <c r="MW75" s="42"/>
      <c r="MX75" s="42"/>
      <c r="MY75" s="42"/>
      <c r="MZ75" s="42"/>
      <c r="NA75" s="42"/>
      <c r="NB75" s="42"/>
      <c r="NC75" s="42"/>
      <c r="ND75" s="42"/>
      <c r="NE75" s="42"/>
      <c r="NF75" s="42"/>
      <c r="NG75" s="42"/>
      <c r="NH75" s="42"/>
      <c r="NI75" s="42"/>
      <c r="NJ75" s="42"/>
      <c r="NK75" s="42"/>
      <c r="NL75" s="42"/>
      <c r="NM75" s="42"/>
      <c r="NN75" s="42"/>
      <c r="NO75" s="42"/>
      <c r="NP75" s="42"/>
      <c r="NQ75" s="42"/>
      <c r="NR75" s="42"/>
      <c r="NS75" s="42"/>
    </row>
    <row r="76" spans="1:383" s="5" customFormat="1" x14ac:dyDescent="0.25">
      <c r="A76" s="1"/>
      <c r="B76" s="2"/>
      <c r="C76" s="2"/>
      <c r="D76" s="2"/>
      <c r="E76" s="3"/>
      <c r="F76" s="3"/>
      <c r="G76" s="4"/>
      <c r="H76" s="1"/>
      <c r="I76" s="7"/>
      <c r="J76" s="7"/>
      <c r="K76" s="7"/>
      <c r="L76" s="7"/>
      <c r="M76" s="7"/>
      <c r="N76" s="7"/>
      <c r="O76" s="3"/>
      <c r="P76" s="7"/>
      <c r="AL76" s="7"/>
      <c r="AM76" s="7"/>
      <c r="AN76" s="7"/>
      <c r="AO76" s="7"/>
      <c r="AT76" s="7"/>
      <c r="AV76" s="11"/>
      <c r="AW76" s="7"/>
      <c r="AY76" s="7"/>
      <c r="BN76" s="7"/>
      <c r="CQ76" s="7"/>
      <c r="DF76" s="7"/>
      <c r="DG76" s="7"/>
      <c r="DL76" s="15"/>
      <c r="DQ76" s="16"/>
      <c r="DR76" s="7"/>
      <c r="DV76" s="16"/>
      <c r="DZ76" s="16"/>
      <c r="EA76" s="7"/>
      <c r="EF76" s="16"/>
      <c r="EK76" s="16"/>
      <c r="EL76" s="7"/>
      <c r="EP76" s="16"/>
      <c r="ET76" s="16"/>
      <c r="EU76" s="7"/>
      <c r="FM76" s="7"/>
      <c r="FN76" s="390"/>
      <c r="FO76" s="390"/>
      <c r="FR76" s="7"/>
      <c r="FY76" s="7"/>
      <c r="GG76" s="7"/>
      <c r="HX76" s="74"/>
      <c r="HY76" s="42"/>
      <c r="HZ76" s="42"/>
      <c r="IE76" s="42"/>
      <c r="IF76" s="42"/>
      <c r="IK76" s="42"/>
      <c r="IL76" s="42"/>
      <c r="IM76" s="42"/>
      <c r="IN76" s="7"/>
      <c r="IO76" s="42"/>
      <c r="IT76" s="42"/>
      <c r="IU76" s="42"/>
      <c r="KC76" s="7"/>
      <c r="KD76" s="42"/>
      <c r="KG76" s="391"/>
      <c r="KH76" s="42"/>
      <c r="KI76" s="42"/>
      <c r="KJ76" s="42"/>
      <c r="KK76" s="42"/>
      <c r="KL76" s="42"/>
      <c r="KM76" s="42"/>
      <c r="KN76" s="42"/>
      <c r="KO76" s="42"/>
      <c r="KP76" s="42"/>
      <c r="KQ76" s="42"/>
      <c r="KR76" s="42"/>
      <c r="KS76" s="42"/>
      <c r="KT76" s="42"/>
      <c r="KU76" s="42"/>
      <c r="KV76" s="42"/>
      <c r="KW76" s="42"/>
      <c r="KX76" s="42"/>
      <c r="KY76" s="42"/>
      <c r="KZ76" s="42"/>
      <c r="LA76" s="42"/>
      <c r="LB76" s="42"/>
      <c r="LC76" s="42"/>
      <c r="LD76" s="42"/>
      <c r="LE76" s="42"/>
      <c r="LF76" s="42"/>
      <c r="LG76" s="42"/>
      <c r="LH76" s="42"/>
      <c r="LI76" s="42"/>
      <c r="LJ76" s="42"/>
      <c r="LK76" s="42"/>
      <c r="LL76" s="42"/>
      <c r="LM76" s="42"/>
      <c r="LN76" s="42"/>
      <c r="LO76" s="42"/>
      <c r="LP76" s="42"/>
      <c r="LQ76" s="42"/>
      <c r="LR76" s="42"/>
      <c r="LS76" s="42"/>
      <c r="LT76" s="42"/>
      <c r="LU76" s="42"/>
      <c r="LV76" s="42"/>
      <c r="LW76" s="42"/>
      <c r="LX76" s="42"/>
      <c r="LY76" s="42"/>
      <c r="LZ76" s="42"/>
      <c r="MA76" s="42"/>
      <c r="MB76" s="42"/>
      <c r="MC76" s="42"/>
      <c r="MD76" s="42"/>
      <c r="ME76" s="42"/>
      <c r="MF76" s="42"/>
      <c r="MG76" s="42"/>
      <c r="MH76" s="42"/>
      <c r="MI76" s="42"/>
      <c r="MJ76" s="42"/>
      <c r="MK76" s="42"/>
      <c r="ML76" s="42"/>
      <c r="MM76" s="42"/>
      <c r="MN76" s="42"/>
      <c r="MO76" s="42"/>
      <c r="MP76" s="42"/>
      <c r="MQ76" s="42"/>
      <c r="MR76" s="42"/>
      <c r="MS76" s="42"/>
      <c r="MT76" s="42"/>
      <c r="MU76" s="42"/>
      <c r="MV76" s="42"/>
      <c r="MW76" s="42"/>
      <c r="MX76" s="42"/>
      <c r="MY76" s="42"/>
      <c r="MZ76" s="42"/>
      <c r="NA76" s="42"/>
      <c r="NB76" s="42"/>
      <c r="NC76" s="42"/>
      <c r="ND76" s="42"/>
      <c r="NE76" s="42"/>
      <c r="NF76" s="42"/>
      <c r="NG76" s="42"/>
      <c r="NH76" s="42"/>
      <c r="NI76" s="42"/>
      <c r="NJ76" s="42"/>
      <c r="NK76" s="42"/>
      <c r="NL76" s="42"/>
      <c r="NM76" s="42"/>
      <c r="NN76" s="42"/>
      <c r="NO76" s="42"/>
      <c r="NP76" s="42"/>
      <c r="NQ76" s="42"/>
      <c r="NR76" s="42"/>
      <c r="NS76" s="42"/>
    </row>
    <row r="77" spans="1:383" s="5" customFormat="1" x14ac:dyDescent="0.25">
      <c r="A77" s="1"/>
      <c r="B77" s="2"/>
      <c r="C77" s="2"/>
      <c r="D77" s="2"/>
      <c r="E77" s="3"/>
      <c r="F77" s="3"/>
      <c r="G77" s="4"/>
      <c r="H77" s="1"/>
      <c r="I77" s="7"/>
      <c r="J77" s="7"/>
      <c r="K77" s="7"/>
      <c r="L77" s="7"/>
      <c r="M77" s="7"/>
      <c r="N77" s="7"/>
      <c r="O77" s="3"/>
      <c r="P77" s="7"/>
      <c r="AL77" s="7"/>
      <c r="AM77" s="7"/>
      <c r="AN77" s="7"/>
      <c r="AO77" s="7"/>
      <c r="AT77" s="7"/>
      <c r="AV77" s="11"/>
      <c r="AW77" s="7"/>
      <c r="AY77" s="7"/>
      <c r="BN77" s="7"/>
      <c r="CQ77" s="7"/>
      <c r="DF77" s="7"/>
      <c r="DG77" s="7"/>
      <c r="DL77" s="15"/>
      <c r="DQ77" s="16"/>
      <c r="DR77" s="7"/>
      <c r="DV77" s="16"/>
      <c r="DZ77" s="16"/>
      <c r="EA77" s="7"/>
      <c r="EF77" s="16"/>
      <c r="EK77" s="16"/>
      <c r="EL77" s="7"/>
      <c r="EP77" s="16"/>
      <c r="ET77" s="16"/>
      <c r="EU77" s="7"/>
      <c r="FM77" s="7"/>
      <c r="FN77" s="390"/>
      <c r="FO77" s="390"/>
      <c r="FR77" s="7"/>
      <c r="FY77" s="7"/>
      <c r="GG77" s="7"/>
      <c r="HX77" s="74"/>
      <c r="HY77" s="42"/>
      <c r="HZ77" s="42"/>
      <c r="IE77" s="42"/>
      <c r="IF77" s="42"/>
      <c r="IK77" s="42"/>
      <c r="IL77" s="42"/>
      <c r="IM77" s="42"/>
      <c r="IN77" s="7"/>
      <c r="IO77" s="42"/>
      <c r="IT77" s="42"/>
      <c r="IU77" s="42"/>
      <c r="KC77" s="7"/>
      <c r="KD77" s="42"/>
      <c r="KG77" s="391"/>
      <c r="KH77" s="42"/>
      <c r="KI77" s="42"/>
      <c r="KJ77" s="42"/>
      <c r="KK77" s="42"/>
      <c r="KL77" s="42"/>
      <c r="KM77" s="42"/>
      <c r="KN77" s="42"/>
      <c r="KO77" s="42"/>
      <c r="KP77" s="42"/>
      <c r="KQ77" s="42"/>
      <c r="KR77" s="42"/>
      <c r="KS77" s="42"/>
      <c r="KT77" s="42"/>
      <c r="KU77" s="42"/>
      <c r="KV77" s="42"/>
      <c r="KW77" s="42"/>
      <c r="KX77" s="42"/>
      <c r="KY77" s="42"/>
      <c r="KZ77" s="42"/>
      <c r="LA77" s="42"/>
      <c r="LB77" s="42"/>
      <c r="LC77" s="42"/>
      <c r="LD77" s="42"/>
      <c r="LE77" s="42"/>
      <c r="LF77" s="42"/>
      <c r="LG77" s="42"/>
      <c r="LH77" s="42"/>
      <c r="LI77" s="42"/>
      <c r="LJ77" s="42"/>
      <c r="LK77" s="42"/>
      <c r="LL77" s="42"/>
      <c r="LM77" s="42"/>
      <c r="LN77" s="42"/>
      <c r="LO77" s="42"/>
      <c r="LP77" s="42"/>
      <c r="LQ77" s="42"/>
      <c r="LR77" s="42"/>
      <c r="LS77" s="42"/>
      <c r="LT77" s="42"/>
      <c r="LU77" s="42"/>
      <c r="LV77" s="42"/>
      <c r="LW77" s="42"/>
      <c r="LX77" s="42"/>
      <c r="LY77" s="42"/>
      <c r="LZ77" s="42"/>
      <c r="MA77" s="42"/>
      <c r="MB77" s="42"/>
      <c r="MC77" s="42"/>
      <c r="MD77" s="42"/>
      <c r="ME77" s="42"/>
      <c r="MF77" s="42"/>
      <c r="MG77" s="42"/>
      <c r="MH77" s="42"/>
      <c r="MI77" s="42"/>
      <c r="MJ77" s="42"/>
      <c r="MK77" s="42"/>
      <c r="ML77" s="42"/>
      <c r="MM77" s="42"/>
      <c r="MN77" s="42"/>
      <c r="MO77" s="42"/>
      <c r="MP77" s="42"/>
      <c r="MQ77" s="42"/>
      <c r="MR77" s="42"/>
      <c r="MS77" s="42"/>
      <c r="MT77" s="42"/>
      <c r="MU77" s="42"/>
      <c r="MV77" s="42"/>
      <c r="MW77" s="42"/>
      <c r="MX77" s="42"/>
      <c r="MY77" s="42"/>
      <c r="MZ77" s="42"/>
      <c r="NA77" s="42"/>
      <c r="NB77" s="42"/>
      <c r="NC77" s="42"/>
      <c r="ND77" s="42"/>
      <c r="NE77" s="42"/>
      <c r="NF77" s="42"/>
      <c r="NG77" s="42"/>
      <c r="NH77" s="42"/>
      <c r="NI77" s="42"/>
      <c r="NJ77" s="42"/>
      <c r="NK77" s="42"/>
      <c r="NL77" s="42"/>
      <c r="NM77" s="42"/>
      <c r="NN77" s="42"/>
      <c r="NO77" s="42"/>
      <c r="NP77" s="42"/>
      <c r="NQ77" s="42"/>
      <c r="NR77" s="42"/>
      <c r="NS77" s="42"/>
    </row>
    <row r="78" spans="1:383" s="5" customFormat="1" x14ac:dyDescent="0.25">
      <c r="A78" s="1"/>
      <c r="B78" s="2"/>
      <c r="C78" s="2"/>
      <c r="D78" s="2"/>
      <c r="E78" s="3"/>
      <c r="F78" s="3"/>
      <c r="G78" s="4"/>
      <c r="H78" s="1"/>
      <c r="I78" s="7"/>
      <c r="J78" s="7"/>
      <c r="K78" s="7"/>
      <c r="L78" s="7"/>
      <c r="M78" s="7"/>
      <c r="N78" s="7"/>
      <c r="O78" s="3"/>
      <c r="P78" s="7"/>
      <c r="AL78" s="7"/>
      <c r="AM78" s="7"/>
      <c r="AN78" s="7"/>
      <c r="AO78" s="7"/>
      <c r="AT78" s="7"/>
      <c r="AV78" s="11"/>
      <c r="AW78" s="7"/>
      <c r="AY78" s="7"/>
      <c r="BN78" s="7"/>
      <c r="CQ78" s="7"/>
      <c r="DF78" s="7"/>
      <c r="DG78" s="7"/>
      <c r="DL78" s="15"/>
      <c r="DQ78" s="16"/>
      <c r="DR78" s="7"/>
      <c r="DV78" s="16"/>
      <c r="DZ78" s="16"/>
      <c r="EA78" s="7"/>
      <c r="EF78" s="16"/>
      <c r="EK78" s="16"/>
      <c r="EL78" s="7"/>
      <c r="EP78" s="16"/>
      <c r="ET78" s="16"/>
      <c r="EU78" s="7"/>
      <c r="FM78" s="7"/>
      <c r="FN78" s="390"/>
      <c r="FO78" s="390"/>
      <c r="FR78" s="7"/>
      <c r="FY78" s="7"/>
      <c r="GG78" s="7"/>
      <c r="HX78" s="74"/>
      <c r="HY78" s="42"/>
      <c r="HZ78" s="42"/>
      <c r="IE78" s="42"/>
      <c r="IF78" s="42"/>
      <c r="IK78" s="42"/>
      <c r="IL78" s="42"/>
      <c r="IM78" s="42"/>
      <c r="IN78" s="7"/>
      <c r="IO78" s="42"/>
      <c r="IT78" s="42"/>
      <c r="IU78" s="42"/>
      <c r="KC78" s="7"/>
      <c r="KD78" s="42"/>
      <c r="KG78" s="391"/>
      <c r="KH78" s="42"/>
      <c r="KI78" s="42"/>
      <c r="KJ78" s="42"/>
      <c r="KK78" s="42"/>
      <c r="KL78" s="42"/>
      <c r="KM78" s="42"/>
      <c r="KN78" s="42"/>
      <c r="KO78" s="42"/>
      <c r="KP78" s="42"/>
      <c r="KQ78" s="42"/>
      <c r="KR78" s="42"/>
      <c r="KS78" s="42"/>
      <c r="KT78" s="42"/>
      <c r="KU78" s="42"/>
      <c r="KV78" s="42"/>
      <c r="KW78" s="42"/>
      <c r="KX78" s="42"/>
      <c r="KY78" s="42"/>
      <c r="KZ78" s="42"/>
      <c r="LA78" s="42"/>
      <c r="LB78" s="42"/>
      <c r="LC78" s="42"/>
      <c r="LD78" s="42"/>
      <c r="LE78" s="42"/>
      <c r="LF78" s="42"/>
      <c r="LG78" s="42"/>
      <c r="LH78" s="42"/>
      <c r="LI78" s="42"/>
      <c r="LJ78" s="42"/>
      <c r="LK78" s="42"/>
      <c r="LL78" s="42"/>
      <c r="LM78" s="42"/>
      <c r="LN78" s="42"/>
      <c r="LO78" s="42"/>
      <c r="LP78" s="42"/>
      <c r="LQ78" s="42"/>
      <c r="LR78" s="42"/>
      <c r="LS78" s="42"/>
      <c r="LT78" s="42"/>
      <c r="LU78" s="42"/>
      <c r="LV78" s="42"/>
      <c r="LW78" s="42"/>
      <c r="LX78" s="42"/>
      <c r="LY78" s="42"/>
      <c r="LZ78" s="42"/>
      <c r="MA78" s="42"/>
      <c r="MB78" s="42"/>
      <c r="MC78" s="42"/>
      <c r="MD78" s="42"/>
      <c r="ME78" s="42"/>
      <c r="MF78" s="42"/>
      <c r="MG78" s="42"/>
      <c r="MH78" s="42"/>
      <c r="MI78" s="42"/>
      <c r="MJ78" s="42"/>
      <c r="MK78" s="42"/>
      <c r="ML78" s="42"/>
      <c r="MM78" s="42"/>
      <c r="MN78" s="42"/>
      <c r="MO78" s="42"/>
      <c r="MP78" s="42"/>
      <c r="MQ78" s="42"/>
      <c r="MR78" s="42"/>
      <c r="MS78" s="42"/>
      <c r="MT78" s="42"/>
      <c r="MU78" s="42"/>
      <c r="MV78" s="42"/>
      <c r="MW78" s="42"/>
      <c r="MX78" s="42"/>
      <c r="MY78" s="42"/>
      <c r="MZ78" s="42"/>
      <c r="NA78" s="42"/>
      <c r="NB78" s="42"/>
      <c r="NC78" s="42"/>
      <c r="ND78" s="42"/>
      <c r="NE78" s="42"/>
      <c r="NF78" s="42"/>
      <c r="NG78" s="42"/>
      <c r="NH78" s="42"/>
      <c r="NI78" s="42"/>
      <c r="NJ78" s="42"/>
      <c r="NK78" s="42"/>
      <c r="NL78" s="42"/>
      <c r="NM78" s="42"/>
      <c r="NN78" s="42"/>
      <c r="NO78" s="42"/>
      <c r="NP78" s="42"/>
      <c r="NQ78" s="42"/>
      <c r="NR78" s="42"/>
      <c r="NS78" s="42"/>
    </row>
    <row r="79" spans="1:383" s="5" customFormat="1" x14ac:dyDescent="0.25">
      <c r="A79" s="1"/>
      <c r="B79" s="2"/>
      <c r="C79" s="2"/>
      <c r="D79" s="2"/>
      <c r="E79" s="3"/>
      <c r="F79" s="3"/>
      <c r="G79" s="4"/>
      <c r="H79" s="1"/>
      <c r="I79" s="7"/>
      <c r="J79" s="7"/>
      <c r="K79" s="7"/>
      <c r="L79" s="7"/>
      <c r="M79" s="7"/>
      <c r="N79" s="7"/>
      <c r="O79" s="3"/>
      <c r="P79" s="7"/>
      <c r="AL79" s="7"/>
      <c r="AM79" s="7"/>
      <c r="AN79" s="7"/>
      <c r="AO79" s="7"/>
      <c r="AT79" s="7"/>
      <c r="AV79" s="11"/>
      <c r="AW79" s="7"/>
      <c r="AY79" s="7"/>
      <c r="BN79" s="7"/>
      <c r="CQ79" s="7"/>
      <c r="DF79" s="7"/>
      <c r="DG79" s="7"/>
      <c r="DL79" s="15"/>
      <c r="DQ79" s="16"/>
      <c r="DR79" s="7"/>
      <c r="DV79" s="16"/>
      <c r="DZ79" s="16"/>
      <c r="EA79" s="7"/>
      <c r="EF79" s="16"/>
      <c r="EK79" s="16"/>
      <c r="EL79" s="7"/>
      <c r="EP79" s="16"/>
      <c r="ET79" s="16"/>
      <c r="EU79" s="7"/>
      <c r="FM79" s="7"/>
      <c r="FN79" s="390"/>
      <c r="FO79" s="390"/>
      <c r="FR79" s="7"/>
      <c r="FY79" s="7"/>
      <c r="GG79" s="7"/>
      <c r="HX79" s="74"/>
      <c r="HY79" s="42"/>
      <c r="HZ79" s="42"/>
      <c r="IE79" s="42"/>
      <c r="IF79" s="42"/>
      <c r="IK79" s="42"/>
      <c r="IL79" s="42"/>
      <c r="IM79" s="42"/>
      <c r="IN79" s="7"/>
      <c r="IO79" s="42"/>
      <c r="IT79" s="42"/>
      <c r="IU79" s="42"/>
      <c r="KC79" s="7"/>
      <c r="KD79" s="42"/>
      <c r="KG79" s="391"/>
      <c r="KH79" s="42"/>
      <c r="KI79" s="42"/>
      <c r="KJ79" s="42"/>
      <c r="KK79" s="42"/>
      <c r="KL79" s="42"/>
      <c r="KM79" s="42"/>
      <c r="KN79" s="42"/>
      <c r="KO79" s="42"/>
      <c r="KP79" s="42"/>
      <c r="KQ79" s="42"/>
      <c r="KR79" s="42"/>
      <c r="KS79" s="42"/>
      <c r="KT79" s="42"/>
      <c r="KU79" s="42"/>
      <c r="KV79" s="42"/>
      <c r="KW79" s="42"/>
      <c r="KX79" s="42"/>
      <c r="KY79" s="42"/>
      <c r="KZ79" s="42"/>
      <c r="LA79" s="42"/>
      <c r="LB79" s="42"/>
      <c r="LC79" s="42"/>
      <c r="LD79" s="42"/>
      <c r="LE79" s="42"/>
      <c r="LF79" s="42"/>
      <c r="LG79" s="42"/>
      <c r="LH79" s="42"/>
      <c r="LI79" s="42"/>
      <c r="LJ79" s="42"/>
      <c r="LK79" s="42"/>
      <c r="LL79" s="42"/>
      <c r="LM79" s="42"/>
      <c r="LN79" s="42"/>
      <c r="LO79" s="42"/>
      <c r="LP79" s="42"/>
      <c r="LQ79" s="42"/>
      <c r="LR79" s="42"/>
      <c r="LS79" s="42"/>
      <c r="LT79" s="42"/>
      <c r="LU79" s="42"/>
      <c r="LV79" s="42"/>
      <c r="LW79" s="42"/>
      <c r="LX79" s="42"/>
      <c r="LY79" s="42"/>
      <c r="LZ79" s="42"/>
      <c r="MA79" s="42"/>
      <c r="MB79" s="42"/>
      <c r="MC79" s="42"/>
      <c r="MD79" s="42"/>
      <c r="ME79" s="42"/>
      <c r="MF79" s="42"/>
      <c r="MG79" s="42"/>
      <c r="MH79" s="42"/>
      <c r="MI79" s="42"/>
      <c r="MJ79" s="42"/>
      <c r="MK79" s="42"/>
      <c r="ML79" s="42"/>
      <c r="MM79" s="42"/>
      <c r="MN79" s="42"/>
      <c r="MO79" s="42"/>
      <c r="MP79" s="42"/>
      <c r="MQ79" s="42"/>
      <c r="MR79" s="42"/>
      <c r="MS79" s="42"/>
      <c r="MT79" s="42"/>
      <c r="MU79" s="42"/>
      <c r="MV79" s="42"/>
      <c r="MW79" s="42"/>
      <c r="MX79" s="42"/>
      <c r="MY79" s="42"/>
      <c r="MZ79" s="42"/>
      <c r="NA79" s="42"/>
      <c r="NB79" s="42"/>
      <c r="NC79" s="42"/>
      <c r="ND79" s="42"/>
      <c r="NE79" s="42"/>
      <c r="NF79" s="42"/>
      <c r="NG79" s="42"/>
      <c r="NH79" s="42"/>
      <c r="NI79" s="42"/>
      <c r="NJ79" s="42"/>
      <c r="NK79" s="42"/>
      <c r="NL79" s="42"/>
      <c r="NM79" s="42"/>
      <c r="NN79" s="42"/>
      <c r="NO79" s="42"/>
      <c r="NP79" s="42"/>
      <c r="NQ79" s="42"/>
      <c r="NR79" s="42"/>
      <c r="NS79" s="42"/>
    </row>
    <row r="80" spans="1:383" s="5" customFormat="1" x14ac:dyDescent="0.25">
      <c r="A80" s="1"/>
      <c r="B80" s="2"/>
      <c r="C80" s="2"/>
      <c r="D80" s="2"/>
      <c r="E80" s="3"/>
      <c r="F80" s="3"/>
      <c r="G80" s="4"/>
      <c r="H80" s="1"/>
      <c r="I80" s="7"/>
      <c r="J80" s="7"/>
      <c r="K80" s="7"/>
      <c r="L80" s="7"/>
      <c r="M80" s="7"/>
      <c r="N80" s="7"/>
      <c r="O80" s="3"/>
      <c r="P80" s="7"/>
      <c r="AL80" s="7"/>
      <c r="AM80" s="7"/>
      <c r="AN80" s="7"/>
      <c r="AO80" s="7"/>
      <c r="AT80" s="7"/>
      <c r="AV80" s="11"/>
      <c r="AW80" s="7"/>
      <c r="AY80" s="7"/>
      <c r="BN80" s="7"/>
      <c r="CQ80" s="7"/>
      <c r="DF80" s="7"/>
      <c r="DG80" s="7"/>
      <c r="DL80" s="15"/>
      <c r="DQ80" s="16"/>
      <c r="DR80" s="7"/>
      <c r="DV80" s="16"/>
      <c r="DZ80" s="16"/>
      <c r="EA80" s="7"/>
      <c r="EF80" s="16"/>
      <c r="EK80" s="16"/>
      <c r="EL80" s="7"/>
      <c r="EP80" s="16"/>
      <c r="ET80" s="16"/>
      <c r="EU80" s="7"/>
      <c r="FM80" s="7"/>
      <c r="FN80" s="390"/>
      <c r="FO80" s="390"/>
      <c r="FR80" s="7"/>
      <c r="FY80" s="7"/>
      <c r="GG80" s="7"/>
      <c r="HX80" s="74"/>
      <c r="HY80" s="42"/>
      <c r="HZ80" s="42"/>
      <c r="IE80" s="42"/>
      <c r="IF80" s="42"/>
      <c r="IK80" s="42"/>
      <c r="IL80" s="42"/>
      <c r="IM80" s="42"/>
      <c r="IN80" s="7"/>
      <c r="IO80" s="42"/>
      <c r="IT80" s="42"/>
      <c r="IU80" s="42"/>
      <c r="KC80" s="7"/>
      <c r="KD80" s="42"/>
      <c r="KG80" s="391"/>
      <c r="KH80" s="42"/>
      <c r="KI80" s="42"/>
      <c r="KJ80" s="42"/>
      <c r="KK80" s="42"/>
      <c r="KL80" s="42"/>
      <c r="KM80" s="42"/>
      <c r="KN80" s="42"/>
      <c r="KO80" s="42"/>
      <c r="KP80" s="42"/>
      <c r="KQ80" s="42"/>
      <c r="KR80" s="42"/>
      <c r="KS80" s="42"/>
      <c r="KT80" s="42"/>
      <c r="KU80" s="42"/>
      <c r="KV80" s="42"/>
      <c r="KW80" s="42"/>
      <c r="KX80" s="42"/>
      <c r="KY80" s="42"/>
      <c r="KZ80" s="42"/>
      <c r="LA80" s="42"/>
      <c r="LB80" s="42"/>
      <c r="LC80" s="42"/>
      <c r="LD80" s="42"/>
      <c r="LE80" s="42"/>
      <c r="LF80" s="42"/>
      <c r="LG80" s="42"/>
      <c r="LH80" s="42"/>
      <c r="LI80" s="42"/>
      <c r="LJ80" s="42"/>
      <c r="LK80" s="42"/>
      <c r="LL80" s="42"/>
      <c r="LM80" s="42"/>
      <c r="LN80" s="42"/>
      <c r="LO80" s="42"/>
      <c r="LP80" s="42"/>
      <c r="LQ80" s="42"/>
      <c r="LR80" s="42"/>
      <c r="LS80" s="42"/>
      <c r="LT80" s="42"/>
      <c r="LU80" s="42"/>
      <c r="LV80" s="42"/>
      <c r="LW80" s="42"/>
      <c r="LX80" s="42"/>
      <c r="LY80" s="42"/>
      <c r="LZ80" s="42"/>
      <c r="MA80" s="42"/>
      <c r="MB80" s="42"/>
      <c r="MC80" s="42"/>
      <c r="MD80" s="42"/>
      <c r="ME80" s="42"/>
      <c r="MF80" s="42"/>
      <c r="MG80" s="42"/>
      <c r="MH80" s="42"/>
      <c r="MI80" s="42"/>
      <c r="MJ80" s="42"/>
      <c r="MK80" s="42"/>
      <c r="ML80" s="42"/>
      <c r="MM80" s="42"/>
      <c r="MN80" s="42"/>
      <c r="MO80" s="42"/>
      <c r="MP80" s="42"/>
      <c r="MQ80" s="42"/>
      <c r="MR80" s="42"/>
      <c r="MS80" s="42"/>
      <c r="MT80" s="42"/>
      <c r="MU80" s="42"/>
      <c r="MV80" s="42"/>
      <c r="MW80" s="42"/>
      <c r="MX80" s="42"/>
      <c r="MY80" s="42"/>
      <c r="MZ80" s="42"/>
      <c r="NA80" s="42"/>
      <c r="NB80" s="42"/>
      <c r="NC80" s="42"/>
      <c r="ND80" s="42"/>
      <c r="NE80" s="42"/>
      <c r="NF80" s="42"/>
      <c r="NG80" s="42"/>
      <c r="NH80" s="42"/>
      <c r="NI80" s="42"/>
      <c r="NJ80" s="42"/>
      <c r="NK80" s="42"/>
      <c r="NL80" s="42"/>
      <c r="NM80" s="42"/>
      <c r="NN80" s="42"/>
      <c r="NO80" s="42"/>
      <c r="NP80" s="42"/>
      <c r="NQ80" s="42"/>
      <c r="NR80" s="42"/>
      <c r="NS80" s="42"/>
    </row>
    <row r="81" spans="1:383" s="5" customFormat="1" x14ac:dyDescent="0.25">
      <c r="A81" s="1"/>
      <c r="B81" s="2"/>
      <c r="C81" s="2"/>
      <c r="D81" s="2"/>
      <c r="E81" s="3"/>
      <c r="F81" s="3"/>
      <c r="G81" s="4"/>
      <c r="H81" s="1"/>
      <c r="I81" s="7"/>
      <c r="J81" s="7"/>
      <c r="K81" s="7"/>
      <c r="L81" s="7"/>
      <c r="M81" s="7"/>
      <c r="N81" s="7"/>
      <c r="O81" s="3"/>
      <c r="P81" s="7"/>
      <c r="AL81" s="7"/>
      <c r="AM81" s="7"/>
      <c r="AN81" s="7"/>
      <c r="AO81" s="7"/>
      <c r="AT81" s="7"/>
      <c r="AV81" s="11"/>
      <c r="AW81" s="7"/>
      <c r="AY81" s="7"/>
      <c r="BN81" s="7"/>
      <c r="CQ81" s="7"/>
      <c r="DF81" s="7"/>
      <c r="DG81" s="7"/>
      <c r="DL81" s="15"/>
      <c r="DQ81" s="16"/>
      <c r="DR81" s="7"/>
      <c r="DV81" s="16"/>
      <c r="DZ81" s="16"/>
      <c r="EA81" s="7"/>
      <c r="EF81" s="16"/>
      <c r="EK81" s="16"/>
      <c r="EL81" s="7"/>
      <c r="EP81" s="16"/>
      <c r="ET81" s="16"/>
      <c r="EU81" s="7"/>
      <c r="FM81" s="7"/>
      <c r="FN81" s="390"/>
      <c r="FO81" s="390"/>
      <c r="FR81" s="7"/>
      <c r="FY81" s="7"/>
      <c r="GG81" s="7"/>
      <c r="HX81" s="74"/>
      <c r="HY81" s="42"/>
      <c r="HZ81" s="42"/>
      <c r="IE81" s="42"/>
      <c r="IF81" s="42"/>
      <c r="IK81" s="42"/>
      <c r="IL81" s="42"/>
      <c r="IM81" s="42"/>
      <c r="IN81" s="7"/>
      <c r="IO81" s="42"/>
      <c r="IT81" s="42"/>
      <c r="IU81" s="42"/>
      <c r="KC81" s="7"/>
      <c r="KD81" s="42"/>
      <c r="KG81" s="391"/>
      <c r="KH81" s="42"/>
      <c r="KI81" s="42"/>
      <c r="KJ81" s="42"/>
      <c r="KK81" s="42"/>
      <c r="KL81" s="42"/>
      <c r="KM81" s="42"/>
      <c r="KN81" s="42"/>
      <c r="KO81" s="42"/>
      <c r="KP81" s="42"/>
      <c r="KQ81" s="42"/>
      <c r="KR81" s="42"/>
      <c r="KS81" s="42"/>
      <c r="KT81" s="42"/>
      <c r="KU81" s="42"/>
      <c r="KV81" s="42"/>
      <c r="KW81" s="42"/>
      <c r="KX81" s="42"/>
      <c r="KY81" s="42"/>
      <c r="KZ81" s="42"/>
      <c r="LA81" s="42"/>
      <c r="LB81" s="42"/>
      <c r="LC81" s="42"/>
      <c r="LD81" s="42"/>
      <c r="LE81" s="42"/>
      <c r="LF81" s="42"/>
      <c r="LG81" s="42"/>
      <c r="LH81" s="42"/>
      <c r="LI81" s="42"/>
      <c r="LJ81" s="42"/>
      <c r="LK81" s="42"/>
      <c r="LL81" s="42"/>
      <c r="LM81" s="42"/>
      <c r="LN81" s="42"/>
      <c r="LO81" s="42"/>
      <c r="LP81" s="42"/>
      <c r="LQ81" s="42"/>
      <c r="LR81" s="42"/>
      <c r="LS81" s="42"/>
      <c r="LT81" s="42"/>
      <c r="LU81" s="42"/>
      <c r="LV81" s="42"/>
      <c r="LW81" s="42"/>
      <c r="LX81" s="42"/>
      <c r="LY81" s="42"/>
      <c r="LZ81" s="42"/>
      <c r="MA81" s="42"/>
      <c r="MB81" s="42"/>
      <c r="MC81" s="42"/>
      <c r="MD81" s="42"/>
      <c r="ME81" s="42"/>
      <c r="MF81" s="42"/>
      <c r="MG81" s="42"/>
      <c r="MH81" s="42"/>
      <c r="MI81" s="42"/>
      <c r="MJ81" s="42"/>
      <c r="MK81" s="42"/>
      <c r="ML81" s="42"/>
      <c r="MM81" s="42"/>
      <c r="MN81" s="42"/>
      <c r="MO81" s="42"/>
      <c r="MP81" s="42"/>
      <c r="MQ81" s="42"/>
      <c r="MR81" s="42"/>
      <c r="MS81" s="42"/>
      <c r="MT81" s="42"/>
      <c r="MU81" s="42"/>
      <c r="MV81" s="42"/>
      <c r="MW81" s="42"/>
      <c r="MX81" s="42"/>
      <c r="MY81" s="42"/>
      <c r="MZ81" s="42"/>
      <c r="NA81" s="42"/>
      <c r="NB81" s="42"/>
      <c r="NC81" s="42"/>
      <c r="ND81" s="42"/>
      <c r="NE81" s="42"/>
      <c r="NF81" s="42"/>
      <c r="NG81" s="42"/>
      <c r="NH81" s="42"/>
      <c r="NI81" s="42"/>
      <c r="NJ81" s="42"/>
      <c r="NK81" s="42"/>
      <c r="NL81" s="42"/>
      <c r="NM81" s="42"/>
      <c r="NN81" s="42"/>
      <c r="NO81" s="42"/>
      <c r="NP81" s="42"/>
      <c r="NQ81" s="42"/>
      <c r="NR81" s="42"/>
      <c r="NS81" s="42"/>
    </row>
    <row r="82" spans="1:383" s="5" customFormat="1" x14ac:dyDescent="0.25">
      <c r="A82" s="1"/>
      <c r="B82" s="2"/>
      <c r="C82" s="2"/>
      <c r="D82" s="2"/>
      <c r="E82" s="3"/>
      <c r="F82" s="3"/>
      <c r="G82" s="4"/>
      <c r="H82" s="1"/>
      <c r="I82" s="7"/>
      <c r="J82" s="7"/>
      <c r="K82" s="7"/>
      <c r="L82" s="7"/>
      <c r="M82" s="7"/>
      <c r="N82" s="7"/>
      <c r="O82" s="3"/>
      <c r="P82" s="7"/>
      <c r="AL82" s="7"/>
      <c r="AM82" s="7"/>
      <c r="AN82" s="7"/>
      <c r="AO82" s="7"/>
      <c r="AT82" s="7"/>
      <c r="AV82" s="11"/>
      <c r="AW82" s="7"/>
      <c r="AY82" s="7"/>
      <c r="BN82" s="7"/>
      <c r="CQ82" s="7"/>
      <c r="DF82" s="7"/>
      <c r="DG82" s="7"/>
      <c r="DL82" s="15"/>
      <c r="DQ82" s="16"/>
      <c r="DR82" s="7"/>
      <c r="DV82" s="16"/>
      <c r="DZ82" s="16"/>
      <c r="EA82" s="7"/>
      <c r="EF82" s="16"/>
      <c r="EK82" s="16"/>
      <c r="EL82" s="7"/>
      <c r="EP82" s="16"/>
      <c r="ET82" s="16"/>
      <c r="EU82" s="7"/>
      <c r="FM82" s="7"/>
      <c r="FN82" s="390"/>
      <c r="FO82" s="390"/>
      <c r="FR82" s="7"/>
      <c r="FY82" s="7"/>
      <c r="GG82" s="7"/>
      <c r="HX82" s="74"/>
      <c r="HY82" s="42"/>
      <c r="HZ82" s="42"/>
      <c r="IE82" s="42"/>
      <c r="IF82" s="42"/>
      <c r="IK82" s="42"/>
      <c r="IL82" s="42"/>
      <c r="IM82" s="42"/>
      <c r="IN82" s="7"/>
      <c r="IO82" s="42"/>
      <c r="IT82" s="42"/>
      <c r="IU82" s="42"/>
      <c r="KC82" s="7"/>
      <c r="KD82" s="42"/>
      <c r="KG82" s="391"/>
      <c r="KH82" s="42"/>
      <c r="KI82" s="42"/>
      <c r="KJ82" s="42"/>
      <c r="KK82" s="42"/>
      <c r="KL82" s="42"/>
      <c r="KM82" s="42"/>
      <c r="KN82" s="42"/>
      <c r="KO82" s="42"/>
      <c r="KP82" s="42"/>
      <c r="KQ82" s="42"/>
      <c r="KR82" s="42"/>
      <c r="KS82" s="42"/>
      <c r="KT82" s="42"/>
      <c r="KU82" s="42"/>
      <c r="KV82" s="42"/>
      <c r="KW82" s="42"/>
      <c r="KX82" s="42"/>
      <c r="KY82" s="42"/>
      <c r="KZ82" s="42"/>
      <c r="LA82" s="42"/>
      <c r="LB82" s="42"/>
      <c r="LC82" s="42"/>
      <c r="LD82" s="42"/>
      <c r="LE82" s="42"/>
      <c r="LF82" s="42"/>
      <c r="LG82" s="42"/>
      <c r="LH82" s="42"/>
      <c r="LI82" s="42"/>
      <c r="LJ82" s="42"/>
      <c r="LK82" s="42"/>
      <c r="LL82" s="42"/>
      <c r="LM82" s="42"/>
      <c r="LN82" s="42"/>
      <c r="LO82" s="42"/>
      <c r="LP82" s="42"/>
      <c r="LQ82" s="42"/>
      <c r="LR82" s="42"/>
      <c r="LS82" s="42"/>
      <c r="LT82" s="42"/>
      <c r="LU82" s="42"/>
      <c r="LV82" s="42"/>
      <c r="LW82" s="42"/>
      <c r="LX82" s="42"/>
      <c r="LY82" s="42"/>
      <c r="LZ82" s="42"/>
      <c r="MA82" s="42"/>
      <c r="MB82" s="42"/>
      <c r="MC82" s="42"/>
      <c r="MD82" s="42"/>
      <c r="ME82" s="42"/>
      <c r="MF82" s="42"/>
      <c r="MG82" s="42"/>
      <c r="MH82" s="42"/>
      <c r="MI82" s="42"/>
      <c r="MJ82" s="42"/>
      <c r="MK82" s="42"/>
      <c r="ML82" s="42"/>
      <c r="MM82" s="42"/>
      <c r="MN82" s="42"/>
      <c r="MO82" s="42"/>
      <c r="MP82" s="42"/>
      <c r="MQ82" s="42"/>
      <c r="MR82" s="42"/>
      <c r="MS82" s="42"/>
      <c r="MT82" s="42"/>
      <c r="MU82" s="42"/>
      <c r="MV82" s="42"/>
      <c r="MW82" s="42"/>
      <c r="MX82" s="42"/>
      <c r="MY82" s="42"/>
      <c r="MZ82" s="42"/>
      <c r="NA82" s="42"/>
      <c r="NB82" s="42"/>
      <c r="NC82" s="42"/>
      <c r="ND82" s="42"/>
      <c r="NE82" s="42"/>
      <c r="NF82" s="42"/>
      <c r="NG82" s="42"/>
      <c r="NH82" s="42"/>
      <c r="NI82" s="42"/>
      <c r="NJ82" s="42"/>
      <c r="NK82" s="42"/>
      <c r="NL82" s="42"/>
      <c r="NM82" s="42"/>
      <c r="NN82" s="42"/>
      <c r="NO82" s="42"/>
      <c r="NP82" s="42"/>
      <c r="NQ82" s="42"/>
      <c r="NR82" s="42"/>
      <c r="NS82" s="42"/>
    </row>
    <row r="83" spans="1:383" s="5" customFormat="1" x14ac:dyDescent="0.25">
      <c r="A83" s="1"/>
      <c r="B83" s="2"/>
      <c r="C83" s="2"/>
      <c r="D83" s="2"/>
      <c r="E83" s="3"/>
      <c r="F83" s="3"/>
      <c r="G83" s="4"/>
      <c r="H83" s="1"/>
      <c r="I83" s="7"/>
      <c r="J83" s="7"/>
      <c r="K83" s="7"/>
      <c r="L83" s="7"/>
      <c r="M83" s="7"/>
      <c r="N83" s="7"/>
      <c r="O83" s="3"/>
      <c r="P83" s="7"/>
      <c r="AL83" s="7"/>
      <c r="AM83" s="7"/>
      <c r="AN83" s="7"/>
      <c r="AO83" s="7"/>
      <c r="AT83" s="7"/>
      <c r="AV83" s="11"/>
      <c r="AW83" s="7"/>
      <c r="AY83" s="7"/>
      <c r="BN83" s="7"/>
      <c r="CQ83" s="7"/>
      <c r="DF83" s="7"/>
      <c r="DG83" s="7"/>
      <c r="DL83" s="15"/>
      <c r="DQ83" s="16"/>
      <c r="DR83" s="7"/>
      <c r="DV83" s="16"/>
      <c r="DZ83" s="16"/>
      <c r="EA83" s="7"/>
      <c r="EF83" s="16"/>
      <c r="EK83" s="16"/>
      <c r="EL83" s="7"/>
      <c r="EP83" s="16"/>
      <c r="ET83" s="16"/>
      <c r="EU83" s="7"/>
      <c r="FM83" s="7"/>
      <c r="FN83" s="390"/>
      <c r="FO83" s="390"/>
      <c r="FR83" s="7"/>
      <c r="FY83" s="7"/>
      <c r="GG83" s="7"/>
      <c r="HX83" s="74"/>
      <c r="HY83" s="42"/>
      <c r="HZ83" s="42"/>
      <c r="IE83" s="42"/>
      <c r="IF83" s="42"/>
      <c r="IK83" s="42"/>
      <c r="IL83" s="42"/>
      <c r="IM83" s="42"/>
      <c r="IN83" s="7"/>
      <c r="IO83" s="42"/>
      <c r="IT83" s="42"/>
      <c r="IU83" s="42"/>
      <c r="KC83" s="7"/>
      <c r="KD83" s="42"/>
      <c r="KG83" s="391"/>
      <c r="KH83" s="42"/>
      <c r="KI83" s="42"/>
      <c r="KJ83" s="42"/>
      <c r="KK83" s="42"/>
      <c r="KL83" s="42"/>
      <c r="KM83" s="42"/>
      <c r="KN83" s="42"/>
      <c r="KO83" s="42"/>
      <c r="KP83" s="42"/>
      <c r="KQ83" s="42"/>
      <c r="KR83" s="42"/>
      <c r="KS83" s="42"/>
      <c r="KT83" s="42"/>
      <c r="KU83" s="42"/>
      <c r="KV83" s="42"/>
      <c r="KW83" s="42"/>
      <c r="KX83" s="42"/>
      <c r="KY83" s="42"/>
      <c r="KZ83" s="42"/>
      <c r="LA83" s="42"/>
      <c r="LB83" s="42"/>
      <c r="LC83" s="42"/>
      <c r="LD83" s="42"/>
      <c r="LE83" s="42"/>
      <c r="LF83" s="42"/>
      <c r="LG83" s="42"/>
      <c r="LH83" s="42"/>
      <c r="LI83" s="42"/>
      <c r="LJ83" s="42"/>
      <c r="LK83" s="42"/>
      <c r="LL83" s="42"/>
      <c r="LM83" s="42"/>
      <c r="LN83" s="42"/>
      <c r="LO83" s="42"/>
      <c r="LP83" s="42"/>
      <c r="LQ83" s="42"/>
      <c r="LR83" s="42"/>
      <c r="LS83" s="42"/>
      <c r="LT83" s="42"/>
      <c r="LU83" s="42"/>
      <c r="LV83" s="42"/>
      <c r="LW83" s="42"/>
      <c r="LX83" s="42"/>
      <c r="LY83" s="42"/>
      <c r="LZ83" s="42"/>
      <c r="MA83" s="42"/>
      <c r="MB83" s="42"/>
      <c r="MC83" s="42"/>
      <c r="MD83" s="42"/>
      <c r="ME83" s="42"/>
      <c r="MF83" s="42"/>
      <c r="MG83" s="42"/>
      <c r="MH83" s="42"/>
      <c r="MI83" s="42"/>
      <c r="MJ83" s="42"/>
      <c r="MK83" s="42"/>
      <c r="ML83" s="42"/>
      <c r="MM83" s="42"/>
      <c r="MN83" s="42"/>
      <c r="MO83" s="42"/>
      <c r="MP83" s="42"/>
      <c r="MQ83" s="42"/>
      <c r="MR83" s="42"/>
      <c r="MS83" s="42"/>
      <c r="MT83" s="42"/>
      <c r="MU83" s="42"/>
      <c r="MV83" s="42"/>
      <c r="MW83" s="42"/>
      <c r="MX83" s="42"/>
      <c r="MY83" s="42"/>
      <c r="MZ83" s="42"/>
      <c r="NA83" s="42"/>
      <c r="NB83" s="42"/>
      <c r="NC83" s="42"/>
      <c r="ND83" s="42"/>
      <c r="NE83" s="42"/>
      <c r="NF83" s="42"/>
      <c r="NG83" s="42"/>
      <c r="NH83" s="42"/>
      <c r="NI83" s="42"/>
      <c r="NJ83" s="42"/>
      <c r="NK83" s="42"/>
      <c r="NL83" s="42"/>
      <c r="NM83" s="42"/>
      <c r="NN83" s="42"/>
      <c r="NO83" s="42"/>
      <c r="NP83" s="42"/>
      <c r="NQ83" s="42"/>
      <c r="NR83" s="42"/>
      <c r="NS83" s="42"/>
    </row>
    <row r="84" spans="1:383" s="5" customFormat="1" x14ac:dyDescent="0.25">
      <c r="A84" s="1"/>
      <c r="B84" s="2"/>
      <c r="C84" s="2"/>
      <c r="D84" s="2"/>
      <c r="E84" s="3"/>
      <c r="F84" s="3"/>
      <c r="G84" s="4"/>
      <c r="H84" s="1"/>
      <c r="I84" s="7"/>
      <c r="J84" s="7"/>
      <c r="K84" s="7"/>
      <c r="L84" s="7"/>
      <c r="M84" s="7"/>
      <c r="N84" s="7"/>
      <c r="O84" s="3"/>
      <c r="P84" s="7"/>
      <c r="AL84" s="7"/>
      <c r="AM84" s="7"/>
      <c r="AN84" s="7"/>
      <c r="AO84" s="7"/>
      <c r="AT84" s="7"/>
      <c r="AV84" s="11"/>
      <c r="AW84" s="7"/>
      <c r="AY84" s="7"/>
      <c r="BN84" s="7"/>
      <c r="CQ84" s="7"/>
      <c r="DF84" s="7"/>
      <c r="DG84" s="7"/>
      <c r="DL84" s="15"/>
      <c r="DQ84" s="16"/>
      <c r="DR84" s="7"/>
      <c r="DV84" s="16"/>
      <c r="DZ84" s="16"/>
      <c r="EA84" s="7"/>
      <c r="EF84" s="16"/>
      <c r="EK84" s="16"/>
      <c r="EL84" s="7"/>
      <c r="EP84" s="16"/>
      <c r="ET84" s="16"/>
      <c r="EU84" s="7"/>
      <c r="FM84" s="7"/>
      <c r="FN84" s="390"/>
      <c r="FO84" s="390"/>
      <c r="FR84" s="7"/>
      <c r="FY84" s="7"/>
      <c r="GG84" s="7"/>
      <c r="HX84" s="74"/>
      <c r="HY84" s="42"/>
      <c r="HZ84" s="42"/>
      <c r="IE84" s="42"/>
      <c r="IF84" s="42"/>
      <c r="IK84" s="42"/>
      <c r="IL84" s="42"/>
      <c r="IM84" s="42"/>
      <c r="IN84" s="7"/>
      <c r="IO84" s="42"/>
      <c r="IT84" s="42"/>
      <c r="IU84" s="42"/>
      <c r="KC84" s="7"/>
      <c r="KD84" s="42"/>
      <c r="KG84" s="391"/>
      <c r="KH84" s="42"/>
      <c r="KI84" s="42"/>
      <c r="KJ84" s="42"/>
      <c r="KK84" s="42"/>
      <c r="KL84" s="42"/>
      <c r="KM84" s="42"/>
      <c r="KN84" s="42"/>
      <c r="KO84" s="42"/>
      <c r="KP84" s="42"/>
      <c r="KQ84" s="42"/>
      <c r="KR84" s="42"/>
      <c r="KS84" s="42"/>
      <c r="KT84" s="42"/>
      <c r="KU84" s="42"/>
      <c r="KV84" s="42"/>
      <c r="KW84" s="42"/>
      <c r="KX84" s="42"/>
      <c r="KY84" s="42"/>
      <c r="KZ84" s="42"/>
      <c r="LA84" s="42"/>
      <c r="LB84" s="42"/>
      <c r="LC84" s="42"/>
      <c r="LD84" s="42"/>
      <c r="LE84" s="42"/>
      <c r="LF84" s="42"/>
      <c r="LG84" s="42"/>
      <c r="LH84" s="42"/>
      <c r="LI84" s="42"/>
      <c r="LJ84" s="42"/>
      <c r="LK84" s="42"/>
      <c r="LL84" s="42"/>
      <c r="LM84" s="42"/>
      <c r="LN84" s="42"/>
      <c r="LO84" s="42"/>
      <c r="LP84" s="42"/>
      <c r="LQ84" s="42"/>
      <c r="LR84" s="42"/>
      <c r="LS84" s="42"/>
      <c r="LT84" s="42"/>
      <c r="LU84" s="42"/>
      <c r="LV84" s="42"/>
      <c r="LW84" s="42"/>
      <c r="LX84" s="42"/>
      <c r="LY84" s="42"/>
      <c r="LZ84" s="42"/>
      <c r="MA84" s="42"/>
      <c r="MB84" s="42"/>
      <c r="MC84" s="42"/>
      <c r="MD84" s="42"/>
      <c r="ME84" s="42"/>
      <c r="MF84" s="42"/>
      <c r="MG84" s="42"/>
      <c r="MH84" s="42"/>
      <c r="MI84" s="42"/>
      <c r="MJ84" s="42"/>
      <c r="MK84" s="42"/>
      <c r="ML84" s="42"/>
      <c r="MM84" s="42"/>
      <c r="MN84" s="42"/>
      <c r="MO84" s="42"/>
      <c r="MP84" s="42"/>
      <c r="MQ84" s="42"/>
      <c r="MR84" s="42"/>
      <c r="MS84" s="42"/>
      <c r="MT84" s="42"/>
      <c r="MU84" s="42"/>
      <c r="MV84" s="42"/>
      <c r="MW84" s="42"/>
      <c r="MX84" s="42"/>
      <c r="MY84" s="42"/>
      <c r="MZ84" s="42"/>
      <c r="NA84" s="42"/>
      <c r="NB84" s="42"/>
      <c r="NC84" s="42"/>
      <c r="ND84" s="42"/>
      <c r="NE84" s="42"/>
      <c r="NF84" s="42"/>
      <c r="NG84" s="42"/>
      <c r="NH84" s="42"/>
      <c r="NI84" s="42"/>
      <c r="NJ84" s="42"/>
      <c r="NK84" s="42"/>
      <c r="NL84" s="42"/>
      <c r="NM84" s="42"/>
      <c r="NN84" s="42"/>
      <c r="NO84" s="42"/>
      <c r="NP84" s="42"/>
      <c r="NQ84" s="42"/>
      <c r="NR84" s="42"/>
      <c r="NS84" s="42"/>
    </row>
    <row r="85" spans="1:383" s="5" customFormat="1" x14ac:dyDescent="0.25">
      <c r="A85" s="1"/>
      <c r="B85" s="2"/>
      <c r="C85" s="2"/>
      <c r="D85" s="2"/>
      <c r="E85" s="3"/>
      <c r="F85" s="3"/>
      <c r="G85" s="4"/>
      <c r="H85" s="1"/>
      <c r="I85" s="7"/>
      <c r="J85" s="7"/>
      <c r="K85" s="7"/>
      <c r="L85" s="7"/>
      <c r="M85" s="7"/>
      <c r="N85" s="7"/>
      <c r="O85" s="3"/>
      <c r="P85" s="7"/>
      <c r="AL85" s="7"/>
      <c r="AM85" s="7"/>
      <c r="AN85" s="7"/>
      <c r="AO85" s="7"/>
      <c r="AT85" s="7"/>
      <c r="AV85" s="11"/>
      <c r="AW85" s="7"/>
      <c r="AY85" s="7"/>
      <c r="BN85" s="7"/>
      <c r="CQ85" s="7"/>
      <c r="DF85" s="7"/>
      <c r="DG85" s="7"/>
      <c r="DL85" s="15"/>
      <c r="DQ85" s="16"/>
      <c r="DR85" s="7"/>
      <c r="DV85" s="16"/>
      <c r="DZ85" s="16"/>
      <c r="EA85" s="7"/>
      <c r="EF85" s="16"/>
      <c r="EK85" s="16"/>
      <c r="EL85" s="7"/>
      <c r="EP85" s="16"/>
      <c r="ET85" s="16"/>
      <c r="EU85" s="7"/>
      <c r="FM85" s="7"/>
      <c r="FN85" s="390"/>
      <c r="FO85" s="390"/>
      <c r="FR85" s="7"/>
      <c r="FY85" s="7"/>
      <c r="GG85" s="7"/>
      <c r="HX85" s="74"/>
      <c r="HY85" s="42"/>
      <c r="HZ85" s="42"/>
      <c r="IE85" s="42"/>
      <c r="IF85" s="42"/>
      <c r="IK85" s="42"/>
      <c r="IL85" s="42"/>
      <c r="IM85" s="42"/>
      <c r="IN85" s="7"/>
      <c r="IO85" s="42"/>
      <c r="IT85" s="42"/>
      <c r="IU85" s="42"/>
      <c r="KC85" s="7"/>
      <c r="KD85" s="42"/>
      <c r="KG85" s="391"/>
      <c r="KH85" s="42"/>
      <c r="KI85" s="42"/>
      <c r="KJ85" s="42"/>
      <c r="KK85" s="42"/>
      <c r="KL85" s="42"/>
      <c r="KM85" s="42"/>
      <c r="KN85" s="42"/>
      <c r="KO85" s="42"/>
      <c r="KP85" s="42"/>
      <c r="KQ85" s="42"/>
      <c r="KR85" s="42"/>
      <c r="KS85" s="42"/>
      <c r="KT85" s="42"/>
      <c r="KU85" s="42"/>
      <c r="KV85" s="42"/>
      <c r="KW85" s="42"/>
      <c r="KX85" s="42"/>
      <c r="KY85" s="42"/>
      <c r="KZ85" s="42"/>
      <c r="LA85" s="42"/>
      <c r="LB85" s="42"/>
      <c r="LC85" s="42"/>
      <c r="LD85" s="42"/>
      <c r="LE85" s="42"/>
      <c r="LF85" s="42"/>
      <c r="LG85" s="42"/>
      <c r="LH85" s="42"/>
      <c r="LI85" s="42"/>
      <c r="LJ85" s="42"/>
      <c r="LK85" s="42"/>
      <c r="LL85" s="42"/>
      <c r="LM85" s="42"/>
      <c r="LN85" s="42"/>
      <c r="LO85" s="42"/>
      <c r="LP85" s="42"/>
      <c r="LQ85" s="42"/>
      <c r="LR85" s="42"/>
      <c r="LS85" s="42"/>
      <c r="LT85" s="42"/>
      <c r="LU85" s="42"/>
      <c r="LV85" s="42"/>
      <c r="LW85" s="42"/>
      <c r="LX85" s="42"/>
      <c r="LY85" s="42"/>
      <c r="LZ85" s="42"/>
      <c r="MA85" s="42"/>
      <c r="MB85" s="42"/>
      <c r="MC85" s="42"/>
      <c r="MD85" s="42"/>
      <c r="ME85" s="42"/>
      <c r="MF85" s="42"/>
      <c r="MG85" s="42"/>
      <c r="MH85" s="42"/>
      <c r="MI85" s="42"/>
      <c r="MJ85" s="42"/>
      <c r="MK85" s="42"/>
      <c r="ML85" s="42"/>
      <c r="MM85" s="42"/>
      <c r="MN85" s="42"/>
      <c r="MO85" s="42"/>
      <c r="MP85" s="42"/>
      <c r="MQ85" s="42"/>
      <c r="MR85" s="42"/>
      <c r="MS85" s="42"/>
      <c r="MT85" s="42"/>
      <c r="MU85" s="42"/>
      <c r="MV85" s="42"/>
      <c r="MW85" s="42"/>
      <c r="MX85" s="42"/>
      <c r="MY85" s="42"/>
      <c r="MZ85" s="42"/>
      <c r="NA85" s="42"/>
      <c r="NB85" s="42"/>
      <c r="NC85" s="42"/>
      <c r="ND85" s="42"/>
      <c r="NE85" s="42"/>
      <c r="NF85" s="42"/>
      <c r="NG85" s="42"/>
      <c r="NH85" s="42"/>
      <c r="NI85" s="42"/>
      <c r="NJ85" s="42"/>
      <c r="NK85" s="42"/>
      <c r="NL85" s="42"/>
      <c r="NM85" s="42"/>
      <c r="NN85" s="42"/>
      <c r="NO85" s="42"/>
      <c r="NP85" s="42"/>
      <c r="NQ85" s="42"/>
      <c r="NR85" s="42"/>
      <c r="NS85" s="42"/>
    </row>
    <row r="86" spans="1:383" s="5" customFormat="1" x14ac:dyDescent="0.25">
      <c r="A86" s="1"/>
      <c r="B86" s="2"/>
      <c r="C86" s="2"/>
      <c r="D86" s="2"/>
      <c r="E86" s="3"/>
      <c r="F86" s="3"/>
      <c r="G86" s="4"/>
      <c r="H86" s="1"/>
      <c r="I86" s="7"/>
      <c r="J86" s="7"/>
      <c r="K86" s="7"/>
      <c r="L86" s="7"/>
      <c r="M86" s="7"/>
      <c r="N86" s="7"/>
      <c r="O86" s="3"/>
      <c r="P86" s="7"/>
      <c r="AL86" s="7"/>
      <c r="AM86" s="7"/>
      <c r="AN86" s="7"/>
      <c r="AO86" s="7"/>
      <c r="AT86" s="7"/>
      <c r="AV86" s="11"/>
      <c r="AW86" s="7"/>
      <c r="AY86" s="7"/>
      <c r="BN86" s="7"/>
      <c r="CQ86" s="7"/>
      <c r="DF86" s="7"/>
      <c r="DG86" s="7"/>
      <c r="DL86" s="15"/>
      <c r="DQ86" s="16"/>
      <c r="DR86" s="7"/>
      <c r="DV86" s="16"/>
      <c r="DZ86" s="16"/>
      <c r="EA86" s="7"/>
      <c r="EF86" s="16"/>
      <c r="EK86" s="16"/>
      <c r="EL86" s="7"/>
      <c r="EP86" s="16"/>
      <c r="ET86" s="16"/>
      <c r="EU86" s="7"/>
      <c r="FM86" s="7"/>
      <c r="FN86" s="390"/>
      <c r="FO86" s="390"/>
      <c r="FR86" s="7"/>
      <c r="FY86" s="7"/>
      <c r="GG86" s="7"/>
      <c r="HX86" s="74"/>
      <c r="HY86" s="42"/>
      <c r="HZ86" s="42"/>
      <c r="IE86" s="42"/>
      <c r="IF86" s="42"/>
      <c r="IK86" s="42"/>
      <c r="IL86" s="42"/>
      <c r="IM86" s="42"/>
      <c r="IN86" s="7"/>
      <c r="IO86" s="42"/>
      <c r="IT86" s="42"/>
      <c r="IU86" s="42"/>
      <c r="KC86" s="7"/>
      <c r="KD86" s="42"/>
      <c r="KG86" s="391"/>
      <c r="KH86" s="42"/>
      <c r="KI86" s="42"/>
      <c r="KJ86" s="42"/>
      <c r="KK86" s="42"/>
      <c r="KL86" s="42"/>
      <c r="KM86" s="42"/>
      <c r="KN86" s="42"/>
      <c r="KO86" s="42"/>
      <c r="KP86" s="42"/>
      <c r="KQ86" s="42"/>
      <c r="KR86" s="42"/>
      <c r="KS86" s="42"/>
      <c r="KT86" s="42"/>
      <c r="KU86" s="42"/>
      <c r="KV86" s="42"/>
      <c r="KW86" s="42"/>
      <c r="KX86" s="42"/>
      <c r="KY86" s="42"/>
      <c r="KZ86" s="42"/>
      <c r="LA86" s="42"/>
      <c r="LB86" s="42"/>
      <c r="LC86" s="42"/>
      <c r="LD86" s="42"/>
      <c r="LE86" s="42"/>
      <c r="LF86" s="42"/>
      <c r="LG86" s="42"/>
      <c r="LH86" s="42"/>
      <c r="LI86" s="42"/>
      <c r="LJ86" s="42"/>
      <c r="LK86" s="42"/>
      <c r="LL86" s="42"/>
      <c r="LM86" s="42"/>
      <c r="LN86" s="42"/>
      <c r="LO86" s="42"/>
      <c r="LP86" s="42"/>
      <c r="LQ86" s="42"/>
      <c r="LR86" s="42"/>
      <c r="LS86" s="42"/>
      <c r="LT86" s="42"/>
      <c r="LU86" s="42"/>
      <c r="LV86" s="42"/>
      <c r="LW86" s="42"/>
      <c r="LX86" s="42"/>
      <c r="LY86" s="42"/>
      <c r="LZ86" s="42"/>
      <c r="MA86" s="42"/>
      <c r="MB86" s="42"/>
      <c r="MC86" s="42"/>
      <c r="MD86" s="42"/>
      <c r="ME86" s="42"/>
      <c r="MF86" s="42"/>
      <c r="MG86" s="42"/>
      <c r="MH86" s="42"/>
      <c r="MI86" s="42"/>
      <c r="MJ86" s="42"/>
      <c r="MK86" s="42"/>
      <c r="ML86" s="42"/>
      <c r="MM86" s="42"/>
      <c r="MN86" s="42"/>
      <c r="MO86" s="42"/>
      <c r="MP86" s="42"/>
      <c r="MQ86" s="42"/>
      <c r="MR86" s="42"/>
      <c r="MS86" s="42"/>
      <c r="MT86" s="42"/>
      <c r="MU86" s="42"/>
      <c r="MV86" s="42"/>
      <c r="MW86" s="42"/>
      <c r="MX86" s="42"/>
      <c r="MY86" s="42"/>
      <c r="MZ86" s="42"/>
      <c r="NA86" s="42"/>
      <c r="NB86" s="42"/>
      <c r="NC86" s="42"/>
      <c r="ND86" s="42"/>
      <c r="NE86" s="42"/>
      <c r="NF86" s="42"/>
      <c r="NG86" s="42"/>
      <c r="NH86" s="42"/>
      <c r="NI86" s="42"/>
      <c r="NJ86" s="42"/>
      <c r="NK86" s="42"/>
      <c r="NL86" s="42"/>
      <c r="NM86" s="42"/>
      <c r="NN86" s="42"/>
      <c r="NO86" s="42"/>
      <c r="NP86" s="42"/>
      <c r="NQ86" s="42"/>
      <c r="NR86" s="42"/>
      <c r="NS86" s="42"/>
    </row>
    <row r="87" spans="1:383" s="5" customFormat="1" x14ac:dyDescent="0.25">
      <c r="A87" s="1"/>
      <c r="B87" s="2"/>
      <c r="C87" s="2"/>
      <c r="D87" s="2"/>
      <c r="E87" s="3"/>
      <c r="F87" s="3"/>
      <c r="G87" s="4"/>
      <c r="H87" s="1"/>
      <c r="I87" s="7"/>
      <c r="J87" s="7"/>
      <c r="K87" s="7"/>
      <c r="L87" s="7"/>
      <c r="M87" s="7"/>
      <c r="N87" s="7"/>
      <c r="O87" s="3"/>
      <c r="P87" s="7"/>
      <c r="AL87" s="7"/>
      <c r="AM87" s="7"/>
      <c r="AN87" s="7"/>
      <c r="AO87" s="7"/>
      <c r="AT87" s="7"/>
      <c r="AV87" s="11"/>
      <c r="AW87" s="7"/>
      <c r="AY87" s="7"/>
      <c r="BN87" s="7"/>
      <c r="CQ87" s="7"/>
      <c r="DF87" s="7"/>
      <c r="DG87" s="7"/>
      <c r="DL87" s="15"/>
      <c r="DQ87" s="16"/>
      <c r="DR87" s="7"/>
      <c r="DV87" s="16"/>
      <c r="DZ87" s="16"/>
      <c r="EA87" s="7"/>
      <c r="EF87" s="16"/>
      <c r="EK87" s="16"/>
      <c r="EL87" s="7"/>
      <c r="EP87" s="16"/>
      <c r="ET87" s="16"/>
      <c r="EU87" s="7"/>
      <c r="FM87" s="7"/>
      <c r="FN87" s="390"/>
      <c r="FO87" s="390"/>
      <c r="FR87" s="7"/>
      <c r="FY87" s="7"/>
      <c r="GG87" s="7"/>
      <c r="HX87" s="74"/>
      <c r="HY87" s="42"/>
      <c r="HZ87" s="42"/>
      <c r="IE87" s="42"/>
      <c r="IF87" s="42"/>
      <c r="IK87" s="42"/>
      <c r="IL87" s="42"/>
      <c r="IM87" s="42"/>
      <c r="IN87" s="7"/>
      <c r="IO87" s="42"/>
      <c r="IT87" s="42"/>
      <c r="IU87" s="42"/>
      <c r="KC87" s="7"/>
      <c r="KD87" s="42"/>
      <c r="KG87" s="391"/>
      <c r="KH87" s="42"/>
      <c r="KI87" s="42"/>
      <c r="KJ87" s="42"/>
      <c r="KK87" s="42"/>
      <c r="KL87" s="42"/>
      <c r="KM87" s="42"/>
      <c r="KN87" s="42"/>
      <c r="KO87" s="42"/>
      <c r="KP87" s="42"/>
      <c r="KQ87" s="42"/>
      <c r="KR87" s="42"/>
      <c r="KS87" s="42"/>
      <c r="KT87" s="42"/>
      <c r="KU87" s="42"/>
      <c r="KV87" s="42"/>
      <c r="KW87" s="42"/>
      <c r="KX87" s="42"/>
      <c r="KY87" s="42"/>
      <c r="KZ87" s="42"/>
      <c r="LA87" s="42"/>
      <c r="LB87" s="42"/>
      <c r="LC87" s="42"/>
      <c r="LD87" s="42"/>
      <c r="LE87" s="42"/>
      <c r="LF87" s="42"/>
      <c r="LG87" s="42"/>
      <c r="LH87" s="42"/>
      <c r="LI87" s="42"/>
      <c r="LJ87" s="42"/>
      <c r="LK87" s="42"/>
      <c r="LL87" s="42"/>
      <c r="LM87" s="42"/>
      <c r="LN87" s="42"/>
      <c r="LO87" s="42"/>
      <c r="LP87" s="42"/>
      <c r="LQ87" s="42"/>
      <c r="LR87" s="42"/>
      <c r="LS87" s="42"/>
      <c r="LT87" s="42"/>
      <c r="LU87" s="42"/>
      <c r="LV87" s="42"/>
      <c r="LW87" s="42"/>
      <c r="LX87" s="42"/>
      <c r="LY87" s="42"/>
      <c r="LZ87" s="42"/>
      <c r="MA87" s="42"/>
      <c r="MB87" s="42"/>
      <c r="MC87" s="42"/>
      <c r="MD87" s="42"/>
      <c r="ME87" s="42"/>
      <c r="MF87" s="42"/>
      <c r="MG87" s="42"/>
      <c r="MH87" s="42"/>
      <c r="MI87" s="42"/>
      <c r="MJ87" s="42"/>
      <c r="MK87" s="42"/>
      <c r="ML87" s="42"/>
      <c r="MM87" s="42"/>
      <c r="MN87" s="42"/>
      <c r="MO87" s="42"/>
      <c r="MP87" s="42"/>
      <c r="MQ87" s="42"/>
      <c r="MR87" s="42"/>
      <c r="MS87" s="42"/>
      <c r="MT87" s="42"/>
      <c r="MU87" s="42"/>
      <c r="MV87" s="42"/>
      <c r="MW87" s="42"/>
      <c r="MX87" s="42"/>
      <c r="MY87" s="42"/>
      <c r="MZ87" s="42"/>
      <c r="NA87" s="42"/>
      <c r="NB87" s="42"/>
      <c r="NC87" s="42"/>
      <c r="ND87" s="42"/>
      <c r="NE87" s="42"/>
      <c r="NF87" s="42"/>
      <c r="NG87" s="42"/>
      <c r="NH87" s="42"/>
      <c r="NI87" s="42"/>
      <c r="NJ87" s="42"/>
      <c r="NK87" s="42"/>
      <c r="NL87" s="42"/>
      <c r="NM87" s="42"/>
      <c r="NN87" s="42"/>
      <c r="NO87" s="42"/>
      <c r="NP87" s="42"/>
      <c r="NQ87" s="42"/>
      <c r="NR87" s="42"/>
      <c r="NS87" s="42"/>
    </row>
    <row r="88" spans="1:383" s="5" customFormat="1" x14ac:dyDescent="0.25">
      <c r="A88" s="1"/>
      <c r="B88" s="2"/>
      <c r="C88" s="2"/>
      <c r="D88" s="2"/>
      <c r="E88" s="3"/>
      <c r="F88" s="3"/>
      <c r="G88" s="4"/>
      <c r="H88" s="1"/>
      <c r="I88" s="7"/>
      <c r="J88" s="7"/>
      <c r="K88" s="7"/>
      <c r="L88" s="7"/>
      <c r="M88" s="7"/>
      <c r="N88" s="7"/>
      <c r="O88" s="3"/>
      <c r="P88" s="7"/>
      <c r="AL88" s="7"/>
      <c r="AM88" s="7"/>
      <c r="AN88" s="7"/>
      <c r="AO88" s="7"/>
      <c r="AT88" s="7"/>
      <c r="AV88" s="11"/>
      <c r="AW88" s="7"/>
      <c r="AY88" s="7"/>
      <c r="BN88" s="7"/>
      <c r="CQ88" s="7"/>
      <c r="DF88" s="7"/>
      <c r="DG88" s="7"/>
      <c r="DL88" s="15"/>
      <c r="DQ88" s="16"/>
      <c r="DR88" s="7"/>
      <c r="DV88" s="16"/>
      <c r="DZ88" s="16"/>
      <c r="EA88" s="7"/>
      <c r="EF88" s="16"/>
      <c r="EK88" s="16"/>
      <c r="EL88" s="7"/>
      <c r="EP88" s="16"/>
      <c r="ET88" s="16"/>
      <c r="EU88" s="7"/>
      <c r="FM88" s="7"/>
      <c r="FN88" s="390"/>
      <c r="FO88" s="390"/>
      <c r="FR88" s="7"/>
      <c r="FY88" s="7"/>
      <c r="GG88" s="7"/>
      <c r="HX88" s="74"/>
      <c r="HY88" s="42"/>
      <c r="HZ88" s="42"/>
      <c r="IE88" s="42"/>
      <c r="IF88" s="42"/>
      <c r="IK88" s="42"/>
      <c r="IL88" s="42"/>
      <c r="IM88" s="42"/>
      <c r="IN88" s="7"/>
      <c r="IO88" s="42"/>
      <c r="IT88" s="42"/>
      <c r="IU88" s="42"/>
      <c r="KC88" s="7"/>
      <c r="KD88" s="42"/>
      <c r="KG88" s="391"/>
      <c r="KH88" s="42"/>
      <c r="KI88" s="42"/>
      <c r="KJ88" s="42"/>
      <c r="KK88" s="42"/>
      <c r="KL88" s="42"/>
      <c r="KM88" s="42"/>
      <c r="KN88" s="42"/>
      <c r="KO88" s="42"/>
      <c r="KP88" s="42"/>
      <c r="KQ88" s="42"/>
      <c r="KR88" s="42"/>
      <c r="KS88" s="42"/>
      <c r="KT88" s="42"/>
      <c r="KU88" s="42"/>
      <c r="KV88" s="42"/>
      <c r="KW88" s="42"/>
      <c r="KX88" s="42"/>
      <c r="KY88" s="42"/>
      <c r="KZ88" s="42"/>
      <c r="LA88" s="42"/>
      <c r="LB88" s="42"/>
      <c r="LC88" s="42"/>
      <c r="LD88" s="42"/>
      <c r="LE88" s="42"/>
      <c r="LF88" s="42"/>
      <c r="LG88" s="42"/>
      <c r="LH88" s="42"/>
      <c r="LI88" s="42"/>
      <c r="LJ88" s="42"/>
      <c r="LK88" s="42"/>
      <c r="LL88" s="42"/>
      <c r="LM88" s="42"/>
      <c r="LN88" s="42"/>
      <c r="LO88" s="42"/>
      <c r="LP88" s="42"/>
      <c r="LQ88" s="42"/>
      <c r="LR88" s="42"/>
      <c r="LS88" s="42"/>
      <c r="LT88" s="42"/>
      <c r="LU88" s="42"/>
      <c r="LV88" s="42"/>
      <c r="LW88" s="42"/>
      <c r="LX88" s="42"/>
      <c r="LY88" s="42"/>
      <c r="LZ88" s="42"/>
      <c r="MA88" s="42"/>
      <c r="MB88" s="42"/>
      <c r="MC88" s="42"/>
      <c r="MD88" s="42"/>
      <c r="ME88" s="42"/>
      <c r="MF88" s="42"/>
      <c r="MG88" s="42"/>
      <c r="MH88" s="42"/>
      <c r="MI88" s="42"/>
      <c r="MJ88" s="42"/>
      <c r="MK88" s="42"/>
      <c r="ML88" s="42"/>
      <c r="MM88" s="42"/>
      <c r="MN88" s="42"/>
      <c r="MO88" s="42"/>
      <c r="MP88" s="42"/>
      <c r="MQ88" s="42"/>
      <c r="MR88" s="42"/>
      <c r="MS88" s="42"/>
      <c r="MT88" s="42"/>
      <c r="MU88" s="42"/>
      <c r="MV88" s="42"/>
      <c r="MW88" s="42"/>
      <c r="MX88" s="42"/>
      <c r="MY88" s="42"/>
      <c r="MZ88" s="42"/>
      <c r="NA88" s="42"/>
      <c r="NB88" s="42"/>
      <c r="NC88" s="42"/>
      <c r="ND88" s="42"/>
      <c r="NE88" s="42"/>
      <c r="NF88" s="42"/>
      <c r="NG88" s="42"/>
      <c r="NH88" s="42"/>
      <c r="NI88" s="42"/>
      <c r="NJ88" s="42"/>
      <c r="NK88" s="42"/>
      <c r="NL88" s="42"/>
      <c r="NM88" s="42"/>
      <c r="NN88" s="42"/>
      <c r="NO88" s="42"/>
      <c r="NP88" s="42"/>
      <c r="NQ88" s="42"/>
      <c r="NR88" s="42"/>
      <c r="NS88" s="42"/>
    </row>
    <row r="89" spans="1:383" s="5" customFormat="1" x14ac:dyDescent="0.25">
      <c r="A89" s="1"/>
      <c r="B89" s="2"/>
      <c r="C89" s="2"/>
      <c r="D89" s="2"/>
      <c r="E89" s="3"/>
      <c r="F89" s="3"/>
      <c r="G89" s="4"/>
      <c r="H89" s="1"/>
      <c r="I89" s="7"/>
      <c r="J89" s="7"/>
      <c r="K89" s="7"/>
      <c r="L89" s="7"/>
      <c r="M89" s="7"/>
      <c r="N89" s="7"/>
      <c r="O89" s="3"/>
      <c r="P89" s="7"/>
      <c r="AL89" s="7"/>
      <c r="AM89" s="7"/>
      <c r="AN89" s="7"/>
      <c r="AO89" s="7"/>
      <c r="AT89" s="7"/>
      <c r="AV89" s="11"/>
      <c r="AW89" s="7"/>
      <c r="AY89" s="7"/>
      <c r="BN89" s="7"/>
      <c r="CQ89" s="7"/>
      <c r="DF89" s="7"/>
      <c r="DG89" s="7"/>
      <c r="DL89" s="15"/>
      <c r="DQ89" s="16"/>
      <c r="DR89" s="7"/>
      <c r="DV89" s="16"/>
      <c r="DZ89" s="16"/>
      <c r="EA89" s="7"/>
      <c r="EF89" s="16"/>
      <c r="EK89" s="16"/>
      <c r="EL89" s="7"/>
      <c r="EP89" s="16"/>
      <c r="ET89" s="16"/>
      <c r="EU89" s="7"/>
      <c r="FM89" s="7"/>
      <c r="FN89" s="390"/>
      <c r="FO89" s="390"/>
      <c r="FR89" s="7"/>
      <c r="FY89" s="7"/>
      <c r="GG89" s="7"/>
      <c r="HX89" s="74"/>
      <c r="HY89" s="42"/>
      <c r="HZ89" s="42"/>
      <c r="IE89" s="42"/>
      <c r="IF89" s="42"/>
      <c r="IK89" s="42"/>
      <c r="IL89" s="42"/>
      <c r="IM89" s="42"/>
      <c r="IN89" s="7"/>
      <c r="IO89" s="42"/>
      <c r="IT89" s="42"/>
      <c r="IU89" s="42"/>
      <c r="KC89" s="7"/>
      <c r="KD89" s="42"/>
      <c r="KG89" s="391"/>
      <c r="KH89" s="42"/>
      <c r="KI89" s="42"/>
      <c r="KJ89" s="42"/>
      <c r="KK89" s="42"/>
      <c r="KL89" s="42"/>
      <c r="KM89" s="42"/>
      <c r="KN89" s="42"/>
      <c r="KO89" s="42"/>
      <c r="KP89" s="42"/>
      <c r="KQ89" s="42"/>
      <c r="KR89" s="42"/>
      <c r="KS89" s="42"/>
      <c r="KT89" s="42"/>
      <c r="KU89" s="42"/>
      <c r="KV89" s="42"/>
      <c r="KW89" s="42"/>
      <c r="KX89" s="42"/>
      <c r="KY89" s="42"/>
      <c r="KZ89" s="42"/>
      <c r="LA89" s="42"/>
      <c r="LB89" s="42"/>
      <c r="LC89" s="42"/>
      <c r="LD89" s="42"/>
      <c r="LE89" s="42"/>
      <c r="LF89" s="42"/>
      <c r="LG89" s="42"/>
      <c r="LH89" s="42"/>
      <c r="LI89" s="42"/>
      <c r="LJ89" s="42"/>
      <c r="LK89" s="42"/>
      <c r="LL89" s="42"/>
      <c r="LM89" s="42"/>
      <c r="LN89" s="42"/>
      <c r="LO89" s="42"/>
      <c r="LP89" s="42"/>
      <c r="LQ89" s="42"/>
      <c r="LR89" s="42"/>
      <c r="LS89" s="42"/>
      <c r="LT89" s="42"/>
      <c r="LU89" s="42"/>
      <c r="LV89" s="42"/>
      <c r="LW89" s="42"/>
      <c r="LX89" s="42"/>
      <c r="LY89" s="42"/>
      <c r="LZ89" s="42"/>
      <c r="MA89" s="42"/>
      <c r="MB89" s="42"/>
      <c r="MC89" s="42"/>
      <c r="MD89" s="42"/>
      <c r="ME89" s="42"/>
      <c r="MF89" s="42"/>
      <c r="MG89" s="42"/>
      <c r="MH89" s="42"/>
      <c r="MI89" s="42"/>
      <c r="MJ89" s="42"/>
      <c r="MK89" s="42"/>
      <c r="ML89" s="42"/>
      <c r="MM89" s="42"/>
      <c r="MN89" s="42"/>
      <c r="MO89" s="42"/>
      <c r="MP89" s="42"/>
      <c r="MQ89" s="42"/>
      <c r="MR89" s="42"/>
      <c r="MS89" s="42"/>
      <c r="MT89" s="42"/>
      <c r="MU89" s="42"/>
      <c r="MV89" s="42"/>
      <c r="MW89" s="42"/>
      <c r="MX89" s="42"/>
      <c r="MY89" s="42"/>
      <c r="MZ89" s="42"/>
      <c r="NA89" s="42"/>
      <c r="NB89" s="42"/>
      <c r="NC89" s="42"/>
      <c r="ND89" s="42"/>
      <c r="NE89" s="42"/>
      <c r="NF89" s="42"/>
      <c r="NG89" s="42"/>
      <c r="NH89" s="42"/>
      <c r="NI89" s="42"/>
      <c r="NJ89" s="42"/>
      <c r="NK89" s="42"/>
      <c r="NL89" s="42"/>
      <c r="NM89" s="42"/>
      <c r="NN89" s="42"/>
      <c r="NO89" s="42"/>
      <c r="NP89" s="42"/>
      <c r="NQ89" s="42"/>
      <c r="NR89" s="42"/>
      <c r="NS89" s="42"/>
    </row>
    <row r="90" spans="1:383" s="5" customFormat="1" x14ac:dyDescent="0.25">
      <c r="A90" s="1"/>
      <c r="B90" s="2"/>
      <c r="C90" s="2"/>
      <c r="D90" s="2"/>
      <c r="E90" s="3"/>
      <c r="F90" s="3"/>
      <c r="G90" s="4"/>
      <c r="H90" s="1"/>
      <c r="I90" s="7"/>
      <c r="J90" s="7"/>
      <c r="K90" s="7"/>
      <c r="L90" s="7"/>
      <c r="M90" s="7"/>
      <c r="N90" s="7"/>
      <c r="O90" s="3"/>
      <c r="P90" s="7"/>
      <c r="AL90" s="7"/>
      <c r="AM90" s="7"/>
      <c r="AN90" s="7"/>
      <c r="AO90" s="7"/>
      <c r="AT90" s="7"/>
      <c r="AV90" s="11"/>
      <c r="AW90" s="7"/>
      <c r="AY90" s="7"/>
      <c r="BN90" s="7"/>
      <c r="CQ90" s="7"/>
      <c r="DF90" s="7"/>
      <c r="DG90" s="7"/>
      <c r="DL90" s="15"/>
      <c r="DQ90" s="16"/>
      <c r="DR90" s="7"/>
      <c r="DV90" s="16"/>
      <c r="DZ90" s="16"/>
      <c r="EA90" s="7"/>
      <c r="EF90" s="16"/>
      <c r="EK90" s="16"/>
      <c r="EL90" s="7"/>
      <c r="EP90" s="16"/>
      <c r="ET90" s="16"/>
      <c r="EU90" s="7"/>
      <c r="FM90" s="7"/>
      <c r="FN90" s="390"/>
      <c r="FO90" s="390"/>
      <c r="FR90" s="7"/>
      <c r="FY90" s="7"/>
      <c r="GG90" s="7"/>
      <c r="HX90" s="74"/>
      <c r="HY90" s="42"/>
      <c r="HZ90" s="42"/>
      <c r="IE90" s="42"/>
      <c r="IF90" s="42"/>
      <c r="IK90" s="42"/>
      <c r="IL90" s="42"/>
      <c r="IM90" s="42"/>
      <c r="IN90" s="7"/>
      <c r="IO90" s="42"/>
      <c r="IT90" s="42"/>
      <c r="IU90" s="42"/>
      <c r="KC90" s="7"/>
      <c r="KD90" s="42"/>
      <c r="KG90" s="391"/>
      <c r="KH90" s="42"/>
      <c r="KI90" s="42"/>
      <c r="KJ90" s="42"/>
      <c r="KK90" s="42"/>
      <c r="KL90" s="42"/>
      <c r="KM90" s="42"/>
      <c r="KN90" s="42"/>
      <c r="KO90" s="42"/>
      <c r="KP90" s="42"/>
      <c r="KQ90" s="42"/>
      <c r="KR90" s="42"/>
      <c r="KS90" s="42"/>
      <c r="KT90" s="42"/>
      <c r="KU90" s="42"/>
      <c r="KV90" s="42"/>
      <c r="KW90" s="42"/>
      <c r="KX90" s="42"/>
      <c r="KY90" s="42"/>
      <c r="KZ90" s="42"/>
      <c r="LA90" s="42"/>
      <c r="LB90" s="42"/>
      <c r="LC90" s="42"/>
      <c r="LD90" s="42"/>
      <c r="LE90" s="42"/>
      <c r="LF90" s="42"/>
      <c r="LG90" s="42"/>
      <c r="LH90" s="42"/>
      <c r="LI90" s="42"/>
      <c r="LJ90" s="42"/>
      <c r="LK90" s="42"/>
      <c r="LL90" s="42"/>
      <c r="LM90" s="42"/>
      <c r="LN90" s="42"/>
      <c r="LO90" s="42"/>
      <c r="LP90" s="42"/>
      <c r="LQ90" s="42"/>
      <c r="LR90" s="42"/>
      <c r="LS90" s="42"/>
      <c r="LT90" s="42"/>
      <c r="LU90" s="42"/>
      <c r="LV90" s="42"/>
      <c r="LW90" s="42"/>
      <c r="LX90" s="42"/>
      <c r="LY90" s="42"/>
      <c r="LZ90" s="42"/>
      <c r="MA90" s="42"/>
      <c r="MB90" s="42"/>
      <c r="MC90" s="42"/>
      <c r="MD90" s="42"/>
      <c r="ME90" s="42"/>
      <c r="MF90" s="42"/>
      <c r="MG90" s="42"/>
      <c r="MH90" s="42"/>
      <c r="MI90" s="42"/>
      <c r="MJ90" s="42"/>
      <c r="MK90" s="42"/>
      <c r="ML90" s="42"/>
      <c r="MM90" s="42"/>
      <c r="MN90" s="42"/>
      <c r="MO90" s="42"/>
      <c r="MP90" s="42"/>
      <c r="MQ90" s="42"/>
      <c r="MR90" s="42"/>
      <c r="MS90" s="42"/>
      <c r="MT90" s="42"/>
      <c r="MU90" s="42"/>
      <c r="MV90" s="42"/>
      <c r="MW90" s="42"/>
      <c r="MX90" s="42"/>
      <c r="MY90" s="42"/>
      <c r="MZ90" s="42"/>
      <c r="NA90" s="42"/>
      <c r="NB90" s="42"/>
      <c r="NC90" s="42"/>
      <c r="ND90" s="42"/>
      <c r="NE90" s="42"/>
      <c r="NF90" s="42"/>
      <c r="NG90" s="42"/>
      <c r="NH90" s="42"/>
      <c r="NI90" s="42"/>
      <c r="NJ90" s="42"/>
      <c r="NK90" s="42"/>
      <c r="NL90" s="42"/>
      <c r="NM90" s="42"/>
      <c r="NN90" s="42"/>
      <c r="NO90" s="42"/>
      <c r="NP90" s="42"/>
      <c r="NQ90" s="42"/>
      <c r="NR90" s="42"/>
      <c r="NS90" s="42"/>
    </row>
    <row r="91" spans="1:383" s="5" customFormat="1" x14ac:dyDescent="0.25">
      <c r="A91" s="1"/>
      <c r="B91" s="2"/>
      <c r="C91" s="2"/>
      <c r="D91" s="2"/>
      <c r="E91" s="3"/>
      <c r="F91" s="3"/>
      <c r="G91" s="4"/>
      <c r="H91" s="1"/>
      <c r="I91" s="7"/>
      <c r="J91" s="7"/>
      <c r="K91" s="7"/>
      <c r="L91" s="7"/>
      <c r="M91" s="7"/>
      <c r="N91" s="7"/>
      <c r="O91" s="3"/>
      <c r="P91" s="7"/>
      <c r="AL91" s="7"/>
      <c r="AM91" s="7"/>
      <c r="AN91" s="7"/>
      <c r="AO91" s="7"/>
      <c r="AT91" s="7"/>
      <c r="AV91" s="11"/>
      <c r="AW91" s="7"/>
      <c r="AY91" s="7"/>
      <c r="BN91" s="7"/>
      <c r="CQ91" s="7"/>
      <c r="DF91" s="7"/>
      <c r="DG91" s="7"/>
      <c r="DL91" s="15"/>
      <c r="DQ91" s="16"/>
      <c r="DR91" s="7"/>
      <c r="DV91" s="16"/>
      <c r="DZ91" s="16"/>
      <c r="EA91" s="7"/>
      <c r="EF91" s="16"/>
      <c r="EK91" s="16"/>
      <c r="EL91" s="7"/>
      <c r="EP91" s="16"/>
      <c r="ET91" s="16"/>
      <c r="EU91" s="7"/>
      <c r="FM91" s="7"/>
      <c r="FN91" s="390"/>
      <c r="FO91" s="390"/>
      <c r="FR91" s="7"/>
      <c r="FY91" s="7"/>
      <c r="GG91" s="7"/>
      <c r="HX91" s="74"/>
      <c r="HY91" s="42"/>
      <c r="HZ91" s="42"/>
      <c r="IE91" s="42"/>
      <c r="IF91" s="42"/>
      <c r="IK91" s="42"/>
      <c r="IL91" s="42"/>
      <c r="IM91" s="42"/>
      <c r="IN91" s="7"/>
      <c r="IO91" s="42"/>
      <c r="IT91" s="42"/>
      <c r="IU91" s="42"/>
      <c r="KC91" s="7"/>
      <c r="KD91" s="42"/>
      <c r="KG91" s="391"/>
      <c r="KH91" s="42"/>
      <c r="KI91" s="42"/>
      <c r="KJ91" s="42"/>
      <c r="KK91" s="42"/>
      <c r="KL91" s="42"/>
      <c r="KM91" s="42"/>
      <c r="KN91" s="42"/>
      <c r="KO91" s="42"/>
      <c r="KP91" s="42"/>
      <c r="KQ91" s="42"/>
      <c r="KR91" s="42"/>
      <c r="KS91" s="42"/>
      <c r="KT91" s="42"/>
      <c r="KU91" s="42"/>
      <c r="KV91" s="42"/>
      <c r="KW91" s="42"/>
      <c r="KX91" s="42"/>
      <c r="KY91" s="42"/>
      <c r="KZ91" s="42"/>
      <c r="LA91" s="42"/>
      <c r="LB91" s="42"/>
      <c r="LC91" s="42"/>
      <c r="LD91" s="42"/>
      <c r="LE91" s="42"/>
      <c r="LF91" s="42"/>
      <c r="LG91" s="42"/>
      <c r="LH91" s="42"/>
      <c r="LI91" s="42"/>
      <c r="LJ91" s="42"/>
      <c r="LK91" s="42"/>
      <c r="LL91" s="42"/>
      <c r="LM91" s="42"/>
      <c r="LN91" s="42"/>
      <c r="LO91" s="42"/>
      <c r="LP91" s="42"/>
      <c r="LQ91" s="42"/>
      <c r="LR91" s="42"/>
      <c r="LS91" s="42"/>
      <c r="LT91" s="42"/>
      <c r="LU91" s="42"/>
      <c r="LV91" s="42"/>
      <c r="LW91" s="42"/>
      <c r="LX91" s="42"/>
      <c r="LY91" s="42"/>
      <c r="LZ91" s="42"/>
      <c r="MA91" s="42"/>
      <c r="MB91" s="42"/>
      <c r="MC91" s="42"/>
      <c r="MD91" s="42"/>
      <c r="ME91" s="42"/>
      <c r="MF91" s="42"/>
      <c r="MG91" s="42"/>
      <c r="MH91" s="42"/>
      <c r="MI91" s="42"/>
      <c r="MJ91" s="42"/>
      <c r="MK91" s="42"/>
      <c r="ML91" s="42"/>
      <c r="MM91" s="42"/>
      <c r="MN91" s="42"/>
      <c r="MO91" s="42"/>
      <c r="MP91" s="42"/>
      <c r="MQ91" s="42"/>
      <c r="MR91" s="42"/>
      <c r="MS91" s="42"/>
      <c r="MT91" s="42"/>
      <c r="MU91" s="42"/>
      <c r="MV91" s="42"/>
      <c r="MW91" s="42"/>
      <c r="MX91" s="42"/>
      <c r="MY91" s="42"/>
      <c r="MZ91" s="42"/>
      <c r="NA91" s="42"/>
      <c r="NB91" s="42"/>
      <c r="NC91" s="42"/>
      <c r="ND91" s="42"/>
      <c r="NE91" s="42"/>
      <c r="NF91" s="42"/>
      <c r="NG91" s="42"/>
      <c r="NH91" s="42"/>
      <c r="NI91" s="42"/>
      <c r="NJ91" s="42"/>
      <c r="NK91" s="42"/>
      <c r="NL91" s="42"/>
      <c r="NM91" s="42"/>
      <c r="NN91" s="42"/>
      <c r="NO91" s="42"/>
      <c r="NP91" s="42"/>
      <c r="NQ91" s="42"/>
      <c r="NR91" s="42"/>
      <c r="NS91" s="42"/>
    </row>
    <row r="92" spans="1:383" s="5" customFormat="1" x14ac:dyDescent="0.25">
      <c r="A92" s="1"/>
      <c r="B92" s="2"/>
      <c r="C92" s="2"/>
      <c r="D92" s="2"/>
      <c r="E92" s="3"/>
      <c r="F92" s="3"/>
      <c r="G92" s="4"/>
      <c r="H92" s="1"/>
      <c r="I92" s="7"/>
      <c r="J92" s="7"/>
      <c r="K92" s="7"/>
      <c r="L92" s="7"/>
      <c r="M92" s="7"/>
      <c r="N92" s="7"/>
      <c r="O92" s="3"/>
      <c r="P92" s="7"/>
      <c r="AL92" s="7"/>
      <c r="AM92" s="7"/>
      <c r="AN92" s="7"/>
      <c r="AO92" s="7"/>
      <c r="AT92" s="7"/>
      <c r="AV92" s="11"/>
      <c r="AW92" s="7"/>
      <c r="AY92" s="7"/>
      <c r="BN92" s="7"/>
      <c r="CQ92" s="7"/>
      <c r="DF92" s="7"/>
      <c r="DG92" s="7"/>
      <c r="DL92" s="15"/>
      <c r="DQ92" s="16"/>
      <c r="DR92" s="7"/>
      <c r="DV92" s="16"/>
      <c r="DZ92" s="16"/>
      <c r="EA92" s="7"/>
      <c r="EF92" s="16"/>
      <c r="EK92" s="16"/>
      <c r="EL92" s="7"/>
      <c r="EP92" s="16"/>
      <c r="ET92" s="16"/>
      <c r="EU92" s="7"/>
      <c r="FM92" s="7"/>
      <c r="FN92" s="390"/>
      <c r="FO92" s="390"/>
      <c r="FR92" s="7"/>
      <c r="FY92" s="7"/>
      <c r="GG92" s="7"/>
      <c r="HX92" s="74"/>
      <c r="HY92" s="42"/>
      <c r="HZ92" s="42"/>
      <c r="IE92" s="42"/>
      <c r="IF92" s="42"/>
      <c r="IK92" s="42"/>
      <c r="IL92" s="42"/>
      <c r="IM92" s="42"/>
      <c r="IN92" s="7"/>
      <c r="IO92" s="42"/>
      <c r="IT92" s="42"/>
      <c r="IU92" s="42"/>
      <c r="KC92" s="7"/>
      <c r="KD92" s="42"/>
      <c r="KG92" s="391"/>
      <c r="KH92" s="42"/>
      <c r="KI92" s="42"/>
      <c r="KJ92" s="42"/>
      <c r="KK92" s="42"/>
      <c r="KL92" s="42"/>
      <c r="KM92" s="42"/>
      <c r="KN92" s="42"/>
      <c r="KO92" s="42"/>
      <c r="KP92" s="42"/>
      <c r="KQ92" s="42"/>
      <c r="KR92" s="42"/>
      <c r="KS92" s="42"/>
      <c r="KT92" s="42"/>
      <c r="KU92" s="42"/>
      <c r="KV92" s="42"/>
      <c r="KW92" s="42"/>
      <c r="KX92" s="42"/>
      <c r="KY92" s="42"/>
      <c r="KZ92" s="42"/>
      <c r="LA92" s="42"/>
      <c r="LB92" s="42"/>
      <c r="LC92" s="42"/>
      <c r="LD92" s="42"/>
      <c r="LE92" s="42"/>
      <c r="LF92" s="42"/>
      <c r="LG92" s="42"/>
      <c r="LH92" s="42"/>
      <c r="LI92" s="42"/>
      <c r="LJ92" s="42"/>
      <c r="LK92" s="42"/>
      <c r="LL92" s="42"/>
      <c r="LM92" s="42"/>
      <c r="LN92" s="42"/>
      <c r="LO92" s="42"/>
      <c r="LP92" s="42"/>
      <c r="LQ92" s="42"/>
      <c r="LR92" s="42"/>
      <c r="LS92" s="42"/>
      <c r="LT92" s="42"/>
      <c r="LU92" s="42"/>
      <c r="LV92" s="42"/>
      <c r="LW92" s="42"/>
      <c r="LX92" s="42"/>
      <c r="LY92" s="42"/>
      <c r="LZ92" s="42"/>
      <c r="MA92" s="42"/>
      <c r="MB92" s="42"/>
      <c r="MC92" s="42"/>
      <c r="MD92" s="42"/>
      <c r="ME92" s="42"/>
      <c r="MF92" s="42"/>
      <c r="MG92" s="42"/>
      <c r="MH92" s="42"/>
      <c r="MI92" s="42"/>
      <c r="MJ92" s="42"/>
      <c r="MK92" s="42"/>
      <c r="ML92" s="42"/>
      <c r="MM92" s="42"/>
      <c r="MN92" s="42"/>
      <c r="MO92" s="42"/>
      <c r="MP92" s="42"/>
      <c r="MQ92" s="42"/>
      <c r="MR92" s="42"/>
      <c r="MS92" s="42"/>
      <c r="MT92" s="42"/>
      <c r="MU92" s="42"/>
      <c r="MV92" s="42"/>
      <c r="MW92" s="42"/>
      <c r="MX92" s="42"/>
      <c r="MY92" s="42"/>
      <c r="MZ92" s="42"/>
      <c r="NA92" s="42"/>
      <c r="NB92" s="42"/>
      <c r="NC92" s="42"/>
      <c r="ND92" s="42"/>
      <c r="NE92" s="42"/>
      <c r="NF92" s="42"/>
      <c r="NG92" s="42"/>
      <c r="NH92" s="42"/>
      <c r="NI92" s="42"/>
      <c r="NJ92" s="42"/>
      <c r="NK92" s="42"/>
      <c r="NL92" s="42"/>
      <c r="NM92" s="42"/>
      <c r="NN92" s="42"/>
      <c r="NO92" s="42"/>
      <c r="NP92" s="42"/>
      <c r="NQ92" s="42"/>
      <c r="NR92" s="42"/>
      <c r="NS92" s="42"/>
    </row>
    <row r="93" spans="1:383" s="5" customFormat="1" x14ac:dyDescent="0.25">
      <c r="A93" s="1"/>
      <c r="B93" s="2"/>
      <c r="C93" s="2"/>
      <c r="D93" s="2"/>
      <c r="E93" s="3"/>
      <c r="F93" s="3"/>
      <c r="G93" s="4"/>
      <c r="H93" s="1"/>
      <c r="I93" s="7"/>
      <c r="J93" s="7"/>
      <c r="K93" s="7"/>
      <c r="L93" s="7"/>
      <c r="M93" s="7"/>
      <c r="N93" s="7"/>
      <c r="O93" s="3"/>
      <c r="P93" s="7"/>
      <c r="AL93" s="7"/>
      <c r="AM93" s="7"/>
      <c r="AN93" s="7"/>
      <c r="AO93" s="7"/>
      <c r="AT93" s="7"/>
      <c r="AV93" s="11"/>
      <c r="AW93" s="7"/>
      <c r="AY93" s="7"/>
      <c r="BN93" s="7"/>
      <c r="CQ93" s="7"/>
      <c r="DF93" s="7"/>
      <c r="DG93" s="7"/>
      <c r="DL93" s="15"/>
      <c r="DQ93" s="16"/>
      <c r="DR93" s="7"/>
      <c r="DV93" s="16"/>
      <c r="DZ93" s="16"/>
      <c r="EA93" s="7"/>
      <c r="EF93" s="16"/>
      <c r="EK93" s="16"/>
      <c r="EL93" s="7"/>
      <c r="EP93" s="16"/>
      <c r="ET93" s="16"/>
      <c r="EU93" s="7"/>
      <c r="FM93" s="7"/>
      <c r="FN93" s="390"/>
      <c r="FO93" s="390"/>
      <c r="FR93" s="7"/>
      <c r="FY93" s="7"/>
      <c r="GG93" s="7"/>
      <c r="HX93" s="74"/>
      <c r="HY93" s="42"/>
      <c r="HZ93" s="42"/>
      <c r="IE93" s="42"/>
      <c r="IF93" s="42"/>
      <c r="IK93" s="42"/>
      <c r="IL93" s="42"/>
      <c r="IM93" s="42"/>
      <c r="IN93" s="7"/>
      <c r="IO93" s="42"/>
      <c r="IT93" s="42"/>
      <c r="IU93" s="42"/>
      <c r="KC93" s="7"/>
      <c r="KD93" s="42"/>
      <c r="KG93" s="391"/>
      <c r="KH93" s="42"/>
      <c r="KI93" s="42"/>
      <c r="KJ93" s="42"/>
      <c r="KK93" s="42"/>
      <c r="KL93" s="42"/>
      <c r="KM93" s="42"/>
      <c r="KN93" s="42"/>
      <c r="KO93" s="42"/>
      <c r="KP93" s="42"/>
      <c r="KQ93" s="42"/>
      <c r="KR93" s="42"/>
      <c r="KS93" s="42"/>
      <c r="KT93" s="42"/>
      <c r="KU93" s="42"/>
      <c r="KV93" s="42"/>
      <c r="KW93" s="42"/>
      <c r="KX93" s="42"/>
      <c r="KY93" s="42"/>
      <c r="KZ93" s="42"/>
      <c r="LA93" s="42"/>
      <c r="LB93" s="42"/>
      <c r="LC93" s="42"/>
      <c r="LD93" s="42"/>
      <c r="LE93" s="42"/>
      <c r="LF93" s="42"/>
      <c r="LG93" s="42"/>
      <c r="LH93" s="42"/>
      <c r="LI93" s="42"/>
      <c r="LJ93" s="42"/>
      <c r="LK93" s="42"/>
      <c r="LL93" s="42"/>
      <c r="LM93" s="42"/>
      <c r="LN93" s="42"/>
      <c r="LO93" s="42"/>
      <c r="LP93" s="42"/>
      <c r="LQ93" s="42"/>
      <c r="LR93" s="42"/>
      <c r="LS93" s="42"/>
      <c r="LT93" s="42"/>
      <c r="LU93" s="42"/>
      <c r="LV93" s="42"/>
      <c r="LW93" s="42"/>
      <c r="LX93" s="42"/>
      <c r="LY93" s="42"/>
      <c r="LZ93" s="42"/>
      <c r="MA93" s="42"/>
      <c r="MB93" s="42"/>
      <c r="MC93" s="42"/>
      <c r="MD93" s="42"/>
      <c r="ME93" s="42"/>
      <c r="MF93" s="42"/>
      <c r="MG93" s="42"/>
      <c r="MH93" s="42"/>
      <c r="MI93" s="42"/>
      <c r="MJ93" s="42"/>
      <c r="MK93" s="42"/>
      <c r="ML93" s="42"/>
      <c r="MM93" s="42"/>
      <c r="MN93" s="42"/>
      <c r="MO93" s="42"/>
      <c r="MP93" s="42"/>
      <c r="MQ93" s="42"/>
      <c r="MR93" s="42"/>
      <c r="MS93" s="42"/>
      <c r="MT93" s="42"/>
      <c r="MU93" s="42"/>
      <c r="MV93" s="42"/>
      <c r="MW93" s="42"/>
      <c r="MX93" s="42"/>
      <c r="MY93" s="42"/>
      <c r="MZ93" s="42"/>
      <c r="NA93" s="42"/>
      <c r="NB93" s="42"/>
      <c r="NC93" s="42"/>
      <c r="ND93" s="42"/>
      <c r="NE93" s="42"/>
      <c r="NF93" s="42"/>
      <c r="NG93" s="42"/>
      <c r="NH93" s="42"/>
      <c r="NI93" s="42"/>
      <c r="NJ93" s="42"/>
      <c r="NK93" s="42"/>
      <c r="NL93" s="42"/>
      <c r="NM93" s="42"/>
      <c r="NN93" s="42"/>
      <c r="NO93" s="42"/>
      <c r="NP93" s="42"/>
      <c r="NQ93" s="42"/>
      <c r="NR93" s="42"/>
      <c r="NS93" s="42"/>
    </row>
    <row r="94" spans="1:383" s="5" customFormat="1" x14ac:dyDescent="0.25">
      <c r="A94" s="1"/>
      <c r="B94" s="2"/>
      <c r="C94" s="2"/>
      <c r="D94" s="2"/>
      <c r="E94" s="3"/>
      <c r="F94" s="3"/>
      <c r="G94" s="4"/>
      <c r="H94" s="1"/>
      <c r="I94" s="7"/>
      <c r="J94" s="7"/>
      <c r="K94" s="7"/>
      <c r="L94" s="7"/>
      <c r="M94" s="7"/>
      <c r="N94" s="7"/>
      <c r="O94" s="3"/>
      <c r="P94" s="7"/>
      <c r="AL94" s="7"/>
      <c r="AM94" s="7"/>
      <c r="AN94" s="7"/>
      <c r="AO94" s="7"/>
      <c r="AT94" s="7"/>
      <c r="AV94" s="11"/>
      <c r="AW94" s="7"/>
      <c r="AY94" s="7"/>
      <c r="BN94" s="7"/>
      <c r="CQ94" s="7"/>
      <c r="DF94" s="7"/>
      <c r="DG94" s="7"/>
      <c r="DL94" s="15"/>
      <c r="DQ94" s="16"/>
      <c r="DR94" s="7"/>
      <c r="DV94" s="16"/>
      <c r="DZ94" s="16"/>
      <c r="EA94" s="7"/>
      <c r="EF94" s="16"/>
      <c r="EK94" s="16"/>
      <c r="EL94" s="7"/>
      <c r="EP94" s="16"/>
      <c r="ET94" s="16"/>
      <c r="EU94" s="7"/>
      <c r="FM94" s="7"/>
      <c r="FN94" s="390"/>
      <c r="FO94" s="390"/>
      <c r="FR94" s="7"/>
      <c r="FY94" s="7"/>
      <c r="GG94" s="7"/>
      <c r="HX94" s="74"/>
      <c r="HY94" s="42"/>
      <c r="HZ94" s="42"/>
      <c r="IE94" s="42"/>
      <c r="IF94" s="42"/>
      <c r="IK94" s="42"/>
      <c r="IL94" s="42"/>
      <c r="IM94" s="42"/>
      <c r="IN94" s="7"/>
      <c r="IO94" s="42"/>
      <c r="IT94" s="42"/>
      <c r="IU94" s="42"/>
      <c r="KC94" s="7"/>
      <c r="KD94" s="42"/>
      <c r="KG94" s="391"/>
      <c r="KH94" s="42"/>
      <c r="KI94" s="42"/>
      <c r="KJ94" s="42"/>
      <c r="KK94" s="42"/>
      <c r="KL94" s="42"/>
      <c r="KM94" s="42"/>
      <c r="KN94" s="42"/>
      <c r="KO94" s="42"/>
      <c r="KP94" s="42"/>
      <c r="KQ94" s="42"/>
      <c r="KR94" s="42"/>
      <c r="KS94" s="42"/>
      <c r="KT94" s="42"/>
      <c r="KU94" s="42"/>
      <c r="KV94" s="42"/>
      <c r="KW94" s="42"/>
      <c r="KX94" s="42"/>
      <c r="KY94" s="42"/>
      <c r="KZ94" s="42"/>
      <c r="LA94" s="42"/>
      <c r="LB94" s="42"/>
      <c r="LC94" s="42"/>
      <c r="LD94" s="42"/>
      <c r="LE94" s="42"/>
      <c r="LF94" s="42"/>
      <c r="LG94" s="42"/>
      <c r="LH94" s="42"/>
      <c r="LI94" s="42"/>
      <c r="LJ94" s="42"/>
      <c r="LK94" s="42"/>
      <c r="LL94" s="42"/>
      <c r="LM94" s="42"/>
      <c r="LN94" s="42"/>
      <c r="LO94" s="42"/>
      <c r="LP94" s="42"/>
      <c r="LQ94" s="42"/>
      <c r="LR94" s="42"/>
      <c r="LS94" s="42"/>
      <c r="LT94" s="42"/>
      <c r="LU94" s="42"/>
      <c r="LV94" s="42"/>
      <c r="LW94" s="42"/>
      <c r="LX94" s="42"/>
      <c r="LY94" s="42"/>
      <c r="LZ94" s="42"/>
      <c r="MA94" s="42"/>
      <c r="MB94" s="42"/>
      <c r="MC94" s="42"/>
      <c r="MD94" s="42"/>
      <c r="ME94" s="42"/>
      <c r="MF94" s="42"/>
      <c r="MG94" s="42"/>
      <c r="MH94" s="42"/>
      <c r="MI94" s="42"/>
      <c r="MJ94" s="42"/>
      <c r="MK94" s="42"/>
      <c r="ML94" s="42"/>
      <c r="MM94" s="42"/>
      <c r="MN94" s="42"/>
      <c r="MO94" s="42"/>
      <c r="MP94" s="42"/>
      <c r="MQ94" s="42"/>
      <c r="MR94" s="42"/>
      <c r="MS94" s="42"/>
      <c r="MT94" s="42"/>
      <c r="MU94" s="42"/>
      <c r="MV94" s="42"/>
      <c r="MW94" s="42"/>
      <c r="MX94" s="42"/>
      <c r="MY94" s="42"/>
      <c r="MZ94" s="42"/>
      <c r="NA94" s="42"/>
      <c r="NB94" s="42"/>
      <c r="NC94" s="42"/>
      <c r="ND94" s="42"/>
      <c r="NE94" s="42"/>
      <c r="NF94" s="42"/>
      <c r="NG94" s="42"/>
      <c r="NH94" s="42"/>
      <c r="NI94" s="42"/>
      <c r="NJ94" s="42"/>
      <c r="NK94" s="42"/>
      <c r="NL94" s="42"/>
      <c r="NM94" s="42"/>
      <c r="NN94" s="42"/>
      <c r="NO94" s="42"/>
      <c r="NP94" s="42"/>
      <c r="NQ94" s="42"/>
      <c r="NR94" s="42"/>
      <c r="NS94" s="42"/>
    </row>
    <row r="95" spans="1:383" s="5" customFormat="1" x14ac:dyDescent="0.25">
      <c r="A95" s="1"/>
      <c r="B95" s="2"/>
      <c r="C95" s="2"/>
      <c r="D95" s="2"/>
      <c r="E95" s="3"/>
      <c r="F95" s="3"/>
      <c r="G95" s="4"/>
      <c r="H95" s="1"/>
      <c r="I95" s="7"/>
      <c r="J95" s="7"/>
      <c r="K95" s="7"/>
      <c r="L95" s="7"/>
      <c r="M95" s="7"/>
      <c r="N95" s="7"/>
      <c r="O95" s="3"/>
      <c r="P95" s="7"/>
      <c r="AL95" s="7"/>
      <c r="AM95" s="7"/>
      <c r="AN95" s="7"/>
      <c r="AO95" s="7"/>
      <c r="AT95" s="7"/>
      <c r="AV95" s="11"/>
      <c r="AW95" s="7"/>
      <c r="AY95" s="7"/>
      <c r="BN95" s="7"/>
      <c r="CQ95" s="7"/>
      <c r="DF95" s="7"/>
      <c r="DG95" s="7"/>
      <c r="DL95" s="15"/>
      <c r="DQ95" s="16"/>
      <c r="DR95" s="7"/>
      <c r="DV95" s="16"/>
      <c r="DZ95" s="16"/>
      <c r="EA95" s="7"/>
      <c r="EF95" s="16"/>
      <c r="EK95" s="16"/>
      <c r="EL95" s="7"/>
      <c r="EP95" s="16"/>
      <c r="ET95" s="16"/>
      <c r="EU95" s="7"/>
      <c r="FM95" s="7"/>
      <c r="FN95" s="390"/>
      <c r="FO95" s="390"/>
      <c r="FR95" s="7"/>
      <c r="FY95" s="7"/>
      <c r="GG95" s="7"/>
      <c r="HX95" s="74"/>
      <c r="HY95" s="42"/>
      <c r="HZ95" s="42"/>
      <c r="IE95" s="42"/>
      <c r="IF95" s="42"/>
      <c r="IK95" s="42"/>
      <c r="IL95" s="42"/>
      <c r="IM95" s="42"/>
      <c r="IN95" s="7"/>
      <c r="IO95" s="42"/>
      <c r="IT95" s="42"/>
      <c r="IU95" s="42"/>
      <c r="KC95" s="7"/>
      <c r="KD95" s="42"/>
      <c r="KG95" s="391"/>
      <c r="KH95" s="42"/>
      <c r="KI95" s="42"/>
      <c r="KJ95" s="42"/>
      <c r="KK95" s="42"/>
      <c r="KL95" s="42"/>
      <c r="KM95" s="42"/>
      <c r="KN95" s="42"/>
      <c r="KO95" s="42"/>
      <c r="KP95" s="42"/>
      <c r="KQ95" s="42"/>
      <c r="KR95" s="42"/>
      <c r="KS95" s="42"/>
      <c r="KT95" s="42"/>
      <c r="KU95" s="42"/>
      <c r="KV95" s="42"/>
      <c r="KW95" s="42"/>
      <c r="KX95" s="42"/>
      <c r="KY95" s="42"/>
      <c r="KZ95" s="42"/>
      <c r="LA95" s="42"/>
      <c r="LB95" s="42"/>
      <c r="LC95" s="42"/>
      <c r="LD95" s="42"/>
      <c r="LE95" s="42"/>
      <c r="LF95" s="42"/>
      <c r="LG95" s="42"/>
      <c r="LH95" s="42"/>
      <c r="LI95" s="42"/>
      <c r="LJ95" s="42"/>
      <c r="LK95" s="42"/>
      <c r="LL95" s="42"/>
      <c r="LM95" s="42"/>
      <c r="LN95" s="42"/>
      <c r="LO95" s="42"/>
      <c r="LP95" s="42"/>
      <c r="LQ95" s="42"/>
      <c r="LR95" s="42"/>
      <c r="LS95" s="42"/>
      <c r="LT95" s="42"/>
      <c r="LU95" s="42"/>
      <c r="LV95" s="42"/>
      <c r="LW95" s="42"/>
      <c r="LX95" s="42"/>
      <c r="LY95" s="42"/>
      <c r="LZ95" s="42"/>
      <c r="MA95" s="42"/>
      <c r="MB95" s="42"/>
      <c r="MC95" s="42"/>
      <c r="MD95" s="42"/>
      <c r="ME95" s="42"/>
      <c r="MF95" s="42"/>
      <c r="MG95" s="42"/>
      <c r="MH95" s="42"/>
      <c r="MI95" s="42"/>
      <c r="MJ95" s="42"/>
      <c r="MK95" s="42"/>
      <c r="ML95" s="42"/>
      <c r="MM95" s="42"/>
      <c r="MN95" s="42"/>
      <c r="MO95" s="42"/>
      <c r="MP95" s="42"/>
      <c r="MQ95" s="42"/>
      <c r="MR95" s="42"/>
      <c r="MS95" s="42"/>
      <c r="MT95" s="42"/>
      <c r="MU95" s="42"/>
      <c r="MV95" s="42"/>
      <c r="MW95" s="42"/>
      <c r="MX95" s="42"/>
      <c r="MY95" s="42"/>
      <c r="MZ95" s="42"/>
      <c r="NA95" s="42"/>
      <c r="NB95" s="42"/>
      <c r="NC95" s="42"/>
      <c r="ND95" s="42"/>
      <c r="NE95" s="42"/>
      <c r="NF95" s="42"/>
      <c r="NG95" s="42"/>
      <c r="NH95" s="42"/>
      <c r="NI95" s="42"/>
      <c r="NJ95" s="42"/>
      <c r="NK95" s="42"/>
      <c r="NL95" s="42"/>
      <c r="NM95" s="42"/>
      <c r="NN95" s="42"/>
      <c r="NO95" s="42"/>
      <c r="NP95" s="42"/>
      <c r="NQ95" s="42"/>
      <c r="NR95" s="42"/>
      <c r="NS95" s="42"/>
    </row>
    <row r="96" spans="1:383" s="5" customFormat="1" x14ac:dyDescent="0.25">
      <c r="A96" s="1"/>
      <c r="B96" s="2"/>
      <c r="C96" s="2"/>
      <c r="D96" s="2"/>
      <c r="E96" s="3"/>
      <c r="F96" s="3"/>
      <c r="G96" s="4"/>
      <c r="H96" s="1"/>
      <c r="I96" s="7"/>
      <c r="J96" s="7"/>
      <c r="K96" s="7"/>
      <c r="L96" s="7"/>
      <c r="M96" s="7"/>
      <c r="N96" s="7"/>
      <c r="O96" s="3"/>
      <c r="P96" s="7"/>
      <c r="AL96" s="7"/>
      <c r="AM96" s="7"/>
      <c r="AN96" s="7"/>
      <c r="AO96" s="7"/>
      <c r="AT96" s="7"/>
      <c r="AV96" s="11"/>
      <c r="AW96" s="7"/>
      <c r="AY96" s="7"/>
      <c r="BN96" s="7"/>
      <c r="CQ96" s="7"/>
      <c r="DF96" s="7"/>
      <c r="DG96" s="7"/>
      <c r="DL96" s="15"/>
      <c r="DQ96" s="16"/>
      <c r="DR96" s="7"/>
      <c r="DV96" s="16"/>
      <c r="DZ96" s="16"/>
      <c r="EA96" s="7"/>
      <c r="EF96" s="16"/>
      <c r="EK96" s="16"/>
      <c r="EL96" s="7"/>
      <c r="EP96" s="16"/>
      <c r="ET96" s="16"/>
      <c r="EU96" s="7"/>
      <c r="FM96" s="7"/>
      <c r="FN96" s="390"/>
      <c r="FO96" s="390"/>
      <c r="FR96" s="7"/>
      <c r="FY96" s="7"/>
      <c r="GG96" s="7"/>
      <c r="HX96" s="74"/>
      <c r="HY96" s="42"/>
      <c r="HZ96" s="42"/>
      <c r="IE96" s="42"/>
      <c r="IF96" s="42"/>
      <c r="IK96" s="42"/>
      <c r="IL96" s="42"/>
      <c r="IM96" s="42"/>
      <c r="IN96" s="7"/>
      <c r="IO96" s="42"/>
      <c r="IT96" s="42"/>
      <c r="IU96" s="42"/>
      <c r="KC96" s="7"/>
      <c r="KD96" s="42"/>
      <c r="KG96" s="391"/>
      <c r="KH96" s="42"/>
      <c r="KI96" s="42"/>
      <c r="KJ96" s="42"/>
      <c r="KK96" s="42"/>
      <c r="KL96" s="42"/>
      <c r="KM96" s="42"/>
      <c r="KN96" s="42"/>
      <c r="KO96" s="42"/>
      <c r="KP96" s="42"/>
      <c r="KQ96" s="42"/>
      <c r="KR96" s="42"/>
      <c r="KS96" s="42"/>
      <c r="KT96" s="42"/>
      <c r="KU96" s="42"/>
      <c r="KV96" s="42"/>
      <c r="KW96" s="42"/>
      <c r="KX96" s="42"/>
      <c r="KY96" s="42"/>
      <c r="KZ96" s="42"/>
      <c r="LA96" s="42"/>
      <c r="LB96" s="42"/>
      <c r="LC96" s="42"/>
      <c r="LD96" s="42"/>
      <c r="LE96" s="42"/>
      <c r="LF96" s="42"/>
      <c r="LG96" s="42"/>
      <c r="LH96" s="42"/>
      <c r="LI96" s="42"/>
      <c r="LJ96" s="42"/>
      <c r="LK96" s="42"/>
      <c r="LL96" s="42"/>
      <c r="LM96" s="42"/>
      <c r="LN96" s="42"/>
      <c r="LO96" s="42"/>
      <c r="LP96" s="42"/>
      <c r="LQ96" s="42"/>
      <c r="LR96" s="42"/>
      <c r="LS96" s="42"/>
      <c r="LT96" s="42"/>
      <c r="LU96" s="42"/>
      <c r="LV96" s="42"/>
      <c r="LW96" s="42"/>
      <c r="LX96" s="42"/>
      <c r="LY96" s="42"/>
      <c r="LZ96" s="42"/>
      <c r="MA96" s="42"/>
      <c r="MB96" s="42"/>
      <c r="MC96" s="42"/>
      <c r="MD96" s="42"/>
      <c r="ME96" s="42"/>
      <c r="MF96" s="42"/>
      <c r="MG96" s="42"/>
      <c r="MH96" s="42"/>
      <c r="MI96" s="42"/>
      <c r="MJ96" s="42"/>
      <c r="MK96" s="42"/>
      <c r="ML96" s="42"/>
      <c r="MM96" s="42"/>
      <c r="MN96" s="42"/>
      <c r="MO96" s="42"/>
      <c r="MP96" s="42"/>
      <c r="MQ96" s="42"/>
      <c r="MR96" s="42"/>
      <c r="MS96" s="42"/>
      <c r="MT96" s="42"/>
      <c r="MU96" s="42"/>
      <c r="MV96" s="42"/>
      <c r="MW96" s="42"/>
      <c r="MX96" s="42"/>
      <c r="MY96" s="42"/>
      <c r="MZ96" s="42"/>
      <c r="NA96" s="42"/>
      <c r="NB96" s="42"/>
      <c r="NC96" s="42"/>
      <c r="ND96" s="42"/>
      <c r="NE96" s="42"/>
      <c r="NF96" s="42"/>
      <c r="NG96" s="42"/>
      <c r="NH96" s="42"/>
      <c r="NI96" s="42"/>
      <c r="NJ96" s="42"/>
      <c r="NK96" s="42"/>
      <c r="NL96" s="42"/>
      <c r="NM96" s="42"/>
      <c r="NN96" s="42"/>
      <c r="NO96" s="42"/>
      <c r="NP96" s="42"/>
      <c r="NQ96" s="42"/>
      <c r="NR96" s="42"/>
      <c r="NS96" s="42"/>
    </row>
    <row r="97" spans="1:383" s="5" customFormat="1" x14ac:dyDescent="0.25">
      <c r="A97" s="1"/>
      <c r="B97" s="2"/>
      <c r="C97" s="2"/>
      <c r="D97" s="2"/>
      <c r="E97" s="3"/>
      <c r="F97" s="3"/>
      <c r="G97" s="4"/>
      <c r="H97" s="1"/>
      <c r="I97" s="7"/>
      <c r="J97" s="7"/>
      <c r="K97" s="7"/>
      <c r="L97" s="7"/>
      <c r="M97" s="7"/>
      <c r="N97" s="7"/>
      <c r="O97" s="3"/>
      <c r="P97" s="7"/>
      <c r="AL97" s="7"/>
      <c r="AM97" s="7"/>
      <c r="AN97" s="7"/>
      <c r="AO97" s="7"/>
      <c r="AT97" s="7"/>
      <c r="AV97" s="11"/>
      <c r="AW97" s="7"/>
      <c r="AY97" s="7"/>
      <c r="BN97" s="7"/>
      <c r="CQ97" s="7"/>
      <c r="DF97" s="7"/>
      <c r="DG97" s="7"/>
      <c r="DL97" s="15"/>
      <c r="DQ97" s="16"/>
      <c r="DR97" s="7"/>
      <c r="DV97" s="16"/>
      <c r="DZ97" s="16"/>
      <c r="EA97" s="7"/>
      <c r="EF97" s="16"/>
      <c r="EK97" s="16"/>
      <c r="EL97" s="7"/>
      <c r="EP97" s="16"/>
      <c r="ET97" s="16"/>
      <c r="EU97" s="7"/>
      <c r="FM97" s="7"/>
      <c r="FN97" s="390"/>
      <c r="FO97" s="390"/>
      <c r="FR97" s="7"/>
      <c r="FY97" s="7"/>
      <c r="GG97" s="7"/>
      <c r="HX97" s="74"/>
      <c r="HY97" s="42"/>
      <c r="HZ97" s="42"/>
      <c r="IE97" s="42"/>
      <c r="IF97" s="42"/>
      <c r="IK97" s="42"/>
      <c r="IL97" s="42"/>
      <c r="IM97" s="42"/>
      <c r="IN97" s="7"/>
      <c r="IO97" s="42"/>
      <c r="IT97" s="42"/>
      <c r="IU97" s="42"/>
      <c r="KC97" s="7"/>
      <c r="KD97" s="42"/>
      <c r="KG97" s="391"/>
      <c r="KH97" s="42"/>
      <c r="KI97" s="42"/>
      <c r="KJ97" s="42"/>
      <c r="KK97" s="42"/>
      <c r="KL97" s="42"/>
      <c r="KM97" s="42"/>
      <c r="KN97" s="42"/>
      <c r="KO97" s="42"/>
      <c r="KP97" s="42"/>
      <c r="KQ97" s="42"/>
      <c r="KR97" s="42"/>
      <c r="KS97" s="42"/>
      <c r="KT97" s="42"/>
      <c r="KU97" s="42"/>
      <c r="KV97" s="42"/>
      <c r="KW97" s="42"/>
      <c r="KX97" s="42"/>
      <c r="KY97" s="42"/>
      <c r="KZ97" s="42"/>
      <c r="LA97" s="42"/>
      <c r="LB97" s="42"/>
      <c r="LC97" s="42"/>
      <c r="LD97" s="42"/>
      <c r="LE97" s="42"/>
      <c r="LF97" s="42"/>
      <c r="LG97" s="42"/>
      <c r="LH97" s="42"/>
      <c r="LI97" s="42"/>
      <c r="LJ97" s="42"/>
      <c r="LK97" s="42"/>
      <c r="LL97" s="42"/>
      <c r="LM97" s="42"/>
      <c r="LN97" s="42"/>
      <c r="LO97" s="42"/>
      <c r="LP97" s="42"/>
      <c r="LQ97" s="42"/>
      <c r="LR97" s="42"/>
      <c r="LS97" s="42"/>
      <c r="LT97" s="42"/>
      <c r="LU97" s="42"/>
      <c r="LV97" s="42"/>
      <c r="LW97" s="42"/>
      <c r="LX97" s="42"/>
      <c r="LY97" s="42"/>
      <c r="LZ97" s="42"/>
      <c r="MA97" s="42"/>
      <c r="MB97" s="42"/>
      <c r="MC97" s="42"/>
      <c r="MD97" s="42"/>
      <c r="ME97" s="42"/>
      <c r="MF97" s="42"/>
      <c r="MG97" s="42"/>
      <c r="MH97" s="42"/>
      <c r="MI97" s="42"/>
      <c r="MJ97" s="42"/>
      <c r="MK97" s="42"/>
      <c r="ML97" s="42"/>
      <c r="MM97" s="42"/>
      <c r="MN97" s="42"/>
      <c r="MO97" s="42"/>
      <c r="MP97" s="42"/>
      <c r="MQ97" s="42"/>
      <c r="MR97" s="42"/>
      <c r="MS97" s="42"/>
      <c r="MT97" s="42"/>
      <c r="MU97" s="42"/>
      <c r="MV97" s="42"/>
      <c r="MW97" s="42"/>
      <c r="MX97" s="42"/>
      <c r="MY97" s="42"/>
      <c r="MZ97" s="42"/>
      <c r="NA97" s="42"/>
      <c r="NB97" s="42"/>
      <c r="NC97" s="42"/>
      <c r="ND97" s="42"/>
      <c r="NE97" s="42"/>
      <c r="NF97" s="42"/>
      <c r="NG97" s="42"/>
      <c r="NH97" s="42"/>
      <c r="NI97" s="42"/>
      <c r="NJ97" s="42"/>
      <c r="NK97" s="42"/>
      <c r="NL97" s="42"/>
      <c r="NM97" s="42"/>
      <c r="NN97" s="42"/>
      <c r="NO97" s="42"/>
      <c r="NP97" s="42"/>
      <c r="NQ97" s="42"/>
      <c r="NR97" s="42"/>
      <c r="NS97" s="42"/>
    </row>
    <row r="98" spans="1:383" s="5" customFormat="1" x14ac:dyDescent="0.25">
      <c r="A98" s="1"/>
      <c r="B98" s="2"/>
      <c r="C98" s="2"/>
      <c r="D98" s="2"/>
      <c r="E98" s="3"/>
      <c r="F98" s="3"/>
      <c r="G98" s="4"/>
      <c r="H98" s="1"/>
      <c r="I98" s="7"/>
      <c r="J98" s="7"/>
      <c r="K98" s="7"/>
      <c r="L98" s="7"/>
      <c r="M98" s="7"/>
      <c r="N98" s="7"/>
      <c r="O98" s="3"/>
      <c r="P98" s="7"/>
      <c r="AL98" s="7"/>
      <c r="AM98" s="7"/>
      <c r="AN98" s="7"/>
      <c r="AO98" s="7"/>
      <c r="AT98" s="7"/>
      <c r="AV98" s="11"/>
      <c r="AW98" s="7"/>
      <c r="AY98" s="7"/>
      <c r="BN98" s="7"/>
      <c r="CQ98" s="7"/>
      <c r="DF98" s="7"/>
      <c r="DG98" s="7"/>
      <c r="DL98" s="15"/>
      <c r="DQ98" s="16"/>
      <c r="DR98" s="7"/>
      <c r="DV98" s="16"/>
      <c r="DZ98" s="16"/>
      <c r="EA98" s="7"/>
      <c r="EF98" s="16"/>
      <c r="EK98" s="16"/>
      <c r="EL98" s="7"/>
      <c r="EP98" s="16"/>
      <c r="ET98" s="16"/>
      <c r="EU98" s="7"/>
      <c r="FM98" s="7"/>
      <c r="FN98" s="390"/>
      <c r="FO98" s="390"/>
      <c r="FR98" s="7"/>
      <c r="FY98" s="7"/>
      <c r="GG98" s="7"/>
      <c r="HX98" s="74"/>
      <c r="HY98" s="42"/>
      <c r="HZ98" s="42"/>
      <c r="IE98" s="42"/>
      <c r="IF98" s="42"/>
      <c r="IK98" s="42"/>
      <c r="IL98" s="42"/>
      <c r="IM98" s="42"/>
      <c r="IN98" s="7"/>
      <c r="IO98" s="42"/>
      <c r="IT98" s="42"/>
      <c r="IU98" s="42"/>
      <c r="KC98" s="7"/>
      <c r="KD98" s="42"/>
      <c r="KG98" s="391"/>
      <c r="KH98" s="42"/>
      <c r="KI98" s="42"/>
      <c r="KJ98" s="42"/>
      <c r="KK98" s="42"/>
      <c r="KL98" s="42"/>
      <c r="KM98" s="42"/>
      <c r="KN98" s="42"/>
      <c r="KO98" s="42"/>
      <c r="KP98" s="42"/>
      <c r="KQ98" s="42"/>
      <c r="KR98" s="42"/>
      <c r="KS98" s="42"/>
      <c r="KT98" s="42"/>
      <c r="KU98" s="42"/>
      <c r="KV98" s="42"/>
      <c r="KW98" s="42"/>
      <c r="KX98" s="42"/>
      <c r="KY98" s="42"/>
      <c r="KZ98" s="42"/>
      <c r="LA98" s="42"/>
      <c r="LB98" s="42"/>
      <c r="LC98" s="42"/>
      <c r="LD98" s="42"/>
      <c r="LE98" s="42"/>
      <c r="LF98" s="42"/>
      <c r="LG98" s="42"/>
      <c r="LH98" s="42"/>
      <c r="LI98" s="42"/>
      <c r="LJ98" s="42"/>
      <c r="LK98" s="42"/>
      <c r="LL98" s="42"/>
      <c r="LM98" s="42"/>
      <c r="LN98" s="42"/>
      <c r="LO98" s="42"/>
      <c r="LP98" s="42"/>
      <c r="LQ98" s="42"/>
      <c r="LR98" s="42"/>
      <c r="LS98" s="42"/>
      <c r="LT98" s="42"/>
      <c r="LU98" s="42"/>
      <c r="LV98" s="42"/>
      <c r="LW98" s="42"/>
      <c r="LX98" s="42"/>
      <c r="LY98" s="42"/>
      <c r="LZ98" s="42"/>
      <c r="MA98" s="42"/>
      <c r="MB98" s="42"/>
      <c r="MC98" s="42"/>
      <c r="MD98" s="42"/>
      <c r="ME98" s="42"/>
      <c r="MF98" s="42"/>
      <c r="MG98" s="42"/>
      <c r="MH98" s="42"/>
      <c r="MI98" s="42"/>
      <c r="MJ98" s="42"/>
      <c r="MK98" s="42"/>
      <c r="ML98" s="42"/>
      <c r="MM98" s="42"/>
      <c r="MN98" s="42"/>
      <c r="MO98" s="42"/>
      <c r="MP98" s="42"/>
      <c r="MQ98" s="42"/>
      <c r="MR98" s="42"/>
      <c r="MS98" s="42"/>
      <c r="MT98" s="42"/>
      <c r="MU98" s="42"/>
      <c r="MV98" s="42"/>
      <c r="MW98" s="42"/>
      <c r="MX98" s="42"/>
      <c r="MY98" s="42"/>
      <c r="MZ98" s="42"/>
      <c r="NA98" s="42"/>
      <c r="NB98" s="42"/>
      <c r="NC98" s="42"/>
      <c r="ND98" s="42"/>
      <c r="NE98" s="42"/>
      <c r="NF98" s="42"/>
      <c r="NG98" s="42"/>
      <c r="NH98" s="42"/>
      <c r="NI98" s="42"/>
      <c r="NJ98" s="42"/>
      <c r="NK98" s="42"/>
      <c r="NL98" s="42"/>
      <c r="NM98" s="42"/>
      <c r="NN98" s="42"/>
      <c r="NO98" s="42"/>
      <c r="NP98" s="42"/>
      <c r="NQ98" s="42"/>
      <c r="NR98" s="42"/>
      <c r="NS98" s="42"/>
    </row>
    <row r="99" spans="1:383" s="5" customFormat="1" x14ac:dyDescent="0.25">
      <c r="A99" s="1"/>
      <c r="B99" s="2"/>
      <c r="C99" s="2"/>
      <c r="D99" s="2"/>
      <c r="E99" s="3"/>
      <c r="F99" s="3"/>
      <c r="G99" s="4"/>
      <c r="H99" s="1"/>
      <c r="I99" s="7"/>
      <c r="J99" s="7"/>
      <c r="K99" s="7"/>
      <c r="L99" s="7"/>
      <c r="M99" s="7"/>
      <c r="N99" s="7"/>
      <c r="O99" s="3"/>
      <c r="P99" s="7"/>
      <c r="AL99" s="7"/>
      <c r="AM99" s="7"/>
      <c r="AN99" s="7"/>
      <c r="AO99" s="7"/>
      <c r="AT99" s="7"/>
      <c r="AV99" s="11"/>
      <c r="AW99" s="7"/>
      <c r="AY99" s="7"/>
      <c r="BN99" s="7"/>
      <c r="CQ99" s="7"/>
      <c r="DF99" s="7"/>
      <c r="DG99" s="7"/>
      <c r="DL99" s="15"/>
      <c r="DQ99" s="16"/>
      <c r="DR99" s="7"/>
      <c r="DV99" s="16"/>
      <c r="DZ99" s="16"/>
      <c r="EA99" s="7"/>
      <c r="EF99" s="16"/>
      <c r="EK99" s="16"/>
      <c r="EL99" s="7"/>
      <c r="EP99" s="16"/>
      <c r="ET99" s="16"/>
      <c r="EU99" s="7"/>
      <c r="FM99" s="7"/>
      <c r="FN99" s="390"/>
      <c r="FO99" s="390"/>
      <c r="FR99" s="7"/>
      <c r="FY99" s="7"/>
      <c r="GG99" s="7"/>
      <c r="HX99" s="74"/>
      <c r="HY99" s="42"/>
      <c r="HZ99" s="42"/>
      <c r="IE99" s="42"/>
      <c r="IF99" s="42"/>
      <c r="IK99" s="42"/>
      <c r="IL99" s="42"/>
      <c r="IM99" s="42"/>
      <c r="IN99" s="7"/>
      <c r="IO99" s="42"/>
      <c r="IT99" s="42"/>
      <c r="IU99" s="42"/>
      <c r="KC99" s="7"/>
      <c r="KD99" s="42"/>
      <c r="KG99" s="391"/>
      <c r="KH99" s="42"/>
      <c r="KI99" s="42"/>
      <c r="KJ99" s="42"/>
      <c r="KK99" s="42"/>
      <c r="KL99" s="42"/>
      <c r="KM99" s="42"/>
      <c r="KN99" s="42"/>
      <c r="KO99" s="42"/>
      <c r="KP99" s="42"/>
      <c r="KQ99" s="42"/>
      <c r="KR99" s="42"/>
      <c r="KS99" s="42"/>
      <c r="KT99" s="42"/>
      <c r="KU99" s="42"/>
      <c r="KV99" s="42"/>
      <c r="KW99" s="42"/>
      <c r="KX99" s="42"/>
      <c r="KY99" s="42"/>
      <c r="KZ99" s="42"/>
      <c r="LA99" s="42"/>
      <c r="LB99" s="42"/>
      <c r="LC99" s="42"/>
      <c r="LD99" s="42"/>
      <c r="LE99" s="42"/>
      <c r="LF99" s="42"/>
      <c r="LG99" s="42"/>
      <c r="LH99" s="42"/>
      <c r="LI99" s="42"/>
      <c r="LJ99" s="42"/>
      <c r="LK99" s="42"/>
      <c r="LL99" s="42"/>
      <c r="LM99" s="42"/>
      <c r="LN99" s="42"/>
      <c r="LO99" s="42"/>
      <c r="LP99" s="42"/>
      <c r="LQ99" s="42"/>
      <c r="LR99" s="42"/>
      <c r="LS99" s="42"/>
      <c r="LT99" s="42"/>
      <c r="LU99" s="42"/>
      <c r="LV99" s="42"/>
      <c r="LW99" s="42"/>
      <c r="LX99" s="42"/>
      <c r="LY99" s="42"/>
      <c r="LZ99" s="42"/>
      <c r="MA99" s="42"/>
      <c r="MB99" s="42"/>
      <c r="MC99" s="42"/>
      <c r="MD99" s="42"/>
      <c r="ME99" s="42"/>
      <c r="MF99" s="42"/>
      <c r="MG99" s="42"/>
      <c r="MH99" s="42"/>
      <c r="MI99" s="42"/>
      <c r="MJ99" s="42"/>
      <c r="MK99" s="42"/>
      <c r="ML99" s="42"/>
      <c r="MM99" s="42"/>
      <c r="MN99" s="42"/>
      <c r="MO99" s="42"/>
      <c r="MP99" s="42"/>
      <c r="MQ99" s="42"/>
      <c r="MR99" s="42"/>
      <c r="MS99" s="42"/>
      <c r="MT99" s="42"/>
      <c r="MU99" s="42"/>
      <c r="MV99" s="42"/>
      <c r="MW99" s="42"/>
      <c r="MX99" s="42"/>
      <c r="MY99" s="42"/>
      <c r="MZ99" s="42"/>
      <c r="NA99" s="42"/>
      <c r="NB99" s="42"/>
      <c r="NC99" s="42"/>
      <c r="ND99" s="42"/>
      <c r="NE99" s="42"/>
      <c r="NF99" s="42"/>
      <c r="NG99" s="42"/>
      <c r="NH99" s="42"/>
      <c r="NI99" s="42"/>
      <c r="NJ99" s="42"/>
      <c r="NK99" s="42"/>
      <c r="NL99" s="42"/>
      <c r="NM99" s="42"/>
      <c r="NN99" s="42"/>
      <c r="NO99" s="42"/>
      <c r="NP99" s="42"/>
      <c r="NQ99" s="42"/>
      <c r="NR99" s="42"/>
      <c r="NS99" s="42"/>
    </row>
    <row r="100" spans="1:383" s="5" customFormat="1" x14ac:dyDescent="0.25">
      <c r="A100" s="1"/>
      <c r="B100" s="2"/>
      <c r="C100" s="2"/>
      <c r="D100" s="2"/>
      <c r="E100" s="3"/>
      <c r="F100" s="3"/>
      <c r="G100" s="4"/>
      <c r="H100" s="1"/>
      <c r="I100" s="7"/>
      <c r="J100" s="7"/>
      <c r="K100" s="7"/>
      <c r="L100" s="7"/>
      <c r="M100" s="7"/>
      <c r="N100" s="7"/>
      <c r="O100" s="3"/>
      <c r="P100" s="7"/>
      <c r="AL100" s="7"/>
      <c r="AM100" s="7"/>
      <c r="AN100" s="7"/>
      <c r="AO100" s="7"/>
      <c r="AT100" s="7"/>
      <c r="AV100" s="11"/>
      <c r="AW100" s="7"/>
      <c r="AY100" s="7"/>
      <c r="BN100" s="7"/>
      <c r="CQ100" s="7"/>
      <c r="DF100" s="7"/>
      <c r="DG100" s="7"/>
      <c r="DL100" s="15"/>
      <c r="DQ100" s="16"/>
      <c r="DR100" s="7"/>
      <c r="DV100" s="16"/>
      <c r="DZ100" s="16"/>
      <c r="EA100" s="7"/>
      <c r="EF100" s="16"/>
      <c r="EK100" s="16"/>
      <c r="EL100" s="7"/>
      <c r="EP100" s="16"/>
      <c r="ET100" s="16"/>
      <c r="EU100" s="7"/>
      <c r="FM100" s="7"/>
      <c r="FN100" s="390"/>
      <c r="FO100" s="390"/>
      <c r="FR100" s="7"/>
      <c r="FY100" s="7"/>
      <c r="GG100" s="7"/>
      <c r="HX100" s="74"/>
      <c r="HY100" s="42"/>
      <c r="HZ100" s="42"/>
      <c r="IE100" s="42"/>
      <c r="IF100" s="42"/>
      <c r="IK100" s="42"/>
      <c r="IL100" s="42"/>
      <c r="IM100" s="42"/>
      <c r="IN100" s="7"/>
      <c r="IO100" s="42"/>
      <c r="IT100" s="42"/>
      <c r="IU100" s="42"/>
      <c r="KC100" s="7"/>
      <c r="KD100" s="42"/>
      <c r="KG100" s="391"/>
      <c r="KH100" s="42"/>
      <c r="KI100" s="42"/>
      <c r="KJ100" s="42"/>
      <c r="KK100" s="42"/>
      <c r="KL100" s="42"/>
      <c r="KM100" s="42"/>
      <c r="KN100" s="42"/>
      <c r="KO100" s="42"/>
      <c r="KP100" s="42"/>
      <c r="KQ100" s="42"/>
      <c r="KR100" s="42"/>
      <c r="KS100" s="42"/>
      <c r="KT100" s="42"/>
      <c r="KU100" s="42"/>
      <c r="KV100" s="42"/>
      <c r="KW100" s="42"/>
      <c r="KX100" s="42"/>
      <c r="KY100" s="42"/>
      <c r="KZ100" s="42"/>
      <c r="LA100" s="42"/>
      <c r="LB100" s="42"/>
      <c r="LC100" s="42"/>
      <c r="LD100" s="42"/>
      <c r="LE100" s="42"/>
      <c r="LF100" s="42"/>
      <c r="LG100" s="42"/>
      <c r="LH100" s="42"/>
      <c r="LI100" s="42"/>
      <c r="LJ100" s="42"/>
      <c r="LK100" s="42"/>
      <c r="LL100" s="42"/>
      <c r="LM100" s="42"/>
      <c r="LN100" s="42"/>
      <c r="LO100" s="42"/>
      <c r="LP100" s="42"/>
      <c r="LQ100" s="42"/>
      <c r="LR100" s="42"/>
      <c r="LS100" s="42"/>
      <c r="LT100" s="42"/>
      <c r="LU100" s="42"/>
      <c r="LV100" s="42"/>
      <c r="LW100" s="42"/>
      <c r="LX100" s="42"/>
      <c r="LY100" s="42"/>
      <c r="LZ100" s="42"/>
      <c r="MA100" s="42"/>
      <c r="MB100" s="42"/>
      <c r="MC100" s="42"/>
      <c r="MD100" s="42"/>
      <c r="ME100" s="42"/>
      <c r="MF100" s="42"/>
      <c r="MG100" s="42"/>
      <c r="MH100" s="42"/>
      <c r="MI100" s="42"/>
      <c r="MJ100" s="42"/>
      <c r="MK100" s="42"/>
      <c r="ML100" s="42"/>
      <c r="MM100" s="42"/>
      <c r="MN100" s="42"/>
      <c r="MO100" s="42"/>
      <c r="MP100" s="42"/>
      <c r="MQ100" s="42"/>
      <c r="MR100" s="42"/>
      <c r="MS100" s="42"/>
      <c r="MT100" s="42"/>
      <c r="MU100" s="42"/>
      <c r="MV100" s="42"/>
      <c r="MW100" s="42"/>
      <c r="MX100" s="42"/>
      <c r="MY100" s="42"/>
      <c r="MZ100" s="42"/>
      <c r="NA100" s="42"/>
      <c r="NB100" s="42"/>
      <c r="NC100" s="42"/>
      <c r="ND100" s="42"/>
      <c r="NE100" s="42"/>
      <c r="NF100" s="42"/>
      <c r="NG100" s="42"/>
      <c r="NH100" s="42"/>
      <c r="NI100" s="42"/>
      <c r="NJ100" s="42"/>
      <c r="NK100" s="42"/>
      <c r="NL100" s="42"/>
      <c r="NM100" s="42"/>
      <c r="NN100" s="42"/>
      <c r="NO100" s="42"/>
      <c r="NP100" s="42"/>
      <c r="NQ100" s="42"/>
      <c r="NR100" s="42"/>
      <c r="NS100" s="42"/>
    </row>
    <row r="101" spans="1:383" s="5" customFormat="1" x14ac:dyDescent="0.25">
      <c r="A101" s="1"/>
      <c r="B101" s="2"/>
      <c r="C101" s="2"/>
      <c r="D101" s="2"/>
      <c r="E101" s="3"/>
      <c r="F101" s="3"/>
      <c r="G101" s="4"/>
      <c r="H101" s="1"/>
      <c r="I101" s="7"/>
      <c r="J101" s="7"/>
      <c r="K101" s="7"/>
      <c r="L101" s="7"/>
      <c r="M101" s="7"/>
      <c r="N101" s="7"/>
      <c r="O101" s="3"/>
      <c r="P101" s="7"/>
      <c r="AL101" s="7"/>
      <c r="AM101" s="7"/>
      <c r="AN101" s="7"/>
      <c r="AO101" s="7"/>
      <c r="AT101" s="7"/>
      <c r="AV101" s="11"/>
      <c r="AW101" s="7"/>
      <c r="AY101" s="7"/>
      <c r="BN101" s="7"/>
      <c r="CQ101" s="7"/>
      <c r="DF101" s="7"/>
      <c r="DG101" s="7"/>
      <c r="DL101" s="15"/>
      <c r="DQ101" s="16"/>
      <c r="DR101" s="7"/>
      <c r="DV101" s="16"/>
      <c r="DZ101" s="16"/>
      <c r="EA101" s="7"/>
      <c r="EF101" s="16"/>
      <c r="EK101" s="16"/>
      <c r="EL101" s="7"/>
      <c r="EP101" s="16"/>
      <c r="ET101" s="16"/>
      <c r="EU101" s="7"/>
      <c r="FM101" s="7"/>
      <c r="FN101" s="390"/>
      <c r="FO101" s="390"/>
      <c r="FR101" s="7"/>
      <c r="FY101" s="7"/>
      <c r="GG101" s="7"/>
      <c r="HX101" s="74"/>
      <c r="HY101" s="42"/>
      <c r="HZ101" s="42"/>
      <c r="IE101" s="42"/>
      <c r="IF101" s="42"/>
      <c r="IK101" s="42"/>
      <c r="IL101" s="42"/>
      <c r="IM101" s="42"/>
      <c r="IN101" s="7"/>
      <c r="IO101" s="42"/>
      <c r="IT101" s="42"/>
      <c r="IU101" s="42"/>
      <c r="KC101" s="7"/>
      <c r="KD101" s="42"/>
      <c r="KG101" s="391"/>
      <c r="KH101" s="42"/>
      <c r="KI101" s="42"/>
      <c r="KJ101" s="42"/>
      <c r="KK101" s="42"/>
      <c r="KL101" s="42"/>
      <c r="KM101" s="42"/>
      <c r="KN101" s="42"/>
      <c r="KO101" s="42"/>
      <c r="KP101" s="42"/>
      <c r="KQ101" s="42"/>
      <c r="KR101" s="42"/>
      <c r="KS101" s="42"/>
      <c r="KT101" s="42"/>
      <c r="KU101" s="42"/>
      <c r="KV101" s="42"/>
      <c r="KW101" s="42"/>
      <c r="KX101" s="42"/>
      <c r="KY101" s="42"/>
      <c r="KZ101" s="42"/>
      <c r="LA101" s="42"/>
      <c r="LB101" s="42"/>
      <c r="LC101" s="42"/>
      <c r="LD101" s="42"/>
      <c r="LE101" s="42"/>
      <c r="LF101" s="42"/>
      <c r="LG101" s="42"/>
      <c r="LH101" s="42"/>
      <c r="LI101" s="42"/>
      <c r="LJ101" s="42"/>
      <c r="LK101" s="42"/>
      <c r="LL101" s="42"/>
      <c r="LM101" s="42"/>
      <c r="LN101" s="42"/>
      <c r="LO101" s="42"/>
      <c r="LP101" s="42"/>
      <c r="LQ101" s="42"/>
      <c r="LR101" s="42"/>
      <c r="LS101" s="42"/>
      <c r="LT101" s="42"/>
      <c r="LU101" s="42"/>
      <c r="LV101" s="42"/>
      <c r="LW101" s="42"/>
      <c r="LX101" s="42"/>
      <c r="LY101" s="42"/>
      <c r="LZ101" s="42"/>
      <c r="MA101" s="42"/>
      <c r="MB101" s="42"/>
      <c r="MC101" s="42"/>
      <c r="MD101" s="42"/>
      <c r="ME101" s="42"/>
      <c r="MF101" s="42"/>
      <c r="MG101" s="42"/>
      <c r="MH101" s="42"/>
      <c r="MI101" s="42"/>
      <c r="MJ101" s="42"/>
      <c r="MK101" s="42"/>
      <c r="ML101" s="42"/>
      <c r="MM101" s="42"/>
      <c r="MN101" s="42"/>
      <c r="MO101" s="42"/>
      <c r="MP101" s="42"/>
      <c r="MQ101" s="42"/>
      <c r="MR101" s="42"/>
      <c r="MS101" s="42"/>
      <c r="MT101" s="42"/>
      <c r="MU101" s="42"/>
      <c r="MV101" s="42"/>
      <c r="MW101" s="42"/>
      <c r="MX101" s="42"/>
      <c r="MY101" s="42"/>
      <c r="MZ101" s="42"/>
      <c r="NA101" s="42"/>
      <c r="NB101" s="42"/>
      <c r="NC101" s="42"/>
      <c r="ND101" s="42"/>
      <c r="NE101" s="42"/>
      <c r="NF101" s="42"/>
      <c r="NG101" s="42"/>
      <c r="NH101" s="42"/>
      <c r="NI101" s="42"/>
      <c r="NJ101" s="42"/>
      <c r="NK101" s="42"/>
      <c r="NL101" s="42"/>
      <c r="NM101" s="42"/>
      <c r="NN101" s="42"/>
      <c r="NO101" s="42"/>
      <c r="NP101" s="42"/>
      <c r="NQ101" s="42"/>
      <c r="NR101" s="42"/>
      <c r="NS101" s="42"/>
    </row>
    <row r="102" spans="1:383" s="5" customFormat="1" x14ac:dyDescent="0.25">
      <c r="A102" s="1"/>
      <c r="B102" s="2"/>
      <c r="C102" s="2"/>
      <c r="D102" s="2"/>
      <c r="E102" s="3"/>
      <c r="F102" s="3"/>
      <c r="G102" s="4"/>
      <c r="H102" s="1"/>
      <c r="I102" s="7"/>
      <c r="J102" s="7"/>
      <c r="K102" s="7"/>
      <c r="L102" s="7"/>
      <c r="M102" s="7"/>
      <c r="N102" s="7"/>
      <c r="O102" s="3"/>
      <c r="P102" s="7"/>
      <c r="AL102" s="7"/>
      <c r="AM102" s="7"/>
      <c r="AN102" s="7"/>
      <c r="AO102" s="7"/>
      <c r="AT102" s="7"/>
      <c r="AV102" s="11"/>
      <c r="AW102" s="7"/>
      <c r="AY102" s="7"/>
      <c r="BN102" s="7"/>
      <c r="CQ102" s="7"/>
      <c r="DF102" s="7"/>
      <c r="DG102" s="7"/>
      <c r="DL102" s="15"/>
      <c r="DQ102" s="16"/>
      <c r="DR102" s="7"/>
      <c r="DV102" s="16"/>
      <c r="DZ102" s="16"/>
      <c r="EA102" s="7"/>
      <c r="EF102" s="16"/>
      <c r="EK102" s="16"/>
      <c r="EL102" s="7"/>
      <c r="EP102" s="16"/>
      <c r="ET102" s="16"/>
      <c r="EU102" s="7"/>
      <c r="FM102" s="7"/>
      <c r="FN102" s="390"/>
      <c r="FO102" s="390"/>
      <c r="FR102" s="7"/>
      <c r="FY102" s="7"/>
      <c r="GG102" s="7"/>
      <c r="HX102" s="74"/>
      <c r="HY102" s="42"/>
      <c r="HZ102" s="42"/>
      <c r="IE102" s="42"/>
      <c r="IF102" s="42"/>
      <c r="IK102" s="42"/>
      <c r="IL102" s="42"/>
      <c r="IM102" s="42"/>
      <c r="IN102" s="7"/>
      <c r="IO102" s="42"/>
      <c r="IT102" s="42"/>
      <c r="IU102" s="42"/>
      <c r="KC102" s="7"/>
      <c r="KD102" s="42"/>
      <c r="KG102" s="391"/>
      <c r="KH102" s="42"/>
      <c r="KI102" s="42"/>
      <c r="KJ102" s="42"/>
      <c r="KK102" s="42"/>
      <c r="KL102" s="42"/>
      <c r="KM102" s="42"/>
      <c r="KN102" s="42"/>
      <c r="KO102" s="42"/>
      <c r="KP102" s="42"/>
      <c r="KQ102" s="42"/>
      <c r="KR102" s="42"/>
      <c r="KS102" s="42"/>
      <c r="KT102" s="42"/>
      <c r="KU102" s="42"/>
      <c r="KV102" s="42"/>
      <c r="KW102" s="42"/>
      <c r="KX102" s="42"/>
      <c r="KY102" s="42"/>
      <c r="KZ102" s="42"/>
      <c r="LA102" s="42"/>
      <c r="LB102" s="42"/>
      <c r="LC102" s="42"/>
      <c r="LD102" s="42"/>
      <c r="LE102" s="42"/>
      <c r="LF102" s="42"/>
      <c r="LG102" s="42"/>
      <c r="LH102" s="42"/>
      <c r="LI102" s="42"/>
      <c r="LJ102" s="42"/>
      <c r="LK102" s="42"/>
      <c r="LL102" s="42"/>
      <c r="LM102" s="42"/>
      <c r="LN102" s="42"/>
      <c r="LO102" s="42"/>
      <c r="LP102" s="42"/>
      <c r="LQ102" s="42"/>
      <c r="LR102" s="42"/>
      <c r="LS102" s="42"/>
      <c r="LT102" s="42"/>
      <c r="LU102" s="42"/>
      <c r="LV102" s="42"/>
      <c r="LW102" s="42"/>
      <c r="LX102" s="42"/>
      <c r="LY102" s="42"/>
      <c r="LZ102" s="42"/>
      <c r="MA102" s="42"/>
      <c r="MB102" s="42"/>
      <c r="MC102" s="42"/>
      <c r="MD102" s="42"/>
      <c r="ME102" s="42"/>
      <c r="MF102" s="42"/>
      <c r="MG102" s="42"/>
      <c r="MH102" s="42"/>
      <c r="MI102" s="42"/>
      <c r="MJ102" s="42"/>
      <c r="MK102" s="42"/>
      <c r="ML102" s="42"/>
      <c r="MM102" s="42"/>
      <c r="MN102" s="42"/>
      <c r="MO102" s="42"/>
      <c r="MP102" s="42"/>
      <c r="MQ102" s="42"/>
      <c r="MR102" s="42"/>
      <c r="MS102" s="42"/>
      <c r="MT102" s="42"/>
      <c r="MU102" s="42"/>
      <c r="MV102" s="42"/>
      <c r="MW102" s="42"/>
      <c r="MX102" s="42"/>
      <c r="MY102" s="42"/>
      <c r="MZ102" s="42"/>
      <c r="NA102" s="42"/>
      <c r="NB102" s="42"/>
      <c r="NC102" s="42"/>
      <c r="ND102" s="42"/>
      <c r="NE102" s="42"/>
      <c r="NF102" s="42"/>
      <c r="NG102" s="42"/>
      <c r="NH102" s="42"/>
      <c r="NI102" s="42"/>
      <c r="NJ102" s="42"/>
      <c r="NK102" s="42"/>
      <c r="NL102" s="42"/>
      <c r="NM102" s="42"/>
      <c r="NN102" s="42"/>
      <c r="NO102" s="42"/>
      <c r="NP102" s="42"/>
      <c r="NQ102" s="42"/>
      <c r="NR102" s="42"/>
      <c r="NS102" s="42"/>
    </row>
    <row r="103" spans="1:383" s="5" customFormat="1" x14ac:dyDescent="0.25">
      <c r="A103" s="1"/>
      <c r="B103" s="2"/>
      <c r="C103" s="2"/>
      <c r="D103" s="2"/>
      <c r="E103" s="3"/>
      <c r="F103" s="3"/>
      <c r="G103" s="4"/>
      <c r="H103" s="1"/>
      <c r="I103" s="7"/>
      <c r="J103" s="7"/>
      <c r="K103" s="7"/>
      <c r="L103" s="7"/>
      <c r="M103" s="7"/>
      <c r="N103" s="7"/>
      <c r="O103" s="3"/>
      <c r="P103" s="7"/>
      <c r="AL103" s="7"/>
      <c r="AM103" s="7"/>
      <c r="AN103" s="7"/>
      <c r="AO103" s="7"/>
      <c r="AT103" s="7"/>
      <c r="AV103" s="11"/>
      <c r="AW103" s="7"/>
      <c r="AY103" s="7"/>
      <c r="BN103" s="7"/>
      <c r="CQ103" s="7"/>
      <c r="DF103" s="7"/>
      <c r="DG103" s="7"/>
      <c r="DL103" s="15"/>
      <c r="DQ103" s="16"/>
      <c r="DR103" s="7"/>
      <c r="DV103" s="16"/>
      <c r="DZ103" s="16"/>
      <c r="EA103" s="7"/>
      <c r="EF103" s="16"/>
      <c r="EK103" s="16"/>
      <c r="EL103" s="7"/>
      <c r="EP103" s="16"/>
      <c r="ET103" s="16"/>
      <c r="EU103" s="7"/>
      <c r="FM103" s="7"/>
      <c r="FN103" s="390"/>
      <c r="FO103" s="390"/>
      <c r="FR103" s="7"/>
      <c r="FY103" s="7"/>
      <c r="GG103" s="7"/>
      <c r="HX103" s="74"/>
      <c r="HY103" s="42"/>
      <c r="HZ103" s="42"/>
      <c r="IE103" s="42"/>
      <c r="IF103" s="42"/>
      <c r="IK103" s="42"/>
      <c r="IL103" s="42"/>
      <c r="IM103" s="42"/>
      <c r="IN103" s="7"/>
      <c r="IO103" s="42"/>
      <c r="IT103" s="42"/>
      <c r="IU103" s="42"/>
      <c r="KC103" s="7"/>
      <c r="KD103" s="42"/>
      <c r="KG103" s="391"/>
      <c r="KH103" s="42"/>
      <c r="KI103" s="42"/>
      <c r="KJ103" s="42"/>
      <c r="KK103" s="42"/>
      <c r="KL103" s="42"/>
      <c r="KM103" s="42"/>
      <c r="KN103" s="42"/>
      <c r="KO103" s="42"/>
      <c r="KP103" s="42"/>
      <c r="KQ103" s="42"/>
      <c r="KR103" s="42"/>
      <c r="KS103" s="42"/>
      <c r="KT103" s="42"/>
      <c r="KU103" s="42"/>
      <c r="KV103" s="42"/>
      <c r="KW103" s="42"/>
      <c r="KX103" s="42"/>
      <c r="KY103" s="42"/>
      <c r="KZ103" s="42"/>
      <c r="LA103" s="42"/>
      <c r="LB103" s="42"/>
      <c r="LC103" s="42"/>
      <c r="LD103" s="42"/>
      <c r="LE103" s="42"/>
      <c r="LF103" s="42"/>
      <c r="LG103" s="42"/>
      <c r="LH103" s="42"/>
      <c r="LI103" s="42"/>
      <c r="LJ103" s="42"/>
      <c r="LK103" s="42"/>
      <c r="LL103" s="42"/>
      <c r="LM103" s="42"/>
      <c r="LN103" s="42"/>
      <c r="LO103" s="42"/>
      <c r="LP103" s="42"/>
      <c r="LQ103" s="42"/>
      <c r="LR103" s="42"/>
      <c r="LS103" s="42"/>
      <c r="LT103" s="42"/>
      <c r="LU103" s="42"/>
      <c r="LV103" s="42"/>
      <c r="LW103" s="42"/>
      <c r="LX103" s="42"/>
      <c r="LY103" s="42"/>
      <c r="LZ103" s="42"/>
      <c r="MA103" s="42"/>
      <c r="MB103" s="42"/>
      <c r="MC103" s="42"/>
      <c r="MD103" s="42"/>
      <c r="ME103" s="42"/>
      <c r="MF103" s="42"/>
      <c r="MG103" s="42"/>
      <c r="MH103" s="42"/>
      <c r="MI103" s="42"/>
      <c r="MJ103" s="42"/>
      <c r="MK103" s="42"/>
      <c r="ML103" s="42"/>
      <c r="MM103" s="42"/>
      <c r="MN103" s="42"/>
      <c r="MO103" s="42"/>
      <c r="MP103" s="42"/>
      <c r="MQ103" s="42"/>
      <c r="MR103" s="42"/>
      <c r="MS103" s="42"/>
      <c r="MT103" s="42"/>
      <c r="MU103" s="42"/>
      <c r="MV103" s="42"/>
      <c r="MW103" s="42"/>
      <c r="MX103" s="42"/>
      <c r="MY103" s="42"/>
      <c r="MZ103" s="42"/>
      <c r="NA103" s="42"/>
      <c r="NB103" s="42"/>
      <c r="NC103" s="42"/>
      <c r="ND103" s="42"/>
      <c r="NE103" s="42"/>
      <c r="NF103" s="42"/>
      <c r="NG103" s="42"/>
      <c r="NH103" s="42"/>
      <c r="NI103" s="42"/>
      <c r="NJ103" s="42"/>
      <c r="NK103" s="42"/>
      <c r="NL103" s="42"/>
      <c r="NM103" s="42"/>
      <c r="NN103" s="42"/>
      <c r="NO103" s="42"/>
      <c r="NP103" s="42"/>
      <c r="NQ103" s="42"/>
      <c r="NR103" s="42"/>
      <c r="NS103" s="42"/>
    </row>
    <row r="104" spans="1:383" s="5" customFormat="1" x14ac:dyDescent="0.25">
      <c r="A104" s="1"/>
      <c r="B104" s="2"/>
      <c r="C104" s="2"/>
      <c r="D104" s="2"/>
      <c r="E104" s="3"/>
      <c r="F104" s="3"/>
      <c r="G104" s="4"/>
      <c r="H104" s="1"/>
      <c r="I104" s="7"/>
      <c r="J104" s="7"/>
      <c r="K104" s="7"/>
      <c r="L104" s="7"/>
      <c r="M104" s="7"/>
      <c r="N104" s="7"/>
      <c r="O104" s="3"/>
      <c r="P104" s="7"/>
      <c r="AL104" s="7"/>
      <c r="AM104" s="7"/>
      <c r="AN104" s="7"/>
      <c r="AO104" s="7"/>
      <c r="AT104" s="7"/>
      <c r="AV104" s="11"/>
      <c r="AW104" s="7"/>
      <c r="AY104" s="7"/>
      <c r="BN104" s="7"/>
      <c r="CQ104" s="7"/>
      <c r="DF104" s="7"/>
      <c r="DG104" s="7"/>
      <c r="DL104" s="15"/>
      <c r="DQ104" s="16"/>
      <c r="DR104" s="7"/>
      <c r="DV104" s="16"/>
      <c r="DZ104" s="16"/>
      <c r="EA104" s="7"/>
      <c r="EF104" s="16"/>
      <c r="EK104" s="16"/>
      <c r="EL104" s="7"/>
      <c r="EP104" s="16"/>
      <c r="ET104" s="16"/>
      <c r="EU104" s="7"/>
      <c r="FM104" s="7"/>
      <c r="FN104" s="390"/>
      <c r="FO104" s="390"/>
      <c r="FR104" s="7"/>
      <c r="FY104" s="7"/>
      <c r="GG104" s="7"/>
      <c r="HX104" s="74"/>
      <c r="HY104" s="42"/>
      <c r="HZ104" s="42"/>
      <c r="IE104" s="42"/>
      <c r="IF104" s="42"/>
      <c r="IK104" s="42"/>
      <c r="IL104" s="42"/>
      <c r="IM104" s="42"/>
      <c r="IN104" s="7"/>
      <c r="IO104" s="42"/>
      <c r="IT104" s="42"/>
      <c r="IU104" s="42"/>
      <c r="KC104" s="7"/>
      <c r="KD104" s="42"/>
      <c r="KG104" s="391"/>
      <c r="KH104" s="42"/>
      <c r="KI104" s="42"/>
      <c r="KJ104" s="42"/>
      <c r="KK104" s="42"/>
      <c r="KL104" s="42"/>
      <c r="KM104" s="42"/>
      <c r="KN104" s="42"/>
      <c r="KO104" s="42"/>
      <c r="KP104" s="42"/>
      <c r="KQ104" s="42"/>
      <c r="KR104" s="42"/>
      <c r="KS104" s="42"/>
      <c r="KT104" s="42"/>
      <c r="KU104" s="42"/>
      <c r="KV104" s="42"/>
      <c r="KW104" s="42"/>
      <c r="KX104" s="42"/>
      <c r="KY104" s="42"/>
      <c r="KZ104" s="42"/>
      <c r="LA104" s="42"/>
      <c r="LB104" s="42"/>
      <c r="LC104" s="42"/>
      <c r="LD104" s="42"/>
      <c r="LE104" s="42"/>
      <c r="LF104" s="42"/>
      <c r="LG104" s="42"/>
      <c r="LH104" s="42"/>
      <c r="LI104" s="42"/>
      <c r="LJ104" s="42"/>
      <c r="LK104" s="42"/>
      <c r="LL104" s="42"/>
      <c r="LM104" s="42"/>
      <c r="LN104" s="42"/>
      <c r="LO104" s="42"/>
      <c r="LP104" s="42"/>
      <c r="LQ104" s="42"/>
      <c r="LR104" s="42"/>
      <c r="LS104" s="42"/>
      <c r="LT104" s="42"/>
      <c r="LU104" s="42"/>
      <c r="LV104" s="42"/>
      <c r="LW104" s="42"/>
      <c r="LX104" s="42"/>
      <c r="LY104" s="42"/>
      <c r="LZ104" s="42"/>
      <c r="MA104" s="42"/>
      <c r="MB104" s="42"/>
      <c r="MC104" s="42"/>
      <c r="MD104" s="42"/>
      <c r="ME104" s="42"/>
      <c r="MF104" s="42"/>
      <c r="MG104" s="42"/>
      <c r="MH104" s="42"/>
      <c r="MI104" s="42"/>
      <c r="MJ104" s="42"/>
      <c r="MK104" s="42"/>
      <c r="ML104" s="42"/>
      <c r="MM104" s="42"/>
      <c r="MN104" s="42"/>
      <c r="MO104" s="42"/>
      <c r="MP104" s="42"/>
      <c r="MQ104" s="42"/>
      <c r="MR104" s="42"/>
      <c r="MS104" s="42"/>
      <c r="MT104" s="42"/>
      <c r="MU104" s="42"/>
      <c r="MV104" s="42"/>
      <c r="MW104" s="42"/>
      <c r="MX104" s="42"/>
      <c r="MY104" s="42"/>
      <c r="MZ104" s="42"/>
      <c r="NA104" s="42"/>
      <c r="NB104" s="42"/>
      <c r="NC104" s="42"/>
      <c r="ND104" s="42"/>
      <c r="NE104" s="42"/>
      <c r="NF104" s="42"/>
      <c r="NG104" s="42"/>
      <c r="NH104" s="42"/>
      <c r="NI104" s="42"/>
      <c r="NJ104" s="42"/>
      <c r="NK104" s="42"/>
      <c r="NL104" s="42"/>
      <c r="NM104" s="42"/>
      <c r="NN104" s="42"/>
      <c r="NO104" s="42"/>
      <c r="NP104" s="42"/>
      <c r="NQ104" s="42"/>
      <c r="NR104" s="42"/>
      <c r="NS104" s="42"/>
    </row>
    <row r="105" spans="1:383" s="5" customFormat="1" x14ac:dyDescent="0.25">
      <c r="A105" s="1"/>
      <c r="B105" s="2"/>
      <c r="C105" s="2"/>
      <c r="D105" s="2"/>
      <c r="E105" s="3"/>
      <c r="F105" s="3"/>
      <c r="G105" s="4"/>
      <c r="H105" s="1"/>
      <c r="I105" s="7"/>
      <c r="J105" s="7"/>
      <c r="K105" s="7"/>
      <c r="L105" s="7"/>
      <c r="M105" s="7"/>
      <c r="N105" s="7"/>
      <c r="O105" s="3"/>
      <c r="P105" s="7"/>
      <c r="AL105" s="7"/>
      <c r="AM105" s="7"/>
      <c r="AN105" s="7"/>
      <c r="AO105" s="7"/>
      <c r="AT105" s="7"/>
      <c r="AV105" s="11"/>
      <c r="AW105" s="7"/>
      <c r="AY105" s="7"/>
      <c r="BN105" s="7"/>
      <c r="CQ105" s="7"/>
      <c r="DF105" s="7"/>
      <c r="DG105" s="7"/>
      <c r="DL105" s="15"/>
      <c r="DQ105" s="16"/>
      <c r="DR105" s="7"/>
      <c r="DV105" s="16"/>
      <c r="DZ105" s="16"/>
      <c r="EA105" s="7"/>
      <c r="EF105" s="16"/>
      <c r="EK105" s="16"/>
      <c r="EL105" s="7"/>
      <c r="EP105" s="16"/>
      <c r="ET105" s="16"/>
      <c r="EU105" s="7"/>
      <c r="FM105" s="7"/>
      <c r="FN105" s="390"/>
      <c r="FO105" s="390"/>
      <c r="FR105" s="7"/>
      <c r="FY105" s="7"/>
      <c r="GG105" s="7"/>
      <c r="HX105" s="74"/>
      <c r="HY105" s="42"/>
      <c r="HZ105" s="42"/>
      <c r="IE105" s="42"/>
      <c r="IF105" s="42"/>
      <c r="IK105" s="42"/>
      <c r="IL105" s="42"/>
      <c r="IM105" s="42"/>
      <c r="IN105" s="7"/>
      <c r="IO105" s="42"/>
      <c r="IT105" s="42"/>
      <c r="IU105" s="42"/>
      <c r="KC105" s="7"/>
      <c r="KD105" s="42"/>
      <c r="KG105" s="391"/>
      <c r="KH105" s="42"/>
      <c r="KI105" s="42"/>
      <c r="KJ105" s="42"/>
      <c r="KK105" s="42"/>
      <c r="KL105" s="42"/>
      <c r="KM105" s="42"/>
      <c r="KN105" s="42"/>
      <c r="KO105" s="42"/>
      <c r="KP105" s="42"/>
      <c r="KQ105" s="42"/>
      <c r="KR105" s="42"/>
      <c r="KS105" s="42"/>
      <c r="KT105" s="42"/>
      <c r="KU105" s="42"/>
      <c r="KV105" s="42"/>
      <c r="KW105" s="42"/>
      <c r="KX105" s="42"/>
      <c r="KY105" s="42"/>
      <c r="KZ105" s="42"/>
      <c r="LA105" s="42"/>
      <c r="LB105" s="42"/>
      <c r="LC105" s="42"/>
      <c r="LD105" s="42"/>
      <c r="LE105" s="42"/>
      <c r="LF105" s="42"/>
      <c r="LG105" s="42"/>
      <c r="LH105" s="42"/>
      <c r="LI105" s="42"/>
      <c r="LJ105" s="42"/>
      <c r="LK105" s="42"/>
      <c r="LL105" s="42"/>
      <c r="LM105" s="42"/>
      <c r="LN105" s="42"/>
      <c r="LO105" s="42"/>
      <c r="LP105" s="42"/>
      <c r="LQ105" s="42"/>
      <c r="LR105" s="42"/>
      <c r="LS105" s="42"/>
      <c r="LT105" s="42"/>
      <c r="LU105" s="42"/>
      <c r="LV105" s="42"/>
      <c r="LW105" s="42"/>
      <c r="LX105" s="42"/>
      <c r="LY105" s="42"/>
      <c r="LZ105" s="42"/>
      <c r="MA105" s="42"/>
      <c r="MB105" s="42"/>
      <c r="MC105" s="42"/>
      <c r="MD105" s="42"/>
      <c r="ME105" s="42"/>
      <c r="MF105" s="42"/>
      <c r="MG105" s="42"/>
      <c r="MH105" s="42"/>
      <c r="MI105" s="42"/>
      <c r="MJ105" s="42"/>
      <c r="MK105" s="42"/>
      <c r="ML105" s="42"/>
      <c r="MM105" s="42"/>
      <c r="MN105" s="42"/>
      <c r="MO105" s="42"/>
      <c r="MP105" s="42"/>
      <c r="MQ105" s="42"/>
      <c r="MR105" s="42"/>
      <c r="MS105" s="42"/>
      <c r="MT105" s="42"/>
      <c r="MU105" s="42"/>
      <c r="MV105" s="42"/>
      <c r="MW105" s="42"/>
      <c r="MX105" s="42"/>
      <c r="MY105" s="42"/>
      <c r="MZ105" s="42"/>
      <c r="NA105" s="42"/>
      <c r="NB105" s="42"/>
      <c r="NC105" s="42"/>
      <c r="ND105" s="42"/>
      <c r="NE105" s="42"/>
      <c r="NF105" s="42"/>
      <c r="NG105" s="42"/>
      <c r="NH105" s="42"/>
      <c r="NI105" s="42"/>
      <c r="NJ105" s="42"/>
      <c r="NK105" s="42"/>
      <c r="NL105" s="42"/>
      <c r="NM105" s="42"/>
      <c r="NN105" s="42"/>
      <c r="NO105" s="42"/>
      <c r="NP105" s="42"/>
      <c r="NQ105" s="42"/>
      <c r="NR105" s="42"/>
      <c r="NS105" s="42"/>
    </row>
    <row r="106" spans="1:383" s="5" customFormat="1" x14ac:dyDescent="0.25">
      <c r="A106" s="1"/>
      <c r="B106" s="2"/>
      <c r="C106" s="2"/>
      <c r="D106" s="2"/>
      <c r="E106" s="3"/>
      <c r="F106" s="3"/>
      <c r="G106" s="4"/>
      <c r="H106" s="1"/>
      <c r="I106" s="7"/>
      <c r="J106" s="7"/>
      <c r="K106" s="7"/>
      <c r="L106" s="7"/>
      <c r="M106" s="7"/>
      <c r="N106" s="7"/>
      <c r="O106" s="3"/>
      <c r="P106" s="7"/>
      <c r="AL106" s="7"/>
      <c r="AM106" s="7"/>
      <c r="AN106" s="7"/>
      <c r="AO106" s="7"/>
      <c r="AT106" s="7"/>
      <c r="AV106" s="11"/>
      <c r="AW106" s="7"/>
      <c r="AY106" s="7"/>
      <c r="BN106" s="7"/>
      <c r="CQ106" s="7"/>
      <c r="DF106" s="7"/>
      <c r="DG106" s="7"/>
      <c r="DL106" s="15"/>
      <c r="DQ106" s="16"/>
      <c r="DR106" s="7"/>
      <c r="DV106" s="16"/>
      <c r="DZ106" s="16"/>
      <c r="EA106" s="7"/>
      <c r="EF106" s="16"/>
      <c r="EK106" s="16"/>
      <c r="EL106" s="7"/>
      <c r="EP106" s="16"/>
      <c r="ET106" s="16"/>
      <c r="EU106" s="7"/>
      <c r="FM106" s="7"/>
      <c r="FN106" s="390"/>
      <c r="FO106" s="390"/>
      <c r="FR106" s="7"/>
      <c r="FY106" s="7"/>
      <c r="GG106" s="7"/>
      <c r="HX106" s="74"/>
      <c r="HY106" s="42"/>
      <c r="HZ106" s="42"/>
      <c r="IE106" s="42"/>
      <c r="IF106" s="42"/>
      <c r="IK106" s="42"/>
      <c r="IL106" s="42"/>
      <c r="IM106" s="42"/>
      <c r="IN106" s="7"/>
      <c r="IO106" s="42"/>
      <c r="IT106" s="42"/>
      <c r="IU106" s="42"/>
      <c r="KC106" s="7"/>
      <c r="KD106" s="42"/>
      <c r="KG106" s="391"/>
      <c r="KH106" s="42"/>
      <c r="KI106" s="42"/>
      <c r="KJ106" s="42"/>
      <c r="KK106" s="42"/>
      <c r="KL106" s="42"/>
      <c r="KM106" s="42"/>
      <c r="KN106" s="42"/>
      <c r="KO106" s="42"/>
      <c r="KP106" s="42"/>
      <c r="KQ106" s="42"/>
      <c r="KR106" s="42"/>
      <c r="KS106" s="42"/>
      <c r="KT106" s="42"/>
      <c r="KU106" s="42"/>
      <c r="KV106" s="42"/>
      <c r="KW106" s="42"/>
      <c r="KX106" s="42"/>
      <c r="KY106" s="42"/>
      <c r="KZ106" s="42"/>
      <c r="LA106" s="42"/>
      <c r="LB106" s="42"/>
      <c r="LC106" s="42"/>
      <c r="LD106" s="42"/>
      <c r="LE106" s="42"/>
      <c r="LF106" s="42"/>
      <c r="LG106" s="42"/>
      <c r="LH106" s="42"/>
      <c r="LI106" s="42"/>
      <c r="LJ106" s="42"/>
      <c r="LK106" s="42"/>
      <c r="LL106" s="42"/>
      <c r="LM106" s="42"/>
      <c r="LN106" s="42"/>
      <c r="LO106" s="42"/>
      <c r="LP106" s="42"/>
      <c r="LQ106" s="42"/>
      <c r="LR106" s="42"/>
      <c r="LS106" s="42"/>
      <c r="LT106" s="42"/>
      <c r="LU106" s="42"/>
      <c r="LV106" s="42"/>
      <c r="LW106" s="42"/>
      <c r="LX106" s="42"/>
      <c r="LY106" s="42"/>
      <c r="LZ106" s="42"/>
      <c r="MA106" s="42"/>
      <c r="MB106" s="42"/>
      <c r="MC106" s="42"/>
      <c r="MD106" s="42"/>
      <c r="ME106" s="42"/>
      <c r="MF106" s="42"/>
      <c r="MG106" s="42"/>
      <c r="MH106" s="42"/>
      <c r="MI106" s="42"/>
      <c r="MJ106" s="42"/>
      <c r="MK106" s="42"/>
      <c r="ML106" s="42"/>
      <c r="MM106" s="42"/>
      <c r="MN106" s="42"/>
      <c r="MO106" s="42"/>
      <c r="MP106" s="42"/>
      <c r="MQ106" s="42"/>
      <c r="MR106" s="42"/>
      <c r="MS106" s="42"/>
      <c r="MT106" s="42"/>
      <c r="MU106" s="42"/>
      <c r="MV106" s="42"/>
      <c r="MW106" s="42"/>
      <c r="MX106" s="42"/>
      <c r="MY106" s="42"/>
      <c r="MZ106" s="42"/>
      <c r="NA106" s="42"/>
      <c r="NB106" s="42"/>
      <c r="NC106" s="42"/>
      <c r="ND106" s="42"/>
      <c r="NE106" s="42"/>
      <c r="NF106" s="42"/>
      <c r="NG106" s="42"/>
      <c r="NH106" s="42"/>
      <c r="NI106" s="42"/>
      <c r="NJ106" s="42"/>
      <c r="NK106" s="42"/>
      <c r="NL106" s="42"/>
      <c r="NM106" s="42"/>
      <c r="NN106" s="42"/>
      <c r="NO106" s="42"/>
      <c r="NP106" s="42"/>
      <c r="NQ106" s="42"/>
      <c r="NR106" s="42"/>
      <c r="NS106" s="42"/>
    </row>
    <row r="107" spans="1:383" s="5" customFormat="1" x14ac:dyDescent="0.25">
      <c r="A107" s="1"/>
      <c r="B107" s="2"/>
      <c r="C107" s="2"/>
      <c r="D107" s="2"/>
      <c r="E107" s="3"/>
      <c r="F107" s="3"/>
      <c r="G107" s="4"/>
      <c r="H107" s="1"/>
      <c r="I107" s="7"/>
      <c r="J107" s="7"/>
      <c r="K107" s="7"/>
      <c r="L107" s="7"/>
      <c r="M107" s="7"/>
      <c r="N107" s="7"/>
      <c r="O107" s="3"/>
      <c r="P107" s="7"/>
      <c r="AL107" s="7"/>
      <c r="AM107" s="7"/>
      <c r="AN107" s="7"/>
      <c r="AO107" s="7"/>
      <c r="AT107" s="7"/>
      <c r="AV107" s="11"/>
      <c r="AW107" s="7"/>
      <c r="AY107" s="7"/>
      <c r="BN107" s="7"/>
      <c r="CQ107" s="7"/>
      <c r="DF107" s="7"/>
      <c r="DG107" s="7"/>
      <c r="DL107" s="15"/>
      <c r="DQ107" s="16"/>
      <c r="DR107" s="7"/>
      <c r="DV107" s="16"/>
      <c r="DZ107" s="16"/>
      <c r="EA107" s="7"/>
      <c r="EF107" s="16"/>
      <c r="EK107" s="16"/>
      <c r="EL107" s="7"/>
      <c r="EP107" s="16"/>
      <c r="ET107" s="16"/>
      <c r="EU107" s="7"/>
      <c r="FM107" s="7"/>
      <c r="FN107" s="390"/>
      <c r="FO107" s="390"/>
      <c r="FR107" s="7"/>
      <c r="FY107" s="7"/>
      <c r="GG107" s="7"/>
      <c r="HX107" s="74"/>
      <c r="HY107" s="42"/>
      <c r="HZ107" s="42"/>
      <c r="IE107" s="42"/>
      <c r="IF107" s="42"/>
      <c r="IK107" s="42"/>
      <c r="IL107" s="42"/>
      <c r="IM107" s="42"/>
      <c r="IN107" s="7"/>
      <c r="IO107" s="42"/>
      <c r="IT107" s="42"/>
      <c r="IU107" s="42"/>
      <c r="KC107" s="7"/>
      <c r="KD107" s="42"/>
      <c r="KG107" s="391"/>
      <c r="KH107" s="42"/>
      <c r="KI107" s="42"/>
      <c r="KJ107" s="42"/>
      <c r="KK107" s="42"/>
      <c r="KL107" s="42"/>
      <c r="KM107" s="42"/>
      <c r="KN107" s="42"/>
      <c r="KO107" s="42"/>
      <c r="KP107" s="42"/>
      <c r="KQ107" s="42"/>
      <c r="KR107" s="42"/>
      <c r="KS107" s="42"/>
      <c r="KT107" s="42"/>
      <c r="KU107" s="42"/>
      <c r="KV107" s="42"/>
      <c r="KW107" s="42"/>
      <c r="KX107" s="42"/>
      <c r="KY107" s="42"/>
      <c r="KZ107" s="42"/>
      <c r="LA107" s="42"/>
      <c r="LB107" s="42"/>
      <c r="LC107" s="42"/>
      <c r="LD107" s="42"/>
      <c r="LE107" s="42"/>
      <c r="LF107" s="42"/>
      <c r="LG107" s="42"/>
      <c r="LH107" s="42"/>
      <c r="LI107" s="42"/>
      <c r="LJ107" s="42"/>
      <c r="LK107" s="42"/>
      <c r="LL107" s="42"/>
      <c r="LM107" s="42"/>
      <c r="LN107" s="42"/>
      <c r="LO107" s="42"/>
      <c r="LP107" s="42"/>
      <c r="LQ107" s="42"/>
      <c r="LR107" s="42"/>
      <c r="LS107" s="42"/>
      <c r="LT107" s="42"/>
      <c r="LU107" s="42"/>
      <c r="LV107" s="42"/>
      <c r="LW107" s="42"/>
      <c r="LX107" s="42"/>
      <c r="LY107" s="42"/>
      <c r="LZ107" s="42"/>
      <c r="MA107" s="42"/>
      <c r="MB107" s="42"/>
      <c r="MC107" s="42"/>
      <c r="MD107" s="42"/>
      <c r="ME107" s="42"/>
      <c r="MF107" s="42"/>
      <c r="MG107" s="42"/>
      <c r="MH107" s="42"/>
      <c r="MI107" s="42"/>
      <c r="MJ107" s="42"/>
      <c r="MK107" s="42"/>
      <c r="ML107" s="42"/>
      <c r="MM107" s="42"/>
      <c r="MN107" s="42"/>
      <c r="MO107" s="42"/>
      <c r="MP107" s="42"/>
      <c r="MQ107" s="42"/>
      <c r="MR107" s="42"/>
      <c r="MS107" s="42"/>
      <c r="MT107" s="42"/>
      <c r="MU107" s="42"/>
      <c r="MV107" s="42"/>
      <c r="MW107" s="42"/>
      <c r="MX107" s="42"/>
      <c r="MY107" s="42"/>
      <c r="MZ107" s="42"/>
      <c r="NA107" s="42"/>
      <c r="NB107" s="42"/>
      <c r="NC107" s="42"/>
      <c r="ND107" s="42"/>
      <c r="NE107" s="42"/>
      <c r="NF107" s="42"/>
      <c r="NG107" s="42"/>
      <c r="NH107" s="42"/>
      <c r="NI107" s="42"/>
      <c r="NJ107" s="42"/>
      <c r="NK107" s="42"/>
      <c r="NL107" s="42"/>
      <c r="NM107" s="42"/>
      <c r="NN107" s="42"/>
      <c r="NO107" s="42"/>
      <c r="NP107" s="42"/>
      <c r="NQ107" s="42"/>
      <c r="NR107" s="42"/>
      <c r="NS107" s="42"/>
    </row>
    <row r="108" spans="1:383" s="5" customFormat="1" x14ac:dyDescent="0.25">
      <c r="A108" s="1"/>
      <c r="B108" s="2"/>
      <c r="C108" s="2"/>
      <c r="D108" s="2"/>
      <c r="E108" s="3"/>
      <c r="F108" s="3"/>
      <c r="G108" s="4"/>
      <c r="H108" s="1"/>
      <c r="I108" s="7"/>
      <c r="J108" s="7"/>
      <c r="K108" s="7"/>
      <c r="L108" s="7"/>
      <c r="M108" s="7"/>
      <c r="N108" s="7"/>
      <c r="O108" s="3"/>
      <c r="P108" s="7"/>
      <c r="AL108" s="7"/>
      <c r="AM108" s="7"/>
      <c r="AN108" s="7"/>
      <c r="AO108" s="7"/>
      <c r="AT108" s="7"/>
      <c r="AV108" s="11"/>
      <c r="AW108" s="7"/>
      <c r="AY108" s="7"/>
      <c r="BN108" s="7"/>
      <c r="CQ108" s="7"/>
      <c r="DF108" s="7"/>
      <c r="DG108" s="7"/>
      <c r="DL108" s="15"/>
      <c r="DQ108" s="16"/>
      <c r="DR108" s="7"/>
      <c r="DV108" s="16"/>
      <c r="DZ108" s="16"/>
      <c r="EA108" s="7"/>
      <c r="EF108" s="16"/>
      <c r="EK108" s="16"/>
      <c r="EL108" s="7"/>
      <c r="EP108" s="16"/>
      <c r="ET108" s="16"/>
      <c r="EU108" s="7"/>
      <c r="FM108" s="7"/>
      <c r="FN108" s="390"/>
      <c r="FO108" s="390"/>
      <c r="FR108" s="7"/>
      <c r="FY108" s="7"/>
      <c r="GG108" s="7"/>
      <c r="HX108" s="74"/>
      <c r="HY108" s="42"/>
      <c r="HZ108" s="42"/>
      <c r="IE108" s="42"/>
      <c r="IF108" s="42"/>
      <c r="IK108" s="42"/>
      <c r="IL108" s="42"/>
      <c r="IM108" s="42"/>
      <c r="IN108" s="7"/>
      <c r="IO108" s="42"/>
      <c r="IT108" s="42"/>
      <c r="IU108" s="42"/>
      <c r="KC108" s="7"/>
      <c r="KD108" s="42"/>
      <c r="KG108" s="391"/>
      <c r="KH108" s="42"/>
      <c r="KI108" s="42"/>
      <c r="KJ108" s="42"/>
      <c r="KK108" s="42"/>
      <c r="KL108" s="42"/>
      <c r="KM108" s="42"/>
      <c r="KN108" s="42"/>
      <c r="KO108" s="42"/>
      <c r="KP108" s="42"/>
      <c r="KQ108" s="42"/>
      <c r="KR108" s="42"/>
      <c r="KS108" s="42"/>
      <c r="KT108" s="42"/>
      <c r="KU108" s="42"/>
      <c r="KV108" s="42"/>
      <c r="KW108" s="42"/>
      <c r="KX108" s="42"/>
      <c r="KY108" s="42"/>
      <c r="KZ108" s="42"/>
      <c r="LA108" s="42"/>
      <c r="LB108" s="42"/>
      <c r="LC108" s="42"/>
      <c r="LD108" s="42"/>
      <c r="LE108" s="42"/>
      <c r="LF108" s="42"/>
      <c r="LG108" s="42"/>
      <c r="LH108" s="42"/>
      <c r="LI108" s="42"/>
      <c r="LJ108" s="42"/>
      <c r="LK108" s="42"/>
      <c r="LL108" s="42"/>
      <c r="LM108" s="42"/>
      <c r="LN108" s="42"/>
      <c r="LO108" s="42"/>
      <c r="LP108" s="42"/>
      <c r="LQ108" s="42"/>
      <c r="LR108" s="42"/>
      <c r="LS108" s="42"/>
      <c r="LT108" s="42"/>
      <c r="LU108" s="42"/>
      <c r="LV108" s="42"/>
      <c r="LW108" s="42"/>
      <c r="LX108" s="42"/>
      <c r="LY108" s="42"/>
      <c r="LZ108" s="42"/>
      <c r="MA108" s="42"/>
      <c r="MB108" s="42"/>
      <c r="MC108" s="42"/>
      <c r="MD108" s="42"/>
      <c r="ME108" s="42"/>
      <c r="MF108" s="42"/>
      <c r="MG108" s="42"/>
      <c r="MH108" s="42"/>
      <c r="MI108" s="42"/>
      <c r="MJ108" s="42"/>
      <c r="MK108" s="42"/>
      <c r="ML108" s="42"/>
      <c r="MM108" s="42"/>
      <c r="MN108" s="42"/>
      <c r="MO108" s="42"/>
      <c r="MP108" s="42"/>
      <c r="MQ108" s="42"/>
      <c r="MR108" s="42"/>
      <c r="MS108" s="42"/>
      <c r="MT108" s="42"/>
      <c r="MU108" s="42"/>
      <c r="MV108" s="42"/>
      <c r="MW108" s="42"/>
      <c r="MX108" s="42"/>
      <c r="MY108" s="42"/>
      <c r="MZ108" s="42"/>
      <c r="NA108" s="42"/>
      <c r="NB108" s="42"/>
      <c r="NC108" s="42"/>
      <c r="ND108" s="42"/>
      <c r="NE108" s="42"/>
      <c r="NF108" s="42"/>
      <c r="NG108" s="42"/>
      <c r="NH108" s="42"/>
      <c r="NI108" s="42"/>
      <c r="NJ108" s="42"/>
      <c r="NK108" s="42"/>
      <c r="NL108" s="42"/>
      <c r="NM108" s="42"/>
      <c r="NN108" s="42"/>
      <c r="NO108" s="42"/>
      <c r="NP108" s="42"/>
      <c r="NQ108" s="42"/>
      <c r="NR108" s="42"/>
      <c r="NS108" s="42"/>
    </row>
    <row r="109" spans="1:383" s="5" customFormat="1" x14ac:dyDescent="0.25">
      <c r="A109" s="1"/>
      <c r="B109" s="2"/>
      <c r="C109" s="2"/>
      <c r="D109" s="2"/>
      <c r="E109" s="3"/>
      <c r="F109" s="3"/>
      <c r="G109" s="4"/>
      <c r="H109" s="1"/>
      <c r="I109" s="7"/>
      <c r="J109" s="7"/>
      <c r="K109" s="7"/>
      <c r="L109" s="7"/>
      <c r="M109" s="7"/>
      <c r="N109" s="7"/>
      <c r="O109" s="3"/>
      <c r="P109" s="7"/>
      <c r="AL109" s="7"/>
      <c r="AM109" s="7"/>
      <c r="AN109" s="7"/>
      <c r="AO109" s="7"/>
      <c r="AT109" s="7"/>
      <c r="AV109" s="11"/>
      <c r="AW109" s="7"/>
      <c r="AY109" s="7"/>
      <c r="BN109" s="7"/>
      <c r="CQ109" s="7"/>
      <c r="DF109" s="7"/>
      <c r="DG109" s="7"/>
      <c r="DL109" s="15"/>
      <c r="DQ109" s="16"/>
      <c r="DR109" s="7"/>
      <c r="DV109" s="16"/>
      <c r="DZ109" s="16"/>
      <c r="EA109" s="7"/>
      <c r="EF109" s="16"/>
      <c r="EK109" s="16"/>
      <c r="EL109" s="7"/>
      <c r="EP109" s="16"/>
      <c r="ET109" s="16"/>
      <c r="EU109" s="7"/>
      <c r="FM109" s="7"/>
      <c r="FN109" s="390"/>
      <c r="FO109" s="390"/>
      <c r="FR109" s="7"/>
      <c r="FY109" s="7"/>
      <c r="GG109" s="7"/>
      <c r="HX109" s="74"/>
      <c r="HY109" s="42"/>
      <c r="HZ109" s="42"/>
      <c r="IE109" s="42"/>
      <c r="IF109" s="42"/>
      <c r="IK109" s="42"/>
      <c r="IL109" s="42"/>
      <c r="IM109" s="42"/>
      <c r="IN109" s="7"/>
      <c r="IO109" s="42"/>
      <c r="IT109" s="42"/>
      <c r="IU109" s="42"/>
      <c r="KC109" s="7"/>
      <c r="KD109" s="42"/>
      <c r="KG109" s="391"/>
      <c r="KH109" s="42"/>
      <c r="KI109" s="42"/>
      <c r="KJ109" s="42"/>
      <c r="KK109" s="42"/>
      <c r="KL109" s="42"/>
      <c r="KM109" s="42"/>
      <c r="KN109" s="42"/>
      <c r="KO109" s="42"/>
      <c r="KP109" s="42"/>
      <c r="KQ109" s="42"/>
      <c r="KR109" s="42"/>
      <c r="KS109" s="42"/>
      <c r="KT109" s="42"/>
      <c r="KU109" s="42"/>
      <c r="KV109" s="42"/>
      <c r="KW109" s="42"/>
      <c r="KX109" s="42"/>
      <c r="KY109" s="42"/>
      <c r="KZ109" s="42"/>
      <c r="LA109" s="42"/>
      <c r="LB109" s="42"/>
      <c r="LC109" s="42"/>
      <c r="LD109" s="42"/>
      <c r="LE109" s="42"/>
      <c r="LF109" s="42"/>
      <c r="LG109" s="42"/>
      <c r="LH109" s="42"/>
      <c r="LI109" s="42"/>
      <c r="LJ109" s="42"/>
      <c r="LK109" s="42"/>
      <c r="LL109" s="42"/>
      <c r="LM109" s="42"/>
      <c r="LN109" s="42"/>
      <c r="LO109" s="42"/>
      <c r="LP109" s="42"/>
      <c r="LQ109" s="42"/>
      <c r="LR109" s="42"/>
      <c r="LS109" s="42"/>
      <c r="LT109" s="42"/>
      <c r="LU109" s="42"/>
      <c r="LV109" s="42"/>
      <c r="LW109" s="42"/>
      <c r="LX109" s="42"/>
      <c r="LY109" s="42"/>
      <c r="LZ109" s="42"/>
      <c r="MA109" s="42"/>
      <c r="MB109" s="42"/>
      <c r="MC109" s="42"/>
      <c r="MD109" s="42"/>
      <c r="ME109" s="42"/>
      <c r="MF109" s="42"/>
      <c r="MG109" s="42"/>
      <c r="MH109" s="42"/>
      <c r="MI109" s="42"/>
      <c r="MJ109" s="42"/>
      <c r="MK109" s="42"/>
      <c r="ML109" s="42"/>
      <c r="MM109" s="42"/>
      <c r="MN109" s="42"/>
      <c r="MO109" s="42"/>
      <c r="MP109" s="42"/>
      <c r="MQ109" s="42"/>
      <c r="MR109" s="42"/>
      <c r="MS109" s="42"/>
      <c r="MT109" s="42"/>
      <c r="MU109" s="42"/>
      <c r="MV109" s="42"/>
      <c r="MW109" s="42"/>
      <c r="MX109" s="42"/>
      <c r="MY109" s="42"/>
      <c r="MZ109" s="42"/>
      <c r="NA109" s="42"/>
      <c r="NB109" s="42"/>
      <c r="NC109" s="42"/>
      <c r="ND109" s="42"/>
      <c r="NE109" s="42"/>
      <c r="NF109" s="42"/>
      <c r="NG109" s="42"/>
      <c r="NH109" s="42"/>
      <c r="NI109" s="42"/>
      <c r="NJ109" s="42"/>
      <c r="NK109" s="42"/>
      <c r="NL109" s="42"/>
      <c r="NM109" s="42"/>
      <c r="NN109" s="42"/>
      <c r="NO109" s="42"/>
      <c r="NP109" s="42"/>
      <c r="NQ109" s="42"/>
      <c r="NR109" s="42"/>
      <c r="NS109" s="42"/>
    </row>
    <row r="110" spans="1:383" s="5" customFormat="1" x14ac:dyDescent="0.25">
      <c r="A110" s="1"/>
      <c r="B110" s="2"/>
      <c r="C110" s="2"/>
      <c r="D110" s="2"/>
      <c r="E110" s="3"/>
      <c r="F110" s="3"/>
      <c r="G110" s="4"/>
      <c r="H110" s="1"/>
      <c r="I110" s="7"/>
      <c r="J110" s="7"/>
      <c r="K110" s="7"/>
      <c r="L110" s="7"/>
      <c r="M110" s="7"/>
      <c r="N110" s="7"/>
      <c r="O110" s="3"/>
      <c r="P110" s="7"/>
      <c r="AL110" s="7"/>
      <c r="AM110" s="7"/>
      <c r="AN110" s="7"/>
      <c r="AO110" s="7"/>
      <c r="AT110" s="7"/>
      <c r="AV110" s="11"/>
      <c r="AW110" s="7"/>
      <c r="AY110" s="7"/>
      <c r="BN110" s="7"/>
      <c r="CQ110" s="7"/>
      <c r="DF110" s="7"/>
      <c r="DG110" s="7"/>
      <c r="DL110" s="15"/>
      <c r="DQ110" s="16"/>
      <c r="DR110" s="7"/>
      <c r="DV110" s="16"/>
      <c r="DZ110" s="16"/>
      <c r="EA110" s="7"/>
      <c r="EF110" s="16"/>
      <c r="EK110" s="16"/>
      <c r="EL110" s="7"/>
      <c r="EP110" s="16"/>
      <c r="ET110" s="16"/>
      <c r="EU110" s="7"/>
      <c r="FM110" s="7"/>
      <c r="FN110" s="390"/>
      <c r="FO110" s="390"/>
      <c r="FR110" s="7"/>
      <c r="FY110" s="7"/>
      <c r="GG110" s="7"/>
      <c r="HX110" s="74"/>
      <c r="HY110" s="42"/>
      <c r="HZ110" s="42"/>
      <c r="IE110" s="42"/>
      <c r="IF110" s="42"/>
      <c r="IK110" s="42"/>
      <c r="IL110" s="42"/>
      <c r="IM110" s="42"/>
      <c r="IN110" s="7"/>
      <c r="IO110" s="42"/>
      <c r="IT110" s="42"/>
      <c r="IU110" s="42"/>
      <c r="KC110" s="7"/>
      <c r="KD110" s="42"/>
      <c r="KG110" s="391"/>
      <c r="KH110" s="42"/>
      <c r="KI110" s="42"/>
      <c r="KJ110" s="42"/>
      <c r="KK110" s="42"/>
      <c r="KL110" s="42"/>
      <c r="KM110" s="42"/>
      <c r="KN110" s="42"/>
      <c r="KO110" s="42"/>
      <c r="KP110" s="42"/>
      <c r="KQ110" s="42"/>
      <c r="KR110" s="42"/>
      <c r="KS110" s="42"/>
      <c r="KT110" s="42"/>
      <c r="KU110" s="42"/>
      <c r="KV110" s="42"/>
      <c r="KW110" s="42"/>
      <c r="KX110" s="42"/>
      <c r="KY110" s="42"/>
      <c r="KZ110" s="42"/>
      <c r="LA110" s="42"/>
      <c r="LB110" s="42"/>
      <c r="LC110" s="42"/>
      <c r="LD110" s="42"/>
      <c r="LE110" s="42"/>
      <c r="LF110" s="42"/>
      <c r="LG110" s="42"/>
      <c r="LH110" s="42"/>
      <c r="LI110" s="42"/>
      <c r="LJ110" s="42"/>
      <c r="LK110" s="42"/>
      <c r="LL110" s="42"/>
      <c r="LM110" s="42"/>
      <c r="LN110" s="42"/>
      <c r="LO110" s="42"/>
      <c r="LP110" s="42"/>
      <c r="LQ110" s="42"/>
      <c r="LR110" s="42"/>
      <c r="LS110" s="42"/>
      <c r="LT110" s="42"/>
      <c r="LU110" s="42"/>
      <c r="LV110" s="42"/>
      <c r="LW110" s="42"/>
      <c r="LX110" s="42"/>
      <c r="LY110" s="42"/>
      <c r="LZ110" s="42"/>
      <c r="MA110" s="42"/>
      <c r="MB110" s="42"/>
      <c r="MC110" s="42"/>
      <c r="MD110" s="42"/>
      <c r="ME110" s="42"/>
      <c r="MF110" s="42"/>
      <c r="MG110" s="42"/>
      <c r="MH110" s="42"/>
      <c r="MI110" s="42"/>
      <c r="MJ110" s="42"/>
      <c r="MK110" s="42"/>
      <c r="ML110" s="42"/>
      <c r="MM110" s="42"/>
      <c r="MN110" s="42"/>
      <c r="MO110" s="42"/>
      <c r="MP110" s="42"/>
      <c r="MQ110" s="42"/>
      <c r="MR110" s="42"/>
      <c r="MS110" s="42"/>
      <c r="MT110" s="42"/>
      <c r="MU110" s="42"/>
      <c r="MV110" s="42"/>
      <c r="MW110" s="42"/>
      <c r="MX110" s="42"/>
      <c r="MY110" s="42"/>
      <c r="MZ110" s="42"/>
      <c r="NA110" s="42"/>
      <c r="NB110" s="42"/>
      <c r="NC110" s="42"/>
      <c r="ND110" s="42"/>
      <c r="NE110" s="42"/>
      <c r="NF110" s="42"/>
      <c r="NG110" s="42"/>
      <c r="NH110" s="42"/>
      <c r="NI110" s="42"/>
      <c r="NJ110" s="42"/>
      <c r="NK110" s="42"/>
      <c r="NL110" s="42"/>
      <c r="NM110" s="42"/>
      <c r="NN110" s="42"/>
      <c r="NO110" s="42"/>
      <c r="NP110" s="42"/>
      <c r="NQ110" s="42"/>
      <c r="NR110" s="42"/>
      <c r="NS110" s="42"/>
    </row>
    <row r="111" spans="1:383" s="5" customFormat="1" x14ac:dyDescent="0.25">
      <c r="A111" s="1"/>
      <c r="B111" s="2"/>
      <c r="C111" s="2"/>
      <c r="D111" s="2"/>
      <c r="E111" s="3"/>
      <c r="F111" s="3"/>
      <c r="G111" s="4"/>
      <c r="H111" s="1"/>
      <c r="I111" s="7"/>
      <c r="J111" s="7"/>
      <c r="K111" s="7"/>
      <c r="L111" s="7"/>
      <c r="M111" s="7"/>
      <c r="N111" s="7"/>
      <c r="O111" s="3"/>
      <c r="P111" s="7"/>
      <c r="AL111" s="7"/>
      <c r="AM111" s="7"/>
      <c r="AN111" s="7"/>
      <c r="AO111" s="7"/>
      <c r="AT111" s="7"/>
      <c r="AV111" s="11"/>
      <c r="AW111" s="7"/>
      <c r="AY111" s="7"/>
      <c r="BN111" s="7"/>
      <c r="CQ111" s="7"/>
      <c r="DF111" s="7"/>
      <c r="DG111" s="7"/>
      <c r="DL111" s="15"/>
      <c r="DQ111" s="16"/>
      <c r="DR111" s="7"/>
      <c r="DV111" s="16"/>
      <c r="DZ111" s="16"/>
      <c r="EA111" s="7"/>
      <c r="EF111" s="16"/>
      <c r="EK111" s="16"/>
      <c r="EL111" s="7"/>
      <c r="EP111" s="16"/>
      <c r="ET111" s="16"/>
      <c r="EU111" s="7"/>
      <c r="FM111" s="7"/>
      <c r="FN111" s="390"/>
      <c r="FO111" s="390"/>
      <c r="FR111" s="7"/>
      <c r="FY111" s="7"/>
      <c r="GG111" s="7"/>
      <c r="HX111" s="74"/>
      <c r="HY111" s="42"/>
      <c r="HZ111" s="42"/>
      <c r="IE111" s="42"/>
      <c r="IF111" s="42"/>
      <c r="IK111" s="42"/>
      <c r="IL111" s="42"/>
      <c r="IM111" s="42"/>
      <c r="IN111" s="7"/>
      <c r="IO111" s="42"/>
      <c r="IT111" s="42"/>
      <c r="IU111" s="42"/>
      <c r="KC111" s="7"/>
      <c r="KD111" s="42"/>
      <c r="KG111" s="391"/>
      <c r="KH111" s="42"/>
      <c r="KI111" s="42"/>
      <c r="KJ111" s="42"/>
      <c r="KK111" s="42"/>
      <c r="KL111" s="42"/>
      <c r="KM111" s="42"/>
      <c r="KN111" s="42"/>
      <c r="KO111" s="42"/>
      <c r="KP111" s="42"/>
      <c r="KQ111" s="42"/>
      <c r="KR111" s="42"/>
      <c r="KS111" s="42"/>
      <c r="KT111" s="42"/>
      <c r="KU111" s="42"/>
      <c r="KV111" s="42"/>
      <c r="KW111" s="42"/>
      <c r="KX111" s="42"/>
      <c r="KY111" s="42"/>
      <c r="KZ111" s="42"/>
      <c r="LA111" s="42"/>
      <c r="LB111" s="42"/>
      <c r="LC111" s="42"/>
      <c r="LD111" s="42"/>
      <c r="LE111" s="42"/>
      <c r="LF111" s="42"/>
      <c r="LG111" s="42"/>
      <c r="LH111" s="42"/>
      <c r="LI111" s="42"/>
      <c r="LJ111" s="42"/>
      <c r="LK111" s="42"/>
      <c r="LL111" s="42"/>
      <c r="LM111" s="42"/>
      <c r="LN111" s="42"/>
      <c r="LO111" s="42"/>
      <c r="LP111" s="42"/>
      <c r="LQ111" s="42"/>
      <c r="LR111" s="42"/>
      <c r="LS111" s="42"/>
      <c r="LT111" s="42"/>
      <c r="LU111" s="42"/>
      <c r="LV111" s="42"/>
      <c r="LW111" s="42"/>
      <c r="LX111" s="42"/>
      <c r="LY111" s="42"/>
      <c r="LZ111" s="42"/>
      <c r="MA111" s="42"/>
      <c r="MB111" s="42"/>
      <c r="MC111" s="42"/>
      <c r="MD111" s="42"/>
      <c r="ME111" s="42"/>
      <c r="MF111" s="42"/>
      <c r="MG111" s="42"/>
      <c r="MH111" s="42"/>
      <c r="MI111" s="42"/>
      <c r="MJ111" s="42"/>
      <c r="MK111" s="42"/>
      <c r="ML111" s="42"/>
      <c r="MM111" s="42"/>
      <c r="MN111" s="42"/>
      <c r="MO111" s="42"/>
      <c r="MP111" s="42"/>
      <c r="MQ111" s="42"/>
      <c r="MR111" s="42"/>
      <c r="MS111" s="42"/>
      <c r="MT111" s="42"/>
      <c r="MU111" s="42"/>
      <c r="MV111" s="42"/>
      <c r="MW111" s="42"/>
      <c r="MX111" s="42"/>
      <c r="MY111" s="42"/>
      <c r="MZ111" s="42"/>
      <c r="NA111" s="42"/>
      <c r="NB111" s="42"/>
      <c r="NC111" s="42"/>
      <c r="ND111" s="42"/>
      <c r="NE111" s="42"/>
      <c r="NF111" s="42"/>
      <c r="NG111" s="42"/>
      <c r="NH111" s="42"/>
      <c r="NI111" s="42"/>
      <c r="NJ111" s="42"/>
      <c r="NK111" s="42"/>
      <c r="NL111" s="42"/>
      <c r="NM111" s="42"/>
      <c r="NN111" s="42"/>
      <c r="NO111" s="42"/>
      <c r="NP111" s="42"/>
      <c r="NQ111" s="42"/>
      <c r="NR111" s="42"/>
      <c r="NS111" s="42"/>
    </row>
    <row r="112" spans="1:383" s="5" customFormat="1" x14ac:dyDescent="0.25">
      <c r="A112" s="1"/>
      <c r="B112" s="2"/>
      <c r="C112" s="2"/>
      <c r="D112" s="2"/>
      <c r="E112" s="3"/>
      <c r="F112" s="3"/>
      <c r="G112" s="4"/>
      <c r="H112" s="1"/>
      <c r="I112" s="7"/>
      <c r="J112" s="7"/>
      <c r="K112" s="7"/>
      <c r="L112" s="7"/>
      <c r="M112" s="7"/>
      <c r="N112" s="7"/>
      <c r="O112" s="3"/>
      <c r="P112" s="7"/>
      <c r="AL112" s="7"/>
      <c r="AM112" s="7"/>
      <c r="AN112" s="7"/>
      <c r="AO112" s="7"/>
      <c r="AT112" s="7"/>
      <c r="AV112" s="11"/>
      <c r="AW112" s="7"/>
      <c r="AY112" s="7"/>
      <c r="BN112" s="7"/>
      <c r="CQ112" s="7"/>
      <c r="DF112" s="7"/>
      <c r="DG112" s="7"/>
      <c r="DL112" s="15"/>
      <c r="DQ112" s="16"/>
      <c r="DR112" s="7"/>
      <c r="DV112" s="16"/>
      <c r="DZ112" s="16"/>
      <c r="EA112" s="7"/>
      <c r="EF112" s="16"/>
      <c r="EK112" s="16"/>
      <c r="EL112" s="7"/>
      <c r="EP112" s="16"/>
      <c r="ET112" s="16"/>
      <c r="EU112" s="7"/>
      <c r="FM112" s="7"/>
      <c r="FN112" s="390"/>
      <c r="FO112" s="390"/>
      <c r="FR112" s="7"/>
      <c r="FY112" s="7"/>
      <c r="GG112" s="7"/>
      <c r="HX112" s="74"/>
      <c r="HY112" s="42"/>
      <c r="HZ112" s="42"/>
      <c r="IE112" s="42"/>
      <c r="IF112" s="42"/>
      <c r="IK112" s="42"/>
      <c r="IL112" s="42"/>
      <c r="IM112" s="42"/>
      <c r="IN112" s="7"/>
      <c r="IO112" s="42"/>
      <c r="IT112" s="42"/>
      <c r="IU112" s="42"/>
      <c r="KC112" s="7"/>
      <c r="KD112" s="42"/>
      <c r="KG112" s="391"/>
      <c r="KH112" s="42"/>
      <c r="KI112" s="42"/>
      <c r="KJ112" s="42"/>
      <c r="KK112" s="42"/>
      <c r="KL112" s="42"/>
      <c r="KM112" s="42"/>
      <c r="KN112" s="42"/>
      <c r="KO112" s="42"/>
      <c r="KP112" s="42"/>
      <c r="KQ112" s="42"/>
      <c r="KR112" s="42"/>
      <c r="KS112" s="42"/>
      <c r="KT112" s="42"/>
      <c r="KU112" s="42"/>
      <c r="KV112" s="42"/>
      <c r="KW112" s="42"/>
      <c r="KX112" s="42"/>
      <c r="KY112" s="42"/>
      <c r="KZ112" s="42"/>
      <c r="LA112" s="42"/>
      <c r="LB112" s="42"/>
      <c r="LC112" s="42"/>
      <c r="LD112" s="42"/>
      <c r="LE112" s="42"/>
      <c r="LF112" s="42"/>
      <c r="LG112" s="42"/>
      <c r="LH112" s="42"/>
      <c r="LI112" s="42"/>
      <c r="LJ112" s="42"/>
      <c r="LK112" s="42"/>
      <c r="LL112" s="42"/>
      <c r="LM112" s="42"/>
      <c r="LN112" s="42"/>
      <c r="LO112" s="42"/>
      <c r="LP112" s="42"/>
      <c r="LQ112" s="42"/>
      <c r="LR112" s="42"/>
      <c r="LS112" s="42"/>
      <c r="LT112" s="42"/>
      <c r="LU112" s="42"/>
      <c r="LV112" s="42"/>
      <c r="LW112" s="42"/>
      <c r="LX112" s="42"/>
      <c r="LY112" s="42"/>
      <c r="LZ112" s="42"/>
      <c r="MA112" s="42"/>
      <c r="MB112" s="42"/>
      <c r="MC112" s="42"/>
      <c r="MD112" s="42"/>
      <c r="ME112" s="42"/>
      <c r="MF112" s="42"/>
      <c r="MG112" s="42"/>
      <c r="MH112" s="42"/>
      <c r="MI112" s="42"/>
      <c r="MJ112" s="42"/>
      <c r="MK112" s="42"/>
      <c r="ML112" s="42"/>
      <c r="MM112" s="42"/>
      <c r="MN112" s="42"/>
      <c r="MO112" s="42"/>
      <c r="MP112" s="42"/>
      <c r="MQ112" s="42"/>
      <c r="MR112" s="42"/>
      <c r="MS112" s="42"/>
      <c r="MT112" s="42"/>
      <c r="MU112" s="42"/>
      <c r="MV112" s="42"/>
      <c r="MW112" s="42"/>
      <c r="MX112" s="42"/>
      <c r="MY112" s="42"/>
      <c r="MZ112" s="42"/>
      <c r="NA112" s="42"/>
      <c r="NB112" s="42"/>
      <c r="NC112" s="42"/>
      <c r="ND112" s="42"/>
      <c r="NE112" s="42"/>
      <c r="NF112" s="42"/>
      <c r="NG112" s="42"/>
      <c r="NH112" s="42"/>
      <c r="NI112" s="42"/>
      <c r="NJ112" s="42"/>
      <c r="NK112" s="42"/>
      <c r="NL112" s="42"/>
      <c r="NM112" s="42"/>
      <c r="NN112" s="42"/>
      <c r="NO112" s="42"/>
      <c r="NP112" s="42"/>
      <c r="NQ112" s="42"/>
      <c r="NR112" s="42"/>
      <c r="NS112" s="42"/>
    </row>
    <row r="113" spans="1:383" s="5" customFormat="1" x14ac:dyDescent="0.25">
      <c r="A113" s="1"/>
      <c r="B113" s="2"/>
      <c r="C113" s="2"/>
      <c r="D113" s="2"/>
      <c r="E113" s="3"/>
      <c r="F113" s="3"/>
      <c r="G113" s="4"/>
      <c r="H113" s="1"/>
      <c r="I113" s="7"/>
      <c r="J113" s="7"/>
      <c r="K113" s="7"/>
      <c r="L113" s="7"/>
      <c r="M113" s="7"/>
      <c r="N113" s="7"/>
      <c r="O113" s="3"/>
      <c r="P113" s="7"/>
      <c r="AL113" s="7"/>
      <c r="AM113" s="7"/>
      <c r="AN113" s="7"/>
      <c r="AO113" s="7"/>
      <c r="AT113" s="7"/>
      <c r="AV113" s="11"/>
      <c r="AW113" s="7"/>
      <c r="AY113" s="7"/>
      <c r="BN113" s="7"/>
      <c r="CQ113" s="7"/>
      <c r="DF113" s="7"/>
      <c r="DG113" s="7"/>
      <c r="DL113" s="15"/>
      <c r="DQ113" s="16"/>
      <c r="DR113" s="7"/>
      <c r="DV113" s="16"/>
      <c r="DZ113" s="16"/>
      <c r="EA113" s="7"/>
      <c r="EF113" s="16"/>
      <c r="EK113" s="16"/>
      <c r="EL113" s="7"/>
      <c r="EP113" s="16"/>
      <c r="ET113" s="16"/>
      <c r="EU113" s="7"/>
      <c r="FM113" s="7"/>
      <c r="FN113" s="390"/>
      <c r="FO113" s="390"/>
      <c r="FR113" s="7"/>
      <c r="FY113" s="7"/>
      <c r="GG113" s="7"/>
      <c r="HX113" s="74"/>
      <c r="HY113" s="42"/>
      <c r="HZ113" s="42"/>
      <c r="IE113" s="42"/>
      <c r="IF113" s="42"/>
      <c r="IK113" s="42"/>
      <c r="IL113" s="42"/>
      <c r="IM113" s="42"/>
      <c r="IN113" s="7"/>
      <c r="IO113" s="42"/>
      <c r="IT113" s="42"/>
      <c r="IU113" s="42"/>
      <c r="KC113" s="7"/>
      <c r="KD113" s="42"/>
      <c r="KG113" s="391"/>
      <c r="KH113" s="42"/>
      <c r="KI113" s="42"/>
      <c r="KJ113" s="42"/>
      <c r="KK113" s="42"/>
      <c r="KL113" s="42"/>
      <c r="KM113" s="42"/>
      <c r="KN113" s="42"/>
      <c r="KO113" s="42"/>
      <c r="KP113" s="42"/>
      <c r="KQ113" s="42"/>
      <c r="KR113" s="42"/>
      <c r="KS113" s="42"/>
      <c r="KT113" s="42"/>
      <c r="KU113" s="42"/>
      <c r="KV113" s="42"/>
      <c r="KW113" s="42"/>
      <c r="KX113" s="42"/>
      <c r="KY113" s="42"/>
      <c r="KZ113" s="42"/>
      <c r="LA113" s="42"/>
      <c r="LB113" s="42"/>
      <c r="LC113" s="42"/>
      <c r="LD113" s="42"/>
      <c r="LE113" s="42"/>
      <c r="LF113" s="42"/>
      <c r="LG113" s="42"/>
      <c r="LH113" s="42"/>
      <c r="LI113" s="42"/>
      <c r="LJ113" s="42"/>
      <c r="LK113" s="42"/>
      <c r="LL113" s="42"/>
      <c r="LM113" s="42"/>
      <c r="LN113" s="42"/>
      <c r="LO113" s="42"/>
      <c r="LP113" s="42"/>
      <c r="LQ113" s="42"/>
      <c r="LR113" s="42"/>
      <c r="LS113" s="42"/>
      <c r="LT113" s="42"/>
      <c r="LU113" s="42"/>
      <c r="LV113" s="42"/>
      <c r="LW113" s="42"/>
      <c r="LX113" s="42"/>
      <c r="LY113" s="42"/>
      <c r="LZ113" s="42"/>
      <c r="MA113" s="42"/>
      <c r="MB113" s="42"/>
      <c r="MC113" s="42"/>
      <c r="MD113" s="42"/>
      <c r="ME113" s="42"/>
      <c r="MF113" s="42"/>
      <c r="MG113" s="42"/>
      <c r="MH113" s="42"/>
      <c r="MI113" s="42"/>
      <c r="MJ113" s="42"/>
      <c r="MK113" s="42"/>
      <c r="ML113" s="42"/>
      <c r="MM113" s="42"/>
      <c r="MN113" s="42"/>
      <c r="MO113" s="42"/>
      <c r="MP113" s="42"/>
      <c r="MQ113" s="42"/>
      <c r="MR113" s="42"/>
      <c r="MS113" s="42"/>
      <c r="MT113" s="42"/>
      <c r="MU113" s="42"/>
      <c r="MV113" s="42"/>
      <c r="MW113" s="42"/>
      <c r="MX113" s="42"/>
      <c r="MY113" s="42"/>
      <c r="MZ113" s="42"/>
      <c r="NA113" s="42"/>
      <c r="NB113" s="42"/>
      <c r="NC113" s="42"/>
      <c r="ND113" s="42"/>
      <c r="NE113" s="42"/>
      <c r="NF113" s="42"/>
      <c r="NG113" s="42"/>
      <c r="NH113" s="42"/>
      <c r="NI113" s="42"/>
      <c r="NJ113" s="42"/>
      <c r="NK113" s="42"/>
      <c r="NL113" s="42"/>
      <c r="NM113" s="42"/>
      <c r="NN113" s="42"/>
      <c r="NO113" s="42"/>
      <c r="NP113" s="42"/>
      <c r="NQ113" s="42"/>
      <c r="NR113" s="42"/>
      <c r="NS113" s="42"/>
    </row>
    <row r="114" spans="1:383" s="5" customFormat="1" x14ac:dyDescent="0.25">
      <c r="A114" s="1"/>
      <c r="B114" s="2"/>
      <c r="C114" s="2"/>
      <c r="D114" s="2"/>
      <c r="E114" s="3"/>
      <c r="F114" s="3"/>
      <c r="G114" s="4"/>
      <c r="H114" s="1"/>
      <c r="I114" s="7"/>
      <c r="J114" s="7"/>
      <c r="K114" s="7"/>
      <c r="L114" s="7"/>
      <c r="M114" s="7"/>
      <c r="N114" s="7"/>
      <c r="O114" s="3"/>
      <c r="P114" s="7"/>
      <c r="AL114" s="7"/>
      <c r="AM114" s="7"/>
      <c r="AN114" s="7"/>
      <c r="AO114" s="7"/>
      <c r="AT114" s="7"/>
      <c r="AV114" s="11"/>
      <c r="AW114" s="7"/>
      <c r="AY114" s="7"/>
      <c r="BN114" s="7"/>
      <c r="CQ114" s="7"/>
      <c r="DF114" s="7"/>
      <c r="DG114" s="7"/>
      <c r="DL114" s="15"/>
      <c r="DQ114" s="16"/>
      <c r="DR114" s="7"/>
      <c r="DV114" s="16"/>
      <c r="DZ114" s="16"/>
      <c r="EA114" s="7"/>
      <c r="EF114" s="16"/>
      <c r="EK114" s="16"/>
      <c r="EL114" s="7"/>
      <c r="EP114" s="16"/>
      <c r="ET114" s="16"/>
      <c r="EU114" s="7"/>
      <c r="FM114" s="7"/>
      <c r="FN114" s="390"/>
      <c r="FO114" s="390"/>
      <c r="FR114" s="7"/>
      <c r="FY114" s="7"/>
      <c r="GG114" s="7"/>
      <c r="HX114" s="74"/>
      <c r="HY114" s="42"/>
      <c r="HZ114" s="42"/>
      <c r="IE114" s="42"/>
      <c r="IF114" s="42"/>
      <c r="IK114" s="42"/>
      <c r="IL114" s="42"/>
      <c r="IM114" s="42"/>
      <c r="IN114" s="7"/>
      <c r="IO114" s="42"/>
      <c r="IT114" s="42"/>
      <c r="IU114" s="42"/>
      <c r="KC114" s="7"/>
      <c r="KD114" s="42"/>
      <c r="KG114" s="391"/>
      <c r="KH114" s="42"/>
      <c r="KI114" s="42"/>
      <c r="KJ114" s="42"/>
      <c r="KK114" s="42"/>
      <c r="KL114" s="42"/>
      <c r="KM114" s="42"/>
      <c r="KN114" s="42"/>
      <c r="KO114" s="42"/>
      <c r="KP114" s="42"/>
      <c r="KQ114" s="42"/>
      <c r="KR114" s="42"/>
      <c r="KS114" s="42"/>
      <c r="KT114" s="42"/>
      <c r="KU114" s="42"/>
      <c r="KV114" s="42"/>
      <c r="KW114" s="42"/>
      <c r="KX114" s="42"/>
      <c r="KY114" s="42"/>
      <c r="KZ114" s="42"/>
      <c r="LA114" s="42"/>
      <c r="LB114" s="42"/>
      <c r="LC114" s="42"/>
      <c r="LD114" s="42"/>
      <c r="LE114" s="42"/>
      <c r="LF114" s="42"/>
      <c r="LG114" s="42"/>
      <c r="LH114" s="42"/>
      <c r="LI114" s="42"/>
      <c r="LJ114" s="42"/>
      <c r="LK114" s="42"/>
      <c r="LL114" s="42"/>
      <c r="LM114" s="42"/>
      <c r="LN114" s="42"/>
      <c r="LO114" s="42"/>
      <c r="LP114" s="42"/>
      <c r="LQ114" s="42"/>
      <c r="LR114" s="42"/>
      <c r="LS114" s="42"/>
      <c r="LT114" s="42"/>
      <c r="LU114" s="42"/>
      <c r="LV114" s="42"/>
      <c r="LW114" s="42"/>
      <c r="LX114" s="42"/>
      <c r="LY114" s="42"/>
      <c r="LZ114" s="42"/>
      <c r="MA114" s="42"/>
      <c r="MB114" s="42"/>
      <c r="MC114" s="42"/>
      <c r="MD114" s="42"/>
      <c r="ME114" s="42"/>
      <c r="MF114" s="42"/>
      <c r="MG114" s="42"/>
      <c r="MH114" s="42"/>
      <c r="MI114" s="42"/>
      <c r="MJ114" s="42"/>
      <c r="MK114" s="42"/>
      <c r="ML114" s="42"/>
      <c r="MM114" s="42"/>
      <c r="MN114" s="42"/>
      <c r="MO114" s="42"/>
      <c r="MP114" s="42"/>
      <c r="MQ114" s="42"/>
      <c r="MR114" s="42"/>
      <c r="MS114" s="42"/>
      <c r="MT114" s="42"/>
      <c r="MU114" s="42"/>
      <c r="MV114" s="42"/>
      <c r="MW114" s="42"/>
      <c r="MX114" s="42"/>
      <c r="MY114" s="42"/>
      <c r="MZ114" s="42"/>
      <c r="NA114" s="42"/>
      <c r="NB114" s="42"/>
      <c r="NC114" s="42"/>
      <c r="ND114" s="42"/>
      <c r="NE114" s="42"/>
      <c r="NF114" s="42"/>
      <c r="NG114" s="42"/>
      <c r="NH114" s="42"/>
      <c r="NI114" s="42"/>
      <c r="NJ114" s="42"/>
      <c r="NK114" s="42"/>
      <c r="NL114" s="42"/>
      <c r="NM114" s="42"/>
      <c r="NN114" s="42"/>
      <c r="NO114" s="42"/>
      <c r="NP114" s="42"/>
      <c r="NQ114" s="42"/>
      <c r="NR114" s="42"/>
      <c r="NS114" s="42"/>
    </row>
    <row r="115" spans="1:383" s="5" customFormat="1" x14ac:dyDescent="0.25">
      <c r="A115" s="1"/>
      <c r="B115" s="2"/>
      <c r="C115" s="2"/>
      <c r="D115" s="2"/>
      <c r="E115" s="3"/>
      <c r="F115" s="3"/>
      <c r="G115" s="4"/>
      <c r="H115" s="1"/>
      <c r="I115" s="7"/>
      <c r="J115" s="7"/>
      <c r="K115" s="7"/>
      <c r="L115" s="7"/>
      <c r="M115" s="7"/>
      <c r="N115" s="7"/>
      <c r="O115" s="3"/>
      <c r="P115" s="7"/>
      <c r="AL115" s="7"/>
      <c r="AM115" s="7"/>
      <c r="AN115" s="7"/>
      <c r="AO115" s="7"/>
      <c r="AT115" s="7"/>
      <c r="AV115" s="11"/>
      <c r="AW115" s="7"/>
      <c r="AY115" s="7"/>
      <c r="BN115" s="7"/>
      <c r="CQ115" s="7"/>
      <c r="DF115" s="7"/>
      <c r="DG115" s="7"/>
      <c r="DL115" s="15"/>
      <c r="DQ115" s="16"/>
      <c r="DR115" s="7"/>
      <c r="DV115" s="16"/>
      <c r="DZ115" s="16"/>
      <c r="EA115" s="7"/>
      <c r="EF115" s="16"/>
      <c r="EK115" s="16"/>
      <c r="EL115" s="7"/>
      <c r="EP115" s="16"/>
      <c r="ET115" s="16"/>
      <c r="EU115" s="7"/>
      <c r="FM115" s="7"/>
      <c r="FN115" s="390"/>
      <c r="FO115" s="390"/>
      <c r="FR115" s="7"/>
      <c r="FY115" s="7"/>
      <c r="GG115" s="7"/>
      <c r="HX115" s="74"/>
      <c r="HY115" s="42"/>
      <c r="HZ115" s="42"/>
      <c r="IE115" s="42"/>
      <c r="IF115" s="42"/>
      <c r="IK115" s="42"/>
      <c r="IL115" s="42"/>
      <c r="IM115" s="42"/>
      <c r="IN115" s="7"/>
      <c r="IO115" s="42"/>
      <c r="IT115" s="42"/>
      <c r="IU115" s="42"/>
      <c r="KC115" s="7"/>
      <c r="KD115" s="42"/>
      <c r="KG115" s="391"/>
      <c r="KH115" s="42"/>
      <c r="KI115" s="42"/>
      <c r="KJ115" s="42"/>
      <c r="KK115" s="42"/>
      <c r="KL115" s="42"/>
      <c r="KM115" s="42"/>
      <c r="KN115" s="42"/>
      <c r="KO115" s="42"/>
      <c r="KP115" s="42"/>
      <c r="KQ115" s="42"/>
      <c r="KR115" s="42"/>
      <c r="KS115" s="42"/>
      <c r="KT115" s="42"/>
      <c r="KU115" s="42"/>
      <c r="KV115" s="42"/>
      <c r="KW115" s="42"/>
      <c r="KX115" s="42"/>
      <c r="KY115" s="42"/>
      <c r="KZ115" s="42"/>
      <c r="LA115" s="42"/>
      <c r="LB115" s="42"/>
      <c r="LC115" s="42"/>
      <c r="LD115" s="42"/>
      <c r="LE115" s="42"/>
      <c r="LF115" s="42"/>
      <c r="LG115" s="42"/>
      <c r="LH115" s="42"/>
      <c r="LI115" s="42"/>
      <c r="LJ115" s="42"/>
      <c r="LK115" s="42"/>
      <c r="LL115" s="42"/>
      <c r="LM115" s="42"/>
      <c r="LN115" s="42"/>
      <c r="LO115" s="42"/>
      <c r="LP115" s="42"/>
      <c r="LQ115" s="42"/>
      <c r="LR115" s="42"/>
      <c r="LS115" s="42"/>
      <c r="LT115" s="42"/>
      <c r="LU115" s="42"/>
      <c r="LV115" s="42"/>
      <c r="LW115" s="42"/>
      <c r="LX115" s="42"/>
      <c r="LY115" s="42"/>
      <c r="LZ115" s="42"/>
      <c r="MA115" s="42"/>
      <c r="MB115" s="42"/>
      <c r="MC115" s="42"/>
      <c r="MD115" s="42"/>
      <c r="ME115" s="42"/>
      <c r="MF115" s="42"/>
      <c r="MG115" s="42"/>
      <c r="MH115" s="42"/>
      <c r="MI115" s="42"/>
      <c r="MJ115" s="42"/>
      <c r="MK115" s="42"/>
      <c r="ML115" s="42"/>
      <c r="MM115" s="42"/>
      <c r="MN115" s="42"/>
      <c r="MO115" s="42"/>
      <c r="MP115" s="42"/>
      <c r="MQ115" s="42"/>
      <c r="MR115" s="42"/>
      <c r="MS115" s="42"/>
      <c r="MT115" s="42"/>
      <c r="MU115" s="42"/>
      <c r="MV115" s="42"/>
      <c r="MW115" s="42"/>
      <c r="MX115" s="42"/>
      <c r="MY115" s="42"/>
      <c r="MZ115" s="42"/>
      <c r="NA115" s="42"/>
      <c r="NB115" s="42"/>
      <c r="NC115" s="42"/>
      <c r="ND115" s="42"/>
      <c r="NE115" s="42"/>
      <c r="NF115" s="42"/>
      <c r="NG115" s="42"/>
      <c r="NH115" s="42"/>
      <c r="NI115" s="42"/>
      <c r="NJ115" s="42"/>
      <c r="NK115" s="42"/>
      <c r="NL115" s="42"/>
      <c r="NM115" s="42"/>
      <c r="NN115" s="42"/>
      <c r="NO115" s="42"/>
      <c r="NP115" s="42"/>
      <c r="NQ115" s="42"/>
      <c r="NR115" s="42"/>
      <c r="NS115" s="42"/>
    </row>
    <row r="116" spans="1:383" s="5" customFormat="1" x14ac:dyDescent="0.25">
      <c r="A116" s="1"/>
      <c r="B116" s="2"/>
      <c r="C116" s="2"/>
      <c r="D116" s="2"/>
      <c r="E116" s="3"/>
      <c r="F116" s="3"/>
      <c r="G116" s="4"/>
      <c r="H116" s="1"/>
      <c r="I116" s="7"/>
      <c r="J116" s="7"/>
      <c r="K116" s="7"/>
      <c r="L116" s="7"/>
      <c r="M116" s="7"/>
      <c r="N116" s="7"/>
      <c r="O116" s="3"/>
      <c r="P116" s="7"/>
      <c r="AL116" s="7"/>
      <c r="AM116" s="7"/>
      <c r="AN116" s="7"/>
      <c r="AO116" s="7"/>
      <c r="AT116" s="7"/>
      <c r="AV116" s="11"/>
      <c r="AW116" s="7"/>
      <c r="AY116" s="7"/>
      <c r="BN116" s="7"/>
      <c r="CQ116" s="7"/>
      <c r="DF116" s="7"/>
      <c r="DG116" s="7"/>
      <c r="DL116" s="15"/>
      <c r="DQ116" s="16"/>
      <c r="DR116" s="7"/>
      <c r="DV116" s="16"/>
      <c r="DZ116" s="16"/>
      <c r="EA116" s="7"/>
      <c r="EF116" s="16"/>
      <c r="EK116" s="16"/>
      <c r="EL116" s="7"/>
      <c r="EP116" s="16"/>
      <c r="ET116" s="16"/>
      <c r="EU116" s="7"/>
      <c r="FM116" s="7"/>
      <c r="FN116" s="390"/>
      <c r="FO116" s="390"/>
      <c r="FR116" s="7"/>
      <c r="FY116" s="7"/>
      <c r="GG116" s="7"/>
      <c r="HX116" s="74"/>
      <c r="HY116" s="42"/>
      <c r="HZ116" s="42"/>
      <c r="IE116" s="42"/>
      <c r="IF116" s="42"/>
      <c r="IK116" s="42"/>
      <c r="IL116" s="42"/>
      <c r="IM116" s="42"/>
      <c r="IN116" s="7"/>
      <c r="IO116" s="42"/>
      <c r="IT116" s="42"/>
      <c r="IU116" s="42"/>
      <c r="KC116" s="7"/>
      <c r="KD116" s="42"/>
      <c r="KG116" s="391"/>
      <c r="KH116" s="42"/>
      <c r="KI116" s="42"/>
      <c r="KJ116" s="42"/>
      <c r="KK116" s="42"/>
      <c r="KL116" s="42"/>
      <c r="KM116" s="42"/>
      <c r="KN116" s="42"/>
      <c r="KO116" s="42"/>
      <c r="KP116" s="42"/>
      <c r="KQ116" s="42"/>
      <c r="KR116" s="42"/>
      <c r="KS116" s="42"/>
      <c r="KT116" s="42"/>
      <c r="KU116" s="42"/>
      <c r="KV116" s="42"/>
      <c r="KW116" s="42"/>
      <c r="KX116" s="42"/>
      <c r="KY116" s="42"/>
      <c r="KZ116" s="42"/>
      <c r="LA116" s="42"/>
      <c r="LB116" s="42"/>
      <c r="LC116" s="42"/>
      <c r="LD116" s="42"/>
      <c r="LE116" s="42"/>
      <c r="LF116" s="42"/>
      <c r="LG116" s="42"/>
      <c r="LH116" s="42"/>
      <c r="LI116" s="42"/>
      <c r="LJ116" s="42"/>
      <c r="LK116" s="42"/>
      <c r="LL116" s="42"/>
      <c r="LM116" s="42"/>
      <c r="LN116" s="42"/>
      <c r="LO116" s="42"/>
      <c r="LP116" s="42"/>
      <c r="LQ116" s="42"/>
      <c r="LR116" s="42"/>
      <c r="LS116" s="42"/>
      <c r="LT116" s="42"/>
      <c r="LU116" s="42"/>
      <c r="LV116" s="42"/>
      <c r="LW116" s="42"/>
      <c r="LX116" s="42"/>
      <c r="LY116" s="42"/>
      <c r="LZ116" s="42"/>
      <c r="MA116" s="42"/>
      <c r="MB116" s="42"/>
      <c r="MC116" s="42"/>
      <c r="MD116" s="42"/>
      <c r="ME116" s="42"/>
      <c r="MF116" s="42"/>
      <c r="MG116" s="42"/>
      <c r="MH116" s="42"/>
      <c r="MI116" s="42"/>
      <c r="MJ116" s="42"/>
      <c r="MK116" s="42"/>
      <c r="ML116" s="42"/>
      <c r="MM116" s="42"/>
      <c r="MN116" s="42"/>
      <c r="MO116" s="42"/>
      <c r="MP116" s="42"/>
      <c r="MQ116" s="42"/>
      <c r="MR116" s="42"/>
      <c r="MS116" s="42"/>
      <c r="MT116" s="42"/>
      <c r="MU116" s="42"/>
      <c r="MV116" s="42"/>
      <c r="MW116" s="42"/>
      <c r="MX116" s="42"/>
      <c r="MY116" s="42"/>
      <c r="MZ116" s="42"/>
      <c r="NA116" s="42"/>
      <c r="NB116" s="42"/>
      <c r="NC116" s="42"/>
      <c r="ND116" s="42"/>
      <c r="NE116" s="42"/>
      <c r="NF116" s="42"/>
      <c r="NG116" s="42"/>
      <c r="NH116" s="42"/>
      <c r="NI116" s="42"/>
      <c r="NJ116" s="42"/>
      <c r="NK116" s="42"/>
      <c r="NL116" s="42"/>
      <c r="NM116" s="42"/>
      <c r="NN116" s="42"/>
      <c r="NO116" s="42"/>
      <c r="NP116" s="42"/>
      <c r="NQ116" s="42"/>
      <c r="NR116" s="42"/>
      <c r="NS116" s="42"/>
    </row>
    <row r="117" spans="1:383" s="5" customFormat="1" x14ac:dyDescent="0.25">
      <c r="A117" s="1"/>
      <c r="B117" s="2"/>
      <c r="C117" s="2"/>
      <c r="D117" s="2"/>
      <c r="E117" s="3"/>
      <c r="F117" s="3"/>
      <c r="G117" s="4"/>
      <c r="H117" s="1"/>
      <c r="I117" s="7"/>
      <c r="J117" s="7"/>
      <c r="K117" s="7"/>
      <c r="L117" s="7"/>
      <c r="M117" s="7"/>
      <c r="N117" s="7"/>
      <c r="O117" s="3"/>
      <c r="P117" s="7"/>
      <c r="AL117" s="7"/>
      <c r="AM117" s="7"/>
      <c r="AN117" s="7"/>
      <c r="AO117" s="7"/>
      <c r="AT117" s="7"/>
      <c r="AV117" s="11"/>
      <c r="AW117" s="7"/>
      <c r="AY117" s="7"/>
      <c r="BN117" s="7"/>
      <c r="CQ117" s="7"/>
      <c r="DF117" s="7"/>
      <c r="DG117" s="7"/>
      <c r="DL117" s="15"/>
      <c r="DQ117" s="16"/>
      <c r="DR117" s="7"/>
      <c r="DV117" s="16"/>
      <c r="DZ117" s="16"/>
      <c r="EA117" s="7"/>
      <c r="EF117" s="16"/>
      <c r="EK117" s="16"/>
      <c r="EL117" s="7"/>
      <c r="EP117" s="16"/>
      <c r="ET117" s="16"/>
      <c r="EU117" s="7"/>
      <c r="FM117" s="7"/>
      <c r="FN117" s="390"/>
      <c r="FO117" s="390"/>
      <c r="FR117" s="7"/>
      <c r="FY117" s="7"/>
      <c r="GG117" s="7"/>
      <c r="HX117" s="74"/>
      <c r="HY117" s="42"/>
      <c r="HZ117" s="42"/>
      <c r="IE117" s="42"/>
      <c r="IF117" s="42"/>
      <c r="IK117" s="42"/>
      <c r="IL117" s="42"/>
      <c r="IM117" s="42"/>
      <c r="IN117" s="7"/>
      <c r="IO117" s="42"/>
      <c r="IT117" s="42"/>
      <c r="IU117" s="42"/>
      <c r="KC117" s="7"/>
      <c r="KD117" s="42"/>
      <c r="KG117" s="391"/>
      <c r="KH117" s="42"/>
      <c r="KI117" s="42"/>
      <c r="KJ117" s="42"/>
      <c r="KK117" s="42"/>
      <c r="KL117" s="42"/>
      <c r="KM117" s="42"/>
      <c r="KN117" s="42"/>
      <c r="KO117" s="42"/>
      <c r="KP117" s="42"/>
      <c r="KQ117" s="42"/>
      <c r="KR117" s="42"/>
      <c r="KS117" s="42"/>
      <c r="KT117" s="42"/>
      <c r="KU117" s="42"/>
      <c r="KV117" s="42"/>
      <c r="KW117" s="42"/>
      <c r="KX117" s="42"/>
      <c r="KY117" s="42"/>
      <c r="KZ117" s="42"/>
      <c r="LA117" s="42"/>
      <c r="LB117" s="42"/>
      <c r="LC117" s="42"/>
      <c r="LD117" s="42"/>
      <c r="LE117" s="42"/>
      <c r="LF117" s="42"/>
      <c r="LG117" s="42"/>
      <c r="LH117" s="42"/>
      <c r="LI117" s="42"/>
      <c r="LJ117" s="42"/>
      <c r="LK117" s="42"/>
      <c r="LL117" s="42"/>
      <c r="LM117" s="42"/>
      <c r="LN117" s="42"/>
      <c r="LO117" s="42"/>
      <c r="LP117" s="42"/>
      <c r="LQ117" s="42"/>
      <c r="LR117" s="42"/>
      <c r="LS117" s="42"/>
      <c r="LT117" s="42"/>
      <c r="LU117" s="42"/>
      <c r="LV117" s="42"/>
      <c r="LW117" s="42"/>
      <c r="LX117" s="42"/>
      <c r="LY117" s="42"/>
      <c r="LZ117" s="42"/>
      <c r="MA117" s="42"/>
      <c r="MB117" s="42"/>
      <c r="MC117" s="42"/>
      <c r="MD117" s="42"/>
      <c r="ME117" s="42"/>
      <c r="MF117" s="42"/>
      <c r="MG117" s="42"/>
      <c r="MH117" s="42"/>
      <c r="MI117" s="42"/>
      <c r="MJ117" s="42"/>
      <c r="MK117" s="42"/>
      <c r="ML117" s="42"/>
      <c r="MM117" s="42"/>
      <c r="MN117" s="42"/>
      <c r="MO117" s="42"/>
      <c r="MP117" s="42"/>
      <c r="MQ117" s="42"/>
      <c r="MR117" s="42"/>
      <c r="MS117" s="42"/>
      <c r="MT117" s="42"/>
      <c r="MU117" s="42"/>
      <c r="MV117" s="42"/>
      <c r="MW117" s="42"/>
      <c r="MX117" s="42"/>
      <c r="MY117" s="42"/>
      <c r="MZ117" s="42"/>
      <c r="NA117" s="42"/>
      <c r="NB117" s="42"/>
      <c r="NC117" s="42"/>
      <c r="ND117" s="42"/>
      <c r="NE117" s="42"/>
      <c r="NF117" s="42"/>
      <c r="NG117" s="42"/>
      <c r="NH117" s="42"/>
      <c r="NI117" s="42"/>
      <c r="NJ117" s="42"/>
      <c r="NK117" s="42"/>
      <c r="NL117" s="42"/>
      <c r="NM117" s="42"/>
      <c r="NN117" s="42"/>
      <c r="NO117" s="42"/>
      <c r="NP117" s="42"/>
      <c r="NQ117" s="42"/>
      <c r="NR117" s="42"/>
      <c r="NS117" s="42"/>
    </row>
    <row r="118" spans="1:383" s="5" customFormat="1" x14ac:dyDescent="0.25">
      <c r="A118" s="1"/>
      <c r="B118" s="2"/>
      <c r="C118" s="2"/>
      <c r="D118" s="2"/>
      <c r="E118" s="3"/>
      <c r="F118" s="3"/>
      <c r="G118" s="4"/>
      <c r="H118" s="1"/>
      <c r="I118" s="7"/>
      <c r="J118" s="7"/>
      <c r="K118" s="7"/>
      <c r="L118" s="7"/>
      <c r="M118" s="7"/>
      <c r="N118" s="7"/>
      <c r="O118" s="3"/>
      <c r="P118" s="7"/>
      <c r="AL118" s="7"/>
      <c r="AM118" s="7"/>
      <c r="AN118" s="7"/>
      <c r="AO118" s="7"/>
      <c r="AT118" s="7"/>
      <c r="AV118" s="11"/>
      <c r="AW118" s="7"/>
      <c r="AY118" s="7"/>
      <c r="BN118" s="7"/>
      <c r="CQ118" s="7"/>
      <c r="DF118" s="7"/>
      <c r="DG118" s="7"/>
      <c r="DL118" s="15"/>
      <c r="DQ118" s="16"/>
      <c r="DR118" s="7"/>
      <c r="DV118" s="16"/>
      <c r="DZ118" s="16"/>
      <c r="EA118" s="7"/>
      <c r="EF118" s="16"/>
      <c r="EK118" s="16"/>
      <c r="EL118" s="7"/>
      <c r="EP118" s="16"/>
      <c r="ET118" s="16"/>
      <c r="EU118" s="7"/>
      <c r="FM118" s="7"/>
      <c r="FN118" s="390"/>
      <c r="FO118" s="390"/>
      <c r="FR118" s="7"/>
      <c r="FY118" s="7"/>
      <c r="GG118" s="7"/>
      <c r="HX118" s="74"/>
      <c r="HY118" s="42"/>
      <c r="HZ118" s="42"/>
      <c r="IE118" s="42"/>
      <c r="IF118" s="42"/>
      <c r="IK118" s="42"/>
      <c r="IL118" s="42"/>
      <c r="IM118" s="42"/>
      <c r="IN118" s="7"/>
      <c r="IO118" s="42"/>
      <c r="IT118" s="42"/>
      <c r="IU118" s="42"/>
      <c r="KC118" s="7"/>
      <c r="KD118" s="42"/>
      <c r="KG118" s="391"/>
      <c r="KH118" s="42"/>
      <c r="KI118" s="42"/>
      <c r="KJ118" s="42"/>
      <c r="KK118" s="42"/>
      <c r="KL118" s="42"/>
      <c r="KM118" s="42"/>
      <c r="KN118" s="42"/>
      <c r="KO118" s="42"/>
      <c r="KP118" s="42"/>
      <c r="KQ118" s="42"/>
      <c r="KR118" s="42"/>
      <c r="KS118" s="42"/>
      <c r="KT118" s="42"/>
      <c r="KU118" s="42"/>
      <c r="KV118" s="42"/>
      <c r="KW118" s="42"/>
      <c r="KX118" s="42"/>
      <c r="KY118" s="42"/>
      <c r="KZ118" s="42"/>
      <c r="LA118" s="42"/>
      <c r="LB118" s="42"/>
      <c r="LC118" s="42"/>
      <c r="LD118" s="42"/>
      <c r="LE118" s="42"/>
      <c r="LF118" s="42"/>
      <c r="LG118" s="42"/>
      <c r="LH118" s="42"/>
      <c r="LI118" s="42"/>
      <c r="LJ118" s="42"/>
      <c r="LK118" s="42"/>
      <c r="LL118" s="42"/>
      <c r="LM118" s="42"/>
      <c r="LN118" s="42"/>
      <c r="LO118" s="42"/>
      <c r="LP118" s="42"/>
      <c r="LQ118" s="42"/>
      <c r="LR118" s="42"/>
      <c r="LS118" s="42"/>
      <c r="LT118" s="42"/>
      <c r="LU118" s="42"/>
      <c r="LV118" s="42"/>
      <c r="LW118" s="42"/>
      <c r="LX118" s="42"/>
      <c r="LY118" s="42"/>
      <c r="LZ118" s="42"/>
      <c r="MA118" s="42"/>
      <c r="MB118" s="42"/>
      <c r="MC118" s="42"/>
      <c r="MD118" s="42"/>
      <c r="ME118" s="42"/>
      <c r="MF118" s="42"/>
      <c r="MG118" s="42"/>
      <c r="MH118" s="42"/>
      <c r="MI118" s="42"/>
      <c r="MJ118" s="42"/>
      <c r="MK118" s="42"/>
      <c r="ML118" s="42"/>
      <c r="MM118" s="42"/>
      <c r="MN118" s="42"/>
      <c r="MO118" s="42"/>
      <c r="MP118" s="42"/>
      <c r="MQ118" s="42"/>
      <c r="MR118" s="42"/>
      <c r="MS118" s="42"/>
      <c r="MT118" s="42"/>
      <c r="MU118" s="42"/>
      <c r="MV118" s="42"/>
      <c r="MW118" s="42"/>
      <c r="MX118" s="42"/>
      <c r="MY118" s="42"/>
      <c r="MZ118" s="42"/>
      <c r="NA118" s="42"/>
      <c r="NB118" s="42"/>
      <c r="NC118" s="42"/>
      <c r="ND118" s="42"/>
      <c r="NE118" s="42"/>
      <c r="NF118" s="42"/>
      <c r="NG118" s="42"/>
      <c r="NH118" s="42"/>
      <c r="NI118" s="42"/>
      <c r="NJ118" s="42"/>
      <c r="NK118" s="42"/>
      <c r="NL118" s="42"/>
      <c r="NM118" s="42"/>
      <c r="NN118" s="42"/>
      <c r="NO118" s="42"/>
      <c r="NP118" s="42"/>
      <c r="NQ118" s="42"/>
      <c r="NR118" s="42"/>
      <c r="NS118" s="42"/>
    </row>
    <row r="119" spans="1:383" s="5" customFormat="1" x14ac:dyDescent="0.25">
      <c r="A119" s="1"/>
      <c r="B119" s="2"/>
      <c r="C119" s="2"/>
      <c r="D119" s="2"/>
      <c r="E119" s="3"/>
      <c r="F119" s="3"/>
      <c r="G119" s="4"/>
      <c r="H119" s="1"/>
      <c r="I119" s="7"/>
      <c r="J119" s="7"/>
      <c r="K119" s="7"/>
      <c r="L119" s="7"/>
      <c r="M119" s="7"/>
      <c r="N119" s="7"/>
      <c r="O119" s="3"/>
      <c r="P119" s="7"/>
      <c r="AL119" s="7"/>
      <c r="AM119" s="7"/>
      <c r="AN119" s="7"/>
      <c r="AO119" s="7"/>
      <c r="AT119" s="7"/>
      <c r="AV119" s="11"/>
      <c r="AW119" s="7"/>
      <c r="AY119" s="7"/>
      <c r="BN119" s="7"/>
      <c r="CQ119" s="7"/>
      <c r="DF119" s="7"/>
      <c r="DG119" s="7"/>
      <c r="DL119" s="15"/>
      <c r="DQ119" s="16"/>
      <c r="DR119" s="7"/>
      <c r="DV119" s="16"/>
      <c r="DZ119" s="16"/>
      <c r="EA119" s="7"/>
      <c r="EF119" s="16"/>
      <c r="EK119" s="16"/>
      <c r="EL119" s="7"/>
      <c r="EP119" s="16"/>
      <c r="ET119" s="16"/>
      <c r="EU119" s="7"/>
      <c r="FM119" s="7"/>
      <c r="FN119" s="390"/>
      <c r="FO119" s="390"/>
      <c r="FR119" s="7"/>
      <c r="FY119" s="7"/>
      <c r="GG119" s="7"/>
      <c r="HX119" s="74"/>
      <c r="HY119" s="42"/>
      <c r="HZ119" s="42"/>
      <c r="IE119" s="42"/>
      <c r="IF119" s="42"/>
      <c r="IK119" s="42"/>
      <c r="IL119" s="42"/>
      <c r="IM119" s="42"/>
      <c r="IN119" s="7"/>
      <c r="IO119" s="42"/>
      <c r="IT119" s="42"/>
      <c r="IU119" s="42"/>
      <c r="KC119" s="7"/>
      <c r="KD119" s="42"/>
      <c r="KG119" s="391"/>
      <c r="KH119" s="42"/>
      <c r="KI119" s="42"/>
      <c r="KJ119" s="42"/>
      <c r="KK119" s="42"/>
      <c r="KL119" s="42"/>
      <c r="KM119" s="42"/>
      <c r="KN119" s="42"/>
      <c r="KO119" s="42"/>
      <c r="KP119" s="42"/>
      <c r="KQ119" s="42"/>
      <c r="KR119" s="42"/>
      <c r="KS119" s="42"/>
      <c r="KT119" s="42"/>
      <c r="KU119" s="42"/>
      <c r="KV119" s="42"/>
      <c r="KW119" s="42"/>
      <c r="KX119" s="42"/>
      <c r="KY119" s="42"/>
      <c r="KZ119" s="42"/>
      <c r="LA119" s="42"/>
      <c r="LB119" s="42"/>
      <c r="LC119" s="42"/>
      <c r="LD119" s="42"/>
      <c r="LE119" s="42"/>
      <c r="LF119" s="42"/>
      <c r="LG119" s="42"/>
      <c r="LH119" s="42"/>
      <c r="LI119" s="42"/>
      <c r="LJ119" s="42"/>
      <c r="LK119" s="42"/>
      <c r="LL119" s="42"/>
      <c r="LM119" s="42"/>
      <c r="LN119" s="42"/>
      <c r="LO119" s="42"/>
      <c r="LP119" s="42"/>
      <c r="LQ119" s="42"/>
      <c r="LR119" s="42"/>
      <c r="LS119" s="42"/>
      <c r="LT119" s="42"/>
      <c r="LU119" s="42"/>
      <c r="LV119" s="42"/>
      <c r="LW119" s="42"/>
      <c r="LX119" s="42"/>
      <c r="LY119" s="42"/>
      <c r="LZ119" s="42"/>
      <c r="MA119" s="42"/>
      <c r="MB119" s="42"/>
      <c r="MC119" s="42"/>
      <c r="MD119" s="42"/>
      <c r="ME119" s="42"/>
      <c r="MF119" s="42"/>
      <c r="MG119" s="42"/>
      <c r="MH119" s="42"/>
      <c r="MI119" s="42"/>
      <c r="MJ119" s="42"/>
      <c r="MK119" s="42"/>
      <c r="ML119" s="42"/>
      <c r="MM119" s="42"/>
      <c r="MN119" s="42"/>
      <c r="MO119" s="42"/>
      <c r="MP119" s="42"/>
      <c r="MQ119" s="42"/>
      <c r="MR119" s="42"/>
      <c r="MS119" s="42"/>
      <c r="MT119" s="42"/>
      <c r="MU119" s="42"/>
      <c r="MV119" s="42"/>
      <c r="MW119" s="42"/>
      <c r="MX119" s="42"/>
      <c r="MY119" s="42"/>
      <c r="MZ119" s="42"/>
      <c r="NA119" s="42"/>
      <c r="NB119" s="42"/>
      <c r="NC119" s="42"/>
      <c r="ND119" s="42"/>
      <c r="NE119" s="42"/>
      <c r="NF119" s="42"/>
      <c r="NG119" s="42"/>
      <c r="NH119" s="42"/>
      <c r="NI119" s="42"/>
      <c r="NJ119" s="42"/>
      <c r="NK119" s="42"/>
      <c r="NL119" s="42"/>
      <c r="NM119" s="42"/>
      <c r="NN119" s="42"/>
      <c r="NO119" s="42"/>
      <c r="NP119" s="42"/>
      <c r="NQ119" s="42"/>
      <c r="NR119" s="42"/>
      <c r="NS119" s="42"/>
    </row>
    <row r="120" spans="1:383" s="5" customFormat="1" x14ac:dyDescent="0.25">
      <c r="A120" s="1"/>
      <c r="B120" s="2"/>
      <c r="C120" s="2"/>
      <c r="D120" s="2"/>
      <c r="E120" s="3"/>
      <c r="F120" s="3"/>
      <c r="G120" s="4"/>
      <c r="H120" s="1"/>
      <c r="I120" s="7"/>
      <c r="J120" s="7"/>
      <c r="K120" s="7"/>
      <c r="L120" s="7"/>
      <c r="M120" s="7"/>
      <c r="N120" s="7"/>
      <c r="O120" s="3"/>
      <c r="P120" s="7"/>
      <c r="AL120" s="7"/>
      <c r="AM120" s="7"/>
      <c r="AN120" s="7"/>
      <c r="AO120" s="7"/>
      <c r="AT120" s="7"/>
      <c r="AV120" s="11"/>
      <c r="AW120" s="7"/>
      <c r="AY120" s="7"/>
      <c r="BN120" s="7"/>
      <c r="CQ120" s="7"/>
      <c r="DF120" s="7"/>
      <c r="DG120" s="7"/>
      <c r="DL120" s="15"/>
      <c r="DQ120" s="16"/>
      <c r="DR120" s="7"/>
      <c r="DV120" s="16"/>
      <c r="DZ120" s="16"/>
      <c r="EA120" s="7"/>
      <c r="EF120" s="16"/>
      <c r="EK120" s="16"/>
      <c r="EL120" s="7"/>
      <c r="EP120" s="16"/>
      <c r="ET120" s="16"/>
      <c r="EU120" s="7"/>
      <c r="FM120" s="7"/>
      <c r="FN120" s="390"/>
      <c r="FO120" s="390"/>
      <c r="FR120" s="7"/>
      <c r="FY120" s="7"/>
      <c r="GG120" s="7"/>
      <c r="HX120" s="74"/>
      <c r="HY120" s="42"/>
      <c r="HZ120" s="42"/>
      <c r="IE120" s="42"/>
      <c r="IF120" s="42"/>
      <c r="IK120" s="42"/>
      <c r="IL120" s="42"/>
      <c r="IM120" s="42"/>
      <c r="IN120" s="7"/>
      <c r="IO120" s="42"/>
      <c r="IT120" s="42"/>
      <c r="IU120" s="42"/>
      <c r="KC120" s="7"/>
      <c r="KD120" s="42"/>
      <c r="KG120" s="391"/>
      <c r="KH120" s="42"/>
      <c r="KI120" s="42"/>
      <c r="KJ120" s="42"/>
      <c r="KK120" s="42"/>
      <c r="KL120" s="42"/>
      <c r="KM120" s="42"/>
      <c r="KN120" s="42"/>
      <c r="KO120" s="42"/>
      <c r="KP120" s="42"/>
      <c r="KQ120" s="42"/>
      <c r="KR120" s="42"/>
      <c r="KS120" s="42"/>
      <c r="KT120" s="42"/>
      <c r="KU120" s="42"/>
      <c r="KV120" s="42"/>
      <c r="KW120" s="42"/>
      <c r="KX120" s="42"/>
      <c r="KY120" s="42"/>
      <c r="KZ120" s="42"/>
      <c r="LA120" s="42"/>
      <c r="LB120" s="42"/>
      <c r="LC120" s="42"/>
      <c r="LD120" s="42"/>
      <c r="LE120" s="42"/>
      <c r="LF120" s="42"/>
      <c r="LG120" s="42"/>
      <c r="LH120" s="42"/>
      <c r="LI120" s="42"/>
      <c r="LJ120" s="42"/>
      <c r="LK120" s="42"/>
      <c r="LL120" s="42"/>
      <c r="LM120" s="42"/>
      <c r="LN120" s="42"/>
      <c r="LO120" s="42"/>
      <c r="LP120" s="42"/>
      <c r="LQ120" s="42"/>
      <c r="LR120" s="42"/>
      <c r="LS120" s="42"/>
      <c r="LT120" s="42"/>
      <c r="LU120" s="42"/>
      <c r="LV120" s="42"/>
      <c r="LW120" s="42"/>
      <c r="LX120" s="42"/>
      <c r="LY120" s="42"/>
      <c r="LZ120" s="42"/>
      <c r="MA120" s="42"/>
      <c r="MB120" s="42"/>
      <c r="MC120" s="42"/>
      <c r="MD120" s="42"/>
      <c r="ME120" s="42"/>
      <c r="MF120" s="42"/>
      <c r="MG120" s="42"/>
      <c r="MH120" s="42"/>
      <c r="MI120" s="42"/>
      <c r="MJ120" s="42"/>
      <c r="MK120" s="42"/>
      <c r="ML120" s="42"/>
      <c r="MM120" s="42"/>
      <c r="MN120" s="42"/>
      <c r="MO120" s="42"/>
      <c r="MP120" s="42"/>
      <c r="MQ120" s="42"/>
      <c r="MR120" s="42"/>
      <c r="MS120" s="42"/>
      <c r="MT120" s="42"/>
      <c r="MU120" s="42"/>
      <c r="MV120" s="42"/>
      <c r="MW120" s="42"/>
      <c r="MX120" s="42"/>
      <c r="MY120" s="42"/>
      <c r="MZ120" s="42"/>
      <c r="NA120" s="42"/>
      <c r="NB120" s="42"/>
      <c r="NC120" s="42"/>
      <c r="ND120" s="42"/>
      <c r="NE120" s="42"/>
      <c r="NF120" s="42"/>
      <c r="NG120" s="42"/>
      <c r="NH120" s="42"/>
      <c r="NI120" s="42"/>
      <c r="NJ120" s="42"/>
      <c r="NK120" s="42"/>
      <c r="NL120" s="42"/>
      <c r="NM120" s="42"/>
      <c r="NN120" s="42"/>
      <c r="NO120" s="42"/>
      <c r="NP120" s="42"/>
      <c r="NQ120" s="42"/>
      <c r="NR120" s="42"/>
      <c r="NS120" s="42"/>
    </row>
    <row r="121" spans="1:383" s="5" customFormat="1" x14ac:dyDescent="0.25">
      <c r="A121" s="1"/>
      <c r="B121" s="2"/>
      <c r="C121" s="2"/>
      <c r="D121" s="2"/>
      <c r="E121" s="3"/>
      <c r="F121" s="3"/>
      <c r="G121" s="4"/>
      <c r="H121" s="1"/>
      <c r="I121" s="7"/>
      <c r="J121" s="7"/>
      <c r="K121" s="7"/>
      <c r="L121" s="7"/>
      <c r="M121" s="7"/>
      <c r="N121" s="7"/>
      <c r="O121" s="3"/>
      <c r="P121" s="7"/>
      <c r="AL121" s="7"/>
      <c r="AM121" s="7"/>
      <c r="AN121" s="7"/>
      <c r="AO121" s="7"/>
      <c r="AT121" s="7"/>
      <c r="AV121" s="11"/>
      <c r="AW121" s="7"/>
      <c r="AY121" s="7"/>
      <c r="BN121" s="7"/>
      <c r="CQ121" s="7"/>
      <c r="DF121" s="7"/>
      <c r="DG121" s="7"/>
      <c r="DL121" s="15"/>
      <c r="DQ121" s="16"/>
      <c r="DR121" s="7"/>
      <c r="DV121" s="16"/>
      <c r="DZ121" s="16"/>
      <c r="EA121" s="7"/>
      <c r="EF121" s="16"/>
      <c r="EK121" s="16"/>
      <c r="EL121" s="7"/>
      <c r="EP121" s="16"/>
      <c r="ET121" s="16"/>
      <c r="EU121" s="7"/>
      <c r="FM121" s="7"/>
      <c r="FN121" s="390"/>
      <c r="FO121" s="390"/>
      <c r="FR121" s="7"/>
      <c r="FY121" s="7"/>
      <c r="GG121" s="7"/>
      <c r="HX121" s="74"/>
      <c r="HY121" s="42"/>
      <c r="HZ121" s="42"/>
      <c r="IE121" s="42"/>
      <c r="IF121" s="42"/>
      <c r="IK121" s="42"/>
      <c r="IL121" s="42"/>
      <c r="IM121" s="42"/>
      <c r="IN121" s="7"/>
      <c r="IO121" s="42"/>
      <c r="IT121" s="42"/>
      <c r="IU121" s="42"/>
      <c r="KC121" s="7"/>
      <c r="KD121" s="42"/>
      <c r="KG121" s="391"/>
      <c r="KH121" s="42"/>
      <c r="KI121" s="42"/>
      <c r="KJ121" s="42"/>
      <c r="KK121" s="42"/>
      <c r="KL121" s="42"/>
      <c r="KM121" s="42"/>
      <c r="KN121" s="42"/>
      <c r="KO121" s="42"/>
      <c r="KP121" s="42"/>
      <c r="KQ121" s="42"/>
      <c r="KR121" s="42"/>
      <c r="KS121" s="42"/>
      <c r="KT121" s="42"/>
      <c r="KU121" s="42"/>
      <c r="KV121" s="42"/>
      <c r="KW121" s="42"/>
      <c r="KX121" s="42"/>
      <c r="KY121" s="42"/>
      <c r="KZ121" s="42"/>
      <c r="LA121" s="42"/>
      <c r="LB121" s="42"/>
      <c r="LC121" s="42"/>
      <c r="LD121" s="42"/>
      <c r="LE121" s="42"/>
      <c r="LF121" s="42"/>
      <c r="LG121" s="42"/>
      <c r="LH121" s="42"/>
      <c r="LI121" s="42"/>
      <c r="LJ121" s="42"/>
      <c r="LK121" s="42"/>
      <c r="LL121" s="42"/>
      <c r="LM121" s="42"/>
      <c r="LN121" s="42"/>
      <c r="LO121" s="42"/>
      <c r="LP121" s="42"/>
      <c r="LQ121" s="42"/>
      <c r="LR121" s="42"/>
      <c r="LS121" s="42"/>
      <c r="LT121" s="42"/>
      <c r="LU121" s="42"/>
      <c r="LV121" s="42"/>
      <c r="LW121" s="42"/>
      <c r="LX121" s="42"/>
      <c r="LY121" s="42"/>
      <c r="LZ121" s="42"/>
      <c r="MA121" s="42"/>
      <c r="MB121" s="42"/>
      <c r="MC121" s="42"/>
      <c r="MD121" s="42"/>
      <c r="ME121" s="42"/>
      <c r="MF121" s="42"/>
      <c r="MG121" s="42"/>
      <c r="MH121" s="42"/>
      <c r="MI121" s="42"/>
      <c r="MJ121" s="42"/>
      <c r="MK121" s="42"/>
      <c r="ML121" s="42"/>
      <c r="MM121" s="42"/>
      <c r="MN121" s="42"/>
      <c r="MO121" s="42"/>
      <c r="MP121" s="42"/>
      <c r="MQ121" s="42"/>
      <c r="MR121" s="42"/>
      <c r="MS121" s="42"/>
      <c r="MT121" s="42"/>
      <c r="MU121" s="42"/>
      <c r="MV121" s="42"/>
      <c r="MW121" s="42"/>
      <c r="MX121" s="42"/>
      <c r="MY121" s="42"/>
      <c r="MZ121" s="42"/>
      <c r="NA121" s="42"/>
      <c r="NB121" s="42"/>
      <c r="NC121" s="42"/>
      <c r="ND121" s="42"/>
      <c r="NE121" s="42"/>
      <c r="NF121" s="42"/>
      <c r="NG121" s="42"/>
      <c r="NH121" s="42"/>
      <c r="NI121" s="42"/>
      <c r="NJ121" s="42"/>
      <c r="NK121" s="42"/>
      <c r="NL121" s="42"/>
      <c r="NM121" s="42"/>
      <c r="NN121" s="42"/>
      <c r="NO121" s="42"/>
      <c r="NP121" s="42"/>
      <c r="NQ121" s="42"/>
      <c r="NR121" s="42"/>
      <c r="NS121" s="42"/>
    </row>
    <row r="122" spans="1:383" s="5" customFormat="1" x14ac:dyDescent="0.25">
      <c r="A122" s="1"/>
      <c r="B122" s="2"/>
      <c r="C122" s="2"/>
      <c r="D122" s="2"/>
      <c r="E122" s="3"/>
      <c r="F122" s="3"/>
      <c r="G122" s="4"/>
      <c r="H122" s="1"/>
      <c r="I122" s="7"/>
      <c r="J122" s="7"/>
      <c r="K122" s="7"/>
      <c r="L122" s="7"/>
      <c r="M122" s="7"/>
      <c r="N122" s="7"/>
      <c r="O122" s="3"/>
      <c r="P122" s="7"/>
      <c r="AL122" s="7"/>
      <c r="AM122" s="7"/>
      <c r="AN122" s="7"/>
      <c r="AO122" s="7"/>
      <c r="AT122" s="7"/>
      <c r="AV122" s="11"/>
      <c r="AW122" s="7"/>
      <c r="AY122" s="7"/>
      <c r="BN122" s="7"/>
      <c r="CQ122" s="7"/>
      <c r="DF122" s="7"/>
      <c r="DG122" s="7"/>
      <c r="DL122" s="15"/>
      <c r="DQ122" s="16"/>
      <c r="DR122" s="7"/>
      <c r="DV122" s="16"/>
      <c r="DZ122" s="16"/>
      <c r="EA122" s="7"/>
      <c r="EF122" s="16"/>
      <c r="EK122" s="16"/>
      <c r="EL122" s="7"/>
      <c r="EP122" s="16"/>
      <c r="ET122" s="16"/>
      <c r="EU122" s="7"/>
      <c r="FM122" s="7"/>
      <c r="FN122" s="390"/>
      <c r="FO122" s="390"/>
      <c r="FR122" s="7"/>
      <c r="FY122" s="7"/>
      <c r="GG122" s="7"/>
      <c r="HX122" s="74"/>
      <c r="HY122" s="42"/>
      <c r="HZ122" s="42"/>
      <c r="IE122" s="42"/>
      <c r="IF122" s="42"/>
      <c r="IK122" s="42"/>
      <c r="IL122" s="42"/>
      <c r="IM122" s="42"/>
      <c r="IN122" s="7"/>
      <c r="IO122" s="42"/>
      <c r="IT122" s="42"/>
      <c r="IU122" s="42"/>
      <c r="KC122" s="7"/>
      <c r="KD122" s="42"/>
      <c r="KG122" s="391"/>
      <c r="KH122" s="42"/>
      <c r="KI122" s="42"/>
      <c r="KJ122" s="42"/>
      <c r="KK122" s="42"/>
      <c r="KL122" s="42"/>
      <c r="KM122" s="42"/>
      <c r="KN122" s="42"/>
      <c r="KO122" s="42"/>
      <c r="KP122" s="42"/>
      <c r="KQ122" s="42"/>
      <c r="KR122" s="42"/>
      <c r="KS122" s="42"/>
      <c r="KT122" s="42"/>
      <c r="KU122" s="42"/>
      <c r="KV122" s="42"/>
      <c r="KW122" s="42"/>
      <c r="KX122" s="42"/>
      <c r="KY122" s="42"/>
      <c r="KZ122" s="42"/>
      <c r="LA122" s="42"/>
      <c r="LB122" s="42"/>
      <c r="LC122" s="42"/>
      <c r="LD122" s="42"/>
      <c r="LE122" s="42"/>
      <c r="LF122" s="42"/>
      <c r="LG122" s="42"/>
      <c r="LH122" s="42"/>
      <c r="LI122" s="42"/>
      <c r="LJ122" s="42"/>
      <c r="LK122" s="42"/>
      <c r="LL122" s="42"/>
      <c r="LM122" s="42"/>
      <c r="LN122" s="42"/>
      <c r="LO122" s="42"/>
      <c r="LP122" s="42"/>
      <c r="LQ122" s="42"/>
      <c r="LR122" s="42"/>
      <c r="LS122" s="42"/>
      <c r="LT122" s="42"/>
      <c r="LU122" s="42"/>
      <c r="LV122" s="42"/>
      <c r="LW122" s="42"/>
      <c r="LX122" s="42"/>
      <c r="LY122" s="42"/>
      <c r="LZ122" s="42"/>
      <c r="MA122" s="42"/>
      <c r="MB122" s="42"/>
      <c r="MC122" s="42"/>
      <c r="MD122" s="42"/>
      <c r="ME122" s="42"/>
      <c r="MF122" s="42"/>
      <c r="MG122" s="42"/>
      <c r="MH122" s="42"/>
      <c r="MI122" s="42"/>
      <c r="MJ122" s="42"/>
      <c r="MK122" s="42"/>
      <c r="ML122" s="42"/>
      <c r="MM122" s="42"/>
      <c r="MN122" s="42"/>
      <c r="MO122" s="42"/>
      <c r="MP122" s="42"/>
      <c r="MQ122" s="42"/>
      <c r="MR122" s="42"/>
      <c r="MS122" s="42"/>
      <c r="MT122" s="42"/>
      <c r="MU122" s="42"/>
      <c r="MV122" s="42"/>
      <c r="MW122" s="42"/>
      <c r="MX122" s="42"/>
      <c r="MY122" s="42"/>
      <c r="MZ122" s="42"/>
      <c r="NA122" s="42"/>
      <c r="NB122" s="42"/>
      <c r="NC122" s="42"/>
      <c r="ND122" s="42"/>
      <c r="NE122" s="42"/>
      <c r="NF122" s="42"/>
      <c r="NG122" s="42"/>
      <c r="NH122" s="42"/>
      <c r="NI122" s="42"/>
      <c r="NJ122" s="42"/>
      <c r="NK122" s="42"/>
      <c r="NL122" s="42"/>
      <c r="NM122" s="42"/>
      <c r="NN122" s="42"/>
      <c r="NO122" s="42"/>
      <c r="NP122" s="42"/>
      <c r="NQ122" s="42"/>
      <c r="NR122" s="42"/>
      <c r="NS122" s="42"/>
    </row>
    <row r="123" spans="1:383" s="5" customFormat="1" x14ac:dyDescent="0.25">
      <c r="A123" s="1"/>
      <c r="B123" s="2"/>
      <c r="C123" s="2"/>
      <c r="D123" s="2"/>
      <c r="E123" s="3"/>
      <c r="F123" s="3"/>
      <c r="G123" s="4"/>
      <c r="H123" s="1"/>
      <c r="I123" s="7"/>
      <c r="J123" s="7"/>
      <c r="K123" s="7"/>
      <c r="L123" s="7"/>
      <c r="M123" s="7"/>
      <c r="N123" s="7"/>
      <c r="O123" s="3"/>
      <c r="P123" s="7"/>
      <c r="AL123" s="7"/>
      <c r="AM123" s="7"/>
      <c r="AN123" s="7"/>
      <c r="AO123" s="7"/>
      <c r="AT123" s="7"/>
      <c r="AV123" s="11"/>
      <c r="AW123" s="7"/>
      <c r="AY123" s="7"/>
      <c r="BN123" s="7"/>
      <c r="CQ123" s="7"/>
      <c r="DF123" s="7"/>
      <c r="DG123" s="7"/>
      <c r="DL123" s="15"/>
      <c r="DQ123" s="16"/>
      <c r="DR123" s="7"/>
      <c r="DV123" s="16"/>
      <c r="DZ123" s="16"/>
      <c r="EA123" s="7"/>
      <c r="EF123" s="16"/>
      <c r="EK123" s="16"/>
      <c r="EL123" s="7"/>
      <c r="EP123" s="16"/>
      <c r="ET123" s="16"/>
      <c r="EU123" s="7"/>
      <c r="FM123" s="7"/>
      <c r="FN123" s="390"/>
      <c r="FO123" s="390"/>
      <c r="FR123" s="7"/>
      <c r="FY123" s="7"/>
      <c r="GG123" s="7"/>
      <c r="HX123" s="74"/>
      <c r="HY123" s="42"/>
      <c r="HZ123" s="42"/>
      <c r="IE123" s="42"/>
      <c r="IF123" s="42"/>
      <c r="IK123" s="42"/>
      <c r="IL123" s="42"/>
      <c r="IM123" s="42"/>
      <c r="IN123" s="7"/>
      <c r="IO123" s="42"/>
      <c r="IT123" s="42"/>
      <c r="IU123" s="42"/>
      <c r="KC123" s="7"/>
      <c r="KD123" s="42"/>
      <c r="KG123" s="391"/>
      <c r="KH123" s="42"/>
      <c r="KI123" s="42"/>
      <c r="KJ123" s="42"/>
      <c r="KK123" s="42"/>
      <c r="KL123" s="42"/>
      <c r="KM123" s="42"/>
      <c r="KN123" s="42"/>
      <c r="KO123" s="42"/>
      <c r="KP123" s="42"/>
      <c r="KQ123" s="42"/>
      <c r="KR123" s="42"/>
      <c r="KS123" s="42"/>
      <c r="KT123" s="42"/>
      <c r="KU123" s="42"/>
      <c r="KV123" s="42"/>
      <c r="KW123" s="42"/>
      <c r="KX123" s="42"/>
      <c r="KY123" s="42"/>
      <c r="KZ123" s="42"/>
      <c r="LA123" s="42"/>
      <c r="LB123" s="42"/>
      <c r="LC123" s="42"/>
      <c r="LD123" s="42"/>
      <c r="LE123" s="42"/>
      <c r="LF123" s="42"/>
      <c r="LG123" s="42"/>
      <c r="LH123" s="42"/>
      <c r="LI123" s="42"/>
      <c r="LJ123" s="42"/>
      <c r="LK123" s="42"/>
      <c r="LL123" s="42"/>
      <c r="LM123" s="42"/>
      <c r="LN123" s="42"/>
      <c r="LO123" s="42"/>
      <c r="LP123" s="42"/>
      <c r="LQ123" s="42"/>
      <c r="LR123" s="42"/>
      <c r="LS123" s="42"/>
      <c r="LT123" s="42"/>
      <c r="LU123" s="42"/>
      <c r="LV123" s="42"/>
      <c r="LW123" s="42"/>
      <c r="LX123" s="42"/>
      <c r="LY123" s="42"/>
      <c r="LZ123" s="42"/>
      <c r="MA123" s="42"/>
      <c r="MB123" s="42"/>
      <c r="MC123" s="42"/>
      <c r="MD123" s="42"/>
      <c r="ME123" s="42"/>
      <c r="MF123" s="42"/>
      <c r="MG123" s="42"/>
      <c r="MH123" s="42"/>
      <c r="MI123" s="42"/>
      <c r="MJ123" s="42"/>
      <c r="MK123" s="42"/>
      <c r="ML123" s="42"/>
      <c r="MM123" s="42"/>
      <c r="MN123" s="42"/>
      <c r="MO123" s="42"/>
      <c r="MP123" s="42"/>
      <c r="MQ123" s="42"/>
      <c r="MR123" s="42"/>
      <c r="MS123" s="42"/>
      <c r="MT123" s="42"/>
      <c r="MU123" s="42"/>
      <c r="MV123" s="42"/>
      <c r="MW123" s="42"/>
      <c r="MX123" s="42"/>
      <c r="MY123" s="42"/>
      <c r="MZ123" s="42"/>
      <c r="NA123" s="42"/>
      <c r="NB123" s="42"/>
      <c r="NC123" s="42"/>
      <c r="ND123" s="42"/>
      <c r="NE123" s="42"/>
      <c r="NF123" s="42"/>
      <c r="NG123" s="42"/>
      <c r="NH123" s="42"/>
      <c r="NI123" s="42"/>
      <c r="NJ123" s="42"/>
      <c r="NK123" s="42"/>
      <c r="NL123" s="42"/>
      <c r="NM123" s="42"/>
      <c r="NN123" s="42"/>
      <c r="NO123" s="42"/>
      <c r="NP123" s="42"/>
      <c r="NQ123" s="42"/>
      <c r="NR123" s="42"/>
      <c r="NS123" s="42"/>
    </row>
    <row r="124" spans="1:383" s="5" customFormat="1" x14ac:dyDescent="0.25">
      <c r="A124" s="1"/>
      <c r="B124" s="2"/>
      <c r="C124" s="2"/>
      <c r="D124" s="2"/>
      <c r="E124" s="3"/>
      <c r="F124" s="3"/>
      <c r="G124" s="4"/>
      <c r="H124" s="1"/>
      <c r="I124" s="7"/>
      <c r="J124" s="7"/>
      <c r="K124" s="7"/>
      <c r="L124" s="7"/>
      <c r="M124" s="7"/>
      <c r="N124" s="7"/>
      <c r="O124" s="3"/>
      <c r="P124" s="7"/>
      <c r="AL124" s="7"/>
      <c r="AM124" s="7"/>
      <c r="AN124" s="7"/>
      <c r="AO124" s="7"/>
      <c r="AT124" s="7"/>
      <c r="AV124" s="11"/>
      <c r="AW124" s="7"/>
      <c r="AY124" s="7"/>
      <c r="BN124" s="7"/>
      <c r="CQ124" s="7"/>
      <c r="DF124" s="7"/>
      <c r="DG124" s="7"/>
      <c r="DL124" s="15"/>
      <c r="DQ124" s="16"/>
      <c r="DR124" s="7"/>
      <c r="DV124" s="16"/>
      <c r="DZ124" s="16"/>
      <c r="EA124" s="7"/>
      <c r="EF124" s="16"/>
      <c r="EK124" s="16"/>
      <c r="EL124" s="7"/>
      <c r="EP124" s="16"/>
      <c r="ET124" s="16"/>
      <c r="EU124" s="7"/>
      <c r="FM124" s="7"/>
      <c r="FN124" s="390"/>
      <c r="FO124" s="390"/>
      <c r="FR124" s="7"/>
      <c r="FY124" s="7"/>
      <c r="GG124" s="7"/>
      <c r="HX124" s="74"/>
      <c r="HY124" s="42"/>
      <c r="HZ124" s="42"/>
      <c r="IE124" s="42"/>
      <c r="IF124" s="42"/>
      <c r="IK124" s="42"/>
      <c r="IL124" s="42"/>
      <c r="IM124" s="42"/>
      <c r="IN124" s="7"/>
      <c r="IO124" s="42"/>
      <c r="IT124" s="42"/>
      <c r="IU124" s="42"/>
      <c r="KC124" s="7"/>
      <c r="KD124" s="42"/>
      <c r="KG124" s="391"/>
      <c r="KH124" s="42"/>
      <c r="KI124" s="42"/>
      <c r="KJ124" s="42"/>
      <c r="KK124" s="42"/>
      <c r="KL124" s="42"/>
      <c r="KM124" s="42"/>
      <c r="KN124" s="42"/>
      <c r="KO124" s="42"/>
      <c r="KP124" s="42"/>
      <c r="KQ124" s="42"/>
      <c r="KR124" s="42"/>
      <c r="KS124" s="42"/>
      <c r="KT124" s="42"/>
      <c r="KU124" s="42"/>
      <c r="KV124" s="42"/>
      <c r="KW124" s="42"/>
      <c r="KX124" s="42"/>
      <c r="KY124" s="42"/>
      <c r="KZ124" s="42"/>
      <c r="LA124" s="42"/>
      <c r="LB124" s="42"/>
      <c r="LC124" s="42"/>
      <c r="LD124" s="42"/>
      <c r="LE124" s="42"/>
      <c r="LF124" s="42"/>
      <c r="LG124" s="42"/>
      <c r="LH124" s="42"/>
      <c r="LI124" s="42"/>
      <c r="LJ124" s="42"/>
      <c r="LK124" s="42"/>
      <c r="LL124" s="42"/>
      <c r="LM124" s="42"/>
      <c r="LN124" s="42"/>
      <c r="LO124" s="42"/>
      <c r="LP124" s="42"/>
      <c r="LQ124" s="42"/>
      <c r="LR124" s="42"/>
      <c r="LS124" s="42"/>
      <c r="LT124" s="42"/>
      <c r="LU124" s="42"/>
      <c r="LV124" s="42"/>
      <c r="LW124" s="42"/>
      <c r="LX124" s="42"/>
      <c r="LY124" s="42"/>
      <c r="LZ124" s="42"/>
      <c r="MA124" s="42"/>
      <c r="MB124" s="42"/>
      <c r="MC124" s="42"/>
      <c r="MD124" s="42"/>
      <c r="ME124" s="42"/>
      <c r="MF124" s="42"/>
      <c r="MG124" s="42"/>
      <c r="MH124" s="42"/>
      <c r="MI124" s="42"/>
      <c r="MJ124" s="42"/>
      <c r="MK124" s="42"/>
      <c r="ML124" s="42"/>
      <c r="MM124" s="42"/>
      <c r="MN124" s="42"/>
      <c r="MO124" s="42"/>
      <c r="MP124" s="42"/>
      <c r="MQ124" s="42"/>
      <c r="MR124" s="42"/>
      <c r="MS124" s="42"/>
      <c r="MT124" s="42"/>
      <c r="MU124" s="42"/>
      <c r="MV124" s="42"/>
      <c r="MW124" s="42"/>
      <c r="MX124" s="42"/>
      <c r="MY124" s="42"/>
      <c r="MZ124" s="42"/>
      <c r="NA124" s="42"/>
      <c r="NB124" s="42"/>
      <c r="NC124" s="42"/>
      <c r="ND124" s="42"/>
      <c r="NE124" s="42"/>
      <c r="NF124" s="42"/>
      <c r="NG124" s="42"/>
      <c r="NH124" s="42"/>
      <c r="NI124" s="42"/>
      <c r="NJ124" s="42"/>
      <c r="NK124" s="42"/>
      <c r="NL124" s="42"/>
      <c r="NM124" s="42"/>
      <c r="NN124" s="42"/>
      <c r="NO124" s="42"/>
      <c r="NP124" s="42"/>
      <c r="NQ124" s="42"/>
      <c r="NR124" s="42"/>
      <c r="NS124" s="42"/>
    </row>
    <row r="125" spans="1:383" s="5" customFormat="1" x14ac:dyDescent="0.25">
      <c r="A125" s="1"/>
      <c r="B125" s="2"/>
      <c r="C125" s="2"/>
      <c r="D125" s="2"/>
      <c r="E125" s="3"/>
      <c r="F125" s="3"/>
      <c r="G125" s="4"/>
      <c r="H125" s="1"/>
      <c r="I125" s="7"/>
      <c r="J125" s="7"/>
      <c r="K125" s="7"/>
      <c r="L125" s="7"/>
      <c r="M125" s="7"/>
      <c r="N125" s="7"/>
      <c r="O125" s="3"/>
      <c r="P125" s="7"/>
      <c r="AL125" s="7"/>
      <c r="AM125" s="7"/>
      <c r="AN125" s="7"/>
      <c r="AO125" s="7"/>
      <c r="AT125" s="7"/>
      <c r="AV125" s="11"/>
      <c r="AW125" s="7"/>
      <c r="AY125" s="7"/>
      <c r="BN125" s="7"/>
      <c r="CQ125" s="7"/>
      <c r="DF125" s="7"/>
      <c r="DG125" s="7"/>
      <c r="DL125" s="15"/>
      <c r="DQ125" s="16"/>
      <c r="DR125" s="7"/>
      <c r="DV125" s="16"/>
      <c r="DZ125" s="16"/>
      <c r="EA125" s="7"/>
      <c r="EF125" s="16"/>
      <c r="EK125" s="16"/>
      <c r="EL125" s="7"/>
      <c r="EP125" s="16"/>
      <c r="ET125" s="16"/>
      <c r="EU125" s="7"/>
      <c r="FM125" s="7"/>
      <c r="FN125" s="390"/>
      <c r="FO125" s="390"/>
      <c r="FR125" s="7"/>
      <c r="FY125" s="7"/>
      <c r="GG125" s="7"/>
      <c r="HX125" s="74"/>
      <c r="HY125" s="42"/>
      <c r="HZ125" s="42"/>
      <c r="IE125" s="42"/>
      <c r="IF125" s="42"/>
      <c r="IK125" s="42"/>
      <c r="IL125" s="42"/>
      <c r="IM125" s="42"/>
      <c r="IN125" s="7"/>
      <c r="IO125" s="42"/>
      <c r="IT125" s="42"/>
      <c r="IU125" s="42"/>
      <c r="KC125" s="7"/>
      <c r="KD125" s="42"/>
      <c r="KG125" s="391"/>
      <c r="KH125" s="42"/>
      <c r="KI125" s="42"/>
      <c r="KJ125" s="42"/>
      <c r="KK125" s="42"/>
      <c r="KL125" s="42"/>
      <c r="KM125" s="42"/>
      <c r="KN125" s="42"/>
      <c r="KO125" s="42"/>
      <c r="KP125" s="42"/>
      <c r="KQ125" s="42"/>
      <c r="KR125" s="42"/>
      <c r="KS125" s="42"/>
      <c r="KT125" s="42"/>
      <c r="KU125" s="42"/>
      <c r="KV125" s="42"/>
      <c r="KW125" s="42"/>
      <c r="KX125" s="42"/>
      <c r="KY125" s="42"/>
      <c r="KZ125" s="42"/>
      <c r="LA125" s="42"/>
      <c r="LB125" s="42"/>
      <c r="LC125" s="42"/>
      <c r="LD125" s="42"/>
      <c r="LE125" s="42"/>
      <c r="LF125" s="42"/>
      <c r="LG125" s="42"/>
      <c r="LH125" s="42"/>
      <c r="LI125" s="42"/>
      <c r="LJ125" s="42"/>
      <c r="LK125" s="42"/>
      <c r="LL125" s="42"/>
      <c r="LM125" s="42"/>
      <c r="LN125" s="42"/>
      <c r="LO125" s="42"/>
      <c r="LP125" s="42"/>
      <c r="LQ125" s="42"/>
      <c r="LR125" s="42"/>
      <c r="LS125" s="42"/>
      <c r="LT125" s="42"/>
      <c r="LU125" s="42"/>
      <c r="LV125" s="42"/>
      <c r="LW125" s="42"/>
      <c r="LX125" s="42"/>
      <c r="LY125" s="42"/>
      <c r="LZ125" s="42"/>
      <c r="MA125" s="42"/>
      <c r="MB125" s="42"/>
      <c r="MC125" s="42"/>
      <c r="MD125" s="42"/>
      <c r="ME125" s="42"/>
      <c r="MF125" s="42"/>
      <c r="MG125" s="42"/>
      <c r="MH125" s="42"/>
      <c r="MI125" s="42"/>
      <c r="MJ125" s="42"/>
      <c r="MK125" s="42"/>
      <c r="ML125" s="42"/>
      <c r="MM125" s="42"/>
      <c r="MN125" s="42"/>
      <c r="MO125" s="42"/>
      <c r="MP125" s="42"/>
      <c r="MQ125" s="42"/>
      <c r="MR125" s="42"/>
      <c r="MS125" s="42"/>
      <c r="MT125" s="42"/>
      <c r="MU125" s="42"/>
      <c r="MV125" s="42"/>
      <c r="MW125" s="42"/>
      <c r="MX125" s="42"/>
      <c r="MY125" s="42"/>
      <c r="MZ125" s="42"/>
      <c r="NA125" s="42"/>
      <c r="NB125" s="42"/>
      <c r="NC125" s="42"/>
      <c r="ND125" s="42"/>
      <c r="NE125" s="42"/>
      <c r="NF125" s="42"/>
      <c r="NG125" s="42"/>
      <c r="NH125" s="42"/>
      <c r="NI125" s="42"/>
      <c r="NJ125" s="42"/>
      <c r="NK125" s="42"/>
      <c r="NL125" s="42"/>
      <c r="NM125" s="42"/>
      <c r="NN125" s="42"/>
      <c r="NO125" s="42"/>
      <c r="NP125" s="42"/>
      <c r="NQ125" s="42"/>
      <c r="NR125" s="42"/>
      <c r="NS125" s="42"/>
    </row>
    <row r="126" spans="1:383" s="5" customFormat="1" x14ac:dyDescent="0.25">
      <c r="A126" s="1"/>
      <c r="B126" s="2"/>
      <c r="C126" s="2"/>
      <c r="D126" s="2"/>
      <c r="E126" s="3"/>
      <c r="F126" s="3"/>
      <c r="G126" s="4"/>
      <c r="H126" s="1"/>
      <c r="I126" s="7"/>
      <c r="J126" s="7"/>
      <c r="K126" s="7"/>
      <c r="L126" s="7"/>
      <c r="M126" s="7"/>
      <c r="N126" s="7"/>
      <c r="O126" s="3"/>
      <c r="P126" s="7"/>
      <c r="AL126" s="7"/>
      <c r="AM126" s="7"/>
      <c r="AN126" s="7"/>
      <c r="AO126" s="7"/>
      <c r="AT126" s="7"/>
      <c r="AV126" s="11"/>
      <c r="AW126" s="7"/>
      <c r="AY126" s="7"/>
      <c r="BN126" s="7"/>
      <c r="CQ126" s="7"/>
      <c r="DF126" s="7"/>
      <c r="DG126" s="7"/>
      <c r="DL126" s="15"/>
      <c r="DQ126" s="16"/>
      <c r="DR126" s="7"/>
      <c r="DV126" s="16"/>
      <c r="DZ126" s="16"/>
      <c r="EA126" s="7"/>
      <c r="EF126" s="16"/>
      <c r="EK126" s="16"/>
      <c r="EL126" s="7"/>
      <c r="EP126" s="16"/>
      <c r="ET126" s="16"/>
      <c r="EU126" s="7"/>
      <c r="FM126" s="7"/>
      <c r="FN126" s="390"/>
      <c r="FO126" s="390"/>
      <c r="FR126" s="7"/>
      <c r="FY126" s="7"/>
      <c r="GG126" s="7"/>
      <c r="HX126" s="74"/>
      <c r="HY126" s="42"/>
      <c r="HZ126" s="42"/>
      <c r="IE126" s="42"/>
      <c r="IF126" s="42"/>
      <c r="IK126" s="42"/>
      <c r="IL126" s="42"/>
      <c r="IM126" s="42"/>
      <c r="IN126" s="7"/>
      <c r="IO126" s="42"/>
      <c r="IT126" s="42"/>
      <c r="IU126" s="42"/>
      <c r="KC126" s="7"/>
      <c r="KD126" s="42"/>
      <c r="KG126" s="391"/>
      <c r="KH126" s="42"/>
      <c r="KI126" s="42"/>
      <c r="KJ126" s="42"/>
      <c r="KK126" s="42"/>
      <c r="KL126" s="42"/>
      <c r="KM126" s="42"/>
      <c r="KN126" s="42"/>
      <c r="KO126" s="42"/>
      <c r="KP126" s="42"/>
      <c r="KQ126" s="42"/>
      <c r="KR126" s="42"/>
      <c r="KS126" s="42"/>
      <c r="KT126" s="42"/>
      <c r="KU126" s="42"/>
      <c r="KV126" s="42"/>
      <c r="KW126" s="42"/>
      <c r="KX126" s="42"/>
      <c r="KY126" s="42"/>
      <c r="KZ126" s="42"/>
      <c r="LA126" s="42"/>
      <c r="LB126" s="42"/>
      <c r="LC126" s="42"/>
      <c r="LD126" s="42"/>
      <c r="LE126" s="42"/>
      <c r="LF126" s="42"/>
      <c r="LG126" s="42"/>
      <c r="LH126" s="42"/>
      <c r="LI126" s="42"/>
      <c r="LJ126" s="42"/>
      <c r="LK126" s="42"/>
      <c r="LL126" s="42"/>
      <c r="LM126" s="42"/>
      <c r="LN126" s="42"/>
      <c r="LO126" s="42"/>
      <c r="LP126" s="42"/>
      <c r="LQ126" s="42"/>
      <c r="LR126" s="42"/>
      <c r="LS126" s="42"/>
      <c r="LT126" s="42"/>
      <c r="LU126" s="42"/>
      <c r="LV126" s="42"/>
      <c r="LW126" s="42"/>
      <c r="LX126" s="42"/>
      <c r="LY126" s="42"/>
      <c r="LZ126" s="42"/>
      <c r="MA126" s="42"/>
      <c r="MB126" s="42"/>
      <c r="MC126" s="42"/>
      <c r="MD126" s="42"/>
      <c r="ME126" s="42"/>
      <c r="MF126" s="42"/>
      <c r="MG126" s="42"/>
      <c r="MH126" s="42"/>
      <c r="MI126" s="42"/>
      <c r="MJ126" s="42"/>
      <c r="MK126" s="42"/>
      <c r="ML126" s="42"/>
      <c r="MM126" s="42"/>
      <c r="MN126" s="42"/>
      <c r="MO126" s="42"/>
      <c r="MP126" s="42"/>
      <c r="MQ126" s="42"/>
      <c r="MR126" s="42"/>
      <c r="MS126" s="42"/>
      <c r="MT126" s="42"/>
      <c r="MU126" s="42"/>
      <c r="MV126" s="42"/>
      <c r="MW126" s="42"/>
      <c r="MX126" s="42"/>
      <c r="MY126" s="42"/>
      <c r="MZ126" s="42"/>
      <c r="NA126" s="42"/>
      <c r="NB126" s="42"/>
      <c r="NC126" s="42"/>
      <c r="ND126" s="42"/>
      <c r="NE126" s="42"/>
      <c r="NF126" s="42"/>
      <c r="NG126" s="42"/>
      <c r="NH126" s="42"/>
      <c r="NI126" s="42"/>
      <c r="NJ126" s="42"/>
      <c r="NK126" s="42"/>
      <c r="NL126" s="42"/>
      <c r="NM126" s="42"/>
      <c r="NN126" s="42"/>
      <c r="NO126" s="42"/>
      <c r="NP126" s="42"/>
      <c r="NQ126" s="42"/>
      <c r="NR126" s="42"/>
      <c r="NS126" s="42"/>
    </row>
    <row r="127" spans="1:383" s="5" customFormat="1" x14ac:dyDescent="0.25">
      <c r="A127" s="1"/>
      <c r="B127" s="2"/>
      <c r="C127" s="2"/>
      <c r="D127" s="2"/>
      <c r="E127" s="3"/>
      <c r="F127" s="3"/>
      <c r="G127" s="4"/>
      <c r="H127" s="1"/>
      <c r="I127" s="7"/>
      <c r="J127" s="7"/>
      <c r="K127" s="7"/>
      <c r="L127" s="7"/>
      <c r="M127" s="7"/>
      <c r="N127" s="7"/>
      <c r="O127" s="3"/>
      <c r="P127" s="7"/>
      <c r="AL127" s="7"/>
      <c r="AM127" s="7"/>
      <c r="AN127" s="7"/>
      <c r="AO127" s="7"/>
      <c r="AT127" s="7"/>
      <c r="AV127" s="11"/>
      <c r="AW127" s="7"/>
      <c r="AY127" s="7"/>
      <c r="BN127" s="7"/>
      <c r="CQ127" s="7"/>
      <c r="DF127" s="7"/>
      <c r="DG127" s="7"/>
      <c r="DL127" s="15"/>
      <c r="DQ127" s="16"/>
      <c r="DR127" s="7"/>
      <c r="DV127" s="16"/>
      <c r="DZ127" s="16"/>
      <c r="EA127" s="7"/>
      <c r="EF127" s="16"/>
      <c r="EK127" s="16"/>
      <c r="EL127" s="7"/>
      <c r="EP127" s="16"/>
      <c r="ET127" s="16"/>
      <c r="EU127" s="7"/>
      <c r="FM127" s="7"/>
      <c r="FN127" s="390"/>
      <c r="FO127" s="390"/>
      <c r="FR127" s="7"/>
      <c r="FY127" s="7"/>
      <c r="GG127" s="7"/>
      <c r="HX127" s="74"/>
      <c r="HY127" s="42"/>
      <c r="HZ127" s="42"/>
      <c r="IE127" s="42"/>
      <c r="IF127" s="42"/>
      <c r="IK127" s="42"/>
      <c r="IL127" s="42"/>
      <c r="IM127" s="42"/>
      <c r="IN127" s="7"/>
      <c r="IO127" s="42"/>
      <c r="IT127" s="42"/>
      <c r="IU127" s="42"/>
      <c r="KC127" s="7"/>
      <c r="KD127" s="42"/>
      <c r="KG127" s="391"/>
      <c r="KH127" s="42"/>
      <c r="KI127" s="42"/>
      <c r="KJ127" s="42"/>
      <c r="KK127" s="42"/>
      <c r="KL127" s="42"/>
      <c r="KM127" s="42"/>
      <c r="KN127" s="42"/>
      <c r="KO127" s="42"/>
      <c r="KP127" s="42"/>
      <c r="KQ127" s="42"/>
      <c r="KR127" s="42"/>
      <c r="KS127" s="42"/>
      <c r="KT127" s="42"/>
      <c r="KU127" s="42"/>
      <c r="KV127" s="42"/>
      <c r="KW127" s="42"/>
      <c r="KX127" s="42"/>
      <c r="KY127" s="42"/>
      <c r="KZ127" s="42"/>
      <c r="LA127" s="42"/>
      <c r="LB127" s="42"/>
      <c r="LC127" s="42"/>
      <c r="LD127" s="42"/>
      <c r="LE127" s="42"/>
      <c r="LF127" s="42"/>
      <c r="LG127" s="42"/>
      <c r="LH127" s="42"/>
      <c r="LI127" s="42"/>
      <c r="LJ127" s="42"/>
      <c r="LK127" s="42"/>
      <c r="LL127" s="42"/>
      <c r="LM127" s="42"/>
      <c r="LN127" s="42"/>
      <c r="LO127" s="42"/>
      <c r="LP127" s="42"/>
      <c r="LQ127" s="42"/>
      <c r="LR127" s="42"/>
      <c r="LS127" s="42"/>
      <c r="LT127" s="42"/>
      <c r="LU127" s="42"/>
      <c r="LV127" s="42"/>
      <c r="LW127" s="42"/>
      <c r="LX127" s="42"/>
      <c r="LY127" s="42"/>
      <c r="LZ127" s="42"/>
      <c r="MA127" s="42"/>
      <c r="MB127" s="42"/>
      <c r="MC127" s="42"/>
      <c r="MD127" s="42"/>
      <c r="ME127" s="42"/>
      <c r="MF127" s="42"/>
      <c r="MG127" s="42"/>
      <c r="MH127" s="42"/>
      <c r="MI127" s="42"/>
      <c r="MJ127" s="42"/>
      <c r="MK127" s="42"/>
      <c r="ML127" s="42"/>
      <c r="MM127" s="42"/>
      <c r="MN127" s="42"/>
      <c r="MO127" s="42"/>
      <c r="MP127" s="42"/>
      <c r="MQ127" s="42"/>
      <c r="MR127" s="42"/>
      <c r="MS127" s="42"/>
      <c r="MT127" s="42"/>
      <c r="MU127" s="42"/>
      <c r="MV127" s="42"/>
      <c r="MW127" s="42"/>
      <c r="MX127" s="42"/>
      <c r="MY127" s="42"/>
      <c r="MZ127" s="42"/>
      <c r="NA127" s="42"/>
      <c r="NB127" s="42"/>
      <c r="NC127" s="42"/>
      <c r="ND127" s="42"/>
      <c r="NE127" s="42"/>
      <c r="NF127" s="42"/>
      <c r="NG127" s="42"/>
      <c r="NH127" s="42"/>
      <c r="NI127" s="42"/>
      <c r="NJ127" s="42"/>
      <c r="NK127" s="42"/>
      <c r="NL127" s="42"/>
      <c r="NM127" s="42"/>
      <c r="NN127" s="42"/>
      <c r="NO127" s="42"/>
      <c r="NP127" s="42"/>
      <c r="NQ127" s="42"/>
      <c r="NR127" s="42"/>
      <c r="NS127" s="42"/>
    </row>
    <row r="128" spans="1:383" s="5" customFormat="1" x14ac:dyDescent="0.25">
      <c r="A128" s="1"/>
      <c r="B128" s="2"/>
      <c r="C128" s="2"/>
      <c r="D128" s="2"/>
      <c r="E128" s="3"/>
      <c r="F128" s="3"/>
      <c r="G128" s="4"/>
      <c r="H128" s="1"/>
      <c r="I128" s="7"/>
      <c r="J128" s="7"/>
      <c r="K128" s="7"/>
      <c r="L128" s="7"/>
      <c r="M128" s="7"/>
      <c r="N128" s="7"/>
      <c r="O128" s="3"/>
      <c r="P128" s="7"/>
      <c r="AL128" s="7"/>
      <c r="AM128" s="7"/>
      <c r="AN128" s="7"/>
      <c r="AO128" s="7"/>
      <c r="AT128" s="7"/>
      <c r="AV128" s="11"/>
      <c r="AW128" s="7"/>
      <c r="AY128" s="7"/>
      <c r="BN128" s="7"/>
      <c r="CQ128" s="7"/>
      <c r="DF128" s="7"/>
      <c r="DG128" s="7"/>
      <c r="DL128" s="15"/>
      <c r="DQ128" s="16"/>
      <c r="DR128" s="7"/>
      <c r="DV128" s="16"/>
      <c r="DZ128" s="16"/>
      <c r="EA128" s="7"/>
      <c r="EF128" s="16"/>
      <c r="EK128" s="16"/>
      <c r="EL128" s="7"/>
      <c r="EP128" s="16"/>
      <c r="ET128" s="16"/>
      <c r="EU128" s="7"/>
      <c r="FM128" s="7"/>
      <c r="FN128" s="390"/>
      <c r="FO128" s="390"/>
      <c r="FR128" s="7"/>
      <c r="FY128" s="7"/>
      <c r="GG128" s="7"/>
      <c r="HX128" s="74"/>
      <c r="HY128" s="42"/>
      <c r="HZ128" s="42"/>
      <c r="IE128" s="42"/>
      <c r="IF128" s="42"/>
      <c r="IK128" s="42"/>
      <c r="IL128" s="42"/>
      <c r="IM128" s="42"/>
      <c r="IN128" s="7"/>
      <c r="IO128" s="42"/>
      <c r="IT128" s="42"/>
      <c r="IU128" s="42"/>
      <c r="KC128" s="7"/>
      <c r="KD128" s="42"/>
      <c r="KG128" s="391"/>
      <c r="KH128" s="42"/>
      <c r="KI128" s="42"/>
      <c r="KJ128" s="42"/>
      <c r="KK128" s="42"/>
      <c r="KL128" s="42"/>
      <c r="KM128" s="42"/>
      <c r="KN128" s="42"/>
      <c r="KO128" s="42"/>
      <c r="KP128" s="42"/>
      <c r="KQ128" s="42"/>
      <c r="KR128" s="42"/>
      <c r="KS128" s="42"/>
      <c r="KT128" s="42"/>
      <c r="KU128" s="42"/>
      <c r="KV128" s="42"/>
      <c r="KW128" s="42"/>
      <c r="KX128" s="42"/>
      <c r="KY128" s="42"/>
      <c r="KZ128" s="42"/>
      <c r="LA128" s="42"/>
      <c r="LB128" s="42"/>
      <c r="LC128" s="42"/>
      <c r="LD128" s="42"/>
      <c r="LE128" s="42"/>
      <c r="LF128" s="42"/>
      <c r="LG128" s="42"/>
      <c r="LH128" s="42"/>
      <c r="LI128" s="42"/>
      <c r="LJ128" s="42"/>
      <c r="LK128" s="42"/>
      <c r="LL128" s="42"/>
      <c r="LM128" s="42"/>
      <c r="LN128" s="42"/>
      <c r="LO128" s="42"/>
      <c r="LP128" s="42"/>
      <c r="LQ128" s="42"/>
      <c r="LR128" s="42"/>
      <c r="LS128" s="42"/>
      <c r="LT128" s="42"/>
      <c r="LU128" s="42"/>
      <c r="LV128" s="42"/>
      <c r="LW128" s="42"/>
      <c r="LX128" s="42"/>
      <c r="LY128" s="42"/>
      <c r="LZ128" s="42"/>
      <c r="MA128" s="42"/>
      <c r="MB128" s="42"/>
      <c r="MC128" s="42"/>
      <c r="MD128" s="42"/>
      <c r="ME128" s="42"/>
      <c r="MF128" s="42"/>
      <c r="MG128" s="42"/>
      <c r="MH128" s="42"/>
      <c r="MI128" s="42"/>
      <c r="MJ128" s="42"/>
      <c r="MK128" s="42"/>
      <c r="ML128" s="42"/>
      <c r="MM128" s="42"/>
      <c r="MN128" s="42"/>
      <c r="MO128" s="42"/>
      <c r="MP128" s="42"/>
      <c r="MQ128" s="42"/>
      <c r="MR128" s="42"/>
      <c r="MS128" s="42"/>
      <c r="MT128" s="42"/>
      <c r="MU128" s="42"/>
      <c r="MV128" s="42"/>
      <c r="MW128" s="42"/>
      <c r="MX128" s="42"/>
      <c r="MY128" s="42"/>
      <c r="MZ128" s="42"/>
      <c r="NA128" s="42"/>
      <c r="NB128" s="42"/>
      <c r="NC128" s="42"/>
      <c r="ND128" s="42"/>
      <c r="NE128" s="42"/>
      <c r="NF128" s="42"/>
      <c r="NG128" s="42"/>
      <c r="NH128" s="42"/>
      <c r="NI128" s="42"/>
      <c r="NJ128" s="42"/>
      <c r="NK128" s="42"/>
      <c r="NL128" s="42"/>
      <c r="NM128" s="42"/>
      <c r="NN128" s="42"/>
      <c r="NO128" s="42"/>
      <c r="NP128" s="42"/>
      <c r="NQ128" s="42"/>
      <c r="NR128" s="42"/>
      <c r="NS128" s="42"/>
    </row>
    <row r="129" spans="1:383" s="5" customFormat="1" x14ac:dyDescent="0.25">
      <c r="A129" s="1"/>
      <c r="B129" s="2"/>
      <c r="C129" s="2"/>
      <c r="D129" s="2"/>
      <c r="E129" s="3"/>
      <c r="F129" s="3"/>
      <c r="G129" s="4"/>
      <c r="H129" s="1"/>
      <c r="I129" s="7"/>
      <c r="J129" s="7"/>
      <c r="K129" s="7"/>
      <c r="L129" s="7"/>
      <c r="M129" s="7"/>
      <c r="N129" s="7"/>
      <c r="O129" s="3"/>
      <c r="P129" s="7"/>
      <c r="AL129" s="7"/>
      <c r="AM129" s="7"/>
      <c r="AN129" s="7"/>
      <c r="AO129" s="7"/>
      <c r="AT129" s="7"/>
      <c r="AV129" s="11"/>
      <c r="AW129" s="7"/>
      <c r="AY129" s="7"/>
      <c r="BN129" s="7"/>
      <c r="CQ129" s="7"/>
      <c r="DF129" s="7"/>
      <c r="DG129" s="7"/>
      <c r="DL129" s="15"/>
      <c r="DQ129" s="16"/>
      <c r="DR129" s="7"/>
      <c r="DV129" s="16"/>
      <c r="DZ129" s="16"/>
      <c r="EA129" s="7"/>
      <c r="EF129" s="16"/>
      <c r="EK129" s="16"/>
      <c r="EL129" s="7"/>
      <c r="EP129" s="16"/>
      <c r="ET129" s="16"/>
      <c r="EU129" s="7"/>
      <c r="FM129" s="7"/>
      <c r="FN129" s="390"/>
      <c r="FO129" s="390"/>
      <c r="FR129" s="7"/>
      <c r="FY129" s="7"/>
      <c r="GG129" s="7"/>
      <c r="HX129" s="74"/>
      <c r="HY129" s="42"/>
      <c r="HZ129" s="42"/>
      <c r="IE129" s="42"/>
      <c r="IF129" s="42"/>
      <c r="IK129" s="42"/>
      <c r="IL129" s="42"/>
      <c r="IM129" s="42"/>
      <c r="IN129" s="7"/>
      <c r="IO129" s="42"/>
      <c r="IT129" s="42"/>
      <c r="IU129" s="42"/>
      <c r="KC129" s="7"/>
      <c r="KD129" s="42"/>
      <c r="KG129" s="391"/>
      <c r="KH129" s="42"/>
      <c r="KI129" s="42"/>
      <c r="KJ129" s="42"/>
      <c r="KK129" s="42"/>
      <c r="KL129" s="42"/>
      <c r="KM129" s="42"/>
      <c r="KN129" s="42"/>
      <c r="KO129" s="42"/>
      <c r="KP129" s="42"/>
      <c r="KQ129" s="42"/>
      <c r="KR129" s="42"/>
      <c r="KS129" s="42"/>
      <c r="KT129" s="42"/>
      <c r="KU129" s="42"/>
      <c r="KV129" s="42"/>
      <c r="KW129" s="42"/>
      <c r="KX129" s="42"/>
      <c r="KY129" s="42"/>
      <c r="KZ129" s="42"/>
      <c r="LA129" s="42"/>
      <c r="LB129" s="42"/>
      <c r="LC129" s="42"/>
      <c r="LD129" s="42"/>
      <c r="LE129" s="42"/>
      <c r="LF129" s="42"/>
      <c r="LG129" s="42"/>
      <c r="LH129" s="42"/>
      <c r="LI129" s="42"/>
      <c r="LJ129" s="42"/>
      <c r="LK129" s="42"/>
      <c r="LL129" s="42"/>
      <c r="LM129" s="42"/>
      <c r="LN129" s="42"/>
      <c r="LO129" s="42"/>
      <c r="LP129" s="42"/>
      <c r="LQ129" s="42"/>
      <c r="LR129" s="42"/>
      <c r="LS129" s="42"/>
      <c r="LT129" s="42"/>
      <c r="LU129" s="42"/>
      <c r="LV129" s="42"/>
      <c r="LW129" s="42"/>
      <c r="LX129" s="42"/>
      <c r="LY129" s="42"/>
      <c r="LZ129" s="42"/>
      <c r="MA129" s="42"/>
      <c r="MB129" s="42"/>
      <c r="MC129" s="42"/>
      <c r="MD129" s="42"/>
      <c r="ME129" s="42"/>
      <c r="MF129" s="42"/>
      <c r="MG129" s="42"/>
      <c r="MH129" s="42"/>
      <c r="MI129" s="42"/>
      <c r="MJ129" s="42"/>
      <c r="MK129" s="42"/>
      <c r="ML129" s="42"/>
      <c r="MM129" s="42"/>
      <c r="MN129" s="42"/>
      <c r="MO129" s="42"/>
      <c r="MP129" s="42"/>
      <c r="MQ129" s="42"/>
      <c r="MR129" s="42"/>
      <c r="MS129" s="42"/>
      <c r="MT129" s="42"/>
      <c r="MU129" s="42"/>
      <c r="MV129" s="42"/>
      <c r="MW129" s="42"/>
      <c r="MX129" s="42"/>
      <c r="MY129" s="42"/>
      <c r="MZ129" s="42"/>
      <c r="NA129" s="42"/>
      <c r="NB129" s="42"/>
      <c r="NC129" s="42"/>
      <c r="ND129" s="42"/>
      <c r="NE129" s="42"/>
      <c r="NF129" s="42"/>
      <c r="NG129" s="42"/>
      <c r="NH129" s="42"/>
      <c r="NI129" s="42"/>
      <c r="NJ129" s="42"/>
      <c r="NK129" s="42"/>
      <c r="NL129" s="42"/>
      <c r="NM129" s="42"/>
      <c r="NN129" s="42"/>
      <c r="NO129" s="42"/>
      <c r="NP129" s="42"/>
      <c r="NQ129" s="42"/>
      <c r="NR129" s="42"/>
      <c r="NS129" s="42"/>
    </row>
    <row r="130" spans="1:383" s="5" customFormat="1" x14ac:dyDescent="0.25">
      <c r="A130" s="1"/>
      <c r="B130" s="2"/>
      <c r="C130" s="2"/>
      <c r="D130" s="2"/>
      <c r="E130" s="3"/>
      <c r="F130" s="3"/>
      <c r="G130" s="4"/>
      <c r="H130" s="1"/>
      <c r="I130" s="7"/>
      <c r="J130" s="7"/>
      <c r="K130" s="7"/>
      <c r="L130" s="7"/>
      <c r="M130" s="7"/>
      <c r="N130" s="7"/>
      <c r="O130" s="3"/>
      <c r="P130" s="7"/>
      <c r="AL130" s="7"/>
      <c r="AM130" s="7"/>
      <c r="AN130" s="7"/>
      <c r="AO130" s="7"/>
      <c r="AT130" s="7"/>
      <c r="AV130" s="11"/>
      <c r="AW130" s="7"/>
      <c r="AY130" s="7"/>
      <c r="BN130" s="7"/>
      <c r="CQ130" s="7"/>
      <c r="DF130" s="7"/>
      <c r="DG130" s="7"/>
      <c r="DL130" s="15"/>
      <c r="DQ130" s="16"/>
      <c r="DR130" s="7"/>
      <c r="DV130" s="16"/>
      <c r="DZ130" s="16"/>
      <c r="EA130" s="7"/>
      <c r="EF130" s="16"/>
      <c r="EK130" s="16"/>
      <c r="EL130" s="7"/>
      <c r="EP130" s="16"/>
      <c r="ET130" s="16"/>
      <c r="EU130" s="7"/>
      <c r="FM130" s="7"/>
      <c r="FN130" s="390"/>
      <c r="FO130" s="390"/>
      <c r="FR130" s="7"/>
      <c r="FY130" s="7"/>
      <c r="GG130" s="7"/>
      <c r="HX130" s="74"/>
      <c r="HY130" s="42"/>
      <c r="HZ130" s="42"/>
      <c r="IE130" s="42"/>
      <c r="IF130" s="42"/>
      <c r="IK130" s="42"/>
      <c r="IL130" s="42"/>
      <c r="IM130" s="42"/>
      <c r="IN130" s="7"/>
      <c r="IO130" s="42"/>
      <c r="IT130" s="42"/>
      <c r="IU130" s="42"/>
      <c r="KC130" s="7"/>
      <c r="KD130" s="42"/>
      <c r="KG130" s="391"/>
      <c r="KH130" s="42"/>
      <c r="KI130" s="42"/>
      <c r="KJ130" s="42"/>
      <c r="KK130" s="42"/>
      <c r="KL130" s="42"/>
      <c r="KM130" s="42"/>
      <c r="KN130" s="42"/>
      <c r="KO130" s="42"/>
      <c r="KP130" s="42"/>
      <c r="KQ130" s="42"/>
      <c r="KR130" s="42"/>
      <c r="KS130" s="42"/>
      <c r="KT130" s="42"/>
      <c r="KU130" s="42"/>
      <c r="KV130" s="42"/>
      <c r="KW130" s="42"/>
      <c r="KX130" s="42"/>
      <c r="KY130" s="42"/>
      <c r="KZ130" s="42"/>
      <c r="LA130" s="42"/>
      <c r="LB130" s="42"/>
      <c r="LC130" s="42"/>
      <c r="LD130" s="42"/>
      <c r="LE130" s="42"/>
      <c r="LF130" s="42"/>
      <c r="LG130" s="42"/>
      <c r="LH130" s="42"/>
      <c r="LI130" s="42"/>
      <c r="LJ130" s="42"/>
      <c r="LK130" s="42"/>
      <c r="LL130" s="42"/>
      <c r="LM130" s="42"/>
      <c r="LN130" s="42"/>
      <c r="LO130" s="42"/>
      <c r="LP130" s="42"/>
      <c r="LQ130" s="42"/>
      <c r="LR130" s="42"/>
      <c r="LS130" s="42"/>
      <c r="LT130" s="42"/>
      <c r="LU130" s="42"/>
      <c r="LV130" s="42"/>
      <c r="LW130" s="42"/>
      <c r="LX130" s="42"/>
      <c r="LY130" s="42"/>
      <c r="LZ130" s="42"/>
      <c r="MA130" s="42"/>
      <c r="MB130" s="42"/>
      <c r="MC130" s="42"/>
      <c r="MD130" s="42"/>
      <c r="ME130" s="42"/>
      <c r="MF130" s="42"/>
      <c r="MG130" s="42"/>
      <c r="MH130" s="42"/>
      <c r="MI130" s="42"/>
      <c r="MJ130" s="42"/>
      <c r="MK130" s="42"/>
      <c r="ML130" s="42"/>
      <c r="MM130" s="42"/>
      <c r="MN130" s="42"/>
      <c r="MO130" s="42"/>
      <c r="MP130" s="42"/>
      <c r="MQ130" s="42"/>
      <c r="MR130" s="42"/>
      <c r="MS130" s="42"/>
      <c r="MT130" s="42"/>
      <c r="MU130" s="42"/>
      <c r="MV130" s="42"/>
      <c r="MW130" s="42"/>
      <c r="MX130" s="42"/>
      <c r="MY130" s="42"/>
      <c r="MZ130" s="42"/>
      <c r="NA130" s="42"/>
      <c r="NB130" s="42"/>
      <c r="NC130" s="42"/>
      <c r="ND130" s="42"/>
      <c r="NE130" s="42"/>
      <c r="NF130" s="42"/>
      <c r="NG130" s="42"/>
      <c r="NH130" s="42"/>
      <c r="NI130" s="42"/>
      <c r="NJ130" s="42"/>
      <c r="NK130" s="42"/>
      <c r="NL130" s="42"/>
      <c r="NM130" s="42"/>
      <c r="NN130" s="42"/>
      <c r="NO130" s="42"/>
      <c r="NP130" s="42"/>
      <c r="NQ130" s="42"/>
      <c r="NR130" s="42"/>
      <c r="NS130" s="42"/>
    </row>
    <row r="131" spans="1:383" s="5" customFormat="1" x14ac:dyDescent="0.25">
      <c r="A131" s="1"/>
      <c r="B131" s="2"/>
      <c r="C131" s="2"/>
      <c r="D131" s="2"/>
      <c r="E131" s="3"/>
      <c r="F131" s="3"/>
      <c r="G131" s="4"/>
      <c r="H131" s="1"/>
      <c r="I131" s="7"/>
      <c r="J131" s="7"/>
      <c r="K131" s="7"/>
      <c r="L131" s="7"/>
      <c r="M131" s="7"/>
      <c r="N131" s="7"/>
      <c r="O131" s="3"/>
      <c r="P131" s="7"/>
      <c r="AL131" s="7"/>
      <c r="AM131" s="7"/>
      <c r="AN131" s="7"/>
      <c r="AO131" s="7"/>
      <c r="AT131" s="7"/>
      <c r="AV131" s="11"/>
      <c r="AW131" s="7"/>
      <c r="AY131" s="7"/>
      <c r="BN131" s="7"/>
      <c r="CQ131" s="7"/>
      <c r="DF131" s="7"/>
      <c r="DG131" s="7"/>
      <c r="DL131" s="15"/>
      <c r="DQ131" s="16"/>
      <c r="DR131" s="7"/>
      <c r="DV131" s="16"/>
      <c r="DZ131" s="16"/>
      <c r="EA131" s="7"/>
      <c r="EF131" s="16"/>
      <c r="EK131" s="16"/>
      <c r="EL131" s="7"/>
      <c r="EP131" s="16"/>
      <c r="ET131" s="16"/>
      <c r="EU131" s="7"/>
      <c r="FM131" s="7"/>
      <c r="FN131" s="390"/>
      <c r="FO131" s="390"/>
      <c r="FR131" s="7"/>
      <c r="FY131" s="7"/>
      <c r="GG131" s="7"/>
      <c r="HX131" s="74"/>
      <c r="HY131" s="42"/>
      <c r="HZ131" s="42"/>
      <c r="IE131" s="42"/>
      <c r="IF131" s="42"/>
      <c r="IK131" s="42"/>
      <c r="IL131" s="42"/>
      <c r="IM131" s="42"/>
      <c r="IN131" s="7"/>
      <c r="IO131" s="42"/>
      <c r="IT131" s="42"/>
      <c r="IU131" s="42"/>
      <c r="KC131" s="7"/>
      <c r="KD131" s="42"/>
      <c r="KG131" s="391"/>
      <c r="KH131" s="42"/>
      <c r="KI131" s="42"/>
      <c r="KJ131" s="42"/>
      <c r="KK131" s="42"/>
      <c r="KL131" s="42"/>
      <c r="KM131" s="42"/>
      <c r="KN131" s="42"/>
      <c r="KO131" s="42"/>
      <c r="KP131" s="42"/>
      <c r="KQ131" s="42"/>
      <c r="KR131" s="42"/>
      <c r="KS131" s="42"/>
      <c r="KT131" s="42"/>
      <c r="KU131" s="42"/>
      <c r="KV131" s="42"/>
      <c r="KW131" s="42"/>
      <c r="KX131" s="42"/>
      <c r="KY131" s="42"/>
      <c r="KZ131" s="42"/>
      <c r="LA131" s="42"/>
      <c r="LB131" s="42"/>
      <c r="LC131" s="42"/>
      <c r="LD131" s="42"/>
      <c r="LE131" s="42"/>
      <c r="LF131" s="42"/>
      <c r="LG131" s="42"/>
      <c r="LH131" s="42"/>
      <c r="LI131" s="42"/>
      <c r="LJ131" s="42"/>
      <c r="LK131" s="42"/>
      <c r="LL131" s="42"/>
      <c r="LM131" s="42"/>
      <c r="LN131" s="42"/>
      <c r="LO131" s="42"/>
      <c r="LP131" s="42"/>
      <c r="LQ131" s="42"/>
      <c r="LR131" s="42"/>
      <c r="LS131" s="42"/>
      <c r="LT131" s="42"/>
      <c r="LU131" s="42"/>
      <c r="LV131" s="42"/>
      <c r="LW131" s="42"/>
      <c r="LX131" s="42"/>
      <c r="LY131" s="42"/>
      <c r="LZ131" s="42"/>
      <c r="MA131" s="42"/>
      <c r="MB131" s="42"/>
      <c r="MC131" s="42"/>
      <c r="MD131" s="42"/>
      <c r="ME131" s="42"/>
      <c r="MF131" s="42"/>
      <c r="MG131" s="42"/>
      <c r="MH131" s="42"/>
      <c r="MI131" s="42"/>
      <c r="MJ131" s="42"/>
      <c r="MK131" s="42"/>
      <c r="ML131" s="42"/>
      <c r="MM131" s="42"/>
      <c r="MN131" s="42"/>
      <c r="MO131" s="42"/>
      <c r="MP131" s="42"/>
      <c r="MQ131" s="42"/>
      <c r="MR131" s="42"/>
      <c r="MS131" s="42"/>
      <c r="MT131" s="42"/>
      <c r="MU131" s="42"/>
      <c r="MV131" s="42"/>
      <c r="MW131" s="42"/>
      <c r="MX131" s="42"/>
      <c r="MY131" s="42"/>
      <c r="MZ131" s="42"/>
      <c r="NA131" s="42"/>
      <c r="NB131" s="42"/>
      <c r="NC131" s="42"/>
      <c r="ND131" s="42"/>
      <c r="NE131" s="42"/>
      <c r="NF131" s="42"/>
      <c r="NG131" s="42"/>
      <c r="NH131" s="42"/>
      <c r="NI131" s="42"/>
      <c r="NJ131" s="42"/>
      <c r="NK131" s="42"/>
      <c r="NL131" s="42"/>
      <c r="NM131" s="42"/>
      <c r="NN131" s="42"/>
      <c r="NO131" s="42"/>
      <c r="NP131" s="42"/>
      <c r="NQ131" s="42"/>
      <c r="NR131" s="42"/>
      <c r="NS131" s="42"/>
    </row>
    <row r="132" spans="1:383" s="5" customFormat="1" x14ac:dyDescent="0.25">
      <c r="A132" s="1"/>
      <c r="B132" s="2"/>
      <c r="C132" s="2"/>
      <c r="D132" s="2"/>
      <c r="E132" s="3"/>
      <c r="F132" s="3"/>
      <c r="G132" s="4"/>
      <c r="H132" s="1"/>
      <c r="I132" s="7"/>
      <c r="J132" s="7"/>
      <c r="K132" s="7"/>
      <c r="L132" s="7"/>
      <c r="M132" s="7"/>
      <c r="N132" s="7"/>
      <c r="O132" s="3"/>
      <c r="P132" s="7"/>
      <c r="AL132" s="7"/>
      <c r="AM132" s="7"/>
      <c r="AN132" s="7"/>
      <c r="AO132" s="7"/>
      <c r="AT132" s="7"/>
      <c r="AV132" s="11"/>
      <c r="AW132" s="7"/>
      <c r="AY132" s="7"/>
      <c r="BN132" s="7"/>
      <c r="CQ132" s="7"/>
      <c r="DF132" s="7"/>
      <c r="DG132" s="7"/>
      <c r="DL132" s="15"/>
      <c r="DQ132" s="16"/>
      <c r="DR132" s="7"/>
      <c r="DV132" s="16"/>
      <c r="DZ132" s="16"/>
      <c r="EA132" s="7"/>
      <c r="EF132" s="16"/>
      <c r="EK132" s="16"/>
      <c r="EL132" s="7"/>
      <c r="EP132" s="16"/>
      <c r="ET132" s="16"/>
      <c r="EU132" s="7"/>
      <c r="FM132" s="7"/>
      <c r="FN132" s="390"/>
      <c r="FO132" s="390"/>
      <c r="FR132" s="7"/>
      <c r="FY132" s="7"/>
      <c r="GG132" s="7"/>
      <c r="HX132" s="74"/>
      <c r="HY132" s="42"/>
      <c r="HZ132" s="42"/>
      <c r="IE132" s="42"/>
      <c r="IF132" s="42"/>
      <c r="IK132" s="42"/>
      <c r="IL132" s="42"/>
      <c r="IM132" s="42"/>
      <c r="IN132" s="7"/>
      <c r="IO132" s="42"/>
      <c r="IT132" s="42"/>
      <c r="IU132" s="42"/>
      <c r="KC132" s="7"/>
      <c r="KD132" s="42"/>
      <c r="KG132" s="391"/>
      <c r="KH132" s="42"/>
      <c r="KI132" s="42"/>
      <c r="KJ132" s="42"/>
      <c r="KK132" s="42"/>
      <c r="KL132" s="42"/>
      <c r="KM132" s="42"/>
      <c r="KN132" s="42"/>
      <c r="KO132" s="42"/>
      <c r="KP132" s="42"/>
      <c r="KQ132" s="42"/>
      <c r="KR132" s="42"/>
      <c r="KS132" s="42"/>
      <c r="KT132" s="42"/>
      <c r="KU132" s="42"/>
      <c r="KV132" s="42"/>
      <c r="KW132" s="42"/>
      <c r="KX132" s="42"/>
      <c r="KY132" s="42"/>
      <c r="KZ132" s="42"/>
      <c r="LA132" s="42"/>
      <c r="LB132" s="42"/>
      <c r="LC132" s="42"/>
      <c r="LD132" s="42"/>
      <c r="LE132" s="42"/>
      <c r="LF132" s="42"/>
      <c r="LG132" s="42"/>
      <c r="LH132" s="42"/>
      <c r="LI132" s="42"/>
      <c r="LJ132" s="42"/>
      <c r="LK132" s="42"/>
      <c r="LL132" s="42"/>
      <c r="LM132" s="42"/>
      <c r="LN132" s="42"/>
      <c r="LO132" s="42"/>
      <c r="LP132" s="42"/>
      <c r="LQ132" s="42"/>
      <c r="LR132" s="42"/>
      <c r="LS132" s="42"/>
      <c r="LT132" s="42"/>
      <c r="LU132" s="42"/>
      <c r="LV132" s="42"/>
      <c r="LW132" s="42"/>
      <c r="LX132" s="42"/>
      <c r="LY132" s="42"/>
      <c r="LZ132" s="42"/>
      <c r="MA132" s="42"/>
      <c r="MB132" s="42"/>
      <c r="MC132" s="42"/>
      <c r="MD132" s="42"/>
      <c r="ME132" s="42"/>
      <c r="MF132" s="42"/>
      <c r="MG132" s="42"/>
      <c r="MH132" s="42"/>
      <c r="MI132" s="42"/>
      <c r="MJ132" s="42"/>
      <c r="MK132" s="42"/>
      <c r="ML132" s="42"/>
      <c r="MM132" s="42"/>
      <c r="MN132" s="42"/>
      <c r="MO132" s="42"/>
      <c r="MP132" s="42"/>
      <c r="MQ132" s="42"/>
      <c r="MR132" s="42"/>
      <c r="MS132" s="42"/>
      <c r="MT132" s="42"/>
      <c r="MU132" s="42"/>
      <c r="MV132" s="42"/>
      <c r="MW132" s="42"/>
      <c r="MX132" s="42"/>
      <c r="MY132" s="42"/>
      <c r="MZ132" s="42"/>
      <c r="NA132" s="42"/>
      <c r="NB132" s="42"/>
      <c r="NC132" s="42"/>
      <c r="ND132" s="42"/>
      <c r="NE132" s="42"/>
      <c r="NF132" s="42"/>
      <c r="NG132" s="42"/>
      <c r="NH132" s="42"/>
      <c r="NI132" s="42"/>
      <c r="NJ132" s="42"/>
      <c r="NK132" s="42"/>
      <c r="NL132" s="42"/>
      <c r="NM132" s="42"/>
      <c r="NN132" s="42"/>
      <c r="NO132" s="42"/>
      <c r="NP132" s="42"/>
      <c r="NQ132" s="42"/>
      <c r="NR132" s="42"/>
      <c r="NS132" s="42"/>
    </row>
    <row r="133" spans="1:383" s="5" customFormat="1" x14ac:dyDescent="0.25">
      <c r="A133" s="1"/>
      <c r="B133" s="2"/>
      <c r="C133" s="2"/>
      <c r="D133" s="2"/>
      <c r="E133" s="3"/>
      <c r="F133" s="3"/>
      <c r="G133" s="4"/>
      <c r="H133" s="1"/>
      <c r="I133" s="7"/>
      <c r="J133" s="7"/>
      <c r="K133" s="7"/>
      <c r="L133" s="7"/>
      <c r="M133" s="7"/>
      <c r="N133" s="7"/>
      <c r="O133" s="3"/>
      <c r="P133" s="7"/>
      <c r="AL133" s="7"/>
      <c r="AM133" s="7"/>
      <c r="AN133" s="7"/>
      <c r="AO133" s="7"/>
      <c r="AT133" s="7"/>
      <c r="AV133" s="11"/>
      <c r="AW133" s="7"/>
      <c r="AY133" s="7"/>
      <c r="BN133" s="7"/>
      <c r="CQ133" s="7"/>
      <c r="DF133" s="7"/>
      <c r="DG133" s="7"/>
      <c r="DL133" s="15"/>
      <c r="DQ133" s="16"/>
      <c r="DR133" s="7"/>
      <c r="DV133" s="16"/>
      <c r="DZ133" s="16"/>
      <c r="EA133" s="7"/>
      <c r="EF133" s="16"/>
      <c r="EK133" s="16"/>
      <c r="EL133" s="7"/>
      <c r="EP133" s="16"/>
      <c r="ET133" s="16"/>
      <c r="EU133" s="7"/>
      <c r="FM133" s="7"/>
      <c r="FN133" s="390"/>
      <c r="FO133" s="390"/>
      <c r="FR133" s="7"/>
      <c r="FY133" s="7"/>
      <c r="GG133" s="7"/>
      <c r="HX133" s="74"/>
      <c r="HY133" s="42"/>
      <c r="HZ133" s="42"/>
      <c r="IE133" s="42"/>
      <c r="IF133" s="42"/>
      <c r="IK133" s="42"/>
      <c r="IL133" s="42"/>
      <c r="IM133" s="42"/>
      <c r="IN133" s="7"/>
      <c r="IO133" s="42"/>
      <c r="IT133" s="42"/>
      <c r="IU133" s="42"/>
      <c r="KC133" s="7"/>
      <c r="KD133" s="42"/>
      <c r="KG133" s="391"/>
      <c r="KH133" s="42"/>
      <c r="KI133" s="42"/>
      <c r="KJ133" s="42"/>
      <c r="KK133" s="42"/>
      <c r="KL133" s="42"/>
      <c r="KM133" s="42"/>
      <c r="KN133" s="42"/>
      <c r="KO133" s="42"/>
      <c r="KP133" s="42"/>
      <c r="KQ133" s="42"/>
      <c r="KR133" s="42"/>
      <c r="KS133" s="42"/>
      <c r="KT133" s="42"/>
      <c r="KU133" s="42"/>
      <c r="KV133" s="42"/>
      <c r="KW133" s="42"/>
      <c r="KX133" s="42"/>
      <c r="KY133" s="42"/>
      <c r="KZ133" s="42"/>
      <c r="LA133" s="42"/>
      <c r="LB133" s="42"/>
      <c r="LC133" s="42"/>
      <c r="LD133" s="42"/>
      <c r="LE133" s="42"/>
      <c r="LF133" s="42"/>
      <c r="LG133" s="42"/>
      <c r="LH133" s="42"/>
      <c r="LI133" s="42"/>
      <c r="LJ133" s="42"/>
      <c r="LK133" s="42"/>
      <c r="LL133" s="42"/>
      <c r="LM133" s="42"/>
      <c r="LN133" s="42"/>
      <c r="LO133" s="42"/>
      <c r="LP133" s="42"/>
      <c r="LQ133" s="42"/>
      <c r="LR133" s="42"/>
      <c r="LS133" s="42"/>
      <c r="LT133" s="42"/>
      <c r="LU133" s="42"/>
      <c r="LV133" s="42"/>
      <c r="LW133" s="42"/>
      <c r="LX133" s="42"/>
      <c r="LY133" s="42"/>
      <c r="LZ133" s="42"/>
      <c r="MA133" s="42"/>
      <c r="MB133" s="42"/>
      <c r="MC133" s="42"/>
      <c r="MD133" s="42"/>
      <c r="ME133" s="42"/>
      <c r="MF133" s="42"/>
      <c r="MG133" s="42"/>
      <c r="MH133" s="42"/>
      <c r="MI133" s="42"/>
      <c r="MJ133" s="42"/>
      <c r="MK133" s="42"/>
      <c r="ML133" s="42"/>
      <c r="MM133" s="42"/>
      <c r="MN133" s="42"/>
      <c r="MO133" s="42"/>
      <c r="MP133" s="42"/>
      <c r="MQ133" s="42"/>
      <c r="MR133" s="42"/>
      <c r="MS133" s="42"/>
      <c r="MT133" s="42"/>
      <c r="MU133" s="42"/>
      <c r="MV133" s="42"/>
      <c r="MW133" s="42"/>
      <c r="MX133" s="42"/>
      <c r="MY133" s="42"/>
      <c r="MZ133" s="42"/>
      <c r="NA133" s="42"/>
      <c r="NB133" s="42"/>
      <c r="NC133" s="42"/>
      <c r="ND133" s="42"/>
      <c r="NE133" s="42"/>
      <c r="NF133" s="42"/>
      <c r="NG133" s="42"/>
      <c r="NH133" s="42"/>
      <c r="NI133" s="42"/>
      <c r="NJ133" s="42"/>
      <c r="NK133" s="42"/>
      <c r="NL133" s="42"/>
      <c r="NM133" s="42"/>
      <c r="NN133" s="42"/>
      <c r="NO133" s="42"/>
      <c r="NP133" s="42"/>
      <c r="NQ133" s="42"/>
      <c r="NR133" s="42"/>
      <c r="NS133" s="42"/>
    </row>
    <row r="134" spans="1:383" s="5" customFormat="1" x14ac:dyDescent="0.25">
      <c r="A134" s="1"/>
      <c r="B134" s="2"/>
      <c r="C134" s="2"/>
      <c r="D134" s="2"/>
      <c r="E134" s="3"/>
      <c r="F134" s="3"/>
      <c r="G134" s="4"/>
      <c r="H134" s="1"/>
      <c r="I134" s="7"/>
      <c r="J134" s="7"/>
      <c r="K134" s="7"/>
      <c r="L134" s="7"/>
      <c r="M134" s="7"/>
      <c r="N134" s="7"/>
      <c r="O134" s="3"/>
      <c r="P134" s="7"/>
      <c r="AL134" s="7"/>
      <c r="AM134" s="7"/>
      <c r="AN134" s="7"/>
      <c r="AO134" s="7"/>
      <c r="AT134" s="7"/>
      <c r="AV134" s="11"/>
      <c r="AW134" s="7"/>
      <c r="AY134" s="7"/>
      <c r="BN134" s="7"/>
      <c r="CQ134" s="7"/>
      <c r="DF134" s="7"/>
      <c r="DG134" s="7"/>
      <c r="DL134" s="15"/>
      <c r="DQ134" s="16"/>
      <c r="DR134" s="7"/>
      <c r="DV134" s="16"/>
      <c r="DZ134" s="16"/>
      <c r="EA134" s="7"/>
      <c r="EF134" s="16"/>
      <c r="EK134" s="16"/>
      <c r="EL134" s="7"/>
      <c r="EP134" s="16"/>
      <c r="ET134" s="16"/>
      <c r="EU134" s="7"/>
      <c r="FM134" s="7"/>
      <c r="FN134" s="390"/>
      <c r="FO134" s="390"/>
      <c r="FR134" s="7"/>
      <c r="FY134" s="7"/>
      <c r="GG134" s="7"/>
      <c r="HX134" s="74"/>
      <c r="HY134" s="42"/>
      <c r="HZ134" s="42"/>
      <c r="IE134" s="42"/>
      <c r="IF134" s="42"/>
      <c r="IK134" s="42"/>
      <c r="IL134" s="42"/>
      <c r="IM134" s="42"/>
      <c r="IN134" s="7"/>
      <c r="IO134" s="42"/>
      <c r="IT134" s="42"/>
      <c r="IU134" s="42"/>
      <c r="KC134" s="7"/>
      <c r="KD134" s="42"/>
      <c r="KG134" s="391"/>
      <c r="KH134" s="42"/>
      <c r="KI134" s="42"/>
      <c r="KJ134" s="42"/>
      <c r="KK134" s="42"/>
      <c r="KL134" s="42"/>
      <c r="KM134" s="42"/>
      <c r="KN134" s="42"/>
      <c r="KO134" s="42"/>
      <c r="KP134" s="42"/>
      <c r="KQ134" s="42"/>
      <c r="KR134" s="42"/>
      <c r="KS134" s="42"/>
      <c r="KT134" s="42"/>
      <c r="KU134" s="42"/>
      <c r="KV134" s="42"/>
      <c r="KW134" s="42"/>
      <c r="KX134" s="42"/>
      <c r="KY134" s="42"/>
      <c r="KZ134" s="42"/>
      <c r="LA134" s="42"/>
      <c r="LB134" s="42"/>
      <c r="LC134" s="42"/>
      <c r="LD134" s="42"/>
      <c r="LE134" s="42"/>
      <c r="LF134" s="42"/>
      <c r="LG134" s="42"/>
      <c r="LH134" s="42"/>
      <c r="LI134" s="42"/>
      <c r="LJ134" s="42"/>
      <c r="LK134" s="42"/>
      <c r="LL134" s="42"/>
      <c r="LM134" s="42"/>
      <c r="LN134" s="42"/>
      <c r="LO134" s="42"/>
      <c r="LP134" s="42"/>
      <c r="LQ134" s="42"/>
      <c r="LR134" s="42"/>
      <c r="LS134" s="42"/>
      <c r="LT134" s="42"/>
      <c r="LU134" s="42"/>
      <c r="LV134" s="42"/>
      <c r="LW134" s="42"/>
      <c r="LX134" s="42"/>
      <c r="LY134" s="42"/>
      <c r="LZ134" s="42"/>
      <c r="MA134" s="42"/>
      <c r="MB134" s="42"/>
      <c r="MC134" s="42"/>
      <c r="MD134" s="42"/>
      <c r="ME134" s="42"/>
      <c r="MF134" s="42"/>
      <c r="MG134" s="42"/>
      <c r="MH134" s="42"/>
      <c r="MI134" s="42"/>
      <c r="MJ134" s="42"/>
      <c r="MK134" s="42"/>
      <c r="ML134" s="42"/>
      <c r="MM134" s="42"/>
      <c r="MN134" s="42"/>
      <c r="MO134" s="42"/>
      <c r="MP134" s="42"/>
      <c r="MQ134" s="42"/>
      <c r="MR134" s="42"/>
      <c r="MS134" s="42"/>
      <c r="MT134" s="42"/>
      <c r="MU134" s="42"/>
      <c r="MV134" s="42"/>
      <c r="MW134" s="42"/>
      <c r="MX134" s="42"/>
      <c r="MY134" s="42"/>
      <c r="MZ134" s="42"/>
      <c r="NA134" s="42"/>
      <c r="NB134" s="42"/>
      <c r="NC134" s="42"/>
      <c r="ND134" s="42"/>
      <c r="NE134" s="42"/>
      <c r="NF134" s="42"/>
      <c r="NG134" s="42"/>
      <c r="NH134" s="42"/>
      <c r="NI134" s="42"/>
      <c r="NJ134" s="42"/>
      <c r="NK134" s="42"/>
      <c r="NL134" s="42"/>
      <c r="NM134" s="42"/>
      <c r="NN134" s="42"/>
      <c r="NO134" s="42"/>
      <c r="NP134" s="42"/>
      <c r="NQ134" s="42"/>
      <c r="NR134" s="42"/>
      <c r="NS134" s="42"/>
    </row>
    <row r="135" spans="1:383" s="5" customFormat="1" x14ac:dyDescent="0.25">
      <c r="A135" s="1"/>
      <c r="B135" s="2"/>
      <c r="C135" s="2"/>
      <c r="D135" s="2"/>
      <c r="E135" s="3"/>
      <c r="F135" s="3"/>
      <c r="G135" s="4"/>
      <c r="H135" s="1"/>
      <c r="I135" s="7"/>
      <c r="J135" s="7"/>
      <c r="K135" s="7"/>
      <c r="L135" s="7"/>
      <c r="M135" s="7"/>
      <c r="N135" s="7"/>
      <c r="O135" s="3"/>
      <c r="P135" s="7"/>
      <c r="AL135" s="7"/>
      <c r="AM135" s="7"/>
      <c r="AN135" s="7"/>
      <c r="AO135" s="7"/>
      <c r="AT135" s="7"/>
      <c r="AV135" s="11"/>
      <c r="AW135" s="7"/>
      <c r="AY135" s="7"/>
      <c r="BN135" s="7"/>
      <c r="CQ135" s="7"/>
      <c r="DF135" s="7"/>
      <c r="DG135" s="7"/>
      <c r="DL135" s="15"/>
      <c r="DQ135" s="16"/>
      <c r="DR135" s="7"/>
      <c r="DV135" s="16"/>
      <c r="DZ135" s="16"/>
      <c r="EA135" s="7"/>
      <c r="EF135" s="16"/>
      <c r="EK135" s="16"/>
      <c r="EL135" s="7"/>
      <c r="EP135" s="16"/>
      <c r="ET135" s="16"/>
      <c r="EU135" s="7"/>
      <c r="FM135" s="7"/>
      <c r="FN135" s="390"/>
      <c r="FO135" s="390"/>
      <c r="FR135" s="7"/>
      <c r="FY135" s="7"/>
      <c r="GG135" s="7"/>
      <c r="HX135" s="74"/>
      <c r="HY135" s="42"/>
      <c r="HZ135" s="42"/>
      <c r="IE135" s="42"/>
      <c r="IF135" s="42"/>
      <c r="IK135" s="42"/>
      <c r="IL135" s="42"/>
      <c r="IM135" s="42"/>
      <c r="IN135" s="7"/>
      <c r="IO135" s="42"/>
      <c r="IT135" s="42"/>
      <c r="IU135" s="42"/>
      <c r="KC135" s="7"/>
      <c r="KD135" s="42"/>
      <c r="KG135" s="391"/>
      <c r="KH135" s="42"/>
      <c r="KI135" s="42"/>
      <c r="KJ135" s="42"/>
      <c r="KK135" s="42"/>
      <c r="KL135" s="42"/>
      <c r="KM135" s="42"/>
      <c r="KN135" s="42"/>
      <c r="KO135" s="42"/>
      <c r="KP135" s="42"/>
      <c r="KQ135" s="42"/>
      <c r="KR135" s="42"/>
      <c r="KS135" s="42"/>
      <c r="KT135" s="42"/>
      <c r="KU135" s="42"/>
      <c r="KV135" s="42"/>
      <c r="KW135" s="42"/>
      <c r="KX135" s="42"/>
      <c r="KY135" s="42"/>
      <c r="KZ135" s="42"/>
      <c r="LA135" s="42"/>
      <c r="LB135" s="42"/>
      <c r="LC135" s="42"/>
      <c r="LD135" s="42"/>
      <c r="LE135" s="42"/>
      <c r="LF135" s="42"/>
      <c r="LG135" s="42"/>
      <c r="LH135" s="42"/>
      <c r="LI135" s="42"/>
      <c r="LJ135" s="42"/>
      <c r="LK135" s="42"/>
      <c r="LL135" s="42"/>
      <c r="LM135" s="42"/>
      <c r="LN135" s="42"/>
      <c r="LO135" s="42"/>
      <c r="LP135" s="42"/>
      <c r="LQ135" s="42"/>
      <c r="LR135" s="42"/>
      <c r="LS135" s="42"/>
      <c r="LT135" s="42"/>
      <c r="LU135" s="42"/>
      <c r="LV135" s="42"/>
      <c r="LW135" s="42"/>
      <c r="LX135" s="42"/>
      <c r="LY135" s="42"/>
      <c r="LZ135" s="42"/>
      <c r="MA135" s="42"/>
      <c r="MB135" s="42"/>
      <c r="MC135" s="42"/>
      <c r="MD135" s="42"/>
      <c r="ME135" s="42"/>
      <c r="MF135" s="42"/>
      <c r="MG135" s="42"/>
      <c r="MH135" s="42"/>
      <c r="MI135" s="42"/>
      <c r="MJ135" s="42"/>
      <c r="MK135" s="42"/>
      <c r="ML135" s="42"/>
      <c r="MM135" s="42"/>
      <c r="MN135" s="42"/>
      <c r="MO135" s="42"/>
      <c r="MP135" s="42"/>
      <c r="MQ135" s="42"/>
      <c r="MR135" s="42"/>
      <c r="MS135" s="42"/>
      <c r="MT135" s="42"/>
      <c r="MU135" s="42"/>
      <c r="MV135" s="42"/>
      <c r="MW135" s="42"/>
      <c r="MX135" s="42"/>
      <c r="MY135" s="42"/>
      <c r="MZ135" s="42"/>
      <c r="NA135" s="42"/>
      <c r="NB135" s="42"/>
      <c r="NC135" s="42"/>
      <c r="ND135" s="42"/>
      <c r="NE135" s="42"/>
      <c r="NF135" s="42"/>
      <c r="NG135" s="42"/>
      <c r="NH135" s="42"/>
      <c r="NI135" s="42"/>
      <c r="NJ135" s="42"/>
      <c r="NK135" s="42"/>
      <c r="NL135" s="42"/>
      <c r="NM135" s="42"/>
      <c r="NN135" s="42"/>
      <c r="NO135" s="42"/>
      <c r="NP135" s="42"/>
      <c r="NQ135" s="42"/>
      <c r="NR135" s="42"/>
      <c r="NS135" s="42"/>
    </row>
    <row r="136" spans="1:383" s="5" customFormat="1" x14ac:dyDescent="0.25">
      <c r="A136" s="1"/>
      <c r="B136" s="2"/>
      <c r="C136" s="2"/>
      <c r="D136" s="2"/>
      <c r="E136" s="3"/>
      <c r="F136" s="3"/>
      <c r="G136" s="4"/>
      <c r="H136" s="1"/>
      <c r="I136" s="7"/>
      <c r="J136" s="7"/>
      <c r="K136" s="7"/>
      <c r="L136" s="7"/>
      <c r="M136" s="7"/>
      <c r="N136" s="7"/>
      <c r="O136" s="3"/>
      <c r="P136" s="7"/>
      <c r="AL136" s="7"/>
      <c r="AM136" s="7"/>
      <c r="AN136" s="7"/>
      <c r="AO136" s="7"/>
      <c r="AT136" s="7"/>
      <c r="AV136" s="11"/>
      <c r="AW136" s="7"/>
      <c r="AY136" s="7"/>
      <c r="BN136" s="7"/>
      <c r="CQ136" s="7"/>
      <c r="DF136" s="7"/>
      <c r="DG136" s="7"/>
      <c r="DL136" s="15"/>
      <c r="DQ136" s="16"/>
      <c r="DR136" s="7"/>
      <c r="DV136" s="16"/>
      <c r="DZ136" s="16"/>
      <c r="EA136" s="7"/>
      <c r="EF136" s="16"/>
      <c r="EK136" s="16"/>
      <c r="EL136" s="7"/>
      <c r="EP136" s="16"/>
      <c r="ET136" s="16"/>
      <c r="EU136" s="7"/>
      <c r="FM136" s="7"/>
      <c r="FN136" s="390"/>
      <c r="FO136" s="390"/>
      <c r="FR136" s="7"/>
      <c r="FY136" s="7"/>
      <c r="GG136" s="7"/>
      <c r="HX136" s="74"/>
      <c r="HY136" s="42"/>
      <c r="HZ136" s="42"/>
      <c r="IE136" s="42"/>
      <c r="IF136" s="42"/>
      <c r="IK136" s="42"/>
      <c r="IL136" s="42"/>
      <c r="IM136" s="42"/>
      <c r="IN136" s="7"/>
      <c r="IO136" s="42"/>
      <c r="IT136" s="42"/>
      <c r="IU136" s="42"/>
      <c r="KC136" s="7"/>
      <c r="KD136" s="42"/>
      <c r="KG136" s="391"/>
      <c r="KH136" s="42"/>
      <c r="KI136" s="42"/>
      <c r="KJ136" s="42"/>
      <c r="KK136" s="42"/>
      <c r="KL136" s="42"/>
      <c r="KM136" s="42"/>
      <c r="KN136" s="42"/>
      <c r="KO136" s="42"/>
      <c r="KP136" s="42"/>
      <c r="KQ136" s="42"/>
      <c r="KR136" s="42"/>
      <c r="KS136" s="42"/>
      <c r="KT136" s="42"/>
      <c r="KU136" s="42"/>
      <c r="KV136" s="42"/>
      <c r="KW136" s="42"/>
      <c r="KX136" s="42"/>
      <c r="KY136" s="42"/>
      <c r="KZ136" s="42"/>
      <c r="LA136" s="42"/>
      <c r="LB136" s="42"/>
      <c r="LC136" s="42"/>
      <c r="LD136" s="42"/>
      <c r="LE136" s="42"/>
      <c r="LF136" s="42"/>
      <c r="LG136" s="42"/>
      <c r="LH136" s="42"/>
      <c r="LI136" s="42"/>
      <c r="LJ136" s="42"/>
      <c r="LK136" s="42"/>
      <c r="LL136" s="42"/>
      <c r="LM136" s="42"/>
      <c r="LN136" s="42"/>
      <c r="LO136" s="42"/>
      <c r="LP136" s="42"/>
      <c r="LQ136" s="42"/>
      <c r="LR136" s="42"/>
      <c r="LS136" s="42"/>
      <c r="LT136" s="42"/>
      <c r="LU136" s="42"/>
      <c r="LV136" s="42"/>
      <c r="LW136" s="42"/>
      <c r="LX136" s="42"/>
      <c r="LY136" s="42"/>
      <c r="LZ136" s="42"/>
      <c r="MA136" s="42"/>
      <c r="MB136" s="42"/>
      <c r="MC136" s="42"/>
      <c r="MD136" s="42"/>
      <c r="ME136" s="42"/>
      <c r="MF136" s="42"/>
      <c r="MG136" s="42"/>
      <c r="MH136" s="42"/>
      <c r="MI136" s="42"/>
      <c r="MJ136" s="42"/>
      <c r="MK136" s="42"/>
      <c r="ML136" s="42"/>
      <c r="MM136" s="42"/>
      <c r="MN136" s="42"/>
      <c r="MO136" s="42"/>
      <c r="MP136" s="42"/>
      <c r="MQ136" s="42"/>
      <c r="MR136" s="42"/>
      <c r="MS136" s="42"/>
      <c r="MT136" s="42"/>
      <c r="MU136" s="42"/>
      <c r="MV136" s="42"/>
      <c r="MW136" s="42"/>
      <c r="MX136" s="42"/>
      <c r="MY136" s="42"/>
      <c r="MZ136" s="42"/>
      <c r="NA136" s="42"/>
      <c r="NB136" s="42"/>
      <c r="NC136" s="42"/>
      <c r="ND136" s="42"/>
      <c r="NE136" s="42"/>
      <c r="NF136" s="42"/>
      <c r="NG136" s="42"/>
      <c r="NH136" s="42"/>
      <c r="NI136" s="42"/>
      <c r="NJ136" s="42"/>
      <c r="NK136" s="42"/>
      <c r="NL136" s="42"/>
      <c r="NM136" s="42"/>
      <c r="NN136" s="42"/>
      <c r="NO136" s="42"/>
      <c r="NP136" s="42"/>
      <c r="NQ136" s="42"/>
      <c r="NR136" s="42"/>
      <c r="NS136" s="42"/>
    </row>
    <row r="137" spans="1:383" s="5" customFormat="1" x14ac:dyDescent="0.25">
      <c r="A137" s="1"/>
      <c r="B137" s="2"/>
      <c r="C137" s="2"/>
      <c r="D137" s="2"/>
      <c r="E137" s="3"/>
      <c r="F137" s="3"/>
      <c r="G137" s="4"/>
      <c r="H137" s="1"/>
      <c r="I137" s="7"/>
      <c r="J137" s="7"/>
      <c r="K137" s="7"/>
      <c r="L137" s="7"/>
      <c r="M137" s="7"/>
      <c r="N137" s="7"/>
      <c r="O137" s="3"/>
      <c r="P137" s="7"/>
      <c r="AL137" s="7"/>
      <c r="AM137" s="7"/>
      <c r="AN137" s="7"/>
      <c r="AO137" s="7"/>
      <c r="AT137" s="7"/>
      <c r="AV137" s="11"/>
      <c r="AW137" s="7"/>
      <c r="AY137" s="7"/>
      <c r="BN137" s="7"/>
      <c r="CQ137" s="7"/>
      <c r="DF137" s="7"/>
      <c r="DG137" s="7"/>
      <c r="DL137" s="15"/>
      <c r="DQ137" s="16"/>
      <c r="DR137" s="7"/>
      <c r="DV137" s="16"/>
      <c r="DZ137" s="16"/>
      <c r="EA137" s="7"/>
      <c r="EF137" s="16"/>
      <c r="EK137" s="16"/>
      <c r="EL137" s="7"/>
      <c r="EP137" s="16"/>
      <c r="ET137" s="16"/>
      <c r="EU137" s="7"/>
      <c r="FM137" s="7"/>
      <c r="FN137" s="390"/>
      <c r="FO137" s="390"/>
      <c r="FR137" s="7"/>
      <c r="FY137" s="7"/>
      <c r="GG137" s="7"/>
      <c r="HX137" s="74"/>
      <c r="HY137" s="42"/>
      <c r="HZ137" s="42"/>
      <c r="IE137" s="42"/>
      <c r="IF137" s="42"/>
      <c r="IK137" s="42"/>
      <c r="IL137" s="42"/>
      <c r="IM137" s="42"/>
      <c r="IN137" s="7"/>
      <c r="IO137" s="42"/>
      <c r="IT137" s="42"/>
      <c r="IU137" s="42"/>
      <c r="KC137" s="7"/>
      <c r="KD137" s="42"/>
      <c r="KG137" s="391"/>
      <c r="KH137" s="42"/>
      <c r="KI137" s="42"/>
      <c r="KJ137" s="42"/>
      <c r="KK137" s="42"/>
      <c r="KL137" s="42"/>
      <c r="KM137" s="42"/>
      <c r="KN137" s="42"/>
      <c r="KO137" s="42"/>
      <c r="KP137" s="42"/>
      <c r="KQ137" s="42"/>
      <c r="KR137" s="42"/>
      <c r="KS137" s="42"/>
      <c r="KT137" s="42"/>
      <c r="KU137" s="42"/>
      <c r="KV137" s="42"/>
      <c r="KW137" s="42"/>
      <c r="KX137" s="42"/>
      <c r="KY137" s="42"/>
      <c r="KZ137" s="42"/>
      <c r="LA137" s="42"/>
      <c r="LB137" s="42"/>
      <c r="LC137" s="42"/>
      <c r="LD137" s="42"/>
      <c r="LE137" s="42"/>
      <c r="LF137" s="42"/>
      <c r="LG137" s="42"/>
      <c r="LH137" s="42"/>
      <c r="LI137" s="42"/>
      <c r="LJ137" s="42"/>
      <c r="LK137" s="42"/>
      <c r="LL137" s="42"/>
      <c r="LM137" s="42"/>
      <c r="LN137" s="42"/>
      <c r="LO137" s="42"/>
      <c r="LP137" s="42"/>
      <c r="LQ137" s="42"/>
      <c r="LR137" s="42"/>
      <c r="LS137" s="42"/>
      <c r="LT137" s="42"/>
      <c r="LU137" s="42"/>
      <c r="LV137" s="42"/>
      <c r="LW137" s="42"/>
      <c r="LX137" s="42"/>
      <c r="LY137" s="42"/>
      <c r="LZ137" s="42"/>
      <c r="MA137" s="42"/>
      <c r="MB137" s="42"/>
      <c r="MC137" s="42"/>
      <c r="MD137" s="42"/>
      <c r="ME137" s="42"/>
      <c r="MF137" s="42"/>
      <c r="MG137" s="42"/>
      <c r="MH137" s="42"/>
      <c r="MI137" s="42"/>
      <c r="MJ137" s="42"/>
      <c r="MK137" s="42"/>
      <c r="ML137" s="42"/>
      <c r="MM137" s="42"/>
      <c r="MN137" s="42"/>
      <c r="MO137" s="42"/>
      <c r="MP137" s="42"/>
      <c r="MQ137" s="42"/>
      <c r="MR137" s="42"/>
      <c r="MS137" s="42"/>
      <c r="MT137" s="42"/>
      <c r="MU137" s="42"/>
      <c r="MV137" s="42"/>
      <c r="MW137" s="42"/>
      <c r="MX137" s="42"/>
      <c r="MY137" s="42"/>
      <c r="MZ137" s="42"/>
      <c r="NA137" s="42"/>
      <c r="NB137" s="42"/>
      <c r="NC137" s="42"/>
      <c r="ND137" s="42"/>
      <c r="NE137" s="42"/>
      <c r="NF137" s="42"/>
      <c r="NG137" s="42"/>
      <c r="NH137" s="42"/>
      <c r="NI137" s="42"/>
      <c r="NJ137" s="42"/>
      <c r="NK137" s="42"/>
      <c r="NL137" s="42"/>
      <c r="NM137" s="42"/>
      <c r="NN137" s="42"/>
      <c r="NO137" s="42"/>
      <c r="NP137" s="42"/>
      <c r="NQ137" s="42"/>
      <c r="NR137" s="42"/>
      <c r="NS137" s="42"/>
    </row>
    <row r="138" spans="1:383" s="5" customFormat="1" x14ac:dyDescent="0.25">
      <c r="A138" s="1"/>
      <c r="B138" s="2"/>
      <c r="C138" s="2"/>
      <c r="D138" s="2"/>
      <c r="E138" s="3"/>
      <c r="F138" s="3"/>
      <c r="G138" s="4"/>
      <c r="H138" s="1"/>
      <c r="I138" s="7"/>
      <c r="J138" s="7"/>
      <c r="K138" s="7"/>
      <c r="L138" s="7"/>
      <c r="M138" s="7"/>
      <c r="N138" s="7"/>
      <c r="O138" s="3"/>
      <c r="P138" s="7"/>
      <c r="AL138" s="7"/>
      <c r="AM138" s="7"/>
      <c r="AN138" s="7"/>
      <c r="AO138" s="7"/>
      <c r="AT138" s="7"/>
      <c r="AV138" s="11"/>
      <c r="AW138" s="7"/>
      <c r="AY138" s="7"/>
      <c r="BN138" s="7"/>
      <c r="CQ138" s="7"/>
      <c r="DF138" s="7"/>
      <c r="DG138" s="7"/>
      <c r="DL138" s="15"/>
      <c r="DQ138" s="16"/>
      <c r="DR138" s="7"/>
      <c r="DV138" s="16"/>
      <c r="DZ138" s="16"/>
      <c r="EA138" s="7"/>
      <c r="EF138" s="16"/>
      <c r="EK138" s="16"/>
      <c r="EL138" s="7"/>
      <c r="EP138" s="16"/>
      <c r="ET138" s="16"/>
      <c r="EU138" s="7"/>
      <c r="FM138" s="7"/>
      <c r="FN138" s="390"/>
      <c r="FO138" s="390"/>
      <c r="FR138" s="7"/>
      <c r="FY138" s="7"/>
      <c r="GG138" s="7"/>
      <c r="HX138" s="74"/>
      <c r="HY138" s="42"/>
      <c r="HZ138" s="42"/>
      <c r="IE138" s="42"/>
      <c r="IF138" s="42"/>
      <c r="IK138" s="42"/>
      <c r="IL138" s="42"/>
      <c r="IM138" s="42"/>
      <c r="IN138" s="7"/>
      <c r="IO138" s="42"/>
      <c r="IT138" s="42"/>
      <c r="IU138" s="42"/>
      <c r="KC138" s="7"/>
      <c r="KD138" s="42"/>
      <c r="KG138" s="391"/>
      <c r="KH138" s="42"/>
      <c r="KI138" s="42"/>
      <c r="KJ138" s="42"/>
      <c r="KK138" s="42"/>
      <c r="KL138" s="42"/>
      <c r="KM138" s="42"/>
      <c r="KN138" s="42"/>
      <c r="KO138" s="42"/>
      <c r="KP138" s="42"/>
      <c r="KQ138" s="42"/>
      <c r="KR138" s="42"/>
      <c r="KS138" s="42"/>
      <c r="KT138" s="42"/>
      <c r="KU138" s="42"/>
      <c r="KV138" s="42"/>
      <c r="KW138" s="42"/>
      <c r="KX138" s="42"/>
      <c r="KY138" s="42"/>
      <c r="KZ138" s="42"/>
      <c r="LA138" s="42"/>
      <c r="LB138" s="42"/>
      <c r="LC138" s="42"/>
      <c r="LD138" s="42"/>
      <c r="LE138" s="42"/>
      <c r="LF138" s="42"/>
      <c r="LG138" s="42"/>
      <c r="LH138" s="42"/>
      <c r="LI138" s="42"/>
      <c r="LJ138" s="42"/>
      <c r="LK138" s="42"/>
      <c r="LL138" s="42"/>
      <c r="LM138" s="42"/>
      <c r="LN138" s="42"/>
      <c r="LO138" s="42"/>
      <c r="LP138" s="42"/>
      <c r="LQ138" s="42"/>
      <c r="LR138" s="42"/>
      <c r="LS138" s="42"/>
      <c r="LT138" s="42"/>
      <c r="LU138" s="42"/>
      <c r="LV138" s="42"/>
      <c r="LW138" s="42"/>
      <c r="LX138" s="42"/>
      <c r="LY138" s="42"/>
      <c r="LZ138" s="42"/>
      <c r="MA138" s="42"/>
      <c r="MB138" s="42"/>
      <c r="MC138" s="42"/>
      <c r="MD138" s="42"/>
      <c r="ME138" s="42"/>
      <c r="MF138" s="42"/>
      <c r="MG138" s="42"/>
      <c r="MH138" s="42"/>
      <c r="MI138" s="42"/>
      <c r="MJ138" s="42"/>
      <c r="MK138" s="42"/>
      <c r="ML138" s="42"/>
      <c r="MM138" s="42"/>
      <c r="MN138" s="42"/>
      <c r="MO138" s="42"/>
      <c r="MP138" s="42"/>
      <c r="MQ138" s="42"/>
      <c r="MR138" s="42"/>
      <c r="MS138" s="42"/>
      <c r="MT138" s="42"/>
      <c r="MU138" s="42"/>
      <c r="MV138" s="42"/>
      <c r="MW138" s="42"/>
      <c r="MX138" s="42"/>
      <c r="MY138" s="42"/>
      <c r="MZ138" s="42"/>
      <c r="NA138" s="42"/>
      <c r="NB138" s="42"/>
      <c r="NC138" s="42"/>
      <c r="ND138" s="42"/>
      <c r="NE138" s="42"/>
      <c r="NF138" s="42"/>
      <c r="NG138" s="42"/>
      <c r="NH138" s="42"/>
      <c r="NI138" s="42"/>
      <c r="NJ138" s="42"/>
      <c r="NK138" s="42"/>
      <c r="NL138" s="42"/>
      <c r="NM138" s="42"/>
      <c r="NN138" s="42"/>
      <c r="NO138" s="42"/>
      <c r="NP138" s="42"/>
      <c r="NQ138" s="42"/>
      <c r="NR138" s="42"/>
      <c r="NS138" s="42"/>
    </row>
    <row r="139" spans="1:383" s="5" customFormat="1" x14ac:dyDescent="0.25">
      <c r="A139" s="1"/>
      <c r="B139" s="2"/>
      <c r="C139" s="2"/>
      <c r="D139" s="2"/>
      <c r="E139" s="3"/>
      <c r="F139" s="3"/>
      <c r="G139" s="4"/>
      <c r="H139" s="1"/>
      <c r="I139" s="7"/>
      <c r="J139" s="7"/>
      <c r="K139" s="7"/>
      <c r="L139" s="7"/>
      <c r="M139" s="7"/>
      <c r="N139" s="7"/>
      <c r="O139" s="3"/>
      <c r="P139" s="7"/>
      <c r="AL139" s="7"/>
      <c r="AM139" s="7"/>
      <c r="AN139" s="7"/>
      <c r="AO139" s="7"/>
      <c r="AT139" s="7"/>
      <c r="AV139" s="11"/>
      <c r="AW139" s="7"/>
      <c r="AY139" s="7"/>
      <c r="BN139" s="7"/>
      <c r="CQ139" s="7"/>
      <c r="DF139" s="7"/>
      <c r="DG139" s="7"/>
      <c r="DL139" s="15"/>
      <c r="DQ139" s="16"/>
      <c r="DR139" s="7"/>
      <c r="DV139" s="16"/>
      <c r="DZ139" s="16"/>
      <c r="EA139" s="7"/>
      <c r="EF139" s="16"/>
      <c r="EK139" s="16"/>
      <c r="EL139" s="7"/>
      <c r="EP139" s="16"/>
      <c r="ET139" s="16"/>
      <c r="EU139" s="7"/>
      <c r="FM139" s="7"/>
      <c r="FN139" s="390"/>
      <c r="FO139" s="390"/>
      <c r="FR139" s="7"/>
      <c r="FY139" s="7"/>
      <c r="GG139" s="7"/>
      <c r="HX139" s="74"/>
      <c r="HY139" s="42"/>
      <c r="HZ139" s="42"/>
      <c r="IE139" s="42"/>
      <c r="IF139" s="42"/>
      <c r="IK139" s="42"/>
      <c r="IL139" s="42"/>
      <c r="IM139" s="42"/>
      <c r="IN139" s="7"/>
      <c r="IO139" s="42"/>
      <c r="IT139" s="42"/>
      <c r="IU139" s="42"/>
      <c r="KC139" s="7"/>
      <c r="KD139" s="42"/>
      <c r="KG139" s="391"/>
      <c r="KH139" s="42"/>
      <c r="KI139" s="42"/>
      <c r="KJ139" s="42"/>
      <c r="KK139" s="42"/>
      <c r="KL139" s="42"/>
      <c r="KM139" s="42"/>
      <c r="KN139" s="42"/>
      <c r="KO139" s="42"/>
      <c r="KP139" s="42"/>
      <c r="KQ139" s="42"/>
      <c r="KR139" s="42"/>
      <c r="KS139" s="42"/>
      <c r="KT139" s="42"/>
      <c r="KU139" s="42"/>
      <c r="KV139" s="42"/>
      <c r="KW139" s="42"/>
      <c r="KX139" s="42"/>
      <c r="KY139" s="42"/>
      <c r="KZ139" s="42"/>
      <c r="LA139" s="42"/>
      <c r="LB139" s="42"/>
      <c r="LC139" s="42"/>
      <c r="LD139" s="42"/>
      <c r="LE139" s="42"/>
      <c r="LF139" s="42"/>
      <c r="LG139" s="42"/>
      <c r="LH139" s="42"/>
      <c r="LI139" s="42"/>
      <c r="LJ139" s="42"/>
      <c r="LK139" s="42"/>
      <c r="LL139" s="42"/>
      <c r="LM139" s="42"/>
      <c r="LN139" s="42"/>
      <c r="LO139" s="42"/>
      <c r="LP139" s="42"/>
      <c r="LQ139" s="42"/>
      <c r="LR139" s="42"/>
      <c r="LS139" s="42"/>
      <c r="LT139" s="42"/>
      <c r="LU139" s="42"/>
      <c r="LV139" s="42"/>
      <c r="LW139" s="42"/>
      <c r="LX139" s="42"/>
      <c r="LY139" s="42"/>
      <c r="LZ139" s="42"/>
      <c r="MA139" s="42"/>
      <c r="MB139" s="42"/>
      <c r="MC139" s="42"/>
      <c r="MD139" s="42"/>
      <c r="ME139" s="42"/>
      <c r="MF139" s="42"/>
      <c r="MG139" s="42"/>
      <c r="MH139" s="42"/>
      <c r="MI139" s="42"/>
      <c r="MJ139" s="42"/>
      <c r="MK139" s="42"/>
      <c r="ML139" s="42"/>
      <c r="MM139" s="42"/>
      <c r="MN139" s="42"/>
      <c r="MO139" s="42"/>
      <c r="MP139" s="42"/>
      <c r="MQ139" s="42"/>
      <c r="MR139" s="42"/>
      <c r="MS139" s="42"/>
      <c r="MT139" s="42"/>
      <c r="MU139" s="42"/>
      <c r="MV139" s="42"/>
      <c r="MW139" s="42"/>
      <c r="MX139" s="42"/>
      <c r="MY139" s="42"/>
      <c r="MZ139" s="42"/>
      <c r="NA139" s="42"/>
      <c r="NB139" s="42"/>
      <c r="NC139" s="42"/>
      <c r="ND139" s="42"/>
      <c r="NE139" s="42"/>
      <c r="NF139" s="42"/>
      <c r="NG139" s="42"/>
      <c r="NH139" s="42"/>
      <c r="NI139" s="42"/>
      <c r="NJ139" s="42"/>
      <c r="NK139" s="42"/>
      <c r="NL139" s="42"/>
      <c r="NM139" s="42"/>
      <c r="NN139" s="42"/>
      <c r="NO139" s="42"/>
      <c r="NP139" s="42"/>
      <c r="NQ139" s="42"/>
      <c r="NR139" s="42"/>
      <c r="NS139" s="42"/>
    </row>
    <row r="140" spans="1:383" s="5" customFormat="1" x14ac:dyDescent="0.25">
      <c r="A140" s="1"/>
      <c r="B140" s="2"/>
      <c r="C140" s="2"/>
      <c r="D140" s="2"/>
      <c r="E140" s="3"/>
      <c r="F140" s="3"/>
      <c r="G140" s="4"/>
      <c r="H140" s="1"/>
      <c r="I140" s="7"/>
      <c r="J140" s="7"/>
      <c r="K140" s="7"/>
      <c r="L140" s="7"/>
      <c r="M140" s="7"/>
      <c r="N140" s="7"/>
      <c r="O140" s="3"/>
      <c r="P140" s="7"/>
      <c r="AL140" s="7"/>
      <c r="AM140" s="7"/>
      <c r="AN140" s="7"/>
      <c r="AO140" s="7"/>
      <c r="AT140" s="7"/>
      <c r="AV140" s="11"/>
      <c r="AW140" s="7"/>
      <c r="AY140" s="7"/>
      <c r="BN140" s="7"/>
      <c r="CQ140" s="7"/>
      <c r="DF140" s="7"/>
      <c r="DG140" s="7"/>
      <c r="DL140" s="15"/>
      <c r="DQ140" s="16"/>
      <c r="DR140" s="7"/>
      <c r="DV140" s="16"/>
      <c r="DZ140" s="16"/>
      <c r="EA140" s="7"/>
      <c r="EF140" s="16"/>
      <c r="EK140" s="16"/>
      <c r="EL140" s="7"/>
      <c r="EP140" s="16"/>
      <c r="ET140" s="16"/>
      <c r="EU140" s="7"/>
      <c r="FM140" s="7"/>
      <c r="FN140" s="390"/>
      <c r="FO140" s="390"/>
      <c r="FR140" s="7"/>
      <c r="FY140" s="7"/>
      <c r="GG140" s="7"/>
      <c r="HX140" s="74"/>
      <c r="HY140" s="42"/>
      <c r="HZ140" s="42"/>
      <c r="IE140" s="42"/>
      <c r="IF140" s="42"/>
      <c r="IK140" s="42"/>
      <c r="IL140" s="42"/>
      <c r="IM140" s="42"/>
      <c r="IN140" s="7"/>
      <c r="IO140" s="42"/>
      <c r="IT140" s="42"/>
      <c r="IU140" s="42"/>
      <c r="KC140" s="7"/>
      <c r="KD140" s="42"/>
      <c r="KG140" s="391"/>
      <c r="KH140" s="42"/>
      <c r="KI140" s="42"/>
      <c r="KJ140" s="42"/>
      <c r="KK140" s="42"/>
      <c r="KL140" s="42"/>
      <c r="KM140" s="42"/>
      <c r="KN140" s="42"/>
      <c r="KO140" s="42"/>
      <c r="KP140" s="42"/>
      <c r="KQ140" s="42"/>
      <c r="KR140" s="42"/>
      <c r="KS140" s="42"/>
      <c r="KT140" s="42"/>
      <c r="KU140" s="42"/>
      <c r="KV140" s="42"/>
      <c r="KW140" s="42"/>
      <c r="KX140" s="42"/>
      <c r="KY140" s="42"/>
      <c r="KZ140" s="42"/>
      <c r="LA140" s="42"/>
      <c r="LB140" s="42"/>
      <c r="LC140" s="42"/>
      <c r="LD140" s="42"/>
      <c r="LE140" s="42"/>
      <c r="LF140" s="42"/>
      <c r="LG140" s="42"/>
      <c r="LH140" s="42"/>
      <c r="LI140" s="42"/>
      <c r="LJ140" s="42"/>
      <c r="LK140" s="42"/>
      <c r="LL140" s="42"/>
      <c r="LM140" s="42"/>
      <c r="LN140" s="42"/>
      <c r="LO140" s="42"/>
      <c r="LP140" s="42"/>
      <c r="LQ140" s="42"/>
      <c r="LR140" s="42"/>
      <c r="LS140" s="42"/>
      <c r="LT140" s="42"/>
      <c r="LU140" s="42"/>
      <c r="LV140" s="42"/>
      <c r="LW140" s="42"/>
      <c r="LX140" s="42"/>
      <c r="LY140" s="42"/>
      <c r="LZ140" s="42"/>
      <c r="MA140" s="42"/>
      <c r="MB140" s="42"/>
      <c r="MC140" s="42"/>
      <c r="MD140" s="42"/>
      <c r="ME140" s="42"/>
      <c r="MF140" s="42"/>
      <c r="MG140" s="42"/>
      <c r="MH140" s="42"/>
      <c r="MI140" s="42"/>
      <c r="MJ140" s="42"/>
      <c r="MK140" s="42"/>
      <c r="ML140" s="42"/>
      <c r="MM140" s="42"/>
      <c r="MN140" s="42"/>
      <c r="MO140" s="42"/>
      <c r="MP140" s="42"/>
      <c r="MQ140" s="42"/>
      <c r="MR140" s="42"/>
      <c r="MS140" s="42"/>
      <c r="MT140" s="42"/>
      <c r="MU140" s="42"/>
      <c r="MV140" s="42"/>
      <c r="MW140" s="42"/>
      <c r="MX140" s="42"/>
      <c r="MY140" s="42"/>
      <c r="MZ140" s="42"/>
      <c r="NA140" s="42"/>
      <c r="NB140" s="42"/>
      <c r="NC140" s="42"/>
      <c r="ND140" s="42"/>
      <c r="NE140" s="42"/>
      <c r="NF140" s="42"/>
      <c r="NG140" s="42"/>
      <c r="NH140" s="42"/>
      <c r="NI140" s="42"/>
      <c r="NJ140" s="42"/>
      <c r="NK140" s="42"/>
      <c r="NL140" s="42"/>
      <c r="NM140" s="42"/>
      <c r="NN140" s="42"/>
      <c r="NO140" s="42"/>
      <c r="NP140" s="42"/>
      <c r="NQ140" s="42"/>
      <c r="NR140" s="42"/>
      <c r="NS140" s="42"/>
    </row>
    <row r="141" spans="1:383" s="5" customFormat="1" x14ac:dyDescent="0.25">
      <c r="A141" s="1"/>
      <c r="B141" s="2"/>
      <c r="C141" s="2"/>
      <c r="D141" s="2"/>
      <c r="E141" s="3"/>
      <c r="F141" s="3"/>
      <c r="G141" s="4"/>
      <c r="H141" s="1"/>
      <c r="I141" s="7"/>
      <c r="J141" s="7"/>
      <c r="K141" s="7"/>
      <c r="L141" s="7"/>
      <c r="M141" s="7"/>
      <c r="N141" s="7"/>
      <c r="O141" s="3"/>
      <c r="P141" s="7"/>
      <c r="AL141" s="7"/>
      <c r="AM141" s="7"/>
      <c r="AN141" s="7"/>
      <c r="AO141" s="7"/>
      <c r="AT141" s="7"/>
      <c r="AV141" s="11"/>
      <c r="AW141" s="7"/>
      <c r="AY141" s="7"/>
      <c r="BN141" s="7"/>
      <c r="CQ141" s="7"/>
      <c r="DF141" s="7"/>
      <c r="DG141" s="7"/>
      <c r="DL141" s="15"/>
      <c r="DQ141" s="16"/>
      <c r="DR141" s="7"/>
      <c r="DV141" s="16"/>
      <c r="DZ141" s="16"/>
      <c r="EA141" s="7"/>
      <c r="EF141" s="16"/>
      <c r="EK141" s="16"/>
      <c r="EL141" s="7"/>
      <c r="EP141" s="16"/>
      <c r="ET141" s="16"/>
      <c r="EU141" s="7"/>
      <c r="FM141" s="7"/>
      <c r="FN141" s="390"/>
      <c r="FO141" s="390"/>
      <c r="FR141" s="7"/>
      <c r="FY141" s="7"/>
      <c r="GG141" s="7"/>
      <c r="HX141" s="74"/>
      <c r="HY141" s="42"/>
      <c r="HZ141" s="42"/>
      <c r="IE141" s="42"/>
      <c r="IF141" s="42"/>
      <c r="IK141" s="42"/>
      <c r="IL141" s="42"/>
      <c r="IM141" s="42"/>
      <c r="IN141" s="7"/>
      <c r="IO141" s="42"/>
      <c r="IT141" s="42"/>
      <c r="IU141" s="42"/>
      <c r="KC141" s="7"/>
      <c r="KD141" s="42"/>
      <c r="KG141" s="391"/>
      <c r="KH141" s="42"/>
      <c r="KI141" s="42"/>
      <c r="KJ141" s="42"/>
      <c r="KK141" s="42"/>
      <c r="KL141" s="42"/>
      <c r="KM141" s="42"/>
      <c r="KN141" s="42"/>
      <c r="KO141" s="42"/>
      <c r="KP141" s="42"/>
      <c r="KQ141" s="42"/>
      <c r="KR141" s="42"/>
      <c r="KS141" s="42"/>
      <c r="KT141" s="42"/>
      <c r="KU141" s="42"/>
      <c r="KV141" s="42"/>
      <c r="KW141" s="42"/>
      <c r="KX141" s="42"/>
      <c r="KY141" s="42"/>
      <c r="KZ141" s="42"/>
      <c r="LA141" s="42"/>
      <c r="LB141" s="42"/>
      <c r="LC141" s="42"/>
      <c r="LD141" s="42"/>
      <c r="LE141" s="42"/>
      <c r="LF141" s="42"/>
      <c r="LG141" s="42"/>
      <c r="LH141" s="42"/>
      <c r="LI141" s="42"/>
      <c r="LJ141" s="42"/>
      <c r="LK141" s="42"/>
      <c r="LL141" s="42"/>
      <c r="LM141" s="42"/>
      <c r="LN141" s="42"/>
      <c r="LO141" s="42"/>
      <c r="LP141" s="42"/>
      <c r="LQ141" s="42"/>
      <c r="LR141" s="42"/>
      <c r="LS141" s="42"/>
      <c r="LT141" s="42"/>
      <c r="LU141" s="42"/>
      <c r="LV141" s="42"/>
      <c r="LW141" s="42"/>
      <c r="LX141" s="42"/>
      <c r="LY141" s="42"/>
      <c r="LZ141" s="42"/>
      <c r="MA141" s="42"/>
      <c r="MB141" s="42"/>
      <c r="MC141" s="42"/>
      <c r="MD141" s="42"/>
      <c r="ME141" s="42"/>
      <c r="MF141" s="42"/>
      <c r="MG141" s="42"/>
      <c r="MH141" s="42"/>
      <c r="MI141" s="42"/>
      <c r="MJ141" s="42"/>
      <c r="MK141" s="42"/>
      <c r="ML141" s="42"/>
      <c r="MM141" s="42"/>
      <c r="MN141" s="42"/>
      <c r="MO141" s="42"/>
      <c r="MP141" s="42"/>
      <c r="MQ141" s="42"/>
      <c r="MR141" s="42"/>
      <c r="MS141" s="42"/>
      <c r="MT141" s="42"/>
      <c r="MU141" s="42"/>
      <c r="MV141" s="42"/>
      <c r="MW141" s="42"/>
      <c r="MX141" s="42"/>
      <c r="MY141" s="42"/>
      <c r="MZ141" s="42"/>
      <c r="NA141" s="42"/>
      <c r="NB141" s="42"/>
      <c r="NC141" s="42"/>
      <c r="ND141" s="42"/>
      <c r="NE141" s="42"/>
      <c r="NF141" s="42"/>
      <c r="NG141" s="42"/>
      <c r="NH141" s="42"/>
      <c r="NI141" s="42"/>
      <c r="NJ141" s="42"/>
      <c r="NK141" s="42"/>
      <c r="NL141" s="42"/>
      <c r="NM141" s="42"/>
      <c r="NN141" s="42"/>
      <c r="NO141" s="42"/>
      <c r="NP141" s="42"/>
      <c r="NQ141" s="42"/>
      <c r="NR141" s="42"/>
      <c r="NS141" s="42"/>
    </row>
    <row r="142" spans="1:383" s="5" customFormat="1" x14ac:dyDescent="0.25">
      <c r="A142" s="1"/>
      <c r="B142" s="2"/>
      <c r="C142" s="2"/>
      <c r="D142" s="2"/>
      <c r="E142" s="3"/>
      <c r="F142" s="3"/>
      <c r="G142" s="4"/>
      <c r="H142" s="1"/>
      <c r="I142" s="7"/>
      <c r="J142" s="7"/>
      <c r="K142" s="7"/>
      <c r="L142" s="7"/>
      <c r="M142" s="7"/>
      <c r="N142" s="7"/>
      <c r="O142" s="3"/>
      <c r="P142" s="7"/>
      <c r="AL142" s="7"/>
      <c r="AM142" s="7"/>
      <c r="AN142" s="7"/>
      <c r="AO142" s="7"/>
      <c r="AT142" s="7"/>
      <c r="AV142" s="11"/>
      <c r="AW142" s="7"/>
      <c r="AY142" s="7"/>
      <c r="BN142" s="7"/>
      <c r="CQ142" s="7"/>
      <c r="DF142" s="7"/>
      <c r="DG142" s="7"/>
      <c r="DL142" s="15"/>
      <c r="DQ142" s="16"/>
      <c r="DR142" s="7"/>
      <c r="DV142" s="16"/>
      <c r="DZ142" s="16"/>
      <c r="EA142" s="7"/>
      <c r="EF142" s="16"/>
      <c r="EK142" s="16"/>
      <c r="EL142" s="7"/>
      <c r="EP142" s="16"/>
      <c r="ET142" s="16"/>
      <c r="EU142" s="7"/>
      <c r="FM142" s="7"/>
      <c r="FN142" s="390"/>
      <c r="FO142" s="390"/>
      <c r="FR142" s="7"/>
      <c r="FY142" s="7"/>
      <c r="GG142" s="7"/>
      <c r="HX142" s="74"/>
      <c r="HY142" s="42"/>
      <c r="HZ142" s="42"/>
      <c r="IE142" s="42"/>
      <c r="IF142" s="42"/>
      <c r="IK142" s="42"/>
      <c r="IL142" s="42"/>
      <c r="IM142" s="42"/>
      <c r="IN142" s="7"/>
      <c r="IO142" s="42"/>
      <c r="IT142" s="42"/>
      <c r="IU142" s="42"/>
      <c r="KC142" s="7"/>
      <c r="KD142" s="42"/>
      <c r="KG142" s="391"/>
      <c r="KH142" s="42"/>
      <c r="KI142" s="42"/>
      <c r="KJ142" s="42"/>
      <c r="KK142" s="42"/>
      <c r="KL142" s="42"/>
      <c r="KM142" s="42"/>
      <c r="KN142" s="42"/>
      <c r="KO142" s="42"/>
      <c r="KP142" s="42"/>
      <c r="KQ142" s="42"/>
      <c r="KR142" s="42"/>
      <c r="KS142" s="42"/>
      <c r="KT142" s="42"/>
      <c r="KU142" s="42"/>
      <c r="KV142" s="42"/>
      <c r="KW142" s="42"/>
      <c r="KX142" s="42"/>
      <c r="KY142" s="42"/>
      <c r="KZ142" s="42"/>
      <c r="LA142" s="42"/>
      <c r="LB142" s="42"/>
      <c r="LC142" s="42"/>
      <c r="LD142" s="42"/>
      <c r="LE142" s="42"/>
      <c r="LF142" s="42"/>
      <c r="LG142" s="42"/>
      <c r="LH142" s="42"/>
      <c r="LI142" s="42"/>
      <c r="LJ142" s="42"/>
      <c r="LK142" s="42"/>
      <c r="LL142" s="42"/>
      <c r="LM142" s="42"/>
      <c r="LN142" s="42"/>
      <c r="LO142" s="42"/>
      <c r="LP142" s="42"/>
      <c r="LQ142" s="42"/>
      <c r="LR142" s="42"/>
      <c r="LS142" s="42"/>
      <c r="LT142" s="42"/>
      <c r="LU142" s="42"/>
      <c r="LV142" s="42"/>
      <c r="LW142" s="42"/>
      <c r="LX142" s="42"/>
      <c r="LY142" s="42"/>
      <c r="LZ142" s="42"/>
      <c r="MA142" s="42"/>
      <c r="MB142" s="42"/>
      <c r="MC142" s="42"/>
      <c r="MD142" s="42"/>
      <c r="ME142" s="42"/>
      <c r="MF142" s="42"/>
      <c r="MG142" s="42"/>
      <c r="MH142" s="42"/>
      <c r="MI142" s="42"/>
      <c r="MJ142" s="42"/>
      <c r="MK142" s="42"/>
      <c r="ML142" s="42"/>
      <c r="MM142" s="42"/>
      <c r="MN142" s="42"/>
      <c r="MO142" s="42"/>
      <c r="MP142" s="42"/>
      <c r="MQ142" s="42"/>
      <c r="MR142" s="42"/>
      <c r="MS142" s="42"/>
      <c r="MT142" s="42"/>
      <c r="MU142" s="42"/>
      <c r="MV142" s="42"/>
      <c r="MW142" s="42"/>
      <c r="MX142" s="42"/>
      <c r="MY142" s="42"/>
      <c r="MZ142" s="42"/>
      <c r="NA142" s="42"/>
      <c r="NB142" s="42"/>
      <c r="NC142" s="42"/>
      <c r="ND142" s="42"/>
      <c r="NE142" s="42"/>
      <c r="NF142" s="42"/>
      <c r="NG142" s="42"/>
      <c r="NH142" s="42"/>
      <c r="NI142" s="42"/>
      <c r="NJ142" s="42"/>
      <c r="NK142" s="42"/>
      <c r="NL142" s="42"/>
      <c r="NM142" s="42"/>
      <c r="NN142" s="42"/>
      <c r="NO142" s="42"/>
      <c r="NP142" s="42"/>
      <c r="NQ142" s="42"/>
      <c r="NR142" s="42"/>
      <c r="NS142" s="42"/>
    </row>
    <row r="143" spans="1:383" s="5" customFormat="1" x14ac:dyDescent="0.25">
      <c r="A143" s="1"/>
      <c r="B143" s="2"/>
      <c r="C143" s="2"/>
      <c r="D143" s="2"/>
      <c r="E143" s="3"/>
      <c r="F143" s="3"/>
      <c r="G143" s="4"/>
      <c r="H143" s="1"/>
      <c r="I143" s="7"/>
      <c r="J143" s="7"/>
      <c r="K143" s="7"/>
      <c r="L143" s="7"/>
      <c r="M143" s="7"/>
      <c r="N143" s="7"/>
      <c r="O143" s="3"/>
      <c r="P143" s="7"/>
      <c r="AL143" s="7"/>
      <c r="AM143" s="7"/>
      <c r="AN143" s="7"/>
      <c r="AO143" s="7"/>
      <c r="AT143" s="7"/>
      <c r="AV143" s="11"/>
      <c r="AW143" s="7"/>
      <c r="AY143" s="7"/>
      <c r="BN143" s="7"/>
      <c r="CQ143" s="7"/>
      <c r="DF143" s="7"/>
      <c r="DG143" s="7"/>
      <c r="DL143" s="15"/>
      <c r="DQ143" s="16"/>
      <c r="DR143" s="7"/>
      <c r="DV143" s="16"/>
      <c r="DZ143" s="16"/>
      <c r="EA143" s="7"/>
      <c r="EF143" s="16"/>
      <c r="EK143" s="16"/>
      <c r="EL143" s="7"/>
      <c r="EP143" s="16"/>
      <c r="ET143" s="16"/>
      <c r="EU143" s="7"/>
      <c r="FM143" s="7"/>
      <c r="FN143" s="390"/>
      <c r="FO143" s="390"/>
      <c r="FR143" s="7"/>
      <c r="FY143" s="7"/>
      <c r="GG143" s="7"/>
      <c r="HX143" s="74"/>
      <c r="HY143" s="42"/>
      <c r="HZ143" s="42"/>
      <c r="IE143" s="42"/>
      <c r="IF143" s="42"/>
      <c r="IK143" s="42"/>
      <c r="IL143" s="42"/>
      <c r="IM143" s="42"/>
      <c r="IN143" s="7"/>
      <c r="IO143" s="42"/>
      <c r="IT143" s="42"/>
      <c r="IU143" s="42"/>
      <c r="KC143" s="7"/>
      <c r="KD143" s="42"/>
      <c r="KG143" s="391"/>
      <c r="KH143" s="42"/>
      <c r="KI143" s="42"/>
      <c r="KJ143" s="42"/>
      <c r="KK143" s="42"/>
      <c r="KL143" s="42"/>
      <c r="KM143" s="42"/>
      <c r="KN143" s="42"/>
      <c r="KO143" s="42"/>
      <c r="KP143" s="42"/>
      <c r="KQ143" s="42"/>
      <c r="KR143" s="42"/>
      <c r="KS143" s="42"/>
      <c r="KT143" s="42"/>
      <c r="KU143" s="42"/>
      <c r="KV143" s="42"/>
      <c r="KW143" s="42"/>
      <c r="KX143" s="42"/>
      <c r="KY143" s="42"/>
      <c r="KZ143" s="42"/>
      <c r="LA143" s="42"/>
      <c r="LB143" s="42"/>
      <c r="LC143" s="42"/>
      <c r="LD143" s="42"/>
      <c r="LE143" s="42"/>
      <c r="LF143" s="42"/>
      <c r="LG143" s="42"/>
      <c r="LH143" s="42"/>
      <c r="LI143" s="42"/>
      <c r="LJ143" s="42"/>
      <c r="LK143" s="42"/>
      <c r="LL143" s="42"/>
      <c r="LM143" s="42"/>
      <c r="LN143" s="42"/>
      <c r="LO143" s="42"/>
      <c r="LP143" s="42"/>
      <c r="LQ143" s="42"/>
      <c r="LR143" s="42"/>
      <c r="LS143" s="42"/>
      <c r="LT143" s="42"/>
      <c r="LU143" s="42"/>
      <c r="LV143" s="42"/>
      <c r="LW143" s="42"/>
      <c r="LX143" s="42"/>
      <c r="LY143" s="42"/>
      <c r="LZ143" s="42"/>
      <c r="MA143" s="42"/>
      <c r="MB143" s="42"/>
      <c r="MC143" s="42"/>
      <c r="MD143" s="42"/>
      <c r="ME143" s="42"/>
      <c r="MF143" s="42"/>
      <c r="MG143" s="42"/>
      <c r="MH143" s="42"/>
      <c r="MI143" s="42"/>
      <c r="MJ143" s="42"/>
      <c r="MK143" s="42"/>
      <c r="ML143" s="42"/>
      <c r="MM143" s="42"/>
      <c r="MN143" s="42"/>
      <c r="MO143" s="42"/>
      <c r="MP143" s="42"/>
      <c r="MQ143" s="42"/>
      <c r="MR143" s="42"/>
      <c r="MS143" s="42"/>
      <c r="MT143" s="42"/>
      <c r="MU143" s="42"/>
      <c r="MV143" s="42"/>
      <c r="MW143" s="42"/>
      <c r="MX143" s="42"/>
      <c r="MY143" s="42"/>
      <c r="MZ143" s="42"/>
      <c r="NA143" s="42"/>
      <c r="NB143" s="42"/>
      <c r="NC143" s="42"/>
      <c r="ND143" s="42"/>
      <c r="NE143" s="42"/>
      <c r="NF143" s="42"/>
      <c r="NG143" s="42"/>
      <c r="NH143" s="42"/>
      <c r="NI143" s="42"/>
      <c r="NJ143" s="42"/>
      <c r="NK143" s="42"/>
      <c r="NL143" s="42"/>
      <c r="NM143" s="42"/>
      <c r="NN143" s="42"/>
      <c r="NO143" s="42"/>
      <c r="NP143" s="42"/>
      <c r="NQ143" s="42"/>
      <c r="NR143" s="42"/>
      <c r="NS143" s="42"/>
    </row>
    <row r="144" spans="1:383" s="5" customFormat="1" x14ac:dyDescent="0.25">
      <c r="A144" s="1"/>
      <c r="B144" s="2"/>
      <c r="C144" s="2"/>
      <c r="D144" s="2"/>
      <c r="E144" s="3"/>
      <c r="F144" s="3"/>
      <c r="G144" s="4"/>
      <c r="H144" s="1"/>
      <c r="I144" s="7"/>
      <c r="J144" s="7"/>
      <c r="K144" s="7"/>
      <c r="L144" s="7"/>
      <c r="M144" s="7"/>
      <c r="N144" s="7"/>
      <c r="O144" s="3"/>
      <c r="P144" s="7"/>
      <c r="AL144" s="7"/>
      <c r="AM144" s="7"/>
      <c r="AN144" s="7"/>
      <c r="AO144" s="7"/>
      <c r="AT144" s="7"/>
      <c r="AV144" s="11"/>
      <c r="AW144" s="7"/>
      <c r="AY144" s="7"/>
      <c r="BN144" s="7"/>
      <c r="CQ144" s="7"/>
      <c r="DF144" s="7"/>
      <c r="DG144" s="7"/>
      <c r="DL144" s="15"/>
      <c r="DQ144" s="16"/>
      <c r="DR144" s="7"/>
      <c r="DV144" s="16"/>
      <c r="DZ144" s="16"/>
      <c r="EA144" s="7"/>
      <c r="EF144" s="16"/>
      <c r="EK144" s="16"/>
      <c r="EL144" s="7"/>
      <c r="EP144" s="16"/>
      <c r="ET144" s="16"/>
      <c r="EU144" s="7"/>
      <c r="FM144" s="7"/>
      <c r="FN144" s="390"/>
      <c r="FO144" s="390"/>
      <c r="FR144" s="7"/>
      <c r="FY144" s="7"/>
      <c r="GG144" s="7"/>
      <c r="HX144" s="74"/>
      <c r="HY144" s="42"/>
      <c r="HZ144" s="42"/>
      <c r="IE144" s="42"/>
      <c r="IF144" s="42"/>
      <c r="IK144" s="42"/>
      <c r="IL144" s="42"/>
      <c r="IM144" s="42"/>
      <c r="IN144" s="7"/>
      <c r="IO144" s="42"/>
      <c r="IT144" s="42"/>
      <c r="IU144" s="42"/>
      <c r="KC144" s="7"/>
      <c r="KD144" s="42"/>
      <c r="KG144" s="391"/>
      <c r="KH144" s="42"/>
      <c r="KI144" s="42"/>
      <c r="KJ144" s="42"/>
      <c r="KK144" s="42"/>
      <c r="KL144" s="42"/>
      <c r="KM144" s="42"/>
      <c r="KN144" s="42"/>
      <c r="KO144" s="42"/>
      <c r="KP144" s="42"/>
      <c r="KQ144" s="42"/>
      <c r="KR144" s="42"/>
      <c r="KS144" s="42"/>
      <c r="KT144" s="42"/>
      <c r="KU144" s="42"/>
      <c r="KV144" s="42"/>
      <c r="KW144" s="42"/>
      <c r="KX144" s="42"/>
      <c r="KY144" s="42"/>
      <c r="KZ144" s="42"/>
      <c r="LA144" s="42"/>
      <c r="LB144" s="42"/>
      <c r="LC144" s="42"/>
      <c r="LD144" s="42"/>
      <c r="LE144" s="42"/>
      <c r="LF144" s="42"/>
      <c r="LG144" s="42"/>
      <c r="LH144" s="42"/>
      <c r="LI144" s="42"/>
      <c r="LJ144" s="42"/>
      <c r="LK144" s="42"/>
      <c r="LL144" s="42"/>
      <c r="LM144" s="42"/>
      <c r="LN144" s="42"/>
      <c r="LO144" s="42"/>
      <c r="LP144" s="42"/>
      <c r="LQ144" s="42"/>
      <c r="LR144" s="42"/>
      <c r="LS144" s="42"/>
      <c r="LT144" s="42"/>
      <c r="LU144" s="42"/>
      <c r="LV144" s="42"/>
      <c r="LW144" s="42"/>
      <c r="LX144" s="42"/>
      <c r="LY144" s="42"/>
      <c r="LZ144" s="42"/>
      <c r="MA144" s="42"/>
      <c r="MB144" s="42"/>
      <c r="MC144" s="42"/>
      <c r="MD144" s="42"/>
      <c r="ME144" s="42"/>
      <c r="MF144" s="42"/>
      <c r="MG144" s="42"/>
      <c r="MH144" s="42"/>
      <c r="MI144" s="42"/>
      <c r="MJ144" s="42"/>
      <c r="MK144" s="42"/>
      <c r="ML144" s="42"/>
      <c r="MM144" s="42"/>
      <c r="MN144" s="42"/>
      <c r="MO144" s="42"/>
      <c r="MP144" s="42"/>
      <c r="MQ144" s="42"/>
      <c r="MR144" s="42"/>
      <c r="MS144" s="42"/>
      <c r="MT144" s="42"/>
      <c r="MU144" s="42"/>
      <c r="MV144" s="42"/>
      <c r="MW144" s="42"/>
      <c r="MX144" s="42"/>
      <c r="MY144" s="42"/>
      <c r="MZ144" s="42"/>
      <c r="NA144" s="42"/>
      <c r="NB144" s="42"/>
      <c r="NC144" s="42"/>
      <c r="ND144" s="42"/>
      <c r="NE144" s="42"/>
      <c r="NF144" s="42"/>
      <c r="NG144" s="42"/>
      <c r="NH144" s="42"/>
      <c r="NI144" s="42"/>
      <c r="NJ144" s="42"/>
      <c r="NK144" s="42"/>
      <c r="NL144" s="42"/>
      <c r="NM144" s="42"/>
      <c r="NN144" s="42"/>
      <c r="NO144" s="42"/>
      <c r="NP144" s="42"/>
      <c r="NQ144" s="42"/>
      <c r="NR144" s="42"/>
      <c r="NS144" s="42"/>
    </row>
    <row r="145" spans="1:383" s="5" customFormat="1" x14ac:dyDescent="0.25">
      <c r="A145" s="1"/>
      <c r="B145" s="2"/>
      <c r="C145" s="2"/>
      <c r="D145" s="2"/>
      <c r="E145" s="3"/>
      <c r="F145" s="3"/>
      <c r="G145" s="4"/>
      <c r="H145" s="1"/>
      <c r="I145" s="7"/>
      <c r="J145" s="7"/>
      <c r="K145" s="7"/>
      <c r="L145" s="7"/>
      <c r="M145" s="7"/>
      <c r="N145" s="7"/>
      <c r="O145" s="3"/>
      <c r="P145" s="7"/>
      <c r="AL145" s="7"/>
      <c r="AM145" s="7"/>
      <c r="AN145" s="7"/>
      <c r="AO145" s="7"/>
      <c r="AT145" s="7"/>
      <c r="AV145" s="11"/>
      <c r="AW145" s="7"/>
      <c r="AY145" s="7"/>
      <c r="BN145" s="7"/>
      <c r="CQ145" s="7"/>
      <c r="DF145" s="7"/>
      <c r="DG145" s="7"/>
      <c r="DL145" s="15"/>
      <c r="DQ145" s="16"/>
      <c r="DR145" s="7"/>
      <c r="DV145" s="16"/>
      <c r="DZ145" s="16"/>
      <c r="EA145" s="7"/>
      <c r="EF145" s="16"/>
      <c r="EK145" s="16"/>
      <c r="EL145" s="7"/>
      <c r="EP145" s="16"/>
      <c r="ET145" s="16"/>
      <c r="EU145" s="7"/>
      <c r="FM145" s="7"/>
      <c r="FN145" s="390"/>
      <c r="FO145" s="390"/>
      <c r="FR145" s="7"/>
      <c r="FY145" s="7"/>
      <c r="GG145" s="7"/>
      <c r="HX145" s="74"/>
      <c r="HY145" s="42"/>
      <c r="HZ145" s="42"/>
      <c r="IE145" s="42"/>
      <c r="IF145" s="42"/>
      <c r="IK145" s="42"/>
      <c r="IL145" s="42"/>
      <c r="IM145" s="42"/>
      <c r="IN145" s="7"/>
      <c r="IO145" s="42"/>
      <c r="IT145" s="42"/>
      <c r="IU145" s="42"/>
      <c r="KC145" s="7"/>
      <c r="KD145" s="42"/>
      <c r="KG145" s="391"/>
      <c r="KH145" s="42"/>
      <c r="KI145" s="42"/>
      <c r="KJ145" s="42"/>
      <c r="KK145" s="42"/>
      <c r="KL145" s="42"/>
      <c r="KM145" s="42"/>
      <c r="KN145" s="42"/>
      <c r="KO145" s="42"/>
      <c r="KP145" s="42"/>
      <c r="KQ145" s="42"/>
      <c r="KR145" s="42"/>
      <c r="KS145" s="42"/>
      <c r="KT145" s="42"/>
      <c r="KU145" s="42"/>
      <c r="KV145" s="42"/>
      <c r="KW145" s="42"/>
      <c r="KX145" s="42"/>
      <c r="KY145" s="42"/>
      <c r="KZ145" s="42"/>
      <c r="LA145" s="42"/>
      <c r="LB145" s="42"/>
      <c r="LC145" s="42"/>
      <c r="LD145" s="42"/>
      <c r="LE145" s="42"/>
      <c r="LF145" s="42"/>
      <c r="LG145" s="42"/>
      <c r="LH145" s="42"/>
      <c r="LI145" s="42"/>
      <c r="LJ145" s="42"/>
      <c r="LK145" s="42"/>
      <c r="LL145" s="42"/>
      <c r="LM145" s="42"/>
      <c r="LN145" s="42"/>
      <c r="LO145" s="42"/>
      <c r="LP145" s="42"/>
      <c r="LQ145" s="42"/>
      <c r="LR145" s="42"/>
      <c r="LS145" s="42"/>
      <c r="LT145" s="42"/>
      <c r="LU145" s="42"/>
      <c r="LV145" s="42"/>
      <c r="LW145" s="42"/>
      <c r="LX145" s="42"/>
      <c r="LY145" s="42"/>
      <c r="LZ145" s="42"/>
      <c r="MA145" s="42"/>
      <c r="MB145" s="42"/>
      <c r="MC145" s="42"/>
      <c r="MD145" s="42"/>
      <c r="ME145" s="42"/>
      <c r="MF145" s="42"/>
      <c r="MG145" s="42"/>
      <c r="MH145" s="42"/>
      <c r="MI145" s="42"/>
      <c r="MJ145" s="42"/>
      <c r="MK145" s="42"/>
      <c r="ML145" s="42"/>
      <c r="MM145" s="42"/>
      <c r="MN145" s="42"/>
      <c r="MO145" s="42"/>
      <c r="MP145" s="42"/>
      <c r="MQ145" s="42"/>
      <c r="MR145" s="42"/>
      <c r="MS145" s="42"/>
      <c r="MT145" s="42"/>
      <c r="MU145" s="42"/>
      <c r="MV145" s="42"/>
      <c r="MW145" s="42"/>
      <c r="MX145" s="42"/>
      <c r="MY145" s="42"/>
      <c r="MZ145" s="42"/>
      <c r="NA145" s="42"/>
      <c r="NB145" s="42"/>
      <c r="NC145" s="42"/>
      <c r="ND145" s="42"/>
      <c r="NE145" s="42"/>
      <c r="NF145" s="42"/>
      <c r="NG145" s="42"/>
      <c r="NH145" s="42"/>
      <c r="NI145" s="42"/>
      <c r="NJ145" s="42"/>
      <c r="NK145" s="42"/>
      <c r="NL145" s="42"/>
      <c r="NM145" s="42"/>
      <c r="NN145" s="42"/>
      <c r="NO145" s="42"/>
      <c r="NP145" s="42"/>
      <c r="NQ145" s="42"/>
      <c r="NR145" s="42"/>
      <c r="NS145" s="42"/>
    </row>
    <row r="146" spans="1:383" s="5" customFormat="1" x14ac:dyDescent="0.25">
      <c r="A146" s="1"/>
      <c r="B146" s="2"/>
      <c r="C146" s="2"/>
      <c r="D146" s="2"/>
      <c r="E146" s="3"/>
      <c r="F146" s="3"/>
      <c r="G146" s="4"/>
      <c r="H146" s="1"/>
      <c r="I146" s="7"/>
      <c r="J146" s="7"/>
      <c r="K146" s="7"/>
      <c r="L146" s="7"/>
      <c r="M146" s="7"/>
      <c r="N146" s="7"/>
      <c r="O146" s="3"/>
      <c r="P146" s="7"/>
      <c r="AL146" s="7"/>
      <c r="AM146" s="7"/>
      <c r="AN146" s="7"/>
      <c r="AO146" s="7"/>
      <c r="AT146" s="7"/>
      <c r="AV146" s="11"/>
      <c r="AW146" s="7"/>
      <c r="AY146" s="7"/>
      <c r="BN146" s="7"/>
      <c r="CQ146" s="7"/>
      <c r="DF146" s="7"/>
      <c r="DG146" s="7"/>
      <c r="DL146" s="15"/>
      <c r="DQ146" s="16"/>
      <c r="DR146" s="7"/>
      <c r="DV146" s="16"/>
      <c r="DZ146" s="16"/>
      <c r="EA146" s="7"/>
      <c r="EF146" s="16"/>
      <c r="EK146" s="16"/>
      <c r="EL146" s="7"/>
      <c r="EP146" s="16"/>
      <c r="ET146" s="16"/>
      <c r="EU146" s="7"/>
      <c r="FM146" s="7"/>
      <c r="FN146" s="390"/>
      <c r="FO146" s="390"/>
      <c r="FR146" s="7"/>
      <c r="FY146" s="7"/>
      <c r="GG146" s="7"/>
      <c r="HX146" s="74"/>
      <c r="HY146" s="42"/>
      <c r="HZ146" s="42"/>
      <c r="IE146" s="42"/>
      <c r="IF146" s="42"/>
      <c r="IK146" s="42"/>
      <c r="IL146" s="42"/>
      <c r="IM146" s="42"/>
      <c r="IN146" s="7"/>
      <c r="IO146" s="42"/>
      <c r="IT146" s="42"/>
      <c r="IU146" s="42"/>
      <c r="KC146" s="7"/>
      <c r="KD146" s="42"/>
      <c r="KG146" s="391"/>
      <c r="KH146" s="42"/>
      <c r="KI146" s="42"/>
      <c r="KJ146" s="42"/>
      <c r="KK146" s="42"/>
      <c r="KL146" s="42"/>
      <c r="KM146" s="42"/>
      <c r="KN146" s="42"/>
      <c r="KO146" s="42"/>
      <c r="KP146" s="42"/>
      <c r="KQ146" s="42"/>
      <c r="KR146" s="42"/>
      <c r="KS146" s="42"/>
      <c r="KT146" s="42"/>
      <c r="KU146" s="42"/>
      <c r="KV146" s="42"/>
      <c r="KW146" s="42"/>
      <c r="KX146" s="42"/>
      <c r="KY146" s="42"/>
      <c r="KZ146" s="42"/>
      <c r="LA146" s="42"/>
      <c r="LB146" s="42"/>
      <c r="LC146" s="42"/>
      <c r="LD146" s="42"/>
      <c r="LE146" s="42"/>
      <c r="LF146" s="42"/>
      <c r="LG146" s="42"/>
      <c r="LH146" s="42"/>
      <c r="LI146" s="42"/>
      <c r="LJ146" s="42"/>
      <c r="LK146" s="42"/>
      <c r="LL146" s="42"/>
      <c r="LM146" s="42"/>
      <c r="LN146" s="42"/>
      <c r="LO146" s="42"/>
      <c r="LP146" s="42"/>
      <c r="LQ146" s="42"/>
      <c r="LR146" s="42"/>
      <c r="LS146" s="42"/>
      <c r="LT146" s="42"/>
      <c r="LU146" s="42"/>
      <c r="LV146" s="42"/>
      <c r="LW146" s="42"/>
      <c r="LX146" s="42"/>
      <c r="LY146" s="42"/>
      <c r="LZ146" s="42"/>
      <c r="MA146" s="42"/>
      <c r="MB146" s="42"/>
      <c r="MC146" s="42"/>
      <c r="MD146" s="42"/>
      <c r="ME146" s="42"/>
      <c r="MF146" s="42"/>
      <c r="MG146" s="42"/>
      <c r="MH146" s="42"/>
      <c r="MI146" s="42"/>
      <c r="MJ146" s="42"/>
      <c r="MK146" s="42"/>
      <c r="ML146" s="42"/>
      <c r="MM146" s="42"/>
      <c r="MN146" s="42"/>
      <c r="MO146" s="42"/>
      <c r="MP146" s="42"/>
      <c r="MQ146" s="42"/>
      <c r="MR146" s="42"/>
      <c r="MS146" s="42"/>
      <c r="MT146" s="42"/>
      <c r="MU146" s="42"/>
      <c r="MV146" s="42"/>
      <c r="MW146" s="42"/>
      <c r="MX146" s="42"/>
      <c r="MY146" s="42"/>
      <c r="MZ146" s="42"/>
      <c r="NA146" s="42"/>
      <c r="NB146" s="42"/>
      <c r="NC146" s="42"/>
      <c r="ND146" s="42"/>
      <c r="NE146" s="42"/>
      <c r="NF146" s="42"/>
      <c r="NG146" s="42"/>
      <c r="NH146" s="42"/>
      <c r="NI146" s="42"/>
      <c r="NJ146" s="42"/>
      <c r="NK146" s="42"/>
      <c r="NL146" s="42"/>
      <c r="NM146" s="42"/>
      <c r="NN146" s="42"/>
      <c r="NO146" s="42"/>
      <c r="NP146" s="42"/>
      <c r="NQ146" s="42"/>
      <c r="NR146" s="42"/>
      <c r="NS146" s="42"/>
    </row>
    <row r="147" spans="1:383" s="5" customFormat="1" x14ac:dyDescent="0.25">
      <c r="A147" s="1"/>
      <c r="B147" s="2"/>
      <c r="C147" s="2"/>
      <c r="D147" s="2"/>
      <c r="E147" s="3"/>
      <c r="F147" s="3"/>
      <c r="G147" s="4"/>
      <c r="H147" s="1"/>
      <c r="I147" s="7"/>
      <c r="J147" s="7"/>
      <c r="K147" s="7"/>
      <c r="L147" s="7"/>
      <c r="M147" s="7"/>
      <c r="N147" s="7"/>
      <c r="O147" s="3"/>
      <c r="P147" s="7"/>
      <c r="AL147" s="7"/>
      <c r="AM147" s="7"/>
      <c r="AN147" s="7"/>
      <c r="AO147" s="7"/>
      <c r="AT147" s="7"/>
      <c r="AV147" s="11"/>
      <c r="AW147" s="7"/>
      <c r="AY147" s="7"/>
      <c r="BN147" s="7"/>
      <c r="CQ147" s="7"/>
      <c r="DF147" s="7"/>
      <c r="DG147" s="7"/>
      <c r="DL147" s="15"/>
      <c r="DQ147" s="16"/>
      <c r="DR147" s="7"/>
      <c r="DV147" s="16"/>
      <c r="DZ147" s="16"/>
      <c r="EA147" s="7"/>
      <c r="EF147" s="16"/>
      <c r="EK147" s="16"/>
      <c r="EL147" s="7"/>
      <c r="EP147" s="16"/>
      <c r="ET147" s="16"/>
      <c r="EU147" s="7"/>
      <c r="FM147" s="7"/>
      <c r="FN147" s="390"/>
      <c r="FO147" s="390"/>
      <c r="FR147" s="7"/>
      <c r="FY147" s="7"/>
      <c r="GG147" s="7"/>
      <c r="HX147" s="74"/>
      <c r="HY147" s="42"/>
      <c r="HZ147" s="42"/>
      <c r="IE147" s="42"/>
      <c r="IF147" s="42"/>
      <c r="IK147" s="42"/>
      <c r="IL147" s="42"/>
      <c r="IM147" s="42"/>
      <c r="IN147" s="7"/>
      <c r="IO147" s="42"/>
      <c r="IT147" s="42"/>
      <c r="IU147" s="42"/>
      <c r="KC147" s="7"/>
      <c r="KD147" s="42"/>
      <c r="KG147" s="391"/>
      <c r="KH147" s="42"/>
      <c r="KI147" s="42"/>
      <c r="KJ147" s="42"/>
      <c r="KK147" s="42"/>
      <c r="KL147" s="42"/>
      <c r="KM147" s="42"/>
      <c r="KN147" s="42"/>
      <c r="KO147" s="42"/>
      <c r="KP147" s="42"/>
      <c r="KQ147" s="42"/>
      <c r="KR147" s="42"/>
      <c r="KS147" s="42"/>
      <c r="KT147" s="42"/>
      <c r="KU147" s="42"/>
      <c r="KV147" s="42"/>
      <c r="KW147" s="42"/>
      <c r="KX147" s="42"/>
      <c r="KY147" s="42"/>
      <c r="KZ147" s="42"/>
      <c r="LA147" s="42"/>
      <c r="LB147" s="42"/>
      <c r="LC147" s="42"/>
      <c r="LD147" s="42"/>
      <c r="LE147" s="42"/>
      <c r="LF147" s="42"/>
      <c r="LG147" s="42"/>
      <c r="LH147" s="42"/>
      <c r="LI147" s="42"/>
      <c r="LJ147" s="42"/>
      <c r="LK147" s="42"/>
      <c r="LL147" s="42"/>
      <c r="LM147" s="42"/>
      <c r="LN147" s="42"/>
      <c r="LO147" s="42"/>
      <c r="LP147" s="42"/>
      <c r="LQ147" s="42"/>
      <c r="LR147" s="42"/>
      <c r="LS147" s="42"/>
      <c r="LT147" s="42"/>
      <c r="LU147" s="42"/>
      <c r="LV147" s="42"/>
      <c r="LW147" s="42"/>
      <c r="LX147" s="42"/>
      <c r="LY147" s="42"/>
      <c r="LZ147" s="42"/>
      <c r="MA147" s="42"/>
      <c r="MB147" s="42"/>
      <c r="MC147" s="42"/>
      <c r="MD147" s="42"/>
      <c r="ME147" s="42"/>
      <c r="MF147" s="42"/>
      <c r="MG147" s="42"/>
      <c r="MH147" s="42"/>
      <c r="MI147" s="42"/>
      <c r="MJ147" s="42"/>
      <c r="MK147" s="42"/>
      <c r="ML147" s="42"/>
      <c r="MM147" s="42"/>
      <c r="MN147" s="42"/>
      <c r="MO147" s="42"/>
      <c r="MP147" s="42"/>
      <c r="MQ147" s="42"/>
      <c r="MR147" s="42"/>
      <c r="MS147" s="42"/>
      <c r="MT147" s="42"/>
      <c r="MU147" s="42"/>
      <c r="MV147" s="42"/>
      <c r="MW147" s="42"/>
      <c r="MX147" s="42"/>
      <c r="MY147" s="42"/>
      <c r="MZ147" s="42"/>
      <c r="NA147" s="42"/>
      <c r="NB147" s="42"/>
      <c r="NC147" s="42"/>
      <c r="ND147" s="42"/>
      <c r="NE147" s="42"/>
      <c r="NF147" s="42"/>
      <c r="NG147" s="42"/>
      <c r="NH147" s="42"/>
      <c r="NI147" s="42"/>
      <c r="NJ147" s="42"/>
      <c r="NK147" s="42"/>
      <c r="NL147" s="42"/>
      <c r="NM147" s="42"/>
      <c r="NN147" s="42"/>
      <c r="NO147" s="42"/>
      <c r="NP147" s="42"/>
      <c r="NQ147" s="42"/>
      <c r="NR147" s="42"/>
      <c r="NS147" s="42"/>
    </row>
    <row r="148" spans="1:383" s="5" customFormat="1" x14ac:dyDescent="0.25">
      <c r="A148" s="1"/>
      <c r="B148" s="2"/>
      <c r="C148" s="2"/>
      <c r="D148" s="2"/>
      <c r="E148" s="3"/>
      <c r="F148" s="3"/>
      <c r="G148" s="4"/>
      <c r="H148" s="1"/>
      <c r="I148" s="7"/>
      <c r="J148" s="7"/>
      <c r="K148" s="7"/>
      <c r="L148" s="7"/>
      <c r="M148" s="7"/>
      <c r="N148" s="7"/>
      <c r="O148" s="3"/>
      <c r="P148" s="7"/>
      <c r="AL148" s="7"/>
      <c r="AM148" s="7"/>
      <c r="AN148" s="7"/>
      <c r="AO148" s="7"/>
      <c r="AT148" s="7"/>
      <c r="AV148" s="11"/>
      <c r="AW148" s="7"/>
      <c r="AY148" s="7"/>
      <c r="BN148" s="7"/>
      <c r="CQ148" s="7"/>
      <c r="DF148" s="7"/>
      <c r="DG148" s="7"/>
      <c r="DL148" s="15"/>
      <c r="DQ148" s="16"/>
      <c r="DR148" s="7"/>
      <c r="DV148" s="16"/>
      <c r="DZ148" s="16"/>
      <c r="EA148" s="7"/>
      <c r="EF148" s="16"/>
      <c r="EK148" s="16"/>
      <c r="EL148" s="7"/>
      <c r="EP148" s="16"/>
      <c r="ET148" s="16"/>
      <c r="EU148" s="7"/>
      <c r="FM148" s="7"/>
      <c r="FN148" s="390"/>
      <c r="FO148" s="390"/>
      <c r="FR148" s="7"/>
      <c r="FY148" s="7"/>
      <c r="GG148" s="7"/>
      <c r="HX148" s="74"/>
      <c r="HY148" s="42"/>
      <c r="HZ148" s="42"/>
      <c r="IE148" s="42"/>
      <c r="IF148" s="42"/>
      <c r="IK148" s="42"/>
      <c r="IL148" s="42"/>
      <c r="IM148" s="42"/>
      <c r="IN148" s="7"/>
      <c r="IO148" s="42"/>
      <c r="IT148" s="42"/>
      <c r="IU148" s="42"/>
      <c r="KC148" s="7"/>
      <c r="KD148" s="42"/>
      <c r="KG148" s="391"/>
      <c r="KH148" s="42"/>
      <c r="KI148" s="42"/>
      <c r="KJ148" s="42"/>
      <c r="KK148" s="42"/>
      <c r="KL148" s="42"/>
      <c r="KM148" s="42"/>
      <c r="KN148" s="42"/>
      <c r="KO148" s="42"/>
      <c r="KP148" s="42"/>
      <c r="KQ148" s="42"/>
      <c r="KR148" s="42"/>
      <c r="KS148" s="42"/>
      <c r="KT148" s="42"/>
      <c r="KU148" s="42"/>
      <c r="KV148" s="42"/>
      <c r="KW148" s="42"/>
      <c r="KX148" s="42"/>
      <c r="KY148" s="42"/>
      <c r="KZ148" s="42"/>
      <c r="LA148" s="42"/>
      <c r="LB148" s="42"/>
      <c r="LC148" s="42"/>
      <c r="LD148" s="42"/>
      <c r="LE148" s="42"/>
      <c r="LF148" s="42"/>
      <c r="LG148" s="42"/>
      <c r="LH148" s="42"/>
      <c r="LI148" s="42"/>
      <c r="LJ148" s="42"/>
      <c r="LK148" s="42"/>
      <c r="LL148" s="42"/>
      <c r="LM148" s="42"/>
      <c r="LN148" s="42"/>
      <c r="LO148" s="42"/>
      <c r="LP148" s="42"/>
      <c r="LQ148" s="42"/>
      <c r="LR148" s="42"/>
      <c r="LS148" s="42"/>
      <c r="LT148" s="42"/>
      <c r="LU148" s="42"/>
      <c r="LV148" s="42"/>
      <c r="LW148" s="42"/>
      <c r="LX148" s="42"/>
      <c r="LY148" s="42"/>
      <c r="LZ148" s="42"/>
      <c r="MA148" s="42"/>
      <c r="MB148" s="42"/>
      <c r="MC148" s="42"/>
      <c r="MD148" s="42"/>
      <c r="ME148" s="42"/>
      <c r="MF148" s="42"/>
      <c r="MG148" s="42"/>
      <c r="MH148" s="42"/>
      <c r="MI148" s="42"/>
      <c r="MJ148" s="42"/>
      <c r="MK148" s="42"/>
      <c r="ML148" s="42"/>
      <c r="MM148" s="42"/>
      <c r="MN148" s="42"/>
      <c r="MO148" s="42"/>
      <c r="MP148" s="42"/>
      <c r="MQ148" s="42"/>
      <c r="MR148" s="42"/>
      <c r="MS148" s="42"/>
      <c r="MT148" s="42"/>
      <c r="MU148" s="42"/>
      <c r="MV148" s="42"/>
      <c r="MW148" s="42"/>
      <c r="MX148" s="42"/>
      <c r="MY148" s="42"/>
      <c r="MZ148" s="42"/>
      <c r="NA148" s="42"/>
      <c r="NB148" s="42"/>
      <c r="NC148" s="42"/>
      <c r="ND148" s="42"/>
      <c r="NE148" s="42"/>
      <c r="NF148" s="42"/>
      <c r="NG148" s="42"/>
      <c r="NH148" s="42"/>
      <c r="NI148" s="42"/>
      <c r="NJ148" s="42"/>
      <c r="NK148" s="42"/>
      <c r="NL148" s="42"/>
      <c r="NM148" s="42"/>
      <c r="NN148" s="42"/>
      <c r="NO148" s="42"/>
      <c r="NP148" s="42"/>
      <c r="NQ148" s="42"/>
      <c r="NR148" s="42"/>
      <c r="NS148" s="42"/>
    </row>
    <row r="149" spans="1:383" s="5" customFormat="1" x14ac:dyDescent="0.25">
      <c r="A149" s="1"/>
      <c r="B149" s="2"/>
      <c r="C149" s="2"/>
      <c r="D149" s="2"/>
      <c r="E149" s="3"/>
      <c r="F149" s="3"/>
      <c r="G149" s="4"/>
      <c r="H149" s="1"/>
      <c r="I149" s="7"/>
      <c r="J149" s="7"/>
      <c r="K149" s="7"/>
      <c r="L149" s="7"/>
      <c r="M149" s="7"/>
      <c r="N149" s="7"/>
      <c r="O149" s="3"/>
      <c r="P149" s="7"/>
      <c r="AL149" s="7"/>
      <c r="AM149" s="7"/>
      <c r="AN149" s="7"/>
      <c r="AO149" s="7"/>
      <c r="AT149" s="7"/>
      <c r="AV149" s="11"/>
      <c r="AW149" s="7"/>
      <c r="AY149" s="7"/>
      <c r="BN149" s="7"/>
      <c r="CQ149" s="7"/>
      <c r="DF149" s="7"/>
      <c r="DG149" s="7"/>
      <c r="DL149" s="15"/>
      <c r="DQ149" s="16"/>
      <c r="DR149" s="7"/>
      <c r="DV149" s="16"/>
      <c r="DZ149" s="16"/>
      <c r="EA149" s="7"/>
      <c r="EF149" s="16"/>
      <c r="EK149" s="16"/>
      <c r="EL149" s="7"/>
      <c r="EP149" s="16"/>
      <c r="ET149" s="16"/>
      <c r="EU149" s="7"/>
      <c r="FM149" s="7"/>
      <c r="FN149" s="390"/>
      <c r="FO149" s="390"/>
      <c r="FR149" s="7"/>
      <c r="FY149" s="7"/>
      <c r="GG149" s="7"/>
      <c r="HX149" s="74"/>
      <c r="HY149" s="42"/>
      <c r="HZ149" s="42"/>
      <c r="IE149" s="42"/>
      <c r="IF149" s="42"/>
      <c r="IK149" s="42"/>
      <c r="IL149" s="42"/>
      <c r="IM149" s="42"/>
      <c r="IN149" s="7"/>
      <c r="IO149" s="42"/>
      <c r="IT149" s="42"/>
      <c r="IU149" s="42"/>
      <c r="KC149" s="7"/>
      <c r="KD149" s="42"/>
      <c r="KG149" s="391"/>
      <c r="KH149" s="42"/>
      <c r="KI149" s="42"/>
      <c r="KJ149" s="42"/>
      <c r="KK149" s="42"/>
      <c r="KL149" s="42"/>
      <c r="KM149" s="42"/>
      <c r="KN149" s="42"/>
      <c r="KO149" s="42"/>
      <c r="KP149" s="42"/>
      <c r="KQ149" s="42"/>
      <c r="KR149" s="42"/>
      <c r="KS149" s="42"/>
      <c r="KT149" s="42"/>
      <c r="KU149" s="42"/>
      <c r="KV149" s="42"/>
      <c r="KW149" s="42"/>
      <c r="KX149" s="42"/>
      <c r="KY149" s="42"/>
      <c r="KZ149" s="42"/>
      <c r="LA149" s="42"/>
      <c r="LB149" s="42"/>
      <c r="LC149" s="42"/>
      <c r="LD149" s="42"/>
      <c r="LE149" s="42"/>
      <c r="LF149" s="42"/>
      <c r="LG149" s="42"/>
      <c r="LH149" s="42"/>
      <c r="LI149" s="42"/>
      <c r="LJ149" s="42"/>
      <c r="LK149" s="42"/>
      <c r="LL149" s="42"/>
      <c r="LM149" s="42"/>
      <c r="LN149" s="42"/>
      <c r="LO149" s="42"/>
      <c r="LP149" s="42"/>
      <c r="LQ149" s="42"/>
      <c r="LR149" s="42"/>
      <c r="LS149" s="42"/>
      <c r="LT149" s="42"/>
      <c r="LU149" s="42"/>
      <c r="LV149" s="42"/>
      <c r="LW149" s="42"/>
      <c r="LX149" s="42"/>
      <c r="LY149" s="42"/>
      <c r="LZ149" s="42"/>
      <c r="MA149" s="42"/>
      <c r="MB149" s="42"/>
      <c r="MC149" s="42"/>
      <c r="MD149" s="42"/>
      <c r="ME149" s="42"/>
      <c r="MF149" s="42"/>
      <c r="MG149" s="42"/>
      <c r="MH149" s="42"/>
      <c r="MI149" s="42"/>
      <c r="MJ149" s="42"/>
      <c r="MK149" s="42"/>
      <c r="ML149" s="42"/>
      <c r="MM149" s="42"/>
      <c r="MN149" s="42"/>
      <c r="MO149" s="42"/>
      <c r="MP149" s="42"/>
      <c r="MQ149" s="42"/>
      <c r="MR149" s="42"/>
      <c r="MS149" s="42"/>
      <c r="MT149" s="42"/>
      <c r="MU149" s="42"/>
      <c r="MV149" s="42"/>
      <c r="MW149" s="42"/>
      <c r="MX149" s="42"/>
      <c r="MY149" s="42"/>
      <c r="MZ149" s="42"/>
      <c r="NA149" s="42"/>
      <c r="NB149" s="42"/>
      <c r="NC149" s="42"/>
      <c r="ND149" s="42"/>
      <c r="NE149" s="42"/>
      <c r="NF149" s="42"/>
      <c r="NG149" s="42"/>
      <c r="NH149" s="42"/>
      <c r="NI149" s="42"/>
      <c r="NJ149" s="42"/>
      <c r="NK149" s="42"/>
      <c r="NL149" s="42"/>
      <c r="NM149" s="42"/>
      <c r="NN149" s="42"/>
      <c r="NO149" s="42"/>
      <c r="NP149" s="42"/>
      <c r="NQ149" s="42"/>
      <c r="NR149" s="42"/>
      <c r="NS149" s="42"/>
    </row>
    <row r="150" spans="1:383" s="5" customFormat="1" x14ac:dyDescent="0.25">
      <c r="A150" s="1"/>
      <c r="B150" s="2"/>
      <c r="C150" s="2"/>
      <c r="D150" s="2"/>
      <c r="E150" s="3"/>
      <c r="F150" s="3"/>
      <c r="G150" s="4"/>
      <c r="H150" s="1"/>
      <c r="I150" s="7"/>
      <c r="J150" s="7"/>
      <c r="K150" s="7"/>
      <c r="L150" s="7"/>
      <c r="M150" s="7"/>
      <c r="N150" s="7"/>
      <c r="O150" s="3"/>
      <c r="P150" s="7"/>
      <c r="AL150" s="7"/>
      <c r="AM150" s="7"/>
      <c r="AN150" s="7"/>
      <c r="AO150" s="7"/>
      <c r="AT150" s="7"/>
      <c r="AV150" s="11"/>
      <c r="AW150" s="7"/>
      <c r="AY150" s="7"/>
      <c r="BN150" s="7"/>
      <c r="CQ150" s="7"/>
      <c r="DF150" s="7"/>
      <c r="DG150" s="7"/>
      <c r="DL150" s="15"/>
      <c r="DQ150" s="16"/>
      <c r="DR150" s="7"/>
      <c r="DV150" s="16"/>
      <c r="DZ150" s="16"/>
      <c r="EA150" s="7"/>
      <c r="EF150" s="16"/>
      <c r="EK150" s="16"/>
      <c r="EL150" s="7"/>
      <c r="EP150" s="16"/>
      <c r="ET150" s="16"/>
      <c r="EU150" s="7"/>
      <c r="FM150" s="7"/>
      <c r="FN150" s="390"/>
      <c r="FO150" s="390"/>
      <c r="FR150" s="7"/>
      <c r="FY150" s="7"/>
      <c r="GG150" s="7"/>
      <c r="HX150" s="74"/>
      <c r="HY150" s="42"/>
      <c r="HZ150" s="42"/>
      <c r="IE150" s="42"/>
      <c r="IF150" s="42"/>
      <c r="IK150" s="42"/>
      <c r="IL150" s="42"/>
      <c r="IM150" s="42"/>
      <c r="IN150" s="7"/>
      <c r="IO150" s="42"/>
      <c r="IT150" s="42"/>
      <c r="IU150" s="42"/>
      <c r="KC150" s="7"/>
      <c r="KD150" s="42"/>
      <c r="KG150" s="391"/>
      <c r="KH150" s="42"/>
      <c r="KI150" s="42"/>
      <c r="KJ150" s="42"/>
      <c r="KK150" s="42"/>
      <c r="KL150" s="42"/>
      <c r="KM150" s="42"/>
      <c r="KN150" s="42"/>
      <c r="KO150" s="42"/>
      <c r="KP150" s="42"/>
      <c r="KQ150" s="42"/>
      <c r="KR150" s="42"/>
      <c r="KS150" s="42"/>
      <c r="KT150" s="42"/>
      <c r="KU150" s="42"/>
      <c r="KV150" s="42"/>
      <c r="KW150" s="42"/>
      <c r="KX150" s="42"/>
      <c r="KY150" s="42"/>
      <c r="KZ150" s="42"/>
      <c r="LA150" s="42"/>
      <c r="LB150" s="42"/>
      <c r="LC150" s="42"/>
      <c r="LD150" s="42"/>
      <c r="LE150" s="42"/>
      <c r="LF150" s="42"/>
      <c r="LG150" s="42"/>
      <c r="LH150" s="42"/>
      <c r="LI150" s="42"/>
      <c r="LJ150" s="42"/>
      <c r="LK150" s="42"/>
      <c r="LL150" s="42"/>
      <c r="LM150" s="42"/>
      <c r="LN150" s="42"/>
      <c r="LO150" s="42"/>
      <c r="LP150" s="42"/>
      <c r="LQ150" s="42"/>
      <c r="LR150" s="42"/>
      <c r="LS150" s="42"/>
      <c r="LT150" s="42"/>
      <c r="LU150" s="42"/>
      <c r="LV150" s="42"/>
      <c r="LW150" s="42"/>
      <c r="LX150" s="42"/>
      <c r="LY150" s="42"/>
      <c r="LZ150" s="42"/>
      <c r="MA150" s="42"/>
      <c r="MB150" s="42"/>
      <c r="MC150" s="42"/>
      <c r="MD150" s="42"/>
      <c r="ME150" s="42"/>
      <c r="MF150" s="42"/>
      <c r="MG150" s="42"/>
      <c r="MH150" s="42"/>
      <c r="MI150" s="42"/>
      <c r="MJ150" s="42"/>
      <c r="MK150" s="42"/>
      <c r="ML150" s="42"/>
      <c r="MM150" s="42"/>
      <c r="MN150" s="42"/>
      <c r="MO150" s="42"/>
      <c r="MP150" s="42"/>
      <c r="MQ150" s="42"/>
      <c r="MR150" s="42"/>
      <c r="MS150" s="42"/>
      <c r="MT150" s="42"/>
      <c r="MU150" s="42"/>
      <c r="MV150" s="42"/>
      <c r="MW150" s="42"/>
      <c r="MX150" s="42"/>
      <c r="MY150" s="42"/>
      <c r="MZ150" s="42"/>
      <c r="NA150" s="42"/>
      <c r="NB150" s="42"/>
      <c r="NC150" s="42"/>
      <c r="ND150" s="42"/>
      <c r="NE150" s="42"/>
      <c r="NF150" s="42"/>
      <c r="NG150" s="42"/>
      <c r="NH150" s="42"/>
      <c r="NI150" s="42"/>
      <c r="NJ150" s="42"/>
      <c r="NK150" s="42"/>
      <c r="NL150" s="42"/>
      <c r="NM150" s="42"/>
      <c r="NN150" s="42"/>
      <c r="NO150" s="42"/>
      <c r="NP150" s="42"/>
      <c r="NQ150" s="42"/>
      <c r="NR150" s="42"/>
      <c r="NS150" s="42"/>
    </row>
    <row r="151" spans="1:383" s="5" customFormat="1" x14ac:dyDescent="0.25">
      <c r="A151" s="1"/>
      <c r="B151" s="2"/>
      <c r="C151" s="2"/>
      <c r="D151" s="2"/>
      <c r="E151" s="3"/>
      <c r="F151" s="3"/>
      <c r="G151" s="4"/>
      <c r="H151" s="1"/>
      <c r="I151" s="7"/>
      <c r="J151" s="7"/>
      <c r="K151" s="7"/>
      <c r="L151" s="7"/>
      <c r="M151" s="7"/>
      <c r="N151" s="7"/>
      <c r="O151" s="3"/>
      <c r="P151" s="7"/>
      <c r="AL151" s="7"/>
      <c r="AM151" s="7"/>
      <c r="AN151" s="7"/>
      <c r="AO151" s="7"/>
      <c r="AT151" s="7"/>
      <c r="AV151" s="11"/>
      <c r="AW151" s="7"/>
      <c r="AY151" s="7"/>
      <c r="BN151" s="7"/>
      <c r="CQ151" s="7"/>
      <c r="DF151" s="7"/>
      <c r="DG151" s="7"/>
      <c r="DL151" s="15"/>
      <c r="DQ151" s="16"/>
      <c r="DR151" s="7"/>
      <c r="DV151" s="16"/>
      <c r="DZ151" s="16"/>
      <c r="EA151" s="7"/>
      <c r="EF151" s="16"/>
      <c r="EK151" s="16"/>
      <c r="EL151" s="7"/>
      <c r="EP151" s="16"/>
      <c r="ET151" s="16"/>
      <c r="EU151" s="7"/>
      <c r="FM151" s="7"/>
      <c r="FN151" s="390"/>
      <c r="FO151" s="390"/>
      <c r="FR151" s="7"/>
      <c r="FY151" s="7"/>
      <c r="GG151" s="7"/>
      <c r="HX151" s="74"/>
      <c r="HY151" s="42"/>
      <c r="HZ151" s="42"/>
      <c r="IE151" s="42"/>
      <c r="IF151" s="42"/>
      <c r="IK151" s="42"/>
      <c r="IL151" s="42"/>
      <c r="IM151" s="42"/>
      <c r="IN151" s="7"/>
      <c r="IO151" s="42"/>
      <c r="IT151" s="42"/>
      <c r="IU151" s="42"/>
      <c r="KC151" s="7"/>
      <c r="KD151" s="42"/>
      <c r="KG151" s="391"/>
      <c r="KH151" s="42"/>
      <c r="KI151" s="42"/>
      <c r="KJ151" s="42"/>
      <c r="KK151" s="42"/>
      <c r="KL151" s="42"/>
      <c r="KM151" s="42"/>
      <c r="KN151" s="42"/>
      <c r="KO151" s="42"/>
      <c r="KP151" s="42"/>
      <c r="KQ151" s="42"/>
      <c r="KR151" s="42"/>
      <c r="KS151" s="42"/>
      <c r="KT151" s="42"/>
      <c r="KU151" s="42"/>
      <c r="KV151" s="42"/>
      <c r="KW151" s="42"/>
      <c r="KX151" s="42"/>
      <c r="KY151" s="42"/>
      <c r="KZ151" s="42"/>
      <c r="LA151" s="42"/>
      <c r="LB151" s="42"/>
      <c r="LC151" s="42"/>
      <c r="LD151" s="42"/>
      <c r="LE151" s="42"/>
      <c r="LF151" s="42"/>
      <c r="LG151" s="42"/>
      <c r="LH151" s="42"/>
      <c r="LI151" s="42"/>
      <c r="LJ151" s="42"/>
      <c r="LK151" s="42"/>
      <c r="LL151" s="42"/>
      <c r="LM151" s="42"/>
      <c r="LN151" s="42"/>
      <c r="LO151" s="42"/>
      <c r="LP151" s="42"/>
      <c r="LQ151" s="42"/>
      <c r="LR151" s="42"/>
      <c r="LS151" s="42"/>
      <c r="LT151" s="42"/>
      <c r="LU151" s="42"/>
      <c r="LV151" s="42"/>
      <c r="LW151" s="42"/>
      <c r="LX151" s="42"/>
      <c r="LY151" s="42"/>
      <c r="LZ151" s="42"/>
      <c r="MA151" s="42"/>
      <c r="MB151" s="42"/>
      <c r="MC151" s="42"/>
      <c r="MD151" s="42"/>
      <c r="ME151" s="42"/>
      <c r="MF151" s="42"/>
      <c r="MG151" s="42"/>
      <c r="MH151" s="42"/>
      <c r="MI151" s="42"/>
      <c r="MJ151" s="42"/>
      <c r="MK151" s="42"/>
      <c r="ML151" s="42"/>
      <c r="MM151" s="42"/>
      <c r="MN151" s="42"/>
      <c r="MO151" s="42"/>
      <c r="MP151" s="42"/>
      <c r="MQ151" s="42"/>
      <c r="MR151" s="42"/>
      <c r="MS151" s="42"/>
      <c r="MT151" s="42"/>
      <c r="MU151" s="42"/>
      <c r="MV151" s="42"/>
      <c r="MW151" s="42"/>
      <c r="MX151" s="42"/>
      <c r="MY151" s="42"/>
      <c r="MZ151" s="42"/>
      <c r="NA151" s="42"/>
      <c r="NB151" s="42"/>
      <c r="NC151" s="42"/>
      <c r="ND151" s="42"/>
      <c r="NE151" s="42"/>
      <c r="NF151" s="42"/>
      <c r="NG151" s="42"/>
      <c r="NH151" s="42"/>
      <c r="NI151" s="42"/>
      <c r="NJ151" s="42"/>
      <c r="NK151" s="42"/>
      <c r="NL151" s="42"/>
      <c r="NM151" s="42"/>
      <c r="NN151" s="42"/>
      <c r="NO151" s="42"/>
      <c r="NP151" s="42"/>
      <c r="NQ151" s="42"/>
      <c r="NR151" s="42"/>
      <c r="NS151" s="42"/>
    </row>
    <row r="152" spans="1:383" s="5" customFormat="1" x14ac:dyDescent="0.25">
      <c r="A152" s="1"/>
      <c r="B152" s="2"/>
      <c r="C152" s="2"/>
      <c r="D152" s="2"/>
      <c r="E152" s="3"/>
      <c r="F152" s="3"/>
      <c r="G152" s="4"/>
      <c r="H152" s="1"/>
      <c r="I152" s="7"/>
      <c r="J152" s="7"/>
      <c r="K152" s="7"/>
      <c r="L152" s="7"/>
      <c r="M152" s="7"/>
      <c r="N152" s="7"/>
      <c r="O152" s="3"/>
      <c r="P152" s="7"/>
      <c r="AL152" s="7"/>
      <c r="AM152" s="7"/>
      <c r="AN152" s="7"/>
      <c r="AO152" s="7"/>
      <c r="AT152" s="7"/>
      <c r="AV152" s="11"/>
      <c r="AW152" s="7"/>
      <c r="AY152" s="7"/>
      <c r="BN152" s="7"/>
      <c r="CQ152" s="7"/>
      <c r="DF152" s="7"/>
      <c r="DG152" s="7"/>
      <c r="DL152" s="15"/>
      <c r="DQ152" s="16"/>
      <c r="DR152" s="7"/>
      <c r="DV152" s="16"/>
      <c r="DZ152" s="16"/>
      <c r="EA152" s="7"/>
      <c r="EF152" s="16"/>
      <c r="EK152" s="16"/>
      <c r="EL152" s="7"/>
      <c r="EP152" s="16"/>
      <c r="ET152" s="16"/>
      <c r="EU152" s="7"/>
      <c r="FM152" s="7"/>
      <c r="FN152" s="390"/>
      <c r="FO152" s="390"/>
      <c r="FR152" s="7"/>
      <c r="FY152" s="7"/>
      <c r="GG152" s="7"/>
      <c r="HX152" s="74"/>
      <c r="HY152" s="42"/>
      <c r="HZ152" s="42"/>
      <c r="IE152" s="42"/>
      <c r="IF152" s="42"/>
      <c r="IK152" s="42"/>
      <c r="IL152" s="42"/>
      <c r="IM152" s="42"/>
      <c r="IN152" s="7"/>
      <c r="IO152" s="42"/>
      <c r="IT152" s="42"/>
      <c r="IU152" s="42"/>
      <c r="KC152" s="7"/>
      <c r="KD152" s="42"/>
      <c r="KG152" s="391"/>
      <c r="KH152" s="42"/>
      <c r="KI152" s="42"/>
      <c r="KJ152" s="42"/>
      <c r="KK152" s="42"/>
      <c r="KL152" s="42"/>
      <c r="KM152" s="42"/>
      <c r="KN152" s="42"/>
      <c r="KO152" s="42"/>
      <c r="KP152" s="42"/>
      <c r="KQ152" s="42"/>
      <c r="KR152" s="42"/>
      <c r="KS152" s="42"/>
      <c r="KT152" s="42"/>
      <c r="KU152" s="42"/>
      <c r="KV152" s="42"/>
      <c r="KW152" s="42"/>
      <c r="KX152" s="42"/>
      <c r="KY152" s="42"/>
      <c r="KZ152" s="42"/>
      <c r="LA152" s="42"/>
      <c r="LB152" s="42"/>
      <c r="LC152" s="42"/>
      <c r="LD152" s="42"/>
      <c r="LE152" s="42"/>
      <c r="LF152" s="42"/>
      <c r="LG152" s="42"/>
      <c r="LH152" s="42"/>
      <c r="LI152" s="42"/>
      <c r="LJ152" s="42"/>
      <c r="LK152" s="42"/>
      <c r="LL152" s="42"/>
      <c r="LM152" s="42"/>
      <c r="LN152" s="42"/>
      <c r="LO152" s="42"/>
      <c r="LP152" s="42"/>
      <c r="LQ152" s="42"/>
      <c r="LR152" s="42"/>
      <c r="LS152" s="42"/>
      <c r="LT152" s="42"/>
      <c r="LU152" s="42"/>
      <c r="LV152" s="42"/>
      <c r="LW152" s="42"/>
      <c r="LX152" s="42"/>
      <c r="LY152" s="42"/>
      <c r="LZ152" s="42"/>
      <c r="MA152" s="42"/>
      <c r="MB152" s="42"/>
      <c r="MC152" s="42"/>
      <c r="MD152" s="42"/>
      <c r="ME152" s="42"/>
      <c r="MF152" s="42"/>
      <c r="MG152" s="42"/>
      <c r="MH152" s="42"/>
      <c r="MI152" s="42"/>
      <c r="MJ152" s="42"/>
      <c r="MK152" s="42"/>
      <c r="ML152" s="42"/>
      <c r="MM152" s="42"/>
      <c r="MN152" s="42"/>
      <c r="MO152" s="42"/>
      <c r="MP152" s="42"/>
      <c r="MQ152" s="42"/>
      <c r="MR152" s="42"/>
      <c r="MS152" s="42"/>
      <c r="MT152" s="42"/>
      <c r="MU152" s="42"/>
      <c r="MV152" s="42"/>
      <c r="MW152" s="42"/>
      <c r="MX152" s="42"/>
      <c r="MY152" s="42"/>
      <c r="MZ152" s="42"/>
      <c r="NA152" s="42"/>
      <c r="NB152" s="42"/>
      <c r="NC152" s="42"/>
      <c r="ND152" s="42"/>
      <c r="NE152" s="42"/>
      <c r="NF152" s="42"/>
      <c r="NG152" s="42"/>
      <c r="NH152" s="42"/>
      <c r="NI152" s="42"/>
      <c r="NJ152" s="42"/>
      <c r="NK152" s="42"/>
      <c r="NL152" s="42"/>
      <c r="NM152" s="42"/>
      <c r="NN152" s="42"/>
      <c r="NO152" s="42"/>
      <c r="NP152" s="42"/>
      <c r="NQ152" s="42"/>
      <c r="NR152" s="42"/>
      <c r="NS152" s="42"/>
    </row>
    <row r="153" spans="1:383" s="5" customFormat="1" x14ac:dyDescent="0.25">
      <c r="A153" s="1"/>
      <c r="B153" s="2"/>
      <c r="C153" s="2"/>
      <c r="D153" s="2"/>
      <c r="E153" s="3"/>
      <c r="F153" s="3"/>
      <c r="G153" s="4"/>
      <c r="H153" s="1"/>
      <c r="I153" s="7"/>
      <c r="J153" s="7"/>
      <c r="K153" s="7"/>
      <c r="L153" s="7"/>
      <c r="M153" s="7"/>
      <c r="N153" s="7"/>
      <c r="O153" s="3"/>
      <c r="P153" s="7"/>
      <c r="AL153" s="7"/>
      <c r="AM153" s="7"/>
      <c r="AN153" s="7"/>
      <c r="AO153" s="7"/>
      <c r="AT153" s="7"/>
      <c r="AV153" s="11"/>
      <c r="AW153" s="7"/>
      <c r="AY153" s="7"/>
      <c r="BN153" s="7"/>
      <c r="CQ153" s="7"/>
      <c r="DF153" s="7"/>
      <c r="DG153" s="7"/>
      <c r="DL153" s="15"/>
      <c r="DQ153" s="16"/>
      <c r="DR153" s="7"/>
      <c r="DV153" s="16"/>
      <c r="DZ153" s="16"/>
      <c r="EA153" s="7"/>
      <c r="EF153" s="16"/>
      <c r="EK153" s="16"/>
      <c r="EL153" s="7"/>
      <c r="EP153" s="16"/>
      <c r="ET153" s="16"/>
      <c r="EU153" s="7"/>
      <c r="FM153" s="7"/>
      <c r="FN153" s="390"/>
      <c r="FO153" s="390"/>
      <c r="FR153" s="7"/>
      <c r="FY153" s="7"/>
      <c r="GG153" s="7"/>
      <c r="HX153" s="74"/>
      <c r="HY153" s="42"/>
      <c r="HZ153" s="42"/>
      <c r="IE153" s="42"/>
      <c r="IF153" s="42"/>
      <c r="IK153" s="42"/>
      <c r="IL153" s="42"/>
      <c r="IM153" s="42"/>
      <c r="IN153" s="7"/>
      <c r="IO153" s="42"/>
      <c r="IT153" s="42"/>
      <c r="IU153" s="42"/>
      <c r="KC153" s="7"/>
      <c r="KD153" s="42"/>
      <c r="KG153" s="391"/>
      <c r="KH153" s="42"/>
      <c r="KI153" s="42"/>
      <c r="KJ153" s="42"/>
      <c r="KK153" s="42"/>
      <c r="KL153" s="42"/>
      <c r="KM153" s="42"/>
      <c r="KN153" s="42"/>
      <c r="KO153" s="42"/>
      <c r="KP153" s="42"/>
      <c r="KQ153" s="42"/>
      <c r="KR153" s="42"/>
      <c r="KS153" s="42"/>
      <c r="KT153" s="42"/>
      <c r="KU153" s="42"/>
      <c r="KV153" s="42"/>
      <c r="KW153" s="42"/>
      <c r="KX153" s="42"/>
      <c r="KY153" s="42"/>
      <c r="KZ153" s="42"/>
      <c r="LA153" s="42"/>
      <c r="LB153" s="42"/>
      <c r="LC153" s="42"/>
      <c r="LD153" s="42"/>
      <c r="LE153" s="42"/>
      <c r="LF153" s="42"/>
      <c r="LG153" s="42"/>
      <c r="LH153" s="42"/>
      <c r="LI153" s="42"/>
      <c r="LJ153" s="42"/>
      <c r="LK153" s="42"/>
      <c r="LL153" s="42"/>
      <c r="LM153" s="42"/>
      <c r="LN153" s="42"/>
      <c r="LO153" s="42"/>
      <c r="LP153" s="42"/>
      <c r="LQ153" s="42"/>
      <c r="LR153" s="42"/>
      <c r="LS153" s="42"/>
      <c r="LT153" s="42"/>
      <c r="LU153" s="42"/>
      <c r="LV153" s="42"/>
      <c r="LW153" s="42"/>
      <c r="LX153" s="42"/>
      <c r="LY153" s="42"/>
      <c r="LZ153" s="42"/>
      <c r="MA153" s="42"/>
      <c r="MB153" s="42"/>
      <c r="MC153" s="42"/>
      <c r="MD153" s="42"/>
      <c r="ME153" s="42"/>
      <c r="MF153" s="42"/>
      <c r="MG153" s="42"/>
      <c r="MH153" s="42"/>
      <c r="MI153" s="42"/>
      <c r="MJ153" s="42"/>
      <c r="MK153" s="42"/>
      <c r="ML153" s="42"/>
      <c r="MM153" s="42"/>
      <c r="MN153" s="42"/>
      <c r="MO153" s="42"/>
      <c r="MP153" s="42"/>
      <c r="MQ153" s="42"/>
      <c r="MR153" s="42"/>
      <c r="MS153" s="42"/>
      <c r="MT153" s="42"/>
      <c r="MU153" s="42"/>
      <c r="MV153" s="42"/>
      <c r="MW153" s="42"/>
      <c r="MX153" s="42"/>
      <c r="MY153" s="42"/>
      <c r="MZ153" s="42"/>
      <c r="NA153" s="42"/>
      <c r="NB153" s="42"/>
      <c r="NC153" s="42"/>
      <c r="ND153" s="42"/>
      <c r="NE153" s="42"/>
      <c r="NF153" s="42"/>
      <c r="NG153" s="42"/>
      <c r="NH153" s="42"/>
      <c r="NI153" s="42"/>
      <c r="NJ153" s="42"/>
      <c r="NK153" s="42"/>
      <c r="NL153" s="42"/>
      <c r="NM153" s="42"/>
      <c r="NN153" s="42"/>
      <c r="NO153" s="42"/>
      <c r="NP153" s="42"/>
      <c r="NQ153" s="42"/>
      <c r="NR153" s="42"/>
      <c r="NS153" s="42"/>
    </row>
    <row r="154" spans="1:383" s="5" customFormat="1" x14ac:dyDescent="0.25">
      <c r="A154" s="1"/>
      <c r="B154" s="2"/>
      <c r="C154" s="2"/>
      <c r="D154" s="2"/>
      <c r="E154" s="3"/>
      <c r="F154" s="3"/>
      <c r="G154" s="4"/>
      <c r="H154" s="1"/>
      <c r="I154" s="7"/>
      <c r="J154" s="7"/>
      <c r="K154" s="7"/>
      <c r="L154" s="7"/>
      <c r="M154" s="7"/>
      <c r="N154" s="7"/>
      <c r="O154" s="3"/>
      <c r="P154" s="7"/>
      <c r="AL154" s="7"/>
      <c r="AM154" s="7"/>
      <c r="AN154" s="7"/>
      <c r="AO154" s="7"/>
      <c r="AT154" s="7"/>
      <c r="AV154" s="11"/>
      <c r="AW154" s="7"/>
      <c r="AY154" s="7"/>
      <c r="BN154" s="7"/>
      <c r="CQ154" s="7"/>
      <c r="DF154" s="7"/>
      <c r="DG154" s="7"/>
      <c r="DL154" s="15"/>
      <c r="DQ154" s="16"/>
      <c r="DR154" s="7"/>
      <c r="DV154" s="16"/>
      <c r="DZ154" s="16"/>
      <c r="EA154" s="7"/>
      <c r="EF154" s="16"/>
      <c r="EK154" s="16"/>
      <c r="EL154" s="7"/>
      <c r="EP154" s="16"/>
      <c r="ET154" s="16"/>
      <c r="EU154" s="7"/>
      <c r="FM154" s="7"/>
      <c r="FN154" s="390"/>
      <c r="FO154" s="390"/>
      <c r="FR154" s="7"/>
      <c r="FY154" s="7"/>
      <c r="GG154" s="7"/>
      <c r="HX154" s="74"/>
      <c r="HY154" s="42"/>
      <c r="HZ154" s="42"/>
      <c r="IE154" s="42"/>
      <c r="IF154" s="42"/>
      <c r="IK154" s="42"/>
      <c r="IL154" s="42"/>
      <c r="IM154" s="42"/>
      <c r="IN154" s="7"/>
      <c r="IO154" s="42"/>
      <c r="IT154" s="42"/>
      <c r="IU154" s="42"/>
      <c r="KC154" s="7"/>
      <c r="KD154" s="42"/>
      <c r="KG154" s="391"/>
      <c r="KH154" s="42"/>
      <c r="KI154" s="42"/>
      <c r="KJ154" s="42"/>
      <c r="KK154" s="42"/>
      <c r="KL154" s="42"/>
      <c r="KM154" s="42"/>
      <c r="KN154" s="42"/>
      <c r="KO154" s="42"/>
      <c r="KP154" s="42"/>
      <c r="KQ154" s="42"/>
      <c r="KR154" s="42"/>
      <c r="KS154" s="42"/>
      <c r="KT154" s="42"/>
      <c r="KU154" s="42"/>
      <c r="KV154" s="42"/>
      <c r="KW154" s="42"/>
      <c r="KX154" s="42"/>
      <c r="KY154" s="42"/>
      <c r="KZ154" s="42"/>
      <c r="LA154" s="42"/>
      <c r="LB154" s="42"/>
      <c r="LC154" s="42"/>
      <c r="LD154" s="42"/>
      <c r="LE154" s="42"/>
      <c r="LF154" s="42"/>
      <c r="LG154" s="42"/>
      <c r="LH154" s="42"/>
      <c r="LI154" s="42"/>
      <c r="LJ154" s="42"/>
      <c r="LK154" s="42"/>
      <c r="LL154" s="42"/>
      <c r="LM154" s="42"/>
      <c r="LN154" s="42"/>
      <c r="LO154" s="42"/>
      <c r="LP154" s="42"/>
      <c r="LQ154" s="42"/>
      <c r="LR154" s="42"/>
      <c r="LS154" s="42"/>
      <c r="LT154" s="42"/>
      <c r="LU154" s="42"/>
      <c r="LV154" s="42"/>
      <c r="LW154" s="42"/>
      <c r="LX154" s="42"/>
      <c r="LY154" s="42"/>
      <c r="LZ154" s="42"/>
      <c r="MA154" s="42"/>
      <c r="MB154" s="42"/>
      <c r="MC154" s="42"/>
      <c r="MD154" s="42"/>
      <c r="ME154" s="42"/>
      <c r="MF154" s="42"/>
      <c r="MG154" s="42"/>
      <c r="MH154" s="42"/>
      <c r="MI154" s="42"/>
      <c r="MJ154" s="42"/>
      <c r="MK154" s="42"/>
      <c r="ML154" s="42"/>
      <c r="MM154" s="42"/>
      <c r="MN154" s="42"/>
      <c r="MO154" s="42"/>
      <c r="MP154" s="42"/>
      <c r="MQ154" s="42"/>
      <c r="MR154" s="42"/>
      <c r="MS154" s="42"/>
      <c r="MT154" s="42"/>
      <c r="MU154" s="42"/>
      <c r="MV154" s="42"/>
      <c r="MW154" s="42"/>
      <c r="MX154" s="42"/>
      <c r="MY154" s="42"/>
      <c r="MZ154" s="42"/>
      <c r="NA154" s="42"/>
      <c r="NB154" s="42"/>
      <c r="NC154" s="42"/>
      <c r="ND154" s="42"/>
      <c r="NE154" s="42"/>
      <c r="NF154" s="42"/>
      <c r="NG154" s="42"/>
      <c r="NH154" s="42"/>
      <c r="NI154" s="42"/>
      <c r="NJ154" s="42"/>
      <c r="NK154" s="42"/>
      <c r="NL154" s="42"/>
      <c r="NM154" s="42"/>
      <c r="NN154" s="42"/>
      <c r="NO154" s="42"/>
      <c r="NP154" s="42"/>
      <c r="NQ154" s="42"/>
      <c r="NR154" s="42"/>
      <c r="NS154" s="42"/>
    </row>
    <row r="155" spans="1:383" s="5" customFormat="1" x14ac:dyDescent="0.25">
      <c r="A155" s="1"/>
      <c r="B155" s="2"/>
      <c r="C155" s="2"/>
      <c r="D155" s="2"/>
      <c r="E155" s="3"/>
      <c r="F155" s="3"/>
      <c r="G155" s="4"/>
      <c r="H155" s="1"/>
      <c r="I155" s="7"/>
      <c r="J155" s="7"/>
      <c r="K155" s="7"/>
      <c r="L155" s="7"/>
      <c r="M155" s="7"/>
      <c r="N155" s="7"/>
      <c r="O155" s="3"/>
      <c r="P155" s="7"/>
      <c r="AL155" s="7"/>
      <c r="AM155" s="7"/>
      <c r="AN155" s="7"/>
      <c r="AO155" s="7"/>
      <c r="AT155" s="7"/>
      <c r="AV155" s="11"/>
      <c r="AW155" s="7"/>
      <c r="AY155" s="7"/>
      <c r="BN155" s="7"/>
      <c r="CQ155" s="7"/>
      <c r="DF155" s="7"/>
      <c r="DG155" s="7"/>
      <c r="DL155" s="15"/>
      <c r="DQ155" s="16"/>
      <c r="DR155" s="7"/>
      <c r="DV155" s="16"/>
      <c r="DZ155" s="16"/>
      <c r="EA155" s="7"/>
      <c r="EF155" s="16"/>
      <c r="EK155" s="16"/>
      <c r="EL155" s="7"/>
      <c r="EP155" s="16"/>
      <c r="ET155" s="16"/>
      <c r="EU155" s="7"/>
      <c r="FM155" s="7"/>
      <c r="FN155" s="390"/>
      <c r="FO155" s="390"/>
      <c r="FR155" s="7"/>
      <c r="FY155" s="7"/>
      <c r="GG155" s="7"/>
      <c r="HX155" s="74"/>
      <c r="HY155" s="42"/>
      <c r="HZ155" s="42"/>
      <c r="IE155" s="42"/>
      <c r="IF155" s="42"/>
      <c r="IK155" s="42"/>
      <c r="IL155" s="42"/>
      <c r="IM155" s="42"/>
      <c r="IN155" s="7"/>
      <c r="IO155" s="42"/>
      <c r="IT155" s="42"/>
      <c r="IU155" s="42"/>
      <c r="KC155" s="7"/>
      <c r="KD155" s="42"/>
      <c r="KG155" s="391"/>
      <c r="KH155" s="42"/>
      <c r="KI155" s="42"/>
      <c r="KJ155" s="42"/>
      <c r="KK155" s="42"/>
      <c r="KL155" s="42"/>
      <c r="KM155" s="42"/>
      <c r="KN155" s="42"/>
      <c r="KO155" s="42"/>
      <c r="KP155" s="42"/>
      <c r="KQ155" s="42"/>
      <c r="KR155" s="42"/>
      <c r="KS155" s="42"/>
      <c r="KT155" s="42"/>
      <c r="KU155" s="42"/>
      <c r="KV155" s="42"/>
      <c r="KW155" s="42"/>
      <c r="KX155" s="42"/>
      <c r="KY155" s="42"/>
      <c r="KZ155" s="42"/>
      <c r="LA155" s="42"/>
      <c r="LB155" s="42"/>
      <c r="LC155" s="42"/>
      <c r="LD155" s="42"/>
      <c r="LE155" s="42"/>
      <c r="LF155" s="42"/>
      <c r="LG155" s="42"/>
      <c r="LH155" s="42"/>
      <c r="LI155" s="42"/>
      <c r="LJ155" s="42"/>
      <c r="LK155" s="42"/>
      <c r="LL155" s="42"/>
      <c r="LM155" s="42"/>
      <c r="LN155" s="42"/>
      <c r="LO155" s="42"/>
      <c r="LP155" s="42"/>
      <c r="LQ155" s="42"/>
      <c r="LR155" s="42"/>
      <c r="LS155" s="42"/>
      <c r="LT155" s="42"/>
      <c r="LU155" s="42"/>
      <c r="LV155" s="42"/>
      <c r="LW155" s="42"/>
      <c r="LX155" s="42"/>
      <c r="LY155" s="42"/>
      <c r="LZ155" s="42"/>
      <c r="MA155" s="42"/>
      <c r="MB155" s="42"/>
      <c r="MC155" s="42"/>
      <c r="MD155" s="42"/>
      <c r="ME155" s="42"/>
      <c r="MF155" s="42"/>
      <c r="MG155" s="42"/>
      <c r="MH155" s="42"/>
      <c r="MI155" s="42"/>
      <c r="MJ155" s="42"/>
      <c r="MK155" s="42"/>
      <c r="ML155" s="42"/>
      <c r="MM155" s="42"/>
      <c r="MN155" s="42"/>
      <c r="MO155" s="42"/>
      <c r="MP155" s="42"/>
      <c r="MQ155" s="42"/>
      <c r="MR155" s="42"/>
      <c r="MS155" s="42"/>
      <c r="MT155" s="42"/>
      <c r="MU155" s="42"/>
      <c r="MV155" s="42"/>
      <c r="MW155" s="42"/>
      <c r="MX155" s="42"/>
      <c r="MY155" s="42"/>
      <c r="MZ155" s="42"/>
      <c r="NA155" s="42"/>
      <c r="NB155" s="42"/>
      <c r="NC155" s="42"/>
      <c r="ND155" s="42"/>
      <c r="NE155" s="42"/>
      <c r="NF155" s="42"/>
      <c r="NG155" s="42"/>
      <c r="NH155" s="42"/>
      <c r="NI155" s="42"/>
      <c r="NJ155" s="42"/>
      <c r="NK155" s="42"/>
      <c r="NL155" s="42"/>
      <c r="NM155" s="42"/>
      <c r="NN155" s="42"/>
      <c r="NO155" s="42"/>
      <c r="NP155" s="42"/>
      <c r="NQ155" s="42"/>
      <c r="NR155" s="42"/>
      <c r="NS155" s="42"/>
    </row>
    <row r="156" spans="1:383" s="5" customFormat="1" x14ac:dyDescent="0.25">
      <c r="A156" s="1"/>
      <c r="B156" s="2"/>
      <c r="C156" s="2"/>
      <c r="D156" s="2"/>
      <c r="E156" s="3"/>
      <c r="F156" s="3"/>
      <c r="G156" s="4"/>
      <c r="H156" s="1"/>
      <c r="I156" s="7"/>
      <c r="J156" s="7"/>
      <c r="K156" s="7"/>
      <c r="L156" s="7"/>
      <c r="M156" s="7"/>
      <c r="N156" s="7"/>
      <c r="O156" s="3"/>
      <c r="P156" s="7"/>
      <c r="AL156" s="7"/>
      <c r="AM156" s="7"/>
      <c r="AN156" s="7"/>
      <c r="AO156" s="7"/>
      <c r="AT156" s="7"/>
      <c r="AV156" s="11"/>
      <c r="AW156" s="7"/>
      <c r="AY156" s="7"/>
      <c r="BN156" s="7"/>
      <c r="CQ156" s="7"/>
      <c r="DF156" s="7"/>
      <c r="DG156" s="7"/>
      <c r="DL156" s="15"/>
      <c r="DQ156" s="16"/>
      <c r="DR156" s="7"/>
      <c r="DV156" s="16"/>
      <c r="DZ156" s="16"/>
      <c r="EA156" s="7"/>
      <c r="EF156" s="16"/>
      <c r="EK156" s="16"/>
      <c r="EL156" s="7"/>
      <c r="EP156" s="16"/>
      <c r="ET156" s="16"/>
      <c r="EU156" s="7"/>
      <c r="FM156" s="7"/>
      <c r="FN156" s="390"/>
      <c r="FO156" s="390"/>
      <c r="FR156" s="7"/>
      <c r="FY156" s="7"/>
      <c r="GG156" s="7"/>
      <c r="HX156" s="74"/>
      <c r="HY156" s="42"/>
      <c r="HZ156" s="42"/>
      <c r="IE156" s="42"/>
      <c r="IF156" s="42"/>
      <c r="IK156" s="42"/>
      <c r="IL156" s="42"/>
      <c r="IM156" s="42"/>
      <c r="IN156" s="7"/>
      <c r="IO156" s="42"/>
      <c r="IT156" s="42"/>
      <c r="IU156" s="42"/>
      <c r="KC156" s="7"/>
      <c r="KD156" s="42"/>
      <c r="KG156" s="391"/>
      <c r="KH156" s="42"/>
      <c r="KI156" s="42"/>
      <c r="KJ156" s="42"/>
      <c r="KK156" s="42"/>
      <c r="KL156" s="42"/>
      <c r="KM156" s="42"/>
      <c r="KN156" s="42"/>
      <c r="KO156" s="42"/>
      <c r="KP156" s="42"/>
      <c r="KQ156" s="42"/>
      <c r="KR156" s="42"/>
      <c r="KS156" s="42"/>
      <c r="KT156" s="42"/>
      <c r="KU156" s="42"/>
      <c r="KV156" s="42"/>
      <c r="KW156" s="42"/>
      <c r="KX156" s="42"/>
      <c r="KY156" s="42"/>
      <c r="KZ156" s="42"/>
      <c r="LA156" s="42"/>
      <c r="LB156" s="42"/>
      <c r="LC156" s="42"/>
      <c r="LD156" s="42"/>
      <c r="LE156" s="42"/>
      <c r="LF156" s="42"/>
      <c r="LG156" s="42"/>
      <c r="LH156" s="42"/>
      <c r="LI156" s="42"/>
      <c r="LJ156" s="42"/>
      <c r="LK156" s="42"/>
      <c r="LL156" s="42"/>
      <c r="LM156" s="42"/>
      <c r="LN156" s="42"/>
      <c r="LO156" s="42"/>
      <c r="LP156" s="42"/>
      <c r="LQ156" s="42"/>
      <c r="LR156" s="42"/>
      <c r="LS156" s="42"/>
      <c r="LT156" s="42"/>
      <c r="LU156" s="42"/>
      <c r="LV156" s="42"/>
      <c r="LW156" s="42"/>
      <c r="LX156" s="42"/>
      <c r="LY156" s="42"/>
      <c r="LZ156" s="42"/>
      <c r="MA156" s="42"/>
      <c r="MB156" s="42"/>
      <c r="MC156" s="42"/>
      <c r="MD156" s="42"/>
      <c r="ME156" s="42"/>
      <c r="MF156" s="42"/>
      <c r="MG156" s="42"/>
      <c r="MH156" s="42"/>
      <c r="MI156" s="42"/>
      <c r="MJ156" s="42"/>
      <c r="MK156" s="42"/>
      <c r="ML156" s="42"/>
      <c r="MM156" s="42"/>
      <c r="MN156" s="42"/>
      <c r="MO156" s="42"/>
      <c r="MP156" s="42"/>
      <c r="MQ156" s="42"/>
      <c r="MR156" s="42"/>
      <c r="MS156" s="42"/>
      <c r="MT156" s="42"/>
      <c r="MU156" s="42"/>
      <c r="MV156" s="42"/>
      <c r="MW156" s="42"/>
      <c r="MX156" s="42"/>
      <c r="MY156" s="42"/>
      <c r="MZ156" s="42"/>
      <c r="NA156" s="42"/>
      <c r="NB156" s="42"/>
      <c r="NC156" s="42"/>
      <c r="ND156" s="42"/>
      <c r="NE156" s="42"/>
      <c r="NF156" s="42"/>
      <c r="NG156" s="42"/>
      <c r="NH156" s="42"/>
      <c r="NI156" s="42"/>
      <c r="NJ156" s="42"/>
      <c r="NK156" s="42"/>
      <c r="NL156" s="42"/>
      <c r="NM156" s="42"/>
      <c r="NN156" s="42"/>
      <c r="NO156" s="42"/>
      <c r="NP156" s="42"/>
      <c r="NQ156" s="42"/>
      <c r="NR156" s="42"/>
      <c r="NS156" s="42"/>
    </row>
  </sheetData>
  <conditionalFormatting sqref="BO6:CP6">
    <cfRule type="colorScale" priority="2">
      <colorScale>
        <cfvo type="min"/>
        <cfvo type="formula" val="AVERAGE($BO$8:$CP$150)"/>
        <cfvo type="max"/>
        <color rgb="FFF8696B"/>
        <color theme="0"/>
        <color rgb="FF63BE7B"/>
      </colorScale>
    </cfRule>
  </conditionalFormatting>
  <conditionalFormatting sqref="BO7:CP7">
    <cfRule type="colorScale" priority="579">
      <colorScale>
        <cfvo type="min"/>
        <cfvo type="formula" val="AVERAGE($BO$16:$CP$17)"/>
        <cfvo type="max"/>
        <color rgb="FFF8696B"/>
        <color theme="0"/>
        <color rgb="FF63BE7B"/>
      </colorScale>
    </cfRule>
  </conditionalFormatting>
  <conditionalFormatting sqref="BO9:CP17">
    <cfRule type="colorScale" priority="581">
      <colorScale>
        <cfvo type="min"/>
        <cfvo type="formula" val="AVERAGE($BO$16:$CP$17)"/>
        <cfvo type="max"/>
        <color rgb="FFF8696B"/>
        <color theme="0"/>
        <color rgb="FF63BE7B"/>
      </colorScale>
    </cfRule>
  </conditionalFormatting>
  <conditionalFormatting sqref="CR6:DE6">
    <cfRule type="colorScale" priority="1">
      <colorScale>
        <cfvo type="min"/>
        <cfvo type="formula" val="MEDIAN($CR$6:$DE$150)"/>
        <cfvo type="max"/>
        <color rgb="FFF8696B"/>
        <color theme="0"/>
        <color rgb="FF63BE7B"/>
      </colorScale>
    </cfRule>
  </conditionalFormatting>
  <conditionalFormatting sqref="CR7:DE8">
    <cfRule type="colorScale" priority="574">
      <colorScale>
        <cfvo type="min"/>
        <cfvo type="formula" val="MEDIAN($CR$7:$DE$17)"/>
        <cfvo type="max"/>
        <color rgb="FFF8696B"/>
        <color theme="0"/>
        <color rgb="FF63BE7B"/>
      </colorScale>
    </cfRule>
  </conditionalFormatting>
  <conditionalFormatting sqref="CR9:DE17">
    <cfRule type="colorScale" priority="578">
      <colorScale>
        <cfvo type="min"/>
        <cfvo type="formula" val="MEDIAN($CR$7:$DE$17)"/>
        <cfvo type="max"/>
        <color rgb="FFF8696B"/>
        <color theme="0"/>
        <color rgb="FF63BE7B"/>
      </colorScale>
    </cfRule>
  </conditionalFormatting>
  <conditionalFormatting sqref="IO6:KB6">
    <cfRule type="colorScale" priority="3">
      <colorScale>
        <cfvo type="min"/>
        <cfvo type="formula" val="AVERAGE($IO$8:$KB$150)"/>
        <cfvo type="max"/>
        <color rgb="FFF8696B"/>
        <color theme="0"/>
        <color rgb="FF63BE7B"/>
      </colorScale>
    </cfRule>
  </conditionalFormatting>
  <conditionalFormatting sqref="IO7:KB7">
    <cfRule type="colorScale" priority="580">
      <colorScale>
        <cfvo type="min"/>
        <cfvo type="formula" val="AVERAGE($IO$16:$KB$17)"/>
        <cfvo type="max"/>
        <color rgb="FFF8696B"/>
        <color theme="0"/>
        <color rgb="FF63BE7B"/>
      </colorScale>
    </cfRule>
  </conditionalFormatting>
  <conditionalFormatting sqref="IO9:KB17">
    <cfRule type="colorScale" priority="582">
      <colorScale>
        <cfvo type="min"/>
        <cfvo type="formula" val="AVERAGE($IO$16:$KB$17)"/>
        <cfvo type="max"/>
        <color rgb="FFF8696B"/>
        <color theme="0"/>
        <color rgb="FF63BE7B"/>
      </colorScale>
    </cfRule>
  </conditionalFormatting>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80"/>
  <sheetViews>
    <sheetView showGridLines="0" zoomScaleNormal="100" workbookViewId="0">
      <pane ySplit="1" topLeftCell="A38" activePane="bottomLeft" state="frozen"/>
      <selection activeCell="I88" sqref="I88"/>
      <selection pane="bottomLeft" activeCell="K75" sqref="K75"/>
    </sheetView>
  </sheetViews>
  <sheetFormatPr baseColWidth="10" defaultColWidth="9.140625" defaultRowHeight="15" outlineLevelRow="1" x14ac:dyDescent="0.25"/>
  <cols>
    <col min="1" max="1" width="8" style="439" customWidth="1"/>
    <col min="2" max="2" width="24" style="439" customWidth="1"/>
    <col min="3" max="3" width="12" style="439" customWidth="1"/>
    <col min="4" max="4" width="6.42578125" style="439" customWidth="1"/>
    <col min="5" max="5" width="3" style="439" customWidth="1"/>
    <col min="6" max="6" width="4.140625" style="439" customWidth="1"/>
    <col min="7" max="7" width="27.85546875" style="439" customWidth="1"/>
    <col min="8" max="8" width="10.28515625" style="439" customWidth="1"/>
    <col min="9" max="9" width="10" style="439" customWidth="1"/>
    <col min="10" max="10" width="1.28515625" style="439" customWidth="1"/>
    <col min="11" max="11" width="6" style="439" customWidth="1"/>
    <col min="12" max="12" width="11" style="439" customWidth="1"/>
    <col min="13" max="21" width="13.42578125" style="439" customWidth="1"/>
    <col min="22" max="22" width="9.28515625" style="439" customWidth="1"/>
    <col min="23" max="23" width="15.5703125" style="439" customWidth="1"/>
  </cols>
  <sheetData>
    <row r="1" spans="1:23" ht="21" customHeight="1" x14ac:dyDescent="0.25">
      <c r="A1" s="420" t="s">
        <v>585</v>
      </c>
      <c r="B1" s="420"/>
      <c r="C1" s="420"/>
      <c r="D1" s="420"/>
      <c r="E1" s="420"/>
      <c r="F1" s="420"/>
      <c r="G1" s="420"/>
      <c r="H1" s="420"/>
      <c r="I1" s="420"/>
      <c r="J1" s="420"/>
      <c r="K1" s="420"/>
      <c r="L1" s="420"/>
      <c r="M1" s="420"/>
      <c r="N1" s="420"/>
      <c r="O1" s="420"/>
      <c r="P1" s="420"/>
      <c r="Q1" s="420"/>
      <c r="R1" s="420"/>
      <c r="S1" s="420"/>
      <c r="T1" s="420"/>
      <c r="U1" s="420"/>
      <c r="V1" s="420"/>
      <c r="W1" s="420"/>
    </row>
    <row r="2" spans="1:23" ht="5.0999999999999996" customHeight="1" thickBot="1" x14ac:dyDescent="0.3"/>
    <row r="3" spans="1:23" s="484" customFormat="1" ht="19.5" thickBot="1" x14ac:dyDescent="0.35">
      <c r="A3" s="490"/>
      <c r="B3" s="502"/>
      <c r="C3" s="502"/>
      <c r="D3" s="502"/>
      <c r="E3" s="502"/>
      <c r="F3" s="492" t="s">
        <v>585</v>
      </c>
      <c r="G3" s="492"/>
      <c r="H3" s="502"/>
      <c r="I3" s="502"/>
      <c r="J3" s="502"/>
      <c r="K3" s="502"/>
      <c r="L3" s="502"/>
      <c r="M3" s="502"/>
      <c r="N3" s="502"/>
      <c r="O3" s="502"/>
      <c r="P3" s="502"/>
      <c r="Q3" s="502"/>
      <c r="R3" s="502"/>
      <c r="S3" s="502"/>
      <c r="T3" s="502"/>
      <c r="U3" s="502"/>
      <c r="V3" s="502"/>
      <c r="W3" s="503"/>
    </row>
    <row r="4" spans="1:23" ht="5.0999999999999996" customHeight="1" x14ac:dyDescent="0.25"/>
    <row r="5" spans="1:23" x14ac:dyDescent="0.25">
      <c r="F5" s="399"/>
      <c r="G5" s="399" t="s">
        <v>586</v>
      </c>
      <c r="I5" s="470" t="s">
        <v>695</v>
      </c>
    </row>
    <row r="6" spans="1:23" x14ac:dyDescent="0.25">
      <c r="F6" s="402"/>
      <c r="G6" s="401" t="s">
        <v>587</v>
      </c>
      <c r="I6" s="470" t="s">
        <v>588</v>
      </c>
    </row>
    <row r="7" spans="1:23" x14ac:dyDescent="0.25">
      <c r="F7" s="405"/>
      <c r="G7" s="401" t="s">
        <v>589</v>
      </c>
      <c r="I7" s="470" t="s">
        <v>696</v>
      </c>
    </row>
    <row r="8" spans="1:23" ht="5.0999999999999996" customHeight="1" x14ac:dyDescent="0.25"/>
    <row r="9" spans="1:23" ht="15.75" customHeight="1" x14ac:dyDescent="0.25">
      <c r="F9" s="463" t="s">
        <v>694</v>
      </c>
      <c r="G9" s="464"/>
      <c r="H9" s="464"/>
      <c r="I9" s="464"/>
      <c r="J9" s="464"/>
      <c r="K9" s="464"/>
      <c r="L9" s="464"/>
      <c r="M9" s="464"/>
    </row>
    <row r="10" spans="1:23" ht="3.95" customHeight="1" x14ac:dyDescent="0.25"/>
    <row r="11" spans="1:23" x14ac:dyDescent="0.25">
      <c r="F11" s="441" t="s">
        <v>590</v>
      </c>
    </row>
    <row r="12" spans="1:23" x14ac:dyDescent="0.25">
      <c r="F12" s="471" t="s">
        <v>697</v>
      </c>
    </row>
    <row r="13" spans="1:23" x14ac:dyDescent="0.25">
      <c r="F13" s="471" t="s">
        <v>698</v>
      </c>
    </row>
    <row r="14" spans="1:23" x14ac:dyDescent="0.25">
      <c r="F14" s="472" t="s">
        <v>699</v>
      </c>
    </row>
    <row r="15" spans="1:23" ht="3.95" customHeight="1" x14ac:dyDescent="0.25"/>
    <row r="16" spans="1:23" x14ac:dyDescent="0.25">
      <c r="F16" s="441" t="s">
        <v>591</v>
      </c>
    </row>
    <row r="17" spans="6:11" s="446" customFormat="1" x14ac:dyDescent="0.25">
      <c r="F17" s="471" t="s">
        <v>700</v>
      </c>
    </row>
    <row r="18" spans="6:11" s="446" customFormat="1" ht="3.95" customHeight="1" x14ac:dyDescent="0.25"/>
    <row r="19" spans="6:11" s="446" customFormat="1" x14ac:dyDescent="0.25">
      <c r="F19" s="441" t="s">
        <v>592</v>
      </c>
    </row>
    <row r="20" spans="6:11" s="446" customFormat="1" x14ac:dyDescent="0.25">
      <c r="F20" s="471" t="s">
        <v>701</v>
      </c>
    </row>
    <row r="21" spans="6:11" s="446" customFormat="1" x14ac:dyDescent="0.25">
      <c r="F21" s="471" t="s">
        <v>795</v>
      </c>
    </row>
    <row r="22" spans="6:11" s="446" customFormat="1" x14ac:dyDescent="0.25">
      <c r="F22" s="471" t="s">
        <v>702</v>
      </c>
    </row>
    <row r="23" spans="6:11" s="446" customFormat="1" ht="3.95" customHeight="1" x14ac:dyDescent="0.25"/>
    <row r="24" spans="6:11" s="446" customFormat="1" x14ac:dyDescent="0.25">
      <c r="F24" s="445" t="s">
        <v>593</v>
      </c>
    </row>
    <row r="25" spans="6:11" s="446" customFormat="1" x14ac:dyDescent="0.25">
      <c r="F25" s="471" t="s">
        <v>703</v>
      </c>
    </row>
    <row r="26" spans="6:11" s="446" customFormat="1" x14ac:dyDescent="0.25">
      <c r="F26" s="471" t="s">
        <v>704</v>
      </c>
    </row>
    <row r="27" spans="6:11" s="446" customFormat="1" x14ac:dyDescent="0.25">
      <c r="F27" s="471" t="s">
        <v>705</v>
      </c>
      <c r="K27" s="444"/>
    </row>
    <row r="28" spans="6:11" s="446" customFormat="1" x14ac:dyDescent="0.25">
      <c r="F28" s="471" t="s">
        <v>794</v>
      </c>
    </row>
    <row r="29" spans="6:11" s="446" customFormat="1" x14ac:dyDescent="0.25">
      <c r="F29" s="471" t="s">
        <v>706</v>
      </c>
    </row>
    <row r="30" spans="6:11" x14ac:dyDescent="0.25">
      <c r="F30" s="471" t="s">
        <v>707</v>
      </c>
    </row>
    <row r="31" spans="6:11" ht="3.95" customHeight="1" x14ac:dyDescent="0.25">
      <c r="F31" s="441"/>
    </row>
    <row r="32" spans="6:11" x14ac:dyDescent="0.25">
      <c r="F32" s="441" t="s">
        <v>594</v>
      </c>
    </row>
    <row r="33" spans="1:23" ht="3.95" customHeight="1" thickBot="1" x14ac:dyDescent="0.3">
      <c r="F33" s="442"/>
    </row>
    <row r="34" spans="1:23" s="484" customFormat="1" ht="19.5" thickBot="1" x14ac:dyDescent="0.35">
      <c r="A34" s="490"/>
      <c r="B34" s="491"/>
      <c r="C34" s="491"/>
      <c r="D34" s="491"/>
      <c r="E34" s="491"/>
      <c r="F34" s="492" t="s">
        <v>743</v>
      </c>
      <c r="G34" s="492"/>
      <c r="H34" s="491"/>
      <c r="I34" s="491"/>
      <c r="J34" s="491"/>
      <c r="K34" s="491"/>
      <c r="L34" s="491"/>
      <c r="M34" s="491"/>
      <c r="N34" s="491"/>
      <c r="O34" s="491"/>
      <c r="P34" s="491"/>
      <c r="Q34" s="491"/>
      <c r="R34" s="491"/>
      <c r="S34" s="491"/>
      <c r="T34" s="491"/>
      <c r="U34" s="491"/>
      <c r="V34" s="491"/>
      <c r="W34" s="493"/>
    </row>
    <row r="35" spans="1:23" s="446" customFormat="1" ht="3.95" customHeight="1" x14ac:dyDescent="0.25">
      <c r="B35" s="448"/>
      <c r="C35" s="448"/>
      <c r="D35" s="448"/>
      <c r="E35" s="448"/>
      <c r="F35" s="448"/>
      <c r="G35" s="448"/>
      <c r="H35" s="448"/>
      <c r="I35" s="448"/>
      <c r="J35" s="448"/>
      <c r="K35" s="448"/>
      <c r="L35" s="448"/>
      <c r="M35" s="448"/>
      <c r="N35" s="448"/>
      <c r="O35" s="448"/>
      <c r="P35" s="448"/>
      <c r="Q35" s="448"/>
      <c r="R35" s="448"/>
      <c r="S35" s="448"/>
      <c r="T35" s="448"/>
      <c r="U35" s="448"/>
      <c r="V35" s="448"/>
      <c r="W35" s="448"/>
    </row>
    <row r="36" spans="1:23" s="446" customFormat="1" ht="18" customHeight="1" x14ac:dyDescent="0.25">
      <c r="A36" s="465" t="s">
        <v>595</v>
      </c>
      <c r="B36" s="466"/>
      <c r="C36" s="466"/>
      <c r="D36" s="466"/>
      <c r="E36" s="467"/>
      <c r="F36" s="467"/>
      <c r="G36" s="467"/>
      <c r="H36" s="448"/>
      <c r="I36" s="448"/>
      <c r="J36" s="448"/>
      <c r="K36" s="448"/>
      <c r="M36" s="465" t="s">
        <v>596</v>
      </c>
      <c r="N36" s="467"/>
      <c r="O36" s="467"/>
      <c r="P36" s="467"/>
      <c r="Q36" s="467"/>
      <c r="R36" s="448"/>
      <c r="S36" s="448"/>
      <c r="T36" s="448"/>
      <c r="U36" s="448"/>
      <c r="V36" s="448"/>
      <c r="W36" s="448"/>
    </row>
    <row r="37" spans="1:23" s="446" customFormat="1" x14ac:dyDescent="0.25">
      <c r="A37" s="459" t="s">
        <v>680</v>
      </c>
      <c r="E37" s="448"/>
      <c r="F37" s="448"/>
      <c r="G37" s="448"/>
      <c r="H37" s="448"/>
      <c r="I37" s="448"/>
      <c r="J37" s="448"/>
      <c r="K37" s="448"/>
      <c r="M37" s="459" t="s">
        <v>793</v>
      </c>
      <c r="N37" s="448"/>
      <c r="O37" s="448"/>
      <c r="P37" s="448"/>
      <c r="Q37" s="448"/>
      <c r="R37" s="448"/>
      <c r="S37" s="448"/>
      <c r="T37" s="448"/>
      <c r="U37" s="448"/>
      <c r="V37" s="448"/>
      <c r="W37" s="448"/>
    </row>
    <row r="38" spans="1:23" s="446" customFormat="1" x14ac:dyDescent="0.25">
      <c r="A38" s="459" t="s">
        <v>681</v>
      </c>
      <c r="E38" s="448"/>
      <c r="F38" s="448"/>
      <c r="G38" s="448"/>
      <c r="H38" s="448"/>
      <c r="I38" s="448"/>
      <c r="J38" s="448"/>
      <c r="K38" s="448"/>
      <c r="M38" s="459" t="s">
        <v>683</v>
      </c>
      <c r="N38" s="448"/>
      <c r="O38" s="448"/>
      <c r="P38" s="448"/>
      <c r="Q38" s="448"/>
      <c r="R38" s="448"/>
      <c r="S38" s="448"/>
      <c r="T38" s="448"/>
      <c r="U38" s="448"/>
      <c r="V38" s="448"/>
      <c r="W38" s="448"/>
    </row>
    <row r="39" spans="1:23" s="446" customFormat="1" x14ac:dyDescent="0.25">
      <c r="A39" s="459" t="s">
        <v>682</v>
      </c>
      <c r="E39" s="448"/>
      <c r="F39" s="448"/>
      <c r="G39" s="448"/>
      <c r="H39" s="448"/>
      <c r="I39" s="448"/>
      <c r="J39" s="448"/>
      <c r="K39" s="448"/>
      <c r="M39" s="459" t="s">
        <v>684</v>
      </c>
      <c r="N39" s="448"/>
      <c r="O39" s="448"/>
      <c r="P39" s="448"/>
      <c r="Q39" s="448"/>
      <c r="R39" s="448"/>
      <c r="S39" s="448"/>
      <c r="T39" s="448"/>
      <c r="U39" s="448"/>
      <c r="V39" s="448"/>
      <c r="W39" s="448"/>
    </row>
    <row r="40" spans="1:23" s="446" customFormat="1" ht="15" customHeight="1" x14ac:dyDescent="0.3">
      <c r="A40" s="460" t="s">
        <v>746</v>
      </c>
      <c r="E40" s="424"/>
      <c r="M40" s="450" t="s">
        <v>597</v>
      </c>
    </row>
    <row r="41" spans="1:23" s="446" customFormat="1" ht="3.95" customHeight="1" x14ac:dyDescent="0.3">
      <c r="B41" s="449"/>
      <c r="C41" s="449"/>
      <c r="E41" s="428"/>
    </row>
    <row r="42" spans="1:23" s="425" customFormat="1" ht="18" customHeight="1" x14ac:dyDescent="0.25">
      <c r="A42" s="426" t="s">
        <v>587</v>
      </c>
      <c r="B42" s="426"/>
      <c r="C42" s="426"/>
      <c r="D42" s="426"/>
      <c r="E42" s="426"/>
      <c r="F42" s="427" t="s">
        <v>598</v>
      </c>
      <c r="G42" s="427"/>
      <c r="H42" s="427"/>
      <c r="I42" s="427"/>
      <c r="J42" s="439"/>
      <c r="K42" s="465" t="s">
        <v>599</v>
      </c>
      <c r="L42" s="468"/>
      <c r="M42" s="468"/>
      <c r="N42" s="468"/>
      <c r="O42" s="468"/>
      <c r="P42" s="468"/>
      <c r="Q42" s="468"/>
      <c r="R42" s="468"/>
    </row>
    <row r="43" spans="1:23" ht="3.95" customHeight="1" x14ac:dyDescent="0.25">
      <c r="K43" s="440"/>
    </row>
    <row r="44" spans="1:23" x14ac:dyDescent="0.25">
      <c r="K44" s="445" t="s">
        <v>600</v>
      </c>
    </row>
    <row r="45" spans="1:23" x14ac:dyDescent="0.25">
      <c r="K45" s="443" t="s">
        <v>601</v>
      </c>
    </row>
    <row r="46" spans="1:23" x14ac:dyDescent="0.25">
      <c r="K46" s="443" t="s">
        <v>602</v>
      </c>
    </row>
    <row r="47" spans="1:23" x14ac:dyDescent="0.25">
      <c r="K47" s="443" t="s">
        <v>603</v>
      </c>
    </row>
    <row r="48" spans="1:23" ht="3.95" customHeight="1" x14ac:dyDescent="0.25"/>
    <row r="49" spans="4:11" x14ac:dyDescent="0.25">
      <c r="K49" s="445" t="s">
        <v>604</v>
      </c>
    </row>
    <row r="50" spans="4:11" x14ac:dyDescent="0.25">
      <c r="K50" s="443" t="s">
        <v>605</v>
      </c>
    </row>
    <row r="51" spans="4:11" x14ac:dyDescent="0.25">
      <c r="K51" s="443" t="s">
        <v>606</v>
      </c>
    </row>
    <row r="52" spans="4:11" x14ac:dyDescent="0.25">
      <c r="K52" s="443" t="s">
        <v>607</v>
      </c>
    </row>
    <row r="53" spans="4:11" ht="3.95" customHeight="1" x14ac:dyDescent="0.25"/>
    <row r="54" spans="4:11" x14ac:dyDescent="0.25">
      <c r="K54" s="445" t="s">
        <v>608</v>
      </c>
    </row>
    <row r="55" spans="4:11" x14ac:dyDescent="0.25">
      <c r="K55" s="443" t="s">
        <v>609</v>
      </c>
    </row>
    <row r="56" spans="4:11" x14ac:dyDescent="0.25">
      <c r="K56" s="443" t="s">
        <v>610</v>
      </c>
    </row>
    <row r="57" spans="4:11" x14ac:dyDescent="0.25">
      <c r="D57" s="470"/>
      <c r="K57" s="443" t="s">
        <v>611</v>
      </c>
    </row>
    <row r="58" spans="4:11" x14ac:dyDescent="0.25">
      <c r="K58" s="443" t="s">
        <v>612</v>
      </c>
    </row>
    <row r="59" spans="4:11" ht="3.95" customHeight="1" x14ac:dyDescent="0.25"/>
    <row r="60" spans="4:11" x14ac:dyDescent="0.25">
      <c r="K60" s="445" t="s">
        <v>613</v>
      </c>
    </row>
    <row r="61" spans="4:11" x14ac:dyDescent="0.25">
      <c r="K61" s="443" t="s">
        <v>614</v>
      </c>
    </row>
    <row r="62" spans="4:11" x14ac:dyDescent="0.25">
      <c r="K62" s="443" t="s">
        <v>615</v>
      </c>
    </row>
    <row r="63" spans="4:11" x14ac:dyDescent="0.25">
      <c r="K63" s="443" t="s">
        <v>616</v>
      </c>
    </row>
    <row r="64" spans="4:11" s="461" customFormat="1" ht="3.95" customHeight="1" x14ac:dyDescent="0.25">
      <c r="K64" s="517"/>
    </row>
    <row r="65" spans="1:18" x14ac:dyDescent="0.25">
      <c r="K65" s="445" t="s">
        <v>617</v>
      </c>
    </row>
    <row r="66" spans="1:18" x14ac:dyDescent="0.25">
      <c r="K66" s="443" t="s">
        <v>618</v>
      </c>
    </row>
    <row r="67" spans="1:18" x14ac:dyDescent="0.25">
      <c r="K67" s="443" t="s">
        <v>619</v>
      </c>
    </row>
    <row r="68" spans="1:18" x14ac:dyDescent="0.25">
      <c r="K68" s="443" t="s">
        <v>620</v>
      </c>
      <c r="R68" s="443"/>
    </row>
    <row r="69" spans="1:18" ht="3.95" customHeight="1" x14ac:dyDescent="0.25">
      <c r="D69" s="470"/>
    </row>
    <row r="70" spans="1:18" x14ac:dyDescent="0.25">
      <c r="K70" s="445" t="s">
        <v>621</v>
      </c>
    </row>
    <row r="71" spans="1:18" s="446" customFormat="1" x14ac:dyDescent="0.25">
      <c r="K71" s="443" t="s">
        <v>622</v>
      </c>
    </row>
    <row r="72" spans="1:18" x14ac:dyDescent="0.25">
      <c r="K72" s="443" t="s">
        <v>623</v>
      </c>
    </row>
    <row r="73" spans="1:18" s="446" customFormat="1" x14ac:dyDescent="0.25">
      <c r="A73" s="454"/>
      <c r="B73" s="454"/>
      <c r="C73" s="454"/>
      <c r="D73" s="454"/>
      <c r="E73" s="454"/>
      <c r="F73" s="454"/>
      <c r="H73" s="454"/>
      <c r="I73" s="454"/>
      <c r="J73" s="454"/>
      <c r="K73" s="443" t="s">
        <v>624</v>
      </c>
      <c r="N73" s="454"/>
      <c r="O73" s="454"/>
    </row>
    <row r="74" spans="1:18" s="446" customFormat="1" ht="3.95" customHeight="1" x14ac:dyDescent="0.25">
      <c r="A74" s="454"/>
      <c r="B74" s="454"/>
      <c r="C74" s="454"/>
      <c r="D74" s="454"/>
      <c r="E74" s="454"/>
      <c r="F74" s="454"/>
      <c r="H74" s="454"/>
      <c r="J74" s="454"/>
      <c r="N74" s="454"/>
      <c r="O74" s="454"/>
    </row>
    <row r="75" spans="1:18" s="446" customFormat="1" x14ac:dyDescent="0.25">
      <c r="A75" s="454"/>
      <c r="B75" s="454"/>
      <c r="C75" s="454"/>
      <c r="D75" s="454"/>
      <c r="E75" s="454"/>
      <c r="F75" s="454"/>
      <c r="H75" s="454"/>
      <c r="J75" s="454"/>
      <c r="K75" s="445" t="s">
        <v>625</v>
      </c>
      <c r="N75" s="454"/>
      <c r="O75" s="454"/>
    </row>
    <row r="76" spans="1:18" s="446" customFormat="1" x14ac:dyDescent="0.25">
      <c r="A76" s="454"/>
      <c r="B76" s="454"/>
      <c r="C76" s="454"/>
      <c r="D76" s="454"/>
      <c r="E76" s="454"/>
      <c r="F76" s="454"/>
      <c r="H76" s="454"/>
      <c r="J76" s="454"/>
      <c r="K76" s="443" t="s">
        <v>626</v>
      </c>
      <c r="N76" s="454"/>
      <c r="O76" s="454"/>
    </row>
    <row r="77" spans="1:18" s="446" customFormat="1" x14ac:dyDescent="0.25">
      <c r="A77" s="454"/>
      <c r="B77" s="454"/>
      <c r="C77" s="454"/>
      <c r="D77" s="454"/>
      <c r="E77" s="454"/>
      <c r="F77" s="454"/>
      <c r="H77" s="454"/>
      <c r="J77" s="454"/>
      <c r="K77" s="443" t="s">
        <v>627</v>
      </c>
      <c r="N77" s="454"/>
      <c r="O77" s="454"/>
    </row>
    <row r="78" spans="1:18" s="446" customFormat="1" x14ac:dyDescent="0.25">
      <c r="A78" s="454"/>
      <c r="B78" s="454"/>
      <c r="C78" s="454"/>
      <c r="D78" s="454"/>
      <c r="E78" s="454"/>
      <c r="F78" s="454"/>
      <c r="H78" s="454"/>
      <c r="J78" s="454"/>
      <c r="K78" s="443" t="s">
        <v>628</v>
      </c>
      <c r="N78" s="454"/>
      <c r="O78" s="454"/>
    </row>
    <row r="79" spans="1:18" s="446" customFormat="1" x14ac:dyDescent="0.25">
      <c r="A79" s="454"/>
      <c r="B79" s="454"/>
      <c r="C79" s="454"/>
      <c r="D79" s="454"/>
      <c r="E79" s="454"/>
      <c r="F79" s="454"/>
      <c r="H79" s="454"/>
      <c r="J79" s="454"/>
      <c r="K79" s="443" t="s">
        <v>629</v>
      </c>
      <c r="N79" s="454"/>
      <c r="O79" s="454"/>
    </row>
    <row r="80" spans="1:18" s="446" customFormat="1" ht="3.95" customHeight="1" x14ac:dyDescent="0.25">
      <c r="A80" s="454"/>
      <c r="K80" s="454"/>
      <c r="N80" s="454"/>
      <c r="O80" s="454"/>
    </row>
    <row r="81" spans="1:15" s="446" customFormat="1" x14ac:dyDescent="0.25">
      <c r="A81" s="454"/>
      <c r="K81" s="445" t="s">
        <v>630</v>
      </c>
      <c r="N81" s="454"/>
      <c r="O81" s="454"/>
    </row>
    <row r="82" spans="1:15" s="446" customFormat="1" x14ac:dyDescent="0.25">
      <c r="A82" s="454"/>
      <c r="K82" s="443" t="s">
        <v>631</v>
      </c>
      <c r="N82" s="454"/>
      <c r="O82" s="454"/>
    </row>
    <row r="83" spans="1:15" s="446" customFormat="1" x14ac:dyDescent="0.25">
      <c r="A83" s="454"/>
      <c r="K83" s="443" t="s">
        <v>632</v>
      </c>
      <c r="N83" s="454"/>
      <c r="O83" s="454"/>
    </row>
    <row r="84" spans="1:15" s="446" customFormat="1" x14ac:dyDescent="0.25">
      <c r="A84" s="454"/>
      <c r="K84" s="443" t="s">
        <v>633</v>
      </c>
      <c r="N84" s="454"/>
      <c r="O84" s="454"/>
    </row>
    <row r="85" spans="1:15" s="446" customFormat="1" ht="3.95" customHeight="1" x14ac:dyDescent="0.25">
      <c r="A85" s="454"/>
      <c r="N85" s="454"/>
      <c r="O85" s="454"/>
    </row>
    <row r="86" spans="1:15" s="446" customFormat="1" x14ac:dyDescent="0.25">
      <c r="A86" s="454"/>
      <c r="K86" s="445" t="s">
        <v>634</v>
      </c>
      <c r="N86" s="454"/>
      <c r="O86" s="454"/>
    </row>
    <row r="87" spans="1:15" s="446" customFormat="1" x14ac:dyDescent="0.25">
      <c r="A87" s="454"/>
      <c r="K87" s="443" t="s">
        <v>635</v>
      </c>
      <c r="N87" s="454"/>
      <c r="O87" s="454"/>
    </row>
    <row r="88" spans="1:15" s="446" customFormat="1" x14ac:dyDescent="0.25">
      <c r="A88" s="454"/>
      <c r="K88" s="443" t="s">
        <v>636</v>
      </c>
      <c r="N88" s="454"/>
      <c r="O88" s="454"/>
    </row>
    <row r="112" spans="1:15" s="505" customFormat="1" x14ac:dyDescent="0.25">
      <c r="A112" s="506"/>
      <c r="C112" s="504"/>
      <c r="D112" s="504"/>
      <c r="E112" s="504"/>
      <c r="F112" s="504"/>
      <c r="G112" s="504"/>
      <c r="H112" s="504"/>
      <c r="I112" s="504"/>
      <c r="J112" s="504"/>
      <c r="K112" s="504"/>
      <c r="L112" s="504"/>
      <c r="M112" s="506"/>
      <c r="N112" s="506"/>
      <c r="O112" s="506"/>
    </row>
    <row r="113" spans="1:15" s="446" customFormat="1" x14ac:dyDescent="0.25">
      <c r="A113" s="461"/>
      <c r="C113" s="454"/>
      <c r="D113" s="454"/>
      <c r="E113" s="454"/>
      <c r="F113" s="454"/>
      <c r="G113" s="454"/>
      <c r="H113" s="454"/>
      <c r="I113" s="454"/>
      <c r="J113" s="454"/>
      <c r="K113" s="454"/>
      <c r="L113" s="454"/>
      <c r="M113" s="461"/>
      <c r="N113" s="461"/>
      <c r="O113" s="461"/>
    </row>
    <row r="114" spans="1:15" s="446" customFormat="1" x14ac:dyDescent="0.25">
      <c r="A114" s="461"/>
      <c r="C114" s="454"/>
      <c r="D114" s="454"/>
      <c r="E114" s="454"/>
      <c r="F114" s="454"/>
      <c r="G114" s="454"/>
      <c r="H114" s="454"/>
      <c r="I114" s="454"/>
      <c r="J114" s="454"/>
      <c r="K114" s="454"/>
      <c r="L114" s="454"/>
      <c r="M114" s="461"/>
      <c r="N114" s="461"/>
      <c r="O114" s="461"/>
    </row>
    <row r="115" spans="1:15" s="446" customFormat="1" x14ac:dyDescent="0.25">
      <c r="A115" s="461"/>
      <c r="C115" s="454"/>
      <c r="D115" s="454"/>
      <c r="E115" s="454"/>
      <c r="F115" s="454"/>
      <c r="G115" s="454"/>
      <c r="H115" s="454"/>
      <c r="I115" s="454"/>
      <c r="J115" s="454"/>
      <c r="K115" s="454"/>
      <c r="L115" s="454"/>
      <c r="M115" s="461"/>
      <c r="N115" s="461"/>
      <c r="O115" s="461"/>
    </row>
    <row r="116" spans="1:15" s="446" customFormat="1" x14ac:dyDescent="0.25">
      <c r="A116" s="461"/>
      <c r="C116" s="454"/>
      <c r="D116" s="454"/>
      <c r="E116" s="454"/>
      <c r="F116" s="454"/>
      <c r="G116" s="454"/>
      <c r="H116" s="454"/>
      <c r="I116" s="454"/>
      <c r="J116" s="454"/>
      <c r="K116" s="454"/>
      <c r="L116" s="454"/>
      <c r="M116" s="461"/>
      <c r="N116" s="461"/>
      <c r="O116" s="461"/>
    </row>
    <row r="117" spans="1:15" s="446" customFormat="1" x14ac:dyDescent="0.25">
      <c r="A117" s="461"/>
      <c r="C117" s="454"/>
      <c r="D117" s="454"/>
      <c r="E117" s="454"/>
      <c r="F117" s="454"/>
      <c r="G117" s="454"/>
      <c r="H117" s="454"/>
      <c r="I117" s="454"/>
      <c r="J117" s="454"/>
      <c r="K117" s="454"/>
      <c r="L117" s="454"/>
      <c r="M117" s="461"/>
      <c r="N117" s="461"/>
      <c r="O117" s="461"/>
    </row>
    <row r="118" spans="1:15" s="446" customFormat="1" x14ac:dyDescent="0.25">
      <c r="A118" s="461"/>
      <c r="C118" s="454"/>
      <c r="D118" s="454"/>
      <c r="E118" s="454"/>
      <c r="F118" s="454"/>
      <c r="G118" s="454"/>
      <c r="H118" s="454"/>
      <c r="I118" s="454"/>
      <c r="J118" s="454"/>
      <c r="K118" s="454"/>
      <c r="L118" s="454"/>
      <c r="M118" s="461"/>
      <c r="N118" s="461"/>
      <c r="O118" s="461"/>
    </row>
    <row r="119" spans="1:15" s="446" customFormat="1" x14ac:dyDescent="0.25">
      <c r="A119" s="461"/>
      <c r="C119" s="454"/>
      <c r="D119" s="454"/>
      <c r="E119" s="454"/>
      <c r="F119" s="454"/>
      <c r="G119" s="454"/>
      <c r="H119" s="454"/>
      <c r="I119" s="454"/>
      <c r="J119" s="454"/>
      <c r="K119" s="454"/>
      <c r="L119" s="454"/>
      <c r="M119" s="461"/>
      <c r="N119" s="461"/>
      <c r="O119" s="461"/>
    </row>
    <row r="120" spans="1:15" s="446" customFormat="1" x14ac:dyDescent="0.25">
      <c r="A120" s="461"/>
      <c r="C120" s="454"/>
      <c r="D120" s="454"/>
      <c r="E120" s="454"/>
      <c r="F120" s="454"/>
      <c r="G120" s="454"/>
      <c r="H120" s="454"/>
      <c r="I120" s="454"/>
      <c r="J120" s="454"/>
      <c r="K120" s="454"/>
      <c r="L120" s="454"/>
      <c r="M120" s="461"/>
      <c r="N120" s="461"/>
      <c r="O120" s="461"/>
    </row>
    <row r="121" spans="1:15" s="446" customFormat="1" x14ac:dyDescent="0.25">
      <c r="A121" s="461"/>
      <c r="C121" s="454"/>
      <c r="D121" s="454"/>
      <c r="E121" s="454"/>
      <c r="F121" s="454"/>
      <c r="G121" s="454"/>
      <c r="H121" s="454"/>
      <c r="I121" s="454"/>
      <c r="J121" s="454"/>
      <c r="K121" s="454"/>
      <c r="L121" s="454"/>
      <c r="M121" s="461"/>
      <c r="N121" s="461"/>
      <c r="O121" s="461"/>
    </row>
    <row r="122" spans="1:15" s="446" customFormat="1" x14ac:dyDescent="0.25">
      <c r="A122" s="461"/>
      <c r="C122" s="454"/>
      <c r="D122" s="454"/>
      <c r="E122" s="454"/>
      <c r="F122" s="454"/>
      <c r="G122" s="454"/>
      <c r="H122" s="454"/>
      <c r="I122" s="454"/>
      <c r="J122" s="454"/>
      <c r="K122" s="454"/>
      <c r="L122" s="454"/>
      <c r="M122" s="461"/>
      <c r="N122" s="461"/>
      <c r="O122" s="461"/>
    </row>
    <row r="123" spans="1:15" s="446" customFormat="1" x14ac:dyDescent="0.25">
      <c r="A123" s="461"/>
      <c r="C123" s="454"/>
      <c r="D123" s="454"/>
      <c r="E123" s="454"/>
      <c r="F123" s="454"/>
      <c r="G123" s="454"/>
      <c r="H123" s="454"/>
      <c r="I123" s="454"/>
      <c r="J123" s="454"/>
      <c r="K123" s="454"/>
      <c r="L123" s="454"/>
      <c r="M123" s="461"/>
      <c r="N123" s="461"/>
      <c r="O123" s="461"/>
    </row>
    <row r="124" spans="1:15" s="446" customFormat="1" x14ac:dyDescent="0.25">
      <c r="A124" s="461"/>
      <c r="C124" s="454"/>
      <c r="D124" s="454"/>
      <c r="E124" s="454"/>
      <c r="F124" s="454"/>
      <c r="G124" s="454"/>
      <c r="H124" s="454"/>
      <c r="I124" s="454"/>
      <c r="J124" s="454"/>
      <c r="K124" s="454"/>
      <c r="L124" s="454"/>
      <c r="M124" s="461"/>
      <c r="N124" s="461"/>
      <c r="O124" s="461"/>
    </row>
    <row r="125" spans="1:15" s="446" customFormat="1" x14ac:dyDescent="0.25">
      <c r="A125" s="461"/>
      <c r="C125" s="454"/>
      <c r="D125" s="454"/>
      <c r="E125" s="454"/>
      <c r="F125" s="454"/>
      <c r="G125" s="454"/>
      <c r="H125" s="454"/>
      <c r="I125" s="454"/>
      <c r="J125" s="454"/>
      <c r="K125" s="454"/>
      <c r="L125" s="454"/>
      <c r="M125" s="461"/>
      <c r="N125" s="461"/>
      <c r="O125" s="461"/>
    </row>
    <row r="126" spans="1:15" s="446" customFormat="1" x14ac:dyDescent="0.25">
      <c r="A126" s="461"/>
      <c r="C126" s="461"/>
      <c r="D126" s="461"/>
      <c r="E126" s="461"/>
      <c r="F126" s="461"/>
      <c r="G126" s="461"/>
      <c r="H126" s="461"/>
      <c r="I126" s="461"/>
      <c r="J126" s="461"/>
      <c r="K126" s="461"/>
      <c r="L126" s="461"/>
      <c r="M126" s="461"/>
      <c r="N126" s="461"/>
      <c r="O126" s="461"/>
    </row>
    <row r="127" spans="1:15" s="446" customFormat="1" x14ac:dyDescent="0.25">
      <c r="A127" s="461"/>
      <c r="C127" s="461"/>
      <c r="D127" s="461"/>
      <c r="E127" s="461"/>
      <c r="F127" s="461"/>
      <c r="G127" s="461"/>
      <c r="H127" s="461"/>
      <c r="I127" s="461"/>
      <c r="J127" s="461"/>
      <c r="K127" s="461"/>
      <c r="L127" s="461"/>
      <c r="M127" s="461"/>
      <c r="N127" s="461"/>
      <c r="O127" s="461"/>
    </row>
    <row r="128" spans="1:15" s="446" customFormat="1" x14ac:dyDescent="0.25">
      <c r="A128" s="461"/>
      <c r="C128" s="461"/>
      <c r="D128" s="461"/>
      <c r="E128" s="461"/>
      <c r="F128" s="461"/>
      <c r="G128" s="461"/>
      <c r="H128" s="461"/>
      <c r="I128" s="461"/>
      <c r="J128" s="461"/>
      <c r="K128" s="461"/>
      <c r="L128" s="461"/>
      <c r="M128" s="461"/>
      <c r="N128" s="461"/>
      <c r="O128" s="461"/>
    </row>
    <row r="129" spans="1:15" s="446" customFormat="1" x14ac:dyDescent="0.25">
      <c r="A129" s="461"/>
      <c r="C129" s="461"/>
      <c r="D129" s="461"/>
      <c r="E129" s="461"/>
      <c r="F129" s="461"/>
      <c r="G129" s="461"/>
      <c r="H129" s="461"/>
      <c r="I129" s="461"/>
      <c r="J129" s="461"/>
      <c r="K129" s="461"/>
      <c r="L129" s="461"/>
      <c r="M129" s="461"/>
      <c r="N129" s="461"/>
      <c r="O129" s="461"/>
    </row>
    <row r="130" spans="1:15" s="446" customFormat="1" x14ac:dyDescent="0.25">
      <c r="A130" s="461"/>
      <c r="C130" s="461"/>
      <c r="D130" s="461"/>
      <c r="E130" s="461"/>
      <c r="F130" s="461"/>
      <c r="G130" s="461"/>
      <c r="H130" s="461"/>
      <c r="I130" s="461"/>
      <c r="J130" s="461"/>
      <c r="K130" s="461"/>
      <c r="L130" s="461"/>
      <c r="M130" s="461"/>
      <c r="N130" s="461"/>
      <c r="O130" s="461"/>
    </row>
    <row r="131" spans="1:15" s="446" customFormat="1" x14ac:dyDescent="0.25">
      <c r="A131" s="461"/>
      <c r="C131" s="461"/>
      <c r="D131" s="461"/>
      <c r="E131" s="461"/>
      <c r="F131" s="461"/>
      <c r="G131" s="461"/>
      <c r="H131" s="461"/>
      <c r="I131" s="461"/>
      <c r="J131" s="461"/>
      <c r="K131" s="461"/>
      <c r="L131" s="461"/>
      <c r="M131" s="461"/>
      <c r="N131" s="461"/>
      <c r="O131" s="461"/>
    </row>
    <row r="132" spans="1:15" s="446" customFormat="1" x14ac:dyDescent="0.25">
      <c r="A132" s="461"/>
      <c r="C132" s="461"/>
      <c r="D132" s="461"/>
      <c r="E132" s="461"/>
      <c r="F132" s="461"/>
      <c r="G132" s="461"/>
      <c r="H132" s="461"/>
      <c r="I132" s="461"/>
      <c r="J132" s="461"/>
      <c r="K132" s="461"/>
      <c r="L132" s="461"/>
      <c r="M132" s="461"/>
      <c r="N132" s="461"/>
      <c r="O132" s="461"/>
    </row>
    <row r="133" spans="1:15" s="446" customFormat="1" x14ac:dyDescent="0.25">
      <c r="A133" s="461"/>
      <c r="C133" s="461"/>
      <c r="D133" s="461"/>
      <c r="E133" s="461"/>
      <c r="F133" s="461"/>
      <c r="G133" s="461"/>
      <c r="H133" s="461"/>
      <c r="I133" s="461"/>
      <c r="J133" s="461"/>
      <c r="K133" s="461"/>
      <c r="L133" s="461"/>
      <c r="M133" s="461"/>
      <c r="N133" s="461"/>
      <c r="O133" s="461"/>
    </row>
    <row r="134" spans="1:15" s="446" customFormat="1" ht="15.75" x14ac:dyDescent="0.25">
      <c r="A134" s="461"/>
      <c r="B134" s="462"/>
      <c r="C134" s="461"/>
      <c r="D134" s="461"/>
      <c r="E134" s="461"/>
      <c r="F134" s="461"/>
      <c r="G134" s="461"/>
      <c r="H134" s="461"/>
      <c r="I134" s="461"/>
      <c r="J134" s="461"/>
      <c r="K134" s="461"/>
      <c r="L134" s="461"/>
      <c r="M134" s="461"/>
      <c r="N134" s="461"/>
      <c r="O134" s="461"/>
    </row>
    <row r="135" spans="1:15" s="446" customFormat="1" ht="15.75" x14ac:dyDescent="0.25">
      <c r="A135" s="461"/>
      <c r="B135" s="462"/>
      <c r="C135" s="461"/>
      <c r="D135" s="461"/>
      <c r="E135" s="461"/>
      <c r="F135" s="461"/>
      <c r="G135" s="461"/>
      <c r="H135" s="461"/>
      <c r="I135" s="461"/>
      <c r="J135" s="461"/>
      <c r="K135" s="461"/>
      <c r="L135" s="461"/>
      <c r="M135" s="461"/>
      <c r="N135" s="461"/>
      <c r="O135" s="461"/>
    </row>
    <row r="136" spans="1:15" s="446" customFormat="1" ht="15.75" x14ac:dyDescent="0.25">
      <c r="A136" s="461"/>
      <c r="B136" s="462"/>
      <c r="C136" s="461"/>
      <c r="D136" s="461"/>
      <c r="E136" s="461"/>
      <c r="F136" s="461"/>
      <c r="G136" s="461"/>
      <c r="H136" s="461"/>
      <c r="I136" s="461"/>
      <c r="J136" s="461"/>
      <c r="K136" s="461"/>
      <c r="L136" s="461"/>
      <c r="M136" s="461"/>
      <c r="N136" s="461"/>
      <c r="O136" s="461"/>
    </row>
    <row r="137" spans="1:15" s="446" customFormat="1" ht="15.75" x14ac:dyDescent="0.25">
      <c r="A137" s="461"/>
      <c r="B137" s="462"/>
      <c r="C137" s="461"/>
      <c r="D137" s="461"/>
      <c r="E137" s="461"/>
      <c r="F137" s="461"/>
      <c r="G137" s="461"/>
      <c r="H137" s="461"/>
      <c r="I137" s="461"/>
      <c r="J137" s="461"/>
      <c r="K137" s="461"/>
      <c r="L137" s="461"/>
      <c r="M137" s="461"/>
      <c r="N137" s="461"/>
      <c r="O137" s="461"/>
    </row>
    <row r="138" spans="1:15" s="446" customFormat="1" ht="15.75" x14ac:dyDescent="0.25">
      <c r="A138" s="461"/>
      <c r="B138" s="462"/>
      <c r="C138" s="461"/>
      <c r="D138" s="461"/>
      <c r="E138" s="461"/>
      <c r="F138" s="461"/>
      <c r="G138" s="461"/>
      <c r="H138" s="461"/>
      <c r="I138" s="461"/>
      <c r="J138" s="461"/>
      <c r="K138" s="461"/>
      <c r="L138" s="461"/>
      <c r="M138" s="461"/>
      <c r="N138" s="461"/>
      <c r="O138" s="461"/>
    </row>
    <row r="139" spans="1:15" s="446" customFormat="1" ht="15.75" x14ac:dyDescent="0.25">
      <c r="A139" s="461"/>
      <c r="B139" s="462"/>
      <c r="C139" s="461"/>
      <c r="D139" s="461"/>
      <c r="E139" s="461"/>
      <c r="F139" s="461"/>
      <c r="G139" s="461"/>
      <c r="H139" s="461"/>
      <c r="I139" s="461"/>
      <c r="J139" s="461"/>
      <c r="K139" s="461"/>
      <c r="L139" s="461"/>
      <c r="M139" s="461"/>
      <c r="N139" s="461"/>
      <c r="O139" s="461"/>
    </row>
    <row r="140" spans="1:15" s="446" customFormat="1" ht="15.75" x14ac:dyDescent="0.25">
      <c r="A140" s="461"/>
      <c r="B140" s="462"/>
      <c r="C140" s="461"/>
      <c r="D140" s="461"/>
      <c r="E140" s="461"/>
      <c r="F140" s="461"/>
      <c r="G140" s="461"/>
      <c r="H140" s="461"/>
      <c r="I140" s="461"/>
      <c r="J140" s="461"/>
      <c r="K140" s="461"/>
      <c r="L140" s="461"/>
      <c r="M140" s="461"/>
      <c r="N140" s="461"/>
      <c r="O140" s="461"/>
    </row>
    <row r="141" spans="1:15" s="446" customFormat="1" ht="15.75" x14ac:dyDescent="0.25">
      <c r="A141" s="461"/>
      <c r="B141" s="462"/>
      <c r="C141" s="461"/>
      <c r="D141" s="461"/>
      <c r="E141" s="461"/>
      <c r="F141" s="461"/>
      <c r="G141" s="461"/>
      <c r="H141" s="461"/>
      <c r="I141" s="461"/>
      <c r="J141" s="461"/>
      <c r="K141" s="461"/>
      <c r="L141" s="461"/>
      <c r="M141" s="461"/>
      <c r="N141" s="461"/>
      <c r="O141" s="461"/>
    </row>
    <row r="142" spans="1:15" s="446" customFormat="1" ht="15.75" x14ac:dyDescent="0.25">
      <c r="A142" s="461"/>
      <c r="B142" s="462"/>
      <c r="C142" s="461"/>
      <c r="D142" s="461"/>
      <c r="E142" s="461"/>
      <c r="F142" s="461"/>
      <c r="G142" s="461"/>
      <c r="H142" s="461"/>
      <c r="I142" s="461"/>
      <c r="J142" s="461"/>
      <c r="K142" s="461"/>
      <c r="L142" s="461"/>
      <c r="M142" s="461"/>
      <c r="N142" s="461"/>
      <c r="O142" s="461"/>
    </row>
    <row r="143" spans="1:15" s="446" customFormat="1" ht="15.75" x14ac:dyDescent="0.25">
      <c r="A143" s="461"/>
      <c r="B143" s="462"/>
      <c r="C143" s="461"/>
      <c r="D143" s="461"/>
      <c r="E143" s="461"/>
      <c r="F143" s="461"/>
      <c r="G143" s="461"/>
      <c r="H143" s="461"/>
      <c r="I143" s="461"/>
      <c r="J143" s="461"/>
      <c r="K143" s="461"/>
      <c r="L143" s="461"/>
      <c r="M143" s="461"/>
      <c r="N143" s="461"/>
      <c r="O143" s="461"/>
    </row>
    <row r="144" spans="1:15" s="446" customFormat="1" ht="15.75" x14ac:dyDescent="0.25">
      <c r="A144" s="461"/>
      <c r="B144" s="462"/>
      <c r="C144" s="461"/>
      <c r="D144" s="461"/>
      <c r="E144" s="461"/>
      <c r="F144" s="461"/>
      <c r="G144" s="461"/>
      <c r="H144" s="461"/>
      <c r="I144" s="461"/>
      <c r="J144" s="461"/>
      <c r="K144" s="461"/>
      <c r="L144" s="461"/>
      <c r="M144" s="461"/>
      <c r="N144" s="461"/>
      <c r="O144" s="461"/>
    </row>
    <row r="145" spans="1:15" s="446" customFormat="1" ht="15.75" x14ac:dyDescent="0.25">
      <c r="A145" s="461"/>
      <c r="B145" s="462"/>
      <c r="C145" s="461"/>
      <c r="D145" s="461"/>
      <c r="E145" s="461"/>
      <c r="F145" s="461"/>
      <c r="G145" s="461"/>
      <c r="H145" s="461"/>
      <c r="I145" s="461"/>
      <c r="J145" s="461"/>
      <c r="K145" s="461"/>
      <c r="L145" s="461"/>
      <c r="M145" s="461"/>
      <c r="N145" s="461"/>
      <c r="O145" s="461"/>
    </row>
    <row r="146" spans="1:15" s="446" customFormat="1" ht="15.75" x14ac:dyDescent="0.25">
      <c r="A146" s="461"/>
      <c r="B146" s="462"/>
      <c r="C146" s="461"/>
      <c r="D146" s="461"/>
      <c r="E146" s="461"/>
      <c r="F146" s="461"/>
      <c r="G146" s="461"/>
      <c r="H146" s="461"/>
      <c r="I146" s="461"/>
      <c r="J146" s="461"/>
      <c r="K146" s="461"/>
      <c r="L146" s="461"/>
      <c r="M146" s="461"/>
      <c r="N146" s="461"/>
      <c r="O146" s="461"/>
    </row>
    <row r="147" spans="1:15" s="446" customFormat="1" ht="15.75" x14ac:dyDescent="0.25">
      <c r="A147" s="461"/>
      <c r="B147" s="462"/>
      <c r="C147" s="461"/>
      <c r="D147" s="461"/>
      <c r="E147" s="461"/>
      <c r="F147" s="461"/>
      <c r="G147" s="461"/>
      <c r="H147" s="461"/>
      <c r="I147" s="461"/>
      <c r="J147" s="461"/>
      <c r="K147" s="461"/>
      <c r="L147" s="461"/>
      <c r="M147" s="461"/>
      <c r="N147" s="461"/>
      <c r="O147" s="461"/>
    </row>
    <row r="148" spans="1:15" s="446" customFormat="1" ht="15.75" x14ac:dyDescent="0.25">
      <c r="A148" s="461"/>
      <c r="B148" s="462"/>
      <c r="C148" s="461"/>
      <c r="D148" s="461"/>
      <c r="E148" s="461"/>
      <c r="F148" s="461"/>
      <c r="G148" s="461"/>
      <c r="H148" s="461"/>
      <c r="I148" s="461"/>
      <c r="J148" s="461"/>
      <c r="K148" s="461"/>
      <c r="L148" s="461"/>
      <c r="M148" s="461"/>
      <c r="N148" s="461"/>
      <c r="O148" s="461"/>
    </row>
    <row r="149" spans="1:15" s="446" customFormat="1" ht="15.75" x14ac:dyDescent="0.25">
      <c r="A149" s="461"/>
      <c r="B149" s="462"/>
      <c r="C149" s="461"/>
      <c r="D149" s="461"/>
      <c r="E149" s="461"/>
      <c r="F149" s="461"/>
      <c r="G149" s="461"/>
      <c r="H149" s="461"/>
      <c r="I149" s="461"/>
      <c r="J149" s="461"/>
      <c r="K149" s="461"/>
      <c r="L149" s="461"/>
      <c r="M149" s="461"/>
      <c r="N149" s="461"/>
      <c r="O149" s="461"/>
    </row>
    <row r="150" spans="1:15" s="446" customFormat="1" x14ac:dyDescent="0.25">
      <c r="A150" s="454"/>
      <c r="B150" s="454"/>
      <c r="C150" s="454"/>
      <c r="D150" s="454"/>
      <c r="E150" s="454"/>
      <c r="F150" s="454"/>
      <c r="G150" s="454"/>
      <c r="H150" s="454"/>
      <c r="I150" s="454"/>
      <c r="J150" s="454"/>
      <c r="K150" s="454"/>
      <c r="L150" s="454"/>
      <c r="M150" s="454"/>
      <c r="N150" s="454"/>
      <c r="O150" s="454"/>
    </row>
    <row r="151" spans="1:15" s="446" customFormat="1" x14ac:dyDescent="0.25">
      <c r="A151" s="454"/>
      <c r="B151" s="454"/>
      <c r="C151" s="454"/>
      <c r="D151" s="454"/>
      <c r="E151" s="454"/>
      <c r="F151" s="454"/>
      <c r="G151" s="454"/>
      <c r="H151" s="454"/>
      <c r="I151" s="454"/>
      <c r="J151" s="454"/>
      <c r="K151" s="454"/>
      <c r="L151" s="454"/>
      <c r="M151" s="454"/>
      <c r="N151" s="454"/>
      <c r="O151" s="454"/>
    </row>
    <row r="152" spans="1:15" s="446" customFormat="1" x14ac:dyDescent="0.25">
      <c r="A152" s="454"/>
      <c r="B152" s="454"/>
      <c r="C152" s="454"/>
      <c r="D152" s="454"/>
      <c r="E152" s="454"/>
      <c r="F152" s="454"/>
      <c r="G152" s="454"/>
      <c r="H152" s="454"/>
      <c r="I152" s="454"/>
      <c r="J152" s="454"/>
      <c r="K152" s="454"/>
      <c r="L152" s="454"/>
      <c r="M152" s="454"/>
      <c r="N152" s="454"/>
      <c r="O152" s="454"/>
    </row>
    <row r="153" spans="1:15" s="446" customFormat="1" x14ac:dyDescent="0.25">
      <c r="A153" s="454"/>
      <c r="B153" s="454"/>
      <c r="C153" s="454"/>
      <c r="D153" s="454"/>
      <c r="E153" s="454"/>
      <c r="F153" s="454"/>
      <c r="G153" s="454"/>
      <c r="H153" s="454"/>
      <c r="I153" s="454"/>
      <c r="J153" s="454"/>
      <c r="K153" s="454"/>
      <c r="L153" s="454"/>
      <c r="M153" s="454"/>
      <c r="N153" s="454"/>
      <c r="O153" s="454"/>
    </row>
    <row r="154" spans="1:15" x14ac:dyDescent="0.25">
      <c r="A154" s="578" t="s">
        <v>637</v>
      </c>
      <c r="B154" s="579"/>
      <c r="C154" s="579"/>
      <c r="D154" s="579"/>
      <c r="E154" s="579"/>
      <c r="F154" s="579"/>
      <c r="G154" s="579"/>
      <c r="H154" s="579"/>
      <c r="I154" s="579"/>
      <c r="J154" s="579"/>
      <c r="K154" s="579"/>
      <c r="L154" s="579"/>
      <c r="M154" s="579"/>
      <c r="N154" s="579"/>
      <c r="O154" s="579"/>
    </row>
    <row r="155" spans="1:15" outlineLevel="1" x14ac:dyDescent="0.25">
      <c r="A155" s="575" t="s">
        <v>638</v>
      </c>
      <c r="B155" s="574"/>
      <c r="D155" s="576" t="s">
        <v>639</v>
      </c>
      <c r="E155" s="577"/>
      <c r="G155" s="575" t="s">
        <v>640</v>
      </c>
      <c r="H155" s="574"/>
      <c r="J155" s="575" t="s">
        <v>641</v>
      </c>
      <c r="K155" s="574"/>
      <c r="M155" s="575" t="s">
        <v>642</v>
      </c>
      <c r="N155" s="574"/>
    </row>
    <row r="156" spans="1:15" ht="45" customHeight="1" outlineLevel="1" x14ac:dyDescent="0.25">
      <c r="A156" s="399" t="s">
        <v>586</v>
      </c>
      <c r="B156" s="399" t="s">
        <v>643</v>
      </c>
      <c r="D156" s="399" t="s">
        <v>586</v>
      </c>
      <c r="E156" s="399" t="s">
        <v>643</v>
      </c>
      <c r="G156" s="399" t="s">
        <v>586</v>
      </c>
      <c r="H156" s="423" t="s">
        <v>195</v>
      </c>
      <c r="J156" s="399" t="s">
        <v>586</v>
      </c>
      <c r="K156" s="399" t="s">
        <v>643</v>
      </c>
      <c r="M156" s="399" t="s">
        <v>586</v>
      </c>
      <c r="N156" s="399" t="s">
        <v>643</v>
      </c>
    </row>
    <row r="157" spans="1:15" ht="30" customHeight="1" outlineLevel="1" x14ac:dyDescent="0.25">
      <c r="A157" s="401" t="s">
        <v>644</v>
      </c>
      <c r="B157" s="411">
        <v>94469</v>
      </c>
      <c r="D157" s="401" t="s">
        <v>644</v>
      </c>
      <c r="E157" s="411">
        <v>1312073</v>
      </c>
      <c r="G157" s="401" t="s">
        <v>272</v>
      </c>
      <c r="H157" s="458">
        <f>'DATA - ANALYSE - TERTIAIRE'!$BO$7</f>
        <v>0.41255100897587255</v>
      </c>
      <c r="J157" s="401" t="s">
        <v>272</v>
      </c>
      <c r="K157" s="458">
        <f>'DATA - ANALYSE - TERTIAIRE'!$BO$6</f>
        <v>0.29347466693894231</v>
      </c>
      <c r="M157" s="401" t="s">
        <v>313</v>
      </c>
      <c r="N157" s="412">
        <v>3.3790101617821568E-2</v>
      </c>
    </row>
    <row r="158" spans="1:15" ht="30" customHeight="1" outlineLevel="1" x14ac:dyDescent="0.25">
      <c r="A158" s="401" t="s">
        <v>645</v>
      </c>
      <c r="B158" s="411">
        <v>544491</v>
      </c>
      <c r="D158" s="401" t="s">
        <v>645</v>
      </c>
      <c r="E158" s="411">
        <v>4921806.5</v>
      </c>
      <c r="G158" s="401" t="s">
        <v>273</v>
      </c>
      <c r="H158" s="458">
        <f>'DATA - ANALYSE - TERTIAIRE'!$BP$7</f>
        <v>0.38172798312289025</v>
      </c>
      <c r="J158" s="401" t="s">
        <v>273</v>
      </c>
      <c r="K158" s="458">
        <f>'DATA - ANALYSE - TERTIAIRE'!$BP$6</f>
        <v>0.55310217818615204</v>
      </c>
      <c r="M158" s="401" t="s">
        <v>314</v>
      </c>
      <c r="N158" s="412">
        <v>0.39809399324580258</v>
      </c>
    </row>
    <row r="159" spans="1:15" ht="45" customHeight="1" outlineLevel="1" x14ac:dyDescent="0.25">
      <c r="G159" s="401" t="s">
        <v>274</v>
      </c>
      <c r="H159" s="458">
        <f>'DATA - ANALYSE - TERTIAIRE'!$BQ$7</f>
        <v>0.15714023533751553</v>
      </c>
      <c r="J159" s="401" t="s">
        <v>274</v>
      </c>
      <c r="K159" s="458">
        <f>'DATA - ANALYSE - TERTIAIRE'!$BQ$6</f>
        <v>9.0947093218596856E-2</v>
      </c>
      <c r="M159" s="401" t="s">
        <v>315</v>
      </c>
      <c r="N159" s="412">
        <v>0.48806545824813102</v>
      </c>
    </row>
    <row r="160" spans="1:15" ht="90" outlineLevel="1" x14ac:dyDescent="0.25">
      <c r="G160" s="401" t="s">
        <v>275</v>
      </c>
      <c r="H160" s="458">
        <f>'DATA - ANALYSE - TERTIAIRE'!$BR$7</f>
        <v>4.8580772563721689E-2</v>
      </c>
      <c r="J160" s="401" t="s">
        <v>275</v>
      </c>
      <c r="K160" s="458">
        <f>'DATA - ANALYSE - TERTIAIRE'!$BR$6</f>
        <v>6.2476061656308909E-2</v>
      </c>
      <c r="M160" s="401" t="s">
        <v>316</v>
      </c>
      <c r="N160" s="412">
        <v>7.8456450212754936E-2</v>
      </c>
    </row>
    <row r="161" spans="1:17" outlineLevel="1" x14ac:dyDescent="0.25">
      <c r="M161" s="401" t="s">
        <v>317</v>
      </c>
      <c r="N161" s="412">
        <v>1.5939966754898551E-3</v>
      </c>
    </row>
    <row r="162" spans="1:17" outlineLevel="1" x14ac:dyDescent="0.25"/>
    <row r="163" spans="1:17" outlineLevel="1" x14ac:dyDescent="0.25"/>
    <row r="164" spans="1:17" outlineLevel="1" x14ac:dyDescent="0.25"/>
    <row r="165" spans="1:17" outlineLevel="1" x14ac:dyDescent="0.25"/>
    <row r="166" spans="1:17" outlineLevel="1" x14ac:dyDescent="0.25"/>
    <row r="167" spans="1:17" outlineLevel="1" x14ac:dyDescent="0.25">
      <c r="A167" s="575" t="s">
        <v>646</v>
      </c>
      <c r="B167" s="574"/>
      <c r="D167" s="576" t="s">
        <v>647</v>
      </c>
      <c r="E167" s="577"/>
      <c r="G167" s="575" t="s">
        <v>648</v>
      </c>
      <c r="H167" s="574"/>
      <c r="J167" s="575" t="s">
        <v>649</v>
      </c>
      <c r="K167" s="574"/>
      <c r="M167" s="575" t="s">
        <v>650</v>
      </c>
      <c r="N167" s="574"/>
      <c r="P167" s="575" t="s">
        <v>650</v>
      </c>
      <c r="Q167" s="574"/>
    </row>
    <row r="168" spans="1:17" ht="45" customHeight="1" outlineLevel="1" x14ac:dyDescent="0.25">
      <c r="A168" s="399" t="s">
        <v>586</v>
      </c>
      <c r="B168" s="399" t="s">
        <v>643</v>
      </c>
      <c r="D168" s="399" t="s">
        <v>586</v>
      </c>
      <c r="E168" s="399" t="s">
        <v>643</v>
      </c>
      <c r="G168" s="399" t="s">
        <v>586</v>
      </c>
      <c r="H168" s="399" t="s">
        <v>643</v>
      </c>
      <c r="J168" s="399" t="s">
        <v>586</v>
      </c>
      <c r="K168" s="399" t="s">
        <v>643</v>
      </c>
      <c r="M168" s="399" t="s">
        <v>586</v>
      </c>
      <c r="N168" s="399" t="s">
        <v>643</v>
      </c>
      <c r="P168" s="399" t="s">
        <v>586</v>
      </c>
      <c r="Q168" s="399" t="s">
        <v>643</v>
      </c>
    </row>
    <row r="169" spans="1:17" ht="30" customHeight="1" outlineLevel="1" x14ac:dyDescent="0.25">
      <c r="A169" s="401" t="s">
        <v>313</v>
      </c>
      <c r="B169" s="412">
        <v>5.5207901946165497E-2</v>
      </c>
      <c r="D169" s="401" t="s">
        <v>644</v>
      </c>
      <c r="E169" s="411">
        <v>94614</v>
      </c>
      <c r="G169" s="401" t="s">
        <v>644</v>
      </c>
      <c r="H169" s="411">
        <v>1315225</v>
      </c>
      <c r="J169" s="401" t="s">
        <v>272</v>
      </c>
      <c r="K169" s="458">
        <f>'DATA - ANALYSE - TERTIAIRE'!$BS$7</f>
        <v>0.35908327472485696</v>
      </c>
      <c r="M169" s="401" t="s">
        <v>272</v>
      </c>
      <c r="N169" s="458">
        <f>'DATA - ANALYSE - TERTIAIRE'!$BO$6</f>
        <v>0.29347466693894231</v>
      </c>
      <c r="P169" s="401" t="s">
        <v>272</v>
      </c>
      <c r="Q169" s="458">
        <f>'DATA - ANALYSE - TERTIAIRE'!$BS$6</f>
        <v>0.26362948546506182</v>
      </c>
    </row>
    <row r="170" spans="1:17" ht="30" customHeight="1" outlineLevel="1" x14ac:dyDescent="0.25">
      <c r="A170" s="401" t="s">
        <v>314</v>
      </c>
      <c r="B170" s="412">
        <v>0.33578568713540452</v>
      </c>
      <c r="D170" s="401" t="s">
        <v>645</v>
      </c>
      <c r="E170" s="411">
        <v>553326</v>
      </c>
      <c r="G170" s="401" t="s">
        <v>645</v>
      </c>
      <c r="H170" s="411">
        <v>4970801</v>
      </c>
      <c r="J170" s="401" t="s">
        <v>273</v>
      </c>
      <c r="K170" s="458">
        <f>'DATA - ANALYSE - TERTIAIRE'!$BT$7</f>
        <v>0.38969085137523995</v>
      </c>
      <c r="M170" s="401" t="s">
        <v>273</v>
      </c>
      <c r="N170" s="458">
        <f>'DATA - ANALYSE - TERTIAIRE'!$BP$6</f>
        <v>0.55310217818615204</v>
      </c>
      <c r="P170" s="401" t="s">
        <v>273</v>
      </c>
      <c r="Q170" s="458">
        <f>'DATA - ANALYSE - TERTIAIRE'!$BT$6</f>
        <v>0.55885723348901206</v>
      </c>
    </row>
    <row r="171" spans="1:17" ht="45" customHeight="1" outlineLevel="1" x14ac:dyDescent="0.25">
      <c r="A171" s="401" t="s">
        <v>315</v>
      </c>
      <c r="B171" s="412">
        <v>0.41692720874947042</v>
      </c>
      <c r="J171" s="401" t="s">
        <v>274</v>
      </c>
      <c r="K171" s="458">
        <f>'DATA - ANALYSE - TERTIAIRE'!$BU$7</f>
        <v>0.21378060788078085</v>
      </c>
      <c r="M171" s="401" t="s">
        <v>274</v>
      </c>
      <c r="N171" s="458">
        <f>'DATA - ANALYSE - TERTIAIRE'!$BQ$6</f>
        <v>9.0947093218596856E-2</v>
      </c>
      <c r="P171" s="401" t="s">
        <v>274</v>
      </c>
      <c r="Q171" s="458">
        <f>'DATA - ANALYSE - TERTIAIRE'!$BU$6</f>
        <v>0.12087745739518101</v>
      </c>
    </row>
    <row r="172" spans="1:17" ht="30" customHeight="1" outlineLevel="1" x14ac:dyDescent="0.25">
      <c r="A172" s="401" t="s">
        <v>316</v>
      </c>
      <c r="B172" s="412">
        <v>0.16869236349498909</v>
      </c>
      <c r="J172" s="401" t="s">
        <v>275</v>
      </c>
      <c r="K172" s="458">
        <f>'DATA - ANALYSE - TERTIAIRE'!$BV$7</f>
        <v>3.7445266019122209E-2</v>
      </c>
      <c r="M172" s="401" t="s">
        <v>275</v>
      </c>
      <c r="N172" s="458">
        <f>'DATA - ANALYSE - TERTIAIRE'!$BR$6</f>
        <v>6.2476061656308909E-2</v>
      </c>
      <c r="P172" s="401" t="s">
        <v>275</v>
      </c>
      <c r="Q172" s="458">
        <f>'DATA - ANALYSE - TERTIAIRE'!$BV$6</f>
        <v>5.66358236507453E-2</v>
      </c>
    </row>
    <row r="173" spans="1:17" outlineLevel="1" x14ac:dyDescent="0.25">
      <c r="A173" s="401" t="s">
        <v>317</v>
      </c>
      <c r="B173" s="412">
        <v>2.3386838673970629E-2</v>
      </c>
    </row>
    <row r="175" spans="1:17" x14ac:dyDescent="0.25">
      <c r="A175" s="572" t="s">
        <v>651</v>
      </c>
      <c r="B175" s="573"/>
      <c r="C175" s="574"/>
    </row>
    <row r="176" spans="1:17" x14ac:dyDescent="0.25">
      <c r="A176" s="399" t="s">
        <v>244</v>
      </c>
      <c r="B176" s="399" t="s">
        <v>586</v>
      </c>
      <c r="C176" s="399" t="s">
        <v>652</v>
      </c>
    </row>
    <row r="177" spans="1:3" x14ac:dyDescent="0.25">
      <c r="A177" s="400">
        <v>1</v>
      </c>
      <c r="B177" s="401" t="s">
        <v>313</v>
      </c>
      <c r="C177" s="404"/>
    </row>
    <row r="178" spans="1:3" x14ac:dyDescent="0.25">
      <c r="A178" s="400">
        <v>2</v>
      </c>
      <c r="B178" s="401" t="s">
        <v>314</v>
      </c>
      <c r="C178" s="407"/>
    </row>
    <row r="179" spans="1:3" x14ac:dyDescent="0.25">
      <c r="A179" s="400">
        <v>3</v>
      </c>
      <c r="B179" s="401" t="s">
        <v>315</v>
      </c>
      <c r="C179" s="409"/>
    </row>
    <row r="180" spans="1:3" x14ac:dyDescent="0.25">
      <c r="A180" s="400">
        <v>4</v>
      </c>
      <c r="B180" s="401" t="s">
        <v>316</v>
      </c>
      <c r="C180" s="406"/>
    </row>
  </sheetData>
  <mergeCells count="13">
    <mergeCell ref="P167:Q167"/>
    <mergeCell ref="D155:E155"/>
    <mergeCell ref="A154:O154"/>
    <mergeCell ref="G155:H155"/>
    <mergeCell ref="M167:N167"/>
    <mergeCell ref="M155:N155"/>
    <mergeCell ref="A175:C175"/>
    <mergeCell ref="A155:B155"/>
    <mergeCell ref="D167:E167"/>
    <mergeCell ref="J167:K167"/>
    <mergeCell ref="G167:H167"/>
    <mergeCell ref="J155:K155"/>
    <mergeCell ref="A167:B167"/>
  </mergeCells>
  <pageMargins left="0" right="0" top="0" bottom="0" header="0" footer="0"/>
  <pageSetup paperSize="8" scale="75"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34"/>
  <sheetViews>
    <sheetView showGridLines="0" zoomScale="86" zoomScaleNormal="86" workbookViewId="0">
      <pane ySplit="2" topLeftCell="A41" activePane="bottomLeft" state="frozen"/>
      <selection activeCell="I88" sqref="I88"/>
      <selection pane="bottomLeft" activeCell="D44" sqref="D44"/>
    </sheetView>
  </sheetViews>
  <sheetFormatPr baseColWidth="10" defaultColWidth="9.140625" defaultRowHeight="15" x14ac:dyDescent="0.25"/>
  <cols>
    <col min="1" max="1" width="3.7109375" style="439" customWidth="1"/>
    <col min="2" max="2" width="31.42578125" style="439" customWidth="1"/>
    <col min="3" max="3" width="53.42578125" style="439" customWidth="1"/>
    <col min="4" max="4" width="8.7109375" style="439" customWidth="1"/>
    <col min="5" max="5" width="8.7109375" style="461" customWidth="1"/>
    <col min="6" max="6" width="6.7109375" style="439" customWidth="1"/>
    <col min="7" max="7" width="6.5703125" style="439" customWidth="1"/>
    <col min="8" max="8" width="19.85546875" style="439" customWidth="1"/>
    <col min="9" max="9" width="10.5703125" style="439" customWidth="1"/>
    <col min="10" max="10" width="6.7109375" style="439" customWidth="1"/>
    <col min="11" max="11" width="5.42578125" style="439" customWidth="1"/>
    <col min="12" max="13" width="6.7109375" style="439" customWidth="1"/>
    <col min="14" max="14" width="5.42578125" style="439" customWidth="1"/>
    <col min="15" max="16" width="13.42578125" style="439" customWidth="1"/>
    <col min="17" max="18" width="13.42578125" style="461" customWidth="1"/>
    <col min="19" max="19" width="13.42578125" style="439" customWidth="1"/>
    <col min="20" max="20" width="42.5703125" style="439" customWidth="1"/>
  </cols>
  <sheetData>
    <row r="1" spans="1:20" s="489" customFormat="1" ht="26.25" x14ac:dyDescent="0.4">
      <c r="A1" s="488" t="s">
        <v>653</v>
      </c>
      <c r="B1" s="488"/>
      <c r="C1" s="488"/>
      <c r="D1" s="488"/>
      <c r="E1" s="488"/>
      <c r="F1" s="488"/>
      <c r="G1" s="488"/>
      <c r="H1" s="488"/>
      <c r="I1" s="488"/>
      <c r="J1" s="488"/>
      <c r="K1" s="488"/>
      <c r="L1" s="488"/>
      <c r="M1" s="488"/>
      <c r="N1" s="488"/>
      <c r="O1" s="488"/>
      <c r="P1" s="488"/>
      <c r="Q1" s="488"/>
      <c r="R1" s="488"/>
      <c r="S1" s="488"/>
      <c r="T1" s="488"/>
    </row>
    <row r="2" spans="1:20" s="244" customFormat="1" ht="11.1" customHeight="1" x14ac:dyDescent="0.2">
      <c r="A2" s="580" t="s">
        <v>654</v>
      </c>
      <c r="B2" s="581"/>
      <c r="C2" s="581"/>
      <c r="D2" s="581"/>
      <c r="E2" s="582"/>
      <c r="F2" s="581"/>
      <c r="G2" s="581"/>
      <c r="H2" s="581"/>
      <c r="I2" s="581"/>
      <c r="J2" s="581"/>
      <c r="K2" s="581"/>
      <c r="L2" s="581"/>
      <c r="M2" s="581"/>
      <c r="N2" s="581"/>
      <c r="O2" s="581"/>
      <c r="P2" s="581"/>
      <c r="Q2" s="582"/>
      <c r="R2" s="582"/>
      <c r="S2" s="581"/>
      <c r="T2" s="581"/>
    </row>
    <row r="3" spans="1:20" ht="6" customHeight="1" thickBot="1" x14ac:dyDescent="0.3">
      <c r="E3" s="439"/>
    </row>
    <row r="4" spans="1:20" s="510" customFormat="1" ht="18" customHeight="1" thickBot="1" x14ac:dyDescent="0.3">
      <c r="A4" s="483"/>
      <c r="B4" s="508"/>
      <c r="C4" s="508"/>
      <c r="D4" s="485" t="s">
        <v>708</v>
      </c>
      <c r="E4" s="507"/>
      <c r="F4" s="508"/>
      <c r="G4" s="508"/>
      <c r="H4" s="508"/>
      <c r="I4" s="508"/>
      <c r="J4" s="508"/>
      <c r="K4" s="508"/>
      <c r="L4" s="508"/>
      <c r="M4" s="508"/>
      <c r="N4" s="508"/>
      <c r="O4" s="508"/>
      <c r="P4" s="508"/>
      <c r="Q4" s="508"/>
      <c r="R4" s="508"/>
      <c r="S4" s="508"/>
      <c r="T4" s="509"/>
    </row>
    <row r="5" spans="1:20" s="244" customFormat="1" ht="6.95" customHeight="1" x14ac:dyDescent="0.2">
      <c r="A5" s="580"/>
      <c r="B5" s="581"/>
      <c r="C5" s="581"/>
      <c r="D5" s="581"/>
      <c r="E5" s="582"/>
      <c r="F5" s="581"/>
      <c r="G5" s="581"/>
      <c r="H5" s="581"/>
      <c r="I5" s="581"/>
      <c r="J5" s="581"/>
      <c r="K5" s="581"/>
      <c r="L5" s="581"/>
      <c r="M5" s="581"/>
      <c r="N5" s="581"/>
      <c r="O5" s="581"/>
      <c r="P5" s="581"/>
      <c r="Q5" s="582"/>
      <c r="R5" s="582"/>
      <c r="S5" s="581"/>
      <c r="T5" s="581"/>
    </row>
    <row r="6" spans="1:20" ht="15" customHeight="1" x14ac:dyDescent="0.25">
      <c r="A6" s="399" t="s">
        <v>244</v>
      </c>
      <c r="B6" s="399" t="s">
        <v>657</v>
      </c>
      <c r="C6" s="399" t="s">
        <v>658</v>
      </c>
      <c r="D6" s="399" t="s">
        <v>652</v>
      </c>
      <c r="E6" s="439"/>
    </row>
    <row r="7" spans="1:20" x14ac:dyDescent="0.25">
      <c r="A7" s="415">
        <v>1</v>
      </c>
      <c r="B7" s="416" t="s">
        <v>4</v>
      </c>
      <c r="C7" s="416" t="s">
        <v>659</v>
      </c>
      <c r="D7" s="402"/>
      <c r="E7" s="439"/>
    </row>
    <row r="8" spans="1:20" ht="24.75" x14ac:dyDescent="0.25">
      <c r="A8" s="415">
        <v>2</v>
      </c>
      <c r="B8" s="416" t="s">
        <v>8</v>
      </c>
      <c r="C8" s="487" t="s">
        <v>745</v>
      </c>
      <c r="D8" s="410"/>
      <c r="E8" s="439"/>
    </row>
    <row r="9" spans="1:20" x14ac:dyDescent="0.25">
      <c r="A9" s="415">
        <v>3</v>
      </c>
      <c r="B9" s="416" t="s">
        <v>12</v>
      </c>
      <c r="C9" s="416" t="s">
        <v>661</v>
      </c>
      <c r="D9" s="405"/>
      <c r="E9" s="439"/>
    </row>
    <row r="10" spans="1:20" x14ac:dyDescent="0.25">
      <c r="A10" s="415">
        <v>4</v>
      </c>
      <c r="B10" s="416" t="s">
        <v>12</v>
      </c>
      <c r="C10" s="416" t="s">
        <v>16</v>
      </c>
      <c r="D10" s="408"/>
      <c r="E10" s="439"/>
    </row>
    <row r="11" spans="1:20" s="461" customFormat="1" ht="15" customHeight="1" x14ac:dyDescent="0.25">
      <c r="A11" s="415">
        <v>5</v>
      </c>
      <c r="B11" s="416" t="s">
        <v>19</v>
      </c>
      <c r="C11" s="416" t="s">
        <v>23</v>
      </c>
      <c r="D11" s="403"/>
    </row>
    <row r="12" spans="1:20" x14ac:dyDescent="0.25">
      <c r="A12" s="415">
        <v>6</v>
      </c>
      <c r="B12" s="416" t="s">
        <v>19</v>
      </c>
      <c r="C12" s="416" t="s">
        <v>20</v>
      </c>
      <c r="D12" s="406"/>
    </row>
    <row r="13" spans="1:20" ht="15" customHeight="1" x14ac:dyDescent="0.25">
      <c r="A13" s="415">
        <v>7</v>
      </c>
      <c r="B13" s="416" t="s">
        <v>19</v>
      </c>
      <c r="C13" s="486" t="s">
        <v>744</v>
      </c>
      <c r="D13" s="413"/>
      <c r="G13" s="473"/>
    </row>
    <row r="14" spans="1:20" ht="25.5" x14ac:dyDescent="0.25">
      <c r="A14" s="415">
        <v>8</v>
      </c>
      <c r="B14" s="416" t="s">
        <v>31</v>
      </c>
      <c r="C14" s="416" t="s">
        <v>663</v>
      </c>
      <c r="D14" s="404"/>
      <c r="G14" s="473"/>
    </row>
    <row r="15" spans="1:20" ht="15" customHeight="1" x14ac:dyDescent="0.25">
      <c r="A15" s="415">
        <v>9</v>
      </c>
      <c r="B15" s="416" t="s">
        <v>31</v>
      </c>
      <c r="C15" s="416" t="s">
        <v>35</v>
      </c>
      <c r="D15" s="414"/>
      <c r="G15" s="461"/>
    </row>
    <row r="16" spans="1:20" ht="6" customHeight="1" x14ac:dyDescent="0.25">
      <c r="G16" s="494"/>
    </row>
    <row r="17" spans="2:9" ht="15" customHeight="1" x14ac:dyDescent="0.25">
      <c r="B17" s="470" t="s">
        <v>747</v>
      </c>
      <c r="G17" s="495"/>
    </row>
    <row r="18" spans="2:9" ht="15" customHeight="1" x14ac:dyDescent="0.25">
      <c r="B18" s="470" t="s">
        <v>748</v>
      </c>
      <c r="G18" s="495"/>
    </row>
    <row r="19" spans="2:9" ht="6" customHeight="1" x14ac:dyDescent="0.25">
      <c r="G19" s="495"/>
    </row>
    <row r="20" spans="2:9" ht="15" customHeight="1" x14ac:dyDescent="0.25">
      <c r="B20" s="474" t="s">
        <v>709</v>
      </c>
      <c r="G20" s="495"/>
    </row>
    <row r="21" spans="2:9" ht="15" customHeight="1" x14ac:dyDescent="0.25">
      <c r="B21" s="459" t="s">
        <v>710</v>
      </c>
      <c r="G21" s="461"/>
    </row>
    <row r="22" spans="2:9" ht="15" customHeight="1" x14ac:dyDescent="0.25">
      <c r="B22" s="459" t="s">
        <v>711</v>
      </c>
      <c r="G22" s="494"/>
    </row>
    <row r="23" spans="2:9" ht="15" customHeight="1" x14ac:dyDescent="0.25">
      <c r="B23" s="459" t="s">
        <v>749</v>
      </c>
      <c r="G23" s="495"/>
    </row>
    <row r="24" spans="2:9" s="461" customFormat="1" ht="15" customHeight="1" x14ac:dyDescent="0.25">
      <c r="B24" s="459" t="s">
        <v>755</v>
      </c>
      <c r="G24" s="495"/>
    </row>
    <row r="25" spans="2:9" s="461" customFormat="1" ht="15" customHeight="1" x14ac:dyDescent="0.25">
      <c r="B25" s="459" t="s">
        <v>712</v>
      </c>
      <c r="G25" s="495"/>
    </row>
    <row r="26" spans="2:9" s="461" customFormat="1" ht="6" customHeight="1" x14ac:dyDescent="0.25">
      <c r="B26" s="439"/>
      <c r="G26" s="495"/>
    </row>
    <row r="27" spans="2:9" s="461" customFormat="1" ht="15" customHeight="1" x14ac:dyDescent="0.25">
      <c r="B27" s="474" t="s">
        <v>713</v>
      </c>
      <c r="I27" s="474" t="s">
        <v>721</v>
      </c>
    </row>
    <row r="28" spans="2:9" s="461" customFormat="1" ht="15" customHeight="1" x14ac:dyDescent="0.25">
      <c r="B28" s="459" t="s">
        <v>714</v>
      </c>
      <c r="G28" s="494"/>
      <c r="I28" s="459" t="s">
        <v>790</v>
      </c>
    </row>
    <row r="29" spans="2:9" s="461" customFormat="1" ht="15" customHeight="1" x14ac:dyDescent="0.25">
      <c r="B29" s="459" t="s">
        <v>715</v>
      </c>
      <c r="G29" s="495"/>
      <c r="I29" s="459" t="s">
        <v>753</v>
      </c>
    </row>
    <row r="30" spans="2:9" s="461" customFormat="1" ht="15" customHeight="1" x14ac:dyDescent="0.25">
      <c r="B30" s="459" t="s">
        <v>750</v>
      </c>
      <c r="G30" s="495"/>
      <c r="I30" s="459" t="s">
        <v>722</v>
      </c>
    </row>
    <row r="31" spans="2:9" s="461" customFormat="1" x14ac:dyDescent="0.25">
      <c r="B31" s="459" t="s">
        <v>751</v>
      </c>
      <c r="G31" s="495"/>
      <c r="I31" s="459" t="s">
        <v>756</v>
      </c>
    </row>
    <row r="32" spans="2:9" s="461" customFormat="1" x14ac:dyDescent="0.25">
      <c r="B32" s="459" t="s">
        <v>716</v>
      </c>
      <c r="G32" s="495"/>
      <c r="I32" s="459" t="s">
        <v>757</v>
      </c>
    </row>
    <row r="33" spans="1:20" s="461" customFormat="1" ht="6" customHeight="1" x14ac:dyDescent="0.25"/>
    <row r="34" spans="1:20" s="461" customFormat="1" ht="15.75" x14ac:dyDescent="0.25">
      <c r="B34" s="474" t="s">
        <v>717</v>
      </c>
      <c r="G34" s="494"/>
      <c r="I34" s="474" t="s">
        <v>723</v>
      </c>
    </row>
    <row r="35" spans="1:20" s="461" customFormat="1" x14ac:dyDescent="0.25">
      <c r="B35" s="459" t="s">
        <v>718</v>
      </c>
      <c r="G35" s="495"/>
      <c r="I35" s="459" t="s">
        <v>724</v>
      </c>
    </row>
    <row r="36" spans="1:20" s="461" customFormat="1" x14ac:dyDescent="0.25">
      <c r="B36" s="459" t="s">
        <v>719</v>
      </c>
      <c r="G36" s="495"/>
      <c r="I36" s="459" t="s">
        <v>726</v>
      </c>
    </row>
    <row r="37" spans="1:20" x14ac:dyDescent="0.25">
      <c r="B37" s="459" t="s">
        <v>752</v>
      </c>
      <c r="G37" s="495"/>
      <c r="I37" s="459" t="s">
        <v>791</v>
      </c>
    </row>
    <row r="38" spans="1:20" x14ac:dyDescent="0.25">
      <c r="B38" s="459" t="s">
        <v>754</v>
      </c>
      <c r="F38" s="446"/>
      <c r="G38" s="446"/>
      <c r="I38" s="459" t="s">
        <v>725</v>
      </c>
    </row>
    <row r="39" spans="1:20" ht="15.75" x14ac:dyDescent="0.25">
      <c r="B39" s="459" t="s">
        <v>720</v>
      </c>
      <c r="G39" s="494"/>
    </row>
    <row r="40" spans="1:20" s="446" customFormat="1" ht="6.95" customHeight="1" thickBot="1" x14ac:dyDescent="0.3"/>
    <row r="41" spans="1:20" s="510" customFormat="1" ht="18" customHeight="1" thickBot="1" x14ac:dyDescent="0.3">
      <c r="A41" s="483"/>
      <c r="B41" s="508"/>
      <c r="C41" s="508"/>
      <c r="D41" s="485" t="s">
        <v>743</v>
      </c>
      <c r="E41" s="507"/>
      <c r="F41" s="508"/>
      <c r="G41" s="508"/>
      <c r="H41" s="508"/>
      <c r="I41" s="508"/>
      <c r="J41" s="508"/>
      <c r="K41" s="508"/>
      <c r="L41" s="508"/>
      <c r="M41" s="508"/>
      <c r="N41" s="508"/>
      <c r="O41" s="508"/>
      <c r="P41" s="508"/>
      <c r="Q41" s="508"/>
      <c r="R41" s="508"/>
      <c r="S41" s="508"/>
      <c r="T41" s="509"/>
    </row>
    <row r="42" spans="1:20" s="461" customFormat="1" ht="6.95" customHeight="1" x14ac:dyDescent="0.25"/>
    <row r="43" spans="1:20" s="461" customFormat="1" ht="18" x14ac:dyDescent="0.25">
      <c r="D43" s="447" t="s">
        <v>733</v>
      </c>
      <c r="E43" s="496"/>
    </row>
    <row r="44" spans="1:20" s="461" customFormat="1" ht="15.95" customHeight="1" x14ac:dyDescent="0.25">
      <c r="D44" s="441" t="s">
        <v>761</v>
      </c>
      <c r="E44" s="497"/>
    </row>
    <row r="45" spans="1:20" s="461" customFormat="1" ht="15.95" customHeight="1" x14ac:dyDescent="0.25">
      <c r="D45" s="511" t="s">
        <v>763</v>
      </c>
      <c r="E45" s="498"/>
    </row>
    <row r="46" spans="1:20" s="461" customFormat="1" ht="15.95" customHeight="1" x14ac:dyDescent="0.25">
      <c r="D46" s="512" t="s">
        <v>762</v>
      </c>
      <c r="E46" s="497"/>
    </row>
    <row r="47" spans="1:20" s="461" customFormat="1" ht="15.95" customHeight="1" x14ac:dyDescent="0.25">
      <c r="D47" s="459" t="s">
        <v>730</v>
      </c>
      <c r="E47" s="499"/>
    </row>
    <row r="48" spans="1:20" s="461" customFormat="1" ht="15.95" customHeight="1" x14ac:dyDescent="0.25">
      <c r="D48" s="513" t="s">
        <v>764</v>
      </c>
      <c r="E48" s="495"/>
    </row>
    <row r="49" spans="4:17" s="461" customFormat="1" ht="15.95" customHeight="1" x14ac:dyDescent="0.25">
      <c r="D49" s="440" t="s">
        <v>728</v>
      </c>
      <c r="E49" s="498"/>
      <c r="J49" s="512" t="s">
        <v>765</v>
      </c>
    </row>
    <row r="50" spans="4:17" s="461" customFormat="1" ht="15.95" customHeight="1" x14ac:dyDescent="0.25">
      <c r="E50" s="499"/>
      <c r="J50" s="512" t="s">
        <v>766</v>
      </c>
    </row>
    <row r="51" spans="4:17" s="461" customFormat="1" ht="15.95" customHeight="1" x14ac:dyDescent="0.25">
      <c r="D51" s="441" t="s">
        <v>729</v>
      </c>
      <c r="E51" s="500"/>
      <c r="H51" s="512" t="s">
        <v>767</v>
      </c>
      <c r="N51" s="482"/>
    </row>
    <row r="52" spans="4:17" s="461" customFormat="1" ht="15.95" customHeight="1" x14ac:dyDescent="0.25">
      <c r="E52" s="497"/>
      <c r="H52" s="512" t="s">
        <v>768</v>
      </c>
    </row>
    <row r="53" spans="4:17" s="461" customFormat="1" ht="6.95" customHeight="1" x14ac:dyDescent="0.25">
      <c r="E53" s="499"/>
    </row>
    <row r="54" spans="4:17" s="461" customFormat="1" ht="15.75" customHeight="1" x14ac:dyDescent="0.25">
      <c r="D54" s="447" t="s">
        <v>742</v>
      </c>
    </row>
    <row r="55" spans="4:17" s="461" customFormat="1" ht="15.95" customHeight="1" x14ac:dyDescent="0.25">
      <c r="D55" s="459" t="s">
        <v>760</v>
      </c>
      <c r="E55" s="496"/>
    </row>
    <row r="56" spans="4:17" s="461" customFormat="1" ht="15.95" customHeight="1" x14ac:dyDescent="0.25">
      <c r="D56" s="459" t="s">
        <v>789</v>
      </c>
      <c r="E56" s="495"/>
      <c r="O56" s="516"/>
    </row>
    <row r="57" spans="4:17" s="461" customFormat="1" ht="15.95" customHeight="1" x14ac:dyDescent="0.25">
      <c r="D57" s="459" t="s">
        <v>787</v>
      </c>
      <c r="E57" s="495"/>
      <c r="I57" s="512"/>
      <c r="K57" s="512" t="s">
        <v>769</v>
      </c>
    </row>
    <row r="58" spans="4:17" s="461" customFormat="1" ht="15.95" customHeight="1" x14ac:dyDescent="0.25">
      <c r="D58" s="459" t="s">
        <v>731</v>
      </c>
      <c r="E58" s="495"/>
      <c r="Q58" s="516"/>
    </row>
    <row r="59" spans="4:17" s="461" customFormat="1" ht="15.95" customHeight="1" x14ac:dyDescent="0.25">
      <c r="D59" s="512" t="s">
        <v>770</v>
      </c>
      <c r="E59" s="499"/>
    </row>
    <row r="60" spans="4:17" s="461" customFormat="1" ht="15.95" customHeight="1" x14ac:dyDescent="0.25">
      <c r="D60" s="459" t="s">
        <v>732</v>
      </c>
      <c r="E60" s="495"/>
      <c r="I60" s="512" t="s">
        <v>771</v>
      </c>
    </row>
    <row r="61" spans="4:17" s="461" customFormat="1" ht="15.95" customHeight="1" x14ac:dyDescent="0.25">
      <c r="E61" s="499"/>
      <c r="I61" s="512" t="s">
        <v>772</v>
      </c>
    </row>
    <row r="62" spans="4:17" s="461" customFormat="1" ht="15.95" customHeight="1" x14ac:dyDescent="0.25">
      <c r="D62" s="441" t="s">
        <v>729</v>
      </c>
      <c r="E62" s="499"/>
      <c r="H62" s="512" t="s">
        <v>781</v>
      </c>
    </row>
    <row r="63" spans="4:17" s="461" customFormat="1" ht="6.95" customHeight="1" x14ac:dyDescent="0.25"/>
    <row r="64" spans="4:17" s="461" customFormat="1" ht="15" customHeight="1" x14ac:dyDescent="0.3">
      <c r="D64" s="447" t="s">
        <v>736</v>
      </c>
      <c r="E64" s="499"/>
      <c r="F64" s="428"/>
      <c r="G64" s="446"/>
      <c r="H64" s="446"/>
    </row>
    <row r="65" spans="4:18" s="446" customFormat="1" ht="15.95" customHeight="1" x14ac:dyDescent="0.3">
      <c r="D65" s="459" t="s">
        <v>759</v>
      </c>
      <c r="F65" s="428"/>
    </row>
    <row r="66" spans="4:18" s="446" customFormat="1" ht="15.95" customHeight="1" x14ac:dyDescent="0.3">
      <c r="D66" s="459" t="s">
        <v>788</v>
      </c>
      <c r="E66" s="496"/>
      <c r="F66" s="428"/>
      <c r="O66" s="515" t="s">
        <v>786</v>
      </c>
    </row>
    <row r="67" spans="4:18" s="446" customFormat="1" ht="15.95" customHeight="1" x14ac:dyDescent="0.3">
      <c r="D67" s="459" t="s">
        <v>734</v>
      </c>
      <c r="E67" s="499"/>
      <c r="F67" s="428"/>
      <c r="J67" s="512" t="s">
        <v>784</v>
      </c>
    </row>
    <row r="68" spans="4:18" s="446" customFormat="1" ht="15.95" customHeight="1" x14ac:dyDescent="0.3">
      <c r="D68" s="459" t="s">
        <v>735</v>
      </c>
      <c r="E68" s="498"/>
      <c r="F68" s="428"/>
      <c r="O68" s="515"/>
    </row>
    <row r="69" spans="4:18" s="446" customFormat="1" ht="15.95" customHeight="1" x14ac:dyDescent="0.3">
      <c r="D69" s="512" t="s">
        <v>773</v>
      </c>
      <c r="E69" s="495"/>
      <c r="F69" s="428"/>
    </row>
    <row r="70" spans="4:18" s="446" customFormat="1" ht="15.95" customHeight="1" x14ac:dyDescent="0.3">
      <c r="D70" s="441" t="s">
        <v>729</v>
      </c>
      <c r="E70" s="499"/>
      <c r="F70" s="428"/>
      <c r="H70" s="512" t="s">
        <v>774</v>
      </c>
      <c r="K70" s="512"/>
      <c r="N70" s="512"/>
      <c r="O70" s="512"/>
      <c r="P70" s="512"/>
      <c r="R70" s="512"/>
    </row>
    <row r="71" spans="4:18" s="446" customFormat="1" ht="15.95" customHeight="1" x14ac:dyDescent="0.3">
      <c r="D71" s="514" t="s">
        <v>792</v>
      </c>
      <c r="F71" s="428"/>
    </row>
    <row r="72" spans="4:18" s="446" customFormat="1" ht="6.95" customHeight="1" x14ac:dyDescent="0.25"/>
    <row r="73" spans="4:18" s="446" customFormat="1" ht="15" customHeight="1" x14ac:dyDescent="0.3">
      <c r="D73" s="447" t="s">
        <v>785</v>
      </c>
      <c r="E73" s="499"/>
      <c r="F73" s="428"/>
    </row>
    <row r="74" spans="4:18" s="446" customFormat="1" ht="15.95" customHeight="1" x14ac:dyDescent="0.3">
      <c r="D74" s="459" t="s">
        <v>758</v>
      </c>
      <c r="E74" s="499"/>
      <c r="F74" s="428"/>
    </row>
    <row r="75" spans="4:18" s="446" customFormat="1" ht="15.95" customHeight="1" x14ac:dyDescent="0.25">
      <c r="D75" s="459" t="s">
        <v>780</v>
      </c>
      <c r="E75" s="499"/>
      <c r="F75" s="439"/>
      <c r="G75" s="439"/>
      <c r="H75" s="439"/>
      <c r="I75" s="439"/>
      <c r="J75" s="439"/>
      <c r="K75" s="439"/>
      <c r="L75" s="439"/>
      <c r="M75" s="439"/>
    </row>
    <row r="76" spans="4:18" s="446" customFormat="1" ht="15.95" customHeight="1" x14ac:dyDescent="0.25">
      <c r="D76" s="459" t="s">
        <v>737</v>
      </c>
      <c r="E76" s="495"/>
      <c r="F76" s="461"/>
      <c r="G76" s="461"/>
      <c r="H76" s="461"/>
      <c r="I76" s="512" t="s">
        <v>775</v>
      </c>
      <c r="J76" s="461"/>
      <c r="K76" s="461"/>
      <c r="L76" s="461"/>
      <c r="M76" s="461"/>
    </row>
    <row r="77" spans="4:18" s="446" customFormat="1" ht="15.95" customHeight="1" x14ac:dyDescent="0.25">
      <c r="D77" s="459" t="s">
        <v>738</v>
      </c>
      <c r="E77" s="495"/>
      <c r="F77" s="461"/>
      <c r="G77" s="461"/>
      <c r="H77" s="461"/>
      <c r="I77" s="461"/>
      <c r="J77" s="461"/>
      <c r="K77" s="461"/>
      <c r="L77" s="461"/>
      <c r="M77" s="461"/>
    </row>
    <row r="78" spans="4:18" s="446" customFormat="1" ht="15.95" customHeight="1" x14ac:dyDescent="0.25">
      <c r="D78" s="512" t="s">
        <v>776</v>
      </c>
      <c r="E78" s="499"/>
      <c r="F78" s="461"/>
      <c r="G78" s="461"/>
      <c r="H78" s="461"/>
      <c r="I78" s="461"/>
      <c r="J78" s="461"/>
      <c r="K78" s="461"/>
      <c r="L78" s="461"/>
      <c r="M78" s="461"/>
    </row>
    <row r="79" spans="4:18" s="446" customFormat="1" ht="15.95" customHeight="1" x14ac:dyDescent="0.25">
      <c r="D79" s="459" t="s">
        <v>779</v>
      </c>
      <c r="E79" s="495"/>
      <c r="F79" s="461"/>
      <c r="G79" s="461"/>
      <c r="H79" s="461"/>
      <c r="I79" s="461"/>
      <c r="J79" s="461"/>
      <c r="K79" s="512" t="s">
        <v>782</v>
      </c>
      <c r="L79" s="512"/>
      <c r="M79" s="461"/>
    </row>
    <row r="80" spans="4:18" s="446" customFormat="1" ht="15.95" customHeight="1" x14ac:dyDescent="0.25">
      <c r="D80" s="459" t="s">
        <v>739</v>
      </c>
      <c r="E80" s="495"/>
      <c r="F80" s="461"/>
      <c r="G80" s="461"/>
      <c r="H80" s="461"/>
      <c r="I80" s="461"/>
      <c r="J80" s="461"/>
      <c r="K80" s="512" t="s">
        <v>777</v>
      </c>
      <c r="L80" s="512"/>
      <c r="M80" s="512"/>
    </row>
    <row r="81" spans="4:13" ht="15.95" customHeight="1" x14ac:dyDescent="0.25">
      <c r="D81" s="441" t="s">
        <v>729</v>
      </c>
      <c r="E81" s="495"/>
      <c r="F81" s="461"/>
      <c r="G81" s="461"/>
      <c r="H81" s="512" t="s">
        <v>783</v>
      </c>
      <c r="I81" s="461"/>
      <c r="J81" s="461"/>
      <c r="K81" s="461"/>
      <c r="L81" s="461"/>
      <c r="M81" s="461"/>
    </row>
    <row r="82" spans="4:13" s="461" customFormat="1" ht="15.95" customHeight="1" x14ac:dyDescent="0.25">
      <c r="E82" s="499"/>
      <c r="H82" s="512" t="s">
        <v>778</v>
      </c>
    </row>
    <row r="83" spans="4:13" s="461" customFormat="1" ht="15" customHeight="1" x14ac:dyDescent="0.25"/>
    <row r="84" spans="4:13" s="461" customFormat="1" ht="15" customHeight="1" x14ac:dyDescent="0.25"/>
    <row r="85" spans="4:13" s="461" customFormat="1" ht="15" customHeight="1" x14ac:dyDescent="0.25"/>
    <row r="86" spans="4:13" s="461" customFormat="1" ht="15" customHeight="1" x14ac:dyDescent="0.25"/>
    <row r="87" spans="4:13" s="461" customFormat="1" ht="15" customHeight="1" x14ac:dyDescent="0.25"/>
    <row r="88" spans="4:13" s="461" customFormat="1" ht="15" customHeight="1" x14ac:dyDescent="0.25"/>
    <row r="89" spans="4:13" s="461" customFormat="1" ht="15" customHeight="1" x14ac:dyDescent="0.25"/>
    <row r="90" spans="4:13" s="461" customFormat="1" ht="15" customHeight="1" x14ac:dyDescent="0.25"/>
    <row r="91" spans="4:13" s="461" customFormat="1" ht="15" customHeight="1" x14ac:dyDescent="0.25"/>
    <row r="92" spans="4:13" s="461" customFormat="1" ht="15" customHeight="1" x14ac:dyDescent="0.25"/>
    <row r="93" spans="4:13" s="461" customFormat="1" ht="15" customHeight="1" x14ac:dyDescent="0.25">
      <c r="E93" s="495"/>
    </row>
    <row r="94" spans="4:13" s="461" customFormat="1" ht="15" customHeight="1" x14ac:dyDescent="0.25">
      <c r="E94" s="499"/>
    </row>
    <row r="95" spans="4:13" s="461" customFormat="1" ht="15" customHeight="1" x14ac:dyDescent="0.25">
      <c r="E95" s="497"/>
    </row>
    <row r="96" spans="4:13" s="461" customFormat="1" ht="15" customHeight="1" x14ac:dyDescent="0.25">
      <c r="E96" s="499"/>
    </row>
    <row r="97" spans="4:5" s="461" customFormat="1" ht="15.75" customHeight="1" x14ac:dyDescent="0.25">
      <c r="E97" s="499"/>
    </row>
    <row r="98" spans="4:5" s="461" customFormat="1" ht="15.75" customHeight="1" x14ac:dyDescent="0.25">
      <c r="D98" s="471"/>
      <c r="E98" s="499"/>
    </row>
    <row r="99" spans="4:5" s="461" customFormat="1" ht="15.75" customHeight="1" x14ac:dyDescent="0.25">
      <c r="D99" s="471"/>
      <c r="E99" s="499"/>
    </row>
    <row r="100" spans="4:5" s="461" customFormat="1" ht="15.75" customHeight="1" x14ac:dyDescent="0.25">
      <c r="D100" s="471"/>
      <c r="E100" s="499"/>
    </row>
    <row r="101" spans="4:5" s="461" customFormat="1" ht="15.75" customHeight="1" x14ac:dyDescent="0.25">
      <c r="D101" s="471"/>
      <c r="E101" s="499"/>
    </row>
    <row r="102" spans="4:5" s="461" customFormat="1" ht="15.75" customHeight="1" x14ac:dyDescent="0.25"/>
    <row r="103" spans="4:5" s="461" customFormat="1" ht="15.75" customHeight="1" x14ac:dyDescent="0.25"/>
    <row r="104" spans="4:5" s="461" customFormat="1" ht="15.75" customHeight="1" x14ac:dyDescent="0.25"/>
    <row r="105" spans="4:5" s="461" customFormat="1" ht="15.75" customHeight="1" x14ac:dyDescent="0.25"/>
    <row r="106" spans="4:5" s="461" customFormat="1" ht="15.75" customHeight="1" x14ac:dyDescent="0.25"/>
    <row r="107" spans="4:5" s="461" customFormat="1" ht="15.75" customHeight="1" x14ac:dyDescent="0.25"/>
    <row r="108" spans="4:5" s="461" customFormat="1" ht="15.75" customHeight="1" x14ac:dyDescent="0.25"/>
    <row r="109" spans="4:5" s="461" customFormat="1" ht="15.75" customHeight="1" x14ac:dyDescent="0.25"/>
    <row r="110" spans="4:5" s="461" customFormat="1" ht="15.75" customHeight="1" x14ac:dyDescent="0.25"/>
    <row r="111" spans="4:5" s="461" customFormat="1" ht="15.75" customHeight="1" x14ac:dyDescent="0.25"/>
    <row r="112" spans="4:5" s="461" customFormat="1" ht="15.75" customHeight="1" x14ac:dyDescent="0.25"/>
    <row r="113" s="461" customFormat="1" ht="15.75" customHeight="1" x14ac:dyDescent="0.25"/>
    <row r="114" s="461" customFormat="1" ht="15.75" customHeight="1" x14ac:dyDescent="0.25"/>
    <row r="115" s="461" customFormat="1" ht="15.75" customHeight="1" x14ac:dyDescent="0.25"/>
    <row r="116" s="461" customFormat="1" ht="15" customHeight="1" x14ac:dyDescent="0.25"/>
    <row r="117" s="461" customFormat="1" ht="15" customHeight="1" x14ac:dyDescent="0.25"/>
    <row r="118" s="461" customFormat="1" ht="15" customHeight="1" x14ac:dyDescent="0.25"/>
    <row r="119" s="461" customFormat="1" ht="15" customHeight="1" x14ac:dyDescent="0.25"/>
    <row r="120" s="461" customFormat="1" ht="15" customHeight="1" x14ac:dyDescent="0.25"/>
    <row r="121" s="461" customFormat="1" ht="15" customHeight="1" x14ac:dyDescent="0.25"/>
    <row r="122" s="461" customFormat="1" ht="15" customHeight="1" x14ac:dyDescent="0.25"/>
    <row r="123" s="461" customFormat="1" ht="15" customHeight="1" x14ac:dyDescent="0.25"/>
    <row r="124" s="461" customFormat="1" ht="15" customHeight="1" x14ac:dyDescent="0.25"/>
    <row r="125" s="461" customFormat="1" ht="15" customHeight="1" x14ac:dyDescent="0.25"/>
    <row r="126" s="461" customFormat="1" ht="15" customHeight="1" x14ac:dyDescent="0.25"/>
    <row r="127" s="461" customFormat="1" ht="15" customHeight="1" x14ac:dyDescent="0.25"/>
    <row r="128" s="461" customFormat="1" ht="15" customHeight="1" x14ac:dyDescent="0.25"/>
    <row r="129" s="461" customFormat="1" ht="15" customHeight="1" x14ac:dyDescent="0.25"/>
    <row r="130" s="461" customFormat="1" ht="15" customHeight="1" x14ac:dyDescent="0.25"/>
    <row r="131" s="461" customFormat="1" ht="15" customHeight="1" x14ac:dyDescent="0.25"/>
    <row r="132" s="461" customFormat="1" ht="15" customHeight="1" x14ac:dyDescent="0.25"/>
    <row r="133" s="461" customFormat="1" ht="15" customHeight="1" x14ac:dyDescent="0.25"/>
    <row r="134" s="461" customFormat="1" ht="15" customHeight="1" x14ac:dyDescent="0.25"/>
    <row r="135" s="461" customFormat="1" ht="15" customHeight="1" x14ac:dyDescent="0.25"/>
    <row r="136" s="461" customFormat="1" ht="15" customHeight="1" x14ac:dyDescent="0.25"/>
    <row r="137" s="461" customFormat="1" ht="15" customHeight="1" x14ac:dyDescent="0.25"/>
    <row r="138" s="461" customFormat="1" ht="15" customHeight="1" x14ac:dyDescent="0.25"/>
    <row r="139" s="461" customFormat="1" ht="15" customHeight="1" x14ac:dyDescent="0.25"/>
    <row r="140" s="461" customFormat="1" ht="15" customHeight="1" x14ac:dyDescent="0.25"/>
    <row r="141" s="461" customFormat="1" ht="15" customHeight="1" x14ac:dyDescent="0.25"/>
    <row r="142" s="461" customFormat="1" ht="15" customHeight="1" x14ac:dyDescent="0.25"/>
    <row r="143" s="461" customFormat="1" ht="15" customHeight="1" x14ac:dyDescent="0.25"/>
    <row r="144" s="461" customFormat="1" ht="15" customHeight="1" x14ac:dyDescent="0.25"/>
    <row r="145" s="461" customFormat="1" ht="15" customHeight="1" x14ac:dyDescent="0.25"/>
    <row r="146" s="461" customFormat="1" ht="15" customHeight="1" x14ac:dyDescent="0.25"/>
    <row r="147" s="461" customFormat="1" ht="15" customHeight="1" x14ac:dyDescent="0.25"/>
    <row r="148" s="461" customFormat="1" ht="15" customHeight="1" x14ac:dyDescent="0.25"/>
    <row r="149" s="461" customFormat="1" ht="15" customHeight="1" x14ac:dyDescent="0.25"/>
    <row r="150" s="461" customFormat="1" ht="15" customHeight="1" x14ac:dyDescent="0.25"/>
    <row r="151" s="461" customFormat="1" ht="15" customHeight="1" x14ac:dyDescent="0.25"/>
    <row r="152" s="461" customFormat="1" ht="15" customHeight="1" x14ac:dyDescent="0.25"/>
    <row r="153" s="461" customFormat="1" ht="15" customHeight="1" x14ac:dyDescent="0.25"/>
    <row r="154" s="461" customFormat="1" ht="15" customHeight="1" x14ac:dyDescent="0.25"/>
    <row r="155" s="461" customFormat="1" ht="15" customHeight="1" x14ac:dyDescent="0.25"/>
    <row r="156" s="461" customFormat="1" ht="15" customHeight="1" x14ac:dyDescent="0.25"/>
    <row r="157" s="461" customFormat="1" ht="15" customHeight="1" x14ac:dyDescent="0.25"/>
    <row r="158" s="461" customFormat="1" ht="15" customHeight="1" x14ac:dyDescent="0.25"/>
    <row r="159" s="461" customFormat="1" ht="15" customHeight="1" x14ac:dyDescent="0.25"/>
    <row r="160" s="461" customFormat="1" ht="15" customHeight="1" x14ac:dyDescent="0.25"/>
    <row r="161" s="461" customFormat="1" ht="15" customHeight="1" x14ac:dyDescent="0.25"/>
    <row r="162" s="461" customFormat="1" ht="15" customHeight="1" x14ac:dyDescent="0.25"/>
    <row r="163" s="461" customFormat="1" ht="15" customHeight="1" x14ac:dyDescent="0.25"/>
    <row r="164" s="461" customFormat="1" ht="15" customHeight="1" x14ac:dyDescent="0.25"/>
    <row r="165" s="461" customFormat="1" ht="15" customHeight="1" x14ac:dyDescent="0.25"/>
    <row r="166" s="461" customFormat="1" ht="15" customHeight="1" x14ac:dyDescent="0.25"/>
    <row r="167" s="461" customFormat="1" ht="15" customHeight="1" x14ac:dyDescent="0.25"/>
    <row r="168" s="461" customFormat="1" ht="15" customHeight="1" x14ac:dyDescent="0.25"/>
    <row r="169" s="461" customFormat="1" ht="15" customHeight="1" x14ac:dyDescent="0.25"/>
    <row r="170" s="461" customFormat="1" ht="15" customHeight="1" x14ac:dyDescent="0.25"/>
    <row r="171" s="461" customFormat="1" ht="15" customHeight="1" x14ac:dyDescent="0.25"/>
    <row r="172" s="461" customFormat="1" ht="15" customHeight="1" x14ac:dyDescent="0.25"/>
    <row r="173" s="461" customFormat="1" ht="15" customHeight="1" x14ac:dyDescent="0.25"/>
    <row r="174" s="461" customFormat="1" ht="15" customHeight="1" x14ac:dyDescent="0.25"/>
    <row r="175" s="461" customFormat="1" ht="15" customHeight="1" x14ac:dyDescent="0.25"/>
    <row r="176" s="461" customFormat="1" ht="15" customHeight="1" x14ac:dyDescent="0.25"/>
    <row r="177" s="461" customFormat="1" ht="15" customHeight="1" x14ac:dyDescent="0.25"/>
    <row r="178" s="461" customFormat="1" ht="15" customHeight="1" x14ac:dyDescent="0.25"/>
    <row r="179" s="461" customFormat="1" ht="15" customHeight="1" x14ac:dyDescent="0.25"/>
    <row r="180" s="461" customFormat="1" ht="15" customHeight="1" x14ac:dyDescent="0.25"/>
    <row r="181" s="461" customFormat="1" ht="15" customHeight="1" x14ac:dyDescent="0.25"/>
    <row r="182" s="461" customFormat="1" ht="15" customHeight="1" x14ac:dyDescent="0.25"/>
    <row r="183" s="461" customFormat="1" ht="15" customHeight="1" x14ac:dyDescent="0.25"/>
    <row r="184" s="461" customFormat="1" ht="15" customHeight="1" x14ac:dyDescent="0.25"/>
    <row r="185" s="461" customFormat="1" ht="15" customHeight="1" x14ac:dyDescent="0.25"/>
    <row r="186" s="461" customFormat="1" ht="15" customHeight="1" x14ac:dyDescent="0.25"/>
    <row r="187" s="461" customFormat="1" ht="15" customHeight="1" x14ac:dyDescent="0.25"/>
    <row r="188" s="461" customFormat="1" ht="15" customHeight="1" x14ac:dyDescent="0.25"/>
    <row r="189" s="461" customFormat="1" ht="15" customHeight="1" x14ac:dyDescent="0.25"/>
    <row r="208" spans="1:16" ht="15" customHeight="1" x14ac:dyDescent="0.25">
      <c r="A208" s="453" t="s">
        <v>637</v>
      </c>
      <c r="B208" s="454"/>
      <c r="C208" s="454"/>
      <c r="D208" s="454"/>
      <c r="F208" s="454"/>
      <c r="G208" s="454"/>
      <c r="H208" s="454"/>
      <c r="I208" s="454"/>
      <c r="J208" s="454"/>
      <c r="K208" s="454"/>
      <c r="L208" s="454"/>
      <c r="M208" s="454"/>
      <c r="N208" s="454"/>
      <c r="O208" s="454"/>
      <c r="P208" s="454"/>
    </row>
    <row r="210" spans="1:15" ht="15" customHeight="1" x14ac:dyDescent="0.25">
      <c r="A210" s="575" t="s">
        <v>666</v>
      </c>
      <c r="B210" s="574"/>
      <c r="D210" s="452" t="s">
        <v>667</v>
      </c>
      <c r="E210" s="501"/>
      <c r="F210" s="451"/>
      <c r="H210" s="575" t="s">
        <v>640</v>
      </c>
      <c r="I210" s="574"/>
      <c r="K210" s="575" t="s">
        <v>641</v>
      </c>
      <c r="L210" s="574"/>
      <c r="N210" s="575" t="s">
        <v>642</v>
      </c>
      <c r="O210" s="574"/>
    </row>
    <row r="211" spans="1:15" ht="45" x14ac:dyDescent="0.25">
      <c r="A211" s="399" t="s">
        <v>586</v>
      </c>
      <c r="B211" s="399" t="s">
        <v>643</v>
      </c>
      <c r="D211" s="399" t="s">
        <v>586</v>
      </c>
      <c r="E211" s="399"/>
      <c r="F211" s="399" t="s">
        <v>643</v>
      </c>
      <c r="H211" s="399" t="s">
        <v>586</v>
      </c>
      <c r="I211" s="399" t="s">
        <v>643</v>
      </c>
      <c r="K211" s="399" t="s">
        <v>586</v>
      </c>
      <c r="L211" s="399" t="s">
        <v>643</v>
      </c>
      <c r="N211" s="399" t="s">
        <v>586</v>
      </c>
      <c r="O211" s="399" t="s">
        <v>643</v>
      </c>
    </row>
    <row r="212" spans="1:15" ht="30" customHeight="1" x14ac:dyDescent="0.25">
      <c r="A212" s="401" t="s">
        <v>644</v>
      </c>
      <c r="B212" s="411">
        <v>28100</v>
      </c>
      <c r="D212" s="401" t="s">
        <v>644</v>
      </c>
      <c r="E212" s="401"/>
      <c r="F212" s="411">
        <v>618200</v>
      </c>
      <c r="H212" s="401" t="s">
        <v>272</v>
      </c>
      <c r="I212" s="458">
        <f>'DATA - ANALYSE - TERTIAIRE'!$BO$7</f>
        <v>0.41255100897587255</v>
      </c>
      <c r="K212" s="401" t="s">
        <v>272</v>
      </c>
      <c r="L212" s="458">
        <f>'DATA - ANALYSE - TERTIAIRE'!$BO$6</f>
        <v>0.29347466693894231</v>
      </c>
      <c r="N212" s="401" t="s">
        <v>313</v>
      </c>
      <c r="O212" s="412">
        <v>3.3790101617821568E-2</v>
      </c>
    </row>
    <row r="213" spans="1:15" ht="30" customHeight="1" x14ac:dyDescent="0.25">
      <c r="A213" s="401" t="s">
        <v>645</v>
      </c>
      <c r="B213" s="411">
        <v>3650</v>
      </c>
      <c r="D213" s="401" t="s">
        <v>645</v>
      </c>
      <c r="E213" s="401"/>
      <c r="F213" s="411">
        <v>58400</v>
      </c>
      <c r="H213" s="401" t="s">
        <v>273</v>
      </c>
      <c r="I213" s="458">
        <f>'DATA - ANALYSE - TERTIAIRE'!$BP$7</f>
        <v>0.38172798312289025</v>
      </c>
      <c r="K213" s="401" t="s">
        <v>273</v>
      </c>
      <c r="L213" s="458">
        <f>'DATA - ANALYSE - TERTIAIRE'!$BP$6</f>
        <v>0.55310217818615204</v>
      </c>
      <c r="N213" s="401" t="s">
        <v>314</v>
      </c>
      <c r="O213" s="412">
        <v>0.39809399324580258</v>
      </c>
    </row>
    <row r="214" spans="1:15" ht="30" customHeight="1" x14ac:dyDescent="0.25">
      <c r="A214" s="401" t="s">
        <v>668</v>
      </c>
      <c r="B214" s="411">
        <v>8700</v>
      </c>
      <c r="D214" s="401" t="s">
        <v>668</v>
      </c>
      <c r="E214" s="401"/>
      <c r="F214" s="411">
        <v>217500</v>
      </c>
      <c r="H214" s="401" t="s">
        <v>274</v>
      </c>
      <c r="I214" s="458">
        <f>'DATA - ANALYSE - TERTIAIRE'!$BQ$7</f>
        <v>0.15714023533751553</v>
      </c>
      <c r="K214" s="401" t="s">
        <v>274</v>
      </c>
      <c r="L214" s="458">
        <f>'DATA - ANALYSE - TERTIAIRE'!$BQ$6</f>
        <v>9.0947093218596856E-2</v>
      </c>
      <c r="N214" s="401" t="s">
        <v>315</v>
      </c>
      <c r="O214" s="412">
        <v>0.48806545824813102</v>
      </c>
    </row>
    <row r="215" spans="1:15" ht="45" x14ac:dyDescent="0.25">
      <c r="A215" s="401" t="s">
        <v>669</v>
      </c>
      <c r="B215" s="411">
        <v>5050</v>
      </c>
      <c r="D215" s="401" t="s">
        <v>669</v>
      </c>
      <c r="E215" s="401"/>
      <c r="F215" s="411">
        <v>70700</v>
      </c>
      <c r="H215" s="401" t="s">
        <v>275</v>
      </c>
      <c r="I215" s="458">
        <f>'DATA - ANALYSE - TERTIAIRE'!$BR$7</f>
        <v>4.8580772563721689E-2</v>
      </c>
      <c r="K215" s="401" t="s">
        <v>275</v>
      </c>
      <c r="L215" s="458">
        <f>'DATA - ANALYSE - TERTIAIRE'!$BR$6</f>
        <v>6.2476061656308909E-2</v>
      </c>
      <c r="N215" s="401" t="s">
        <v>316</v>
      </c>
      <c r="O215" s="412">
        <v>7.8456450212754936E-2</v>
      </c>
    </row>
    <row r="216" spans="1:15" x14ac:dyDescent="0.25">
      <c r="A216" s="401" t="s">
        <v>670</v>
      </c>
      <c r="B216" s="411">
        <v>37496</v>
      </c>
      <c r="D216" s="401" t="s">
        <v>670</v>
      </c>
      <c r="E216" s="401"/>
      <c r="F216" s="411">
        <v>112488</v>
      </c>
      <c r="N216" s="401" t="s">
        <v>317</v>
      </c>
      <c r="O216" s="412">
        <v>1.5939966754898551E-3</v>
      </c>
    </row>
    <row r="217" spans="1:15" x14ac:dyDescent="0.25">
      <c r="A217" s="401" t="s">
        <v>671</v>
      </c>
      <c r="B217" s="411">
        <v>10000</v>
      </c>
      <c r="D217" s="401" t="s">
        <v>671</v>
      </c>
      <c r="E217" s="401"/>
      <c r="F217" s="411">
        <v>160000</v>
      </c>
    </row>
    <row r="218" spans="1:15" x14ac:dyDescent="0.25">
      <c r="A218" s="401" t="s">
        <v>672</v>
      </c>
      <c r="B218" s="411">
        <v>121</v>
      </c>
      <c r="D218" s="401" t="s">
        <v>672</v>
      </c>
      <c r="E218" s="401"/>
      <c r="F218" s="411">
        <v>3025</v>
      </c>
    </row>
    <row r="219" spans="1:15" x14ac:dyDescent="0.25">
      <c r="A219" s="401" t="s">
        <v>673</v>
      </c>
      <c r="B219" s="411">
        <v>832</v>
      </c>
      <c r="D219" s="401" t="s">
        <v>673</v>
      </c>
      <c r="E219" s="401"/>
      <c r="F219" s="411">
        <v>66560</v>
      </c>
    </row>
    <row r="220" spans="1:15" x14ac:dyDescent="0.25">
      <c r="A220" s="401" t="s">
        <v>674</v>
      </c>
      <c r="B220" s="411">
        <v>520</v>
      </c>
      <c r="D220" s="401" t="s">
        <v>674</v>
      </c>
      <c r="E220" s="401"/>
      <c r="F220" s="411">
        <v>5200</v>
      </c>
    </row>
    <row r="224" spans="1:15" ht="15" customHeight="1" x14ac:dyDescent="0.25">
      <c r="A224" s="575" t="s">
        <v>646</v>
      </c>
      <c r="B224" s="574"/>
      <c r="D224" s="452" t="s">
        <v>675</v>
      </c>
      <c r="E224" s="501"/>
      <c r="F224" s="451"/>
      <c r="H224" s="575" t="s">
        <v>676</v>
      </c>
      <c r="I224" s="574"/>
      <c r="K224" s="575" t="s">
        <v>649</v>
      </c>
      <c r="L224" s="574"/>
      <c r="N224" s="575" t="s">
        <v>650</v>
      </c>
      <c r="O224" s="574"/>
    </row>
    <row r="225" spans="1:15" ht="45" x14ac:dyDescent="0.25">
      <c r="A225" s="399" t="s">
        <v>586</v>
      </c>
      <c r="B225" s="399" t="s">
        <v>643</v>
      </c>
      <c r="D225" s="399" t="s">
        <v>586</v>
      </c>
      <c r="E225" s="399"/>
      <c r="F225" s="399" t="s">
        <v>643</v>
      </c>
      <c r="H225" s="399" t="s">
        <v>586</v>
      </c>
      <c r="I225" s="399" t="s">
        <v>643</v>
      </c>
      <c r="K225" s="399" t="s">
        <v>586</v>
      </c>
      <c r="L225" s="399" t="s">
        <v>643</v>
      </c>
      <c r="N225" s="399" t="s">
        <v>586</v>
      </c>
      <c r="O225" s="399" t="s">
        <v>643</v>
      </c>
    </row>
    <row r="226" spans="1:15" ht="30" customHeight="1" x14ac:dyDescent="0.25">
      <c r="A226" s="401" t="s">
        <v>313</v>
      </c>
      <c r="B226" s="412">
        <v>5.5207901946165497E-2</v>
      </c>
      <c r="D226" s="401" t="s">
        <v>644</v>
      </c>
      <c r="E226" s="401"/>
      <c r="F226" s="411">
        <v>27600</v>
      </c>
      <c r="H226" s="401" t="s">
        <v>644</v>
      </c>
      <c r="I226" s="411">
        <v>607200</v>
      </c>
      <c r="K226" s="401" t="s">
        <v>272</v>
      </c>
      <c r="L226" s="458">
        <f>'DATA - ANALYSE - TERTIAIRE'!$BS$7</f>
        <v>0.35908327472485696</v>
      </c>
      <c r="N226" s="401" t="s">
        <v>272</v>
      </c>
      <c r="O226" s="458">
        <f>'DATA - ANALYSE - TERTIAIRE'!$BS$6</f>
        <v>0.26362948546506182</v>
      </c>
    </row>
    <row r="227" spans="1:15" ht="30" customHeight="1" x14ac:dyDescent="0.25">
      <c r="A227" s="401" t="s">
        <v>314</v>
      </c>
      <c r="B227" s="412">
        <v>0.33578568713540452</v>
      </c>
      <c r="D227" s="401" t="s">
        <v>645</v>
      </c>
      <c r="E227" s="401"/>
      <c r="F227" s="411">
        <v>4100</v>
      </c>
      <c r="H227" s="401" t="s">
        <v>645</v>
      </c>
      <c r="I227" s="411">
        <v>65600</v>
      </c>
      <c r="K227" s="401" t="s">
        <v>273</v>
      </c>
      <c r="L227" s="458">
        <f>'DATA - ANALYSE - TERTIAIRE'!$BT$7</f>
        <v>0.38969085137523995</v>
      </c>
      <c r="N227" s="401" t="s">
        <v>273</v>
      </c>
      <c r="O227" s="458">
        <f>'DATA - ANALYSE - TERTIAIRE'!$BT$6</f>
        <v>0.55885723348901206</v>
      </c>
    </row>
    <row r="228" spans="1:15" ht="30" customHeight="1" x14ac:dyDescent="0.25">
      <c r="A228" s="401" t="s">
        <v>315</v>
      </c>
      <c r="B228" s="412">
        <v>0.41692720874947042</v>
      </c>
      <c r="D228" s="401" t="s">
        <v>668</v>
      </c>
      <c r="E228" s="401"/>
      <c r="F228" s="411">
        <v>9050</v>
      </c>
      <c r="H228" s="401" t="s">
        <v>668</v>
      </c>
      <c r="I228" s="411">
        <v>226250</v>
      </c>
      <c r="K228" s="401" t="s">
        <v>274</v>
      </c>
      <c r="L228" s="458">
        <f>'DATA - ANALYSE - TERTIAIRE'!$BU$7</f>
        <v>0.21378060788078085</v>
      </c>
      <c r="N228" s="401" t="s">
        <v>274</v>
      </c>
      <c r="O228" s="458">
        <f>'DATA - ANALYSE - TERTIAIRE'!$BU$6</f>
        <v>0.12087745739518101</v>
      </c>
    </row>
    <row r="229" spans="1:15" ht="30" customHeight="1" x14ac:dyDescent="0.25">
      <c r="A229" s="401" t="s">
        <v>316</v>
      </c>
      <c r="B229" s="412">
        <v>0.16869236349498909</v>
      </c>
      <c r="D229" s="401" t="s">
        <v>669</v>
      </c>
      <c r="E229" s="401"/>
      <c r="F229" s="411">
        <v>5230</v>
      </c>
      <c r="H229" s="401" t="s">
        <v>669</v>
      </c>
      <c r="I229" s="411">
        <v>73220</v>
      </c>
      <c r="K229" s="401" t="s">
        <v>275</v>
      </c>
      <c r="L229" s="458">
        <f>'DATA - ANALYSE - TERTIAIRE'!$BV$7</f>
        <v>3.7445266019122209E-2</v>
      </c>
      <c r="N229" s="401" t="s">
        <v>275</v>
      </c>
      <c r="O229" s="458">
        <f>'DATA - ANALYSE - TERTIAIRE'!$BV$6</f>
        <v>5.66358236507453E-2</v>
      </c>
    </row>
    <row r="230" spans="1:15" ht="30" x14ac:dyDescent="0.25">
      <c r="A230" s="401" t="s">
        <v>317</v>
      </c>
      <c r="B230" s="412">
        <v>2.3386838673970629E-2</v>
      </c>
      <c r="D230" s="401" t="s">
        <v>670</v>
      </c>
      <c r="E230" s="401"/>
      <c r="F230" s="411">
        <v>37460</v>
      </c>
      <c r="H230" s="401" t="s">
        <v>670</v>
      </c>
      <c r="I230" s="411">
        <v>112380</v>
      </c>
    </row>
    <row r="231" spans="1:15" x14ac:dyDescent="0.25">
      <c r="D231" s="401" t="s">
        <v>671</v>
      </c>
      <c r="E231" s="401"/>
      <c r="F231" s="411">
        <v>9650</v>
      </c>
      <c r="H231" s="401" t="s">
        <v>671</v>
      </c>
      <c r="I231" s="411">
        <v>154400</v>
      </c>
    </row>
    <row r="232" spans="1:15" x14ac:dyDescent="0.25">
      <c r="D232" s="401" t="s">
        <v>672</v>
      </c>
      <c r="E232" s="401"/>
      <c r="F232" s="411">
        <v>119</v>
      </c>
      <c r="H232" s="401" t="s">
        <v>672</v>
      </c>
      <c r="I232" s="411">
        <v>2975</v>
      </c>
    </row>
    <row r="233" spans="1:15" x14ac:dyDescent="0.25">
      <c r="D233" s="401" t="s">
        <v>673</v>
      </c>
      <c r="E233" s="401"/>
      <c r="F233" s="411">
        <v>845</v>
      </c>
      <c r="H233" s="401" t="s">
        <v>673</v>
      </c>
      <c r="I233" s="411">
        <v>67600</v>
      </c>
    </row>
    <row r="234" spans="1:15" x14ac:dyDescent="0.25">
      <c r="D234" s="401" t="s">
        <v>674</v>
      </c>
      <c r="E234" s="401"/>
      <c r="F234" s="411">
        <v>560</v>
      </c>
      <c r="H234" s="401" t="s">
        <v>674</v>
      </c>
      <c r="I234" s="411">
        <v>5600</v>
      </c>
    </row>
  </sheetData>
  <mergeCells count="10">
    <mergeCell ref="A224:B224"/>
    <mergeCell ref="K210:L210"/>
    <mergeCell ref="A2:T2"/>
    <mergeCell ref="A210:B210"/>
    <mergeCell ref="A5:T5"/>
    <mergeCell ref="H224:I224"/>
    <mergeCell ref="K224:L224"/>
    <mergeCell ref="H210:I210"/>
    <mergeCell ref="N224:O224"/>
    <mergeCell ref="N210:O210"/>
  </mergeCells>
  <pageMargins left="3.937007874015748E-2" right="3.937007874015748E-2" top="7.874015748031496E-2" bottom="0" header="0" footer="0"/>
  <pageSetup paperSize="8" scale="71"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3D16B-CC51-4266-B449-98D5FFDC881E}">
  <dimension ref="A1:AJ89"/>
  <sheetViews>
    <sheetView zoomScale="92" zoomScaleNormal="92" workbookViewId="0">
      <selection activeCell="O35" sqref="O35"/>
    </sheetView>
  </sheetViews>
  <sheetFormatPr baseColWidth="10" defaultRowHeight="15" x14ac:dyDescent="0.25"/>
  <cols>
    <col min="1" max="1" width="2.85546875" style="475" customWidth="1"/>
    <col min="2" max="2" width="2.5703125" style="475" customWidth="1"/>
    <col min="3" max="3" width="26.42578125" style="475" customWidth="1"/>
    <col min="4" max="4" width="11.42578125" style="475"/>
    <col min="5" max="5" width="9.140625" style="475" customWidth="1"/>
    <col min="6" max="6" width="13" style="475" customWidth="1"/>
    <col min="7" max="8" width="11.42578125" style="475"/>
    <col min="9" max="9" width="8.5703125" style="475" customWidth="1"/>
    <col min="10" max="10" width="6.28515625" style="475" customWidth="1"/>
    <col min="11" max="11" width="1" style="475" customWidth="1"/>
    <col min="12" max="12" width="11.140625" style="475" customWidth="1"/>
    <col min="13" max="13" width="3.85546875" style="475" customWidth="1"/>
    <col min="14" max="14" width="12.140625" style="475" customWidth="1"/>
    <col min="15" max="15" width="11.42578125" style="475"/>
    <col min="16" max="16" width="13.85546875" style="475" customWidth="1"/>
    <col min="17" max="17" width="14" style="475" customWidth="1"/>
    <col min="18" max="18" width="11.42578125" style="475"/>
    <col min="19" max="19" width="10.28515625" style="475" customWidth="1"/>
    <col min="20" max="20" width="13.42578125" style="475" customWidth="1"/>
    <col min="21" max="21" width="11.42578125" style="475"/>
    <col min="22" max="22" width="10.5703125" style="475" customWidth="1"/>
    <col min="23" max="23" width="11.140625" style="475" customWidth="1"/>
    <col min="24" max="24" width="11.42578125" style="475"/>
    <col min="25" max="25" width="28.7109375" style="475" customWidth="1"/>
    <col min="26" max="26" width="15.85546875" style="475" customWidth="1"/>
    <col min="27" max="16384" width="11.42578125" style="475"/>
  </cols>
  <sheetData>
    <row r="1" spans="1:36" s="446" customFormat="1" ht="17.100000000000001" customHeight="1" x14ac:dyDescent="0.25">
      <c r="A1" s="535" t="s">
        <v>740</v>
      </c>
      <c r="B1" s="476"/>
      <c r="C1" s="476"/>
      <c r="D1" s="476"/>
      <c r="E1" s="476"/>
      <c r="F1" s="476"/>
      <c r="G1" s="476"/>
      <c r="H1" s="476"/>
      <c r="I1" s="476"/>
      <c r="J1" s="476"/>
      <c r="K1" s="476"/>
      <c r="L1" s="476"/>
      <c r="M1" s="476"/>
      <c r="N1" s="476"/>
      <c r="O1" s="476"/>
      <c r="P1" s="476"/>
      <c r="Q1" s="476"/>
      <c r="R1" s="476"/>
      <c r="S1" s="476"/>
      <c r="T1" s="476"/>
      <c r="U1" s="476"/>
      <c r="V1" s="476"/>
      <c r="W1" s="476"/>
      <c r="X1" s="476"/>
      <c r="Y1" s="476"/>
      <c r="Z1" s="476"/>
      <c r="AA1" s="475"/>
      <c r="AB1" s="481"/>
      <c r="AC1" s="480"/>
      <c r="AD1" s="480"/>
      <c r="AE1" s="480"/>
      <c r="AF1" s="480"/>
      <c r="AG1" s="480"/>
      <c r="AH1" s="480"/>
      <c r="AI1" s="480"/>
      <c r="AJ1" s="480"/>
    </row>
    <row r="2" spans="1:36" s="446" customFormat="1" ht="9" customHeight="1" x14ac:dyDescent="0.25">
      <c r="A2" s="583" t="s">
        <v>741</v>
      </c>
      <c r="B2" s="584"/>
      <c r="C2" s="584"/>
      <c r="D2" s="584"/>
      <c r="E2" s="584"/>
      <c r="F2" s="584"/>
      <c r="G2" s="584"/>
      <c r="H2" s="584"/>
      <c r="I2" s="584"/>
      <c r="J2" s="584"/>
      <c r="K2" s="584"/>
      <c r="L2" s="584"/>
      <c r="M2" s="584"/>
      <c r="N2" s="584"/>
      <c r="O2" s="584"/>
      <c r="P2" s="584"/>
      <c r="Q2" s="584"/>
      <c r="R2" s="584"/>
      <c r="S2" s="584"/>
      <c r="T2" s="584"/>
      <c r="U2" s="584"/>
      <c r="V2" s="584"/>
      <c r="W2" s="480"/>
      <c r="X2" s="480"/>
      <c r="Y2" s="480"/>
      <c r="Z2" s="480"/>
      <c r="AA2" s="475"/>
      <c r="AB2" s="475"/>
      <c r="AC2" s="480"/>
      <c r="AD2" s="480"/>
      <c r="AE2" s="480"/>
      <c r="AF2" s="480"/>
      <c r="AG2" s="480"/>
      <c r="AH2" s="480"/>
      <c r="AI2" s="480"/>
      <c r="AJ2" s="480"/>
    </row>
    <row r="3" spans="1:36" ht="14.45" customHeight="1" x14ac:dyDescent="0.25">
      <c r="K3" s="531"/>
      <c r="L3" s="539" t="s">
        <v>850</v>
      </c>
      <c r="M3" s="464"/>
      <c r="N3" s="464"/>
      <c r="O3" s="464"/>
      <c r="P3" s="464"/>
      <c r="Q3" s="464"/>
      <c r="R3" s="464"/>
      <c r="S3" s="464"/>
      <c r="T3" s="464"/>
      <c r="U3" s="464"/>
      <c r="V3" s="464"/>
      <c r="W3" s="464"/>
      <c r="X3" s="464"/>
      <c r="Y3" s="464"/>
      <c r="Z3" s="464"/>
    </row>
    <row r="4" spans="1:36" ht="3.95" customHeight="1" x14ac:dyDescent="0.25">
      <c r="K4" s="531"/>
    </row>
    <row r="5" spans="1:36" ht="14.1" customHeight="1" x14ac:dyDescent="0.25">
      <c r="K5" s="531"/>
      <c r="L5" s="537" t="s">
        <v>831</v>
      </c>
      <c r="Q5" s="538" t="s">
        <v>884</v>
      </c>
    </row>
    <row r="6" spans="1:36" ht="14.1" customHeight="1" x14ac:dyDescent="0.25">
      <c r="K6" s="531"/>
      <c r="Q6" s="538" t="s">
        <v>832</v>
      </c>
    </row>
    <row r="7" spans="1:36" ht="14.1" customHeight="1" x14ac:dyDescent="0.25">
      <c r="K7" s="531"/>
      <c r="L7" s="537" t="s">
        <v>836</v>
      </c>
    </row>
    <row r="8" spans="1:36" ht="14.1" customHeight="1" x14ac:dyDescent="0.25">
      <c r="K8" s="531"/>
      <c r="L8" s="470" t="s">
        <v>835</v>
      </c>
    </row>
    <row r="9" spans="1:36" ht="14.1" customHeight="1" x14ac:dyDescent="0.25">
      <c r="K9" s="531"/>
      <c r="N9" s="538" t="s">
        <v>833</v>
      </c>
    </row>
    <row r="10" spans="1:36" ht="14.1" customHeight="1" x14ac:dyDescent="0.25">
      <c r="K10" s="531"/>
      <c r="N10" s="538" t="s">
        <v>834</v>
      </c>
    </row>
    <row r="11" spans="1:36" ht="14.1" customHeight="1" x14ac:dyDescent="0.25">
      <c r="K11" s="531"/>
      <c r="L11" s="538" t="s">
        <v>879</v>
      </c>
    </row>
    <row r="12" spans="1:36" ht="3.95" customHeight="1" x14ac:dyDescent="0.25">
      <c r="K12" s="531"/>
    </row>
    <row r="13" spans="1:36" ht="14.45" customHeight="1" x14ac:dyDescent="0.25">
      <c r="K13" s="531"/>
      <c r="L13" s="539" t="s">
        <v>933</v>
      </c>
      <c r="M13" s="539"/>
      <c r="N13" s="539"/>
      <c r="O13" s="539"/>
      <c r="P13" s="539"/>
      <c r="Q13" s="539"/>
      <c r="R13" s="539"/>
      <c r="S13" s="539"/>
      <c r="T13" s="464"/>
      <c r="U13" s="464"/>
      <c r="V13" s="464"/>
      <c r="W13" s="464"/>
      <c r="X13" s="464"/>
      <c r="Y13" s="464"/>
      <c r="Z13" s="464"/>
    </row>
    <row r="14" spans="1:36" ht="5.0999999999999996" customHeight="1" x14ac:dyDescent="0.25">
      <c r="K14" s="531"/>
    </row>
    <row r="15" spans="1:36" ht="14.1" customHeight="1" x14ac:dyDescent="0.25">
      <c r="K15" s="531"/>
      <c r="L15" s="540" t="s">
        <v>864</v>
      </c>
      <c r="W15" s="566" t="s">
        <v>880</v>
      </c>
    </row>
    <row r="16" spans="1:36" ht="14.1" customHeight="1" x14ac:dyDescent="0.25">
      <c r="K16" s="531"/>
      <c r="L16" s="470" t="s">
        <v>837</v>
      </c>
      <c r="M16" s="537" t="s">
        <v>838</v>
      </c>
      <c r="N16" s="537"/>
    </row>
    <row r="17" spans="2:28" ht="14.1" customHeight="1" x14ac:dyDescent="0.25">
      <c r="K17" s="531"/>
      <c r="L17" s="537" t="s">
        <v>845</v>
      </c>
      <c r="M17" s="537" t="s">
        <v>839</v>
      </c>
      <c r="N17" s="537"/>
    </row>
    <row r="18" spans="2:28" ht="14.1" customHeight="1" x14ac:dyDescent="0.25">
      <c r="B18" s="399"/>
      <c r="C18" s="399" t="s">
        <v>586</v>
      </c>
      <c r="K18" s="531"/>
      <c r="L18" s="470" t="s">
        <v>843</v>
      </c>
      <c r="M18" s="537" t="s">
        <v>931</v>
      </c>
    </row>
    <row r="19" spans="2:28" ht="14.1" customHeight="1" x14ac:dyDescent="0.25">
      <c r="B19" s="402"/>
      <c r="C19" s="401" t="s">
        <v>587</v>
      </c>
      <c r="K19" s="531"/>
      <c r="L19" s="537" t="s">
        <v>840</v>
      </c>
      <c r="M19" s="537" t="s">
        <v>841</v>
      </c>
    </row>
    <row r="20" spans="2:28" ht="14.1" customHeight="1" x14ac:dyDescent="0.25">
      <c r="B20" s="405"/>
      <c r="C20" s="401" t="s">
        <v>589</v>
      </c>
      <c r="K20" s="531"/>
      <c r="M20" s="537" t="s">
        <v>842</v>
      </c>
    </row>
    <row r="21" spans="2:28" ht="3.95" customHeight="1" x14ac:dyDescent="0.25">
      <c r="K21" s="531"/>
    </row>
    <row r="22" spans="2:28" ht="14.1" customHeight="1" x14ac:dyDescent="0.25">
      <c r="K22" s="531"/>
      <c r="L22" s="540" t="s">
        <v>877</v>
      </c>
      <c r="W22" s="565" t="s">
        <v>867</v>
      </c>
    </row>
    <row r="23" spans="2:28" ht="14.1" customHeight="1" x14ac:dyDescent="0.25">
      <c r="K23" s="531"/>
      <c r="L23" s="537" t="s">
        <v>837</v>
      </c>
      <c r="M23" s="537" t="s">
        <v>856</v>
      </c>
    </row>
    <row r="24" spans="2:28" ht="14.1" customHeight="1" x14ac:dyDescent="0.25">
      <c r="K24" s="531"/>
      <c r="M24" s="537" t="s">
        <v>857</v>
      </c>
    </row>
    <row r="25" spans="2:28" ht="14.1" customHeight="1" x14ac:dyDescent="0.25">
      <c r="K25" s="531"/>
      <c r="L25" s="537" t="s">
        <v>845</v>
      </c>
      <c r="M25" s="537" t="s">
        <v>858</v>
      </c>
    </row>
    <row r="26" spans="2:28" ht="14.1" customHeight="1" x14ac:dyDescent="0.25">
      <c r="K26" s="531"/>
      <c r="M26" s="537" t="s">
        <v>859</v>
      </c>
    </row>
    <row r="27" spans="2:28" ht="14.1" customHeight="1" x14ac:dyDescent="0.25">
      <c r="K27" s="531"/>
      <c r="L27" s="537" t="s">
        <v>843</v>
      </c>
      <c r="M27" s="537" t="s">
        <v>860</v>
      </c>
    </row>
    <row r="28" spans="2:28" ht="14.1" customHeight="1" x14ac:dyDescent="0.25">
      <c r="K28" s="531"/>
      <c r="L28" s="537" t="s">
        <v>840</v>
      </c>
      <c r="M28" s="537" t="s">
        <v>861</v>
      </c>
    </row>
    <row r="29" spans="2:28" ht="14.1" customHeight="1" x14ac:dyDescent="0.25">
      <c r="K29" s="531"/>
      <c r="L29" s="541"/>
      <c r="M29" s="541" t="s">
        <v>862</v>
      </c>
      <c r="N29" s="477"/>
      <c r="O29" s="477"/>
      <c r="P29" s="477"/>
      <c r="Q29" s="477"/>
      <c r="R29" s="477"/>
      <c r="S29" s="477"/>
      <c r="T29" s="477"/>
      <c r="U29" s="477"/>
      <c r="V29" s="477"/>
      <c r="W29" s="477"/>
      <c r="X29" s="477"/>
      <c r="Y29" s="477"/>
      <c r="Z29" s="477"/>
      <c r="AA29" s="477"/>
      <c r="AB29" s="477"/>
    </row>
    <row r="30" spans="2:28" ht="14.1" customHeight="1" x14ac:dyDescent="0.25">
      <c r="K30" s="531"/>
      <c r="L30" s="541"/>
      <c r="M30" s="541" t="s">
        <v>863</v>
      </c>
      <c r="N30" s="477"/>
      <c r="O30" s="477"/>
      <c r="P30" s="477"/>
      <c r="Q30" s="477"/>
      <c r="R30" s="477"/>
      <c r="S30" s="477"/>
      <c r="T30" s="477"/>
      <c r="U30" s="477"/>
      <c r="V30" s="477"/>
      <c r="W30" s="477"/>
      <c r="X30" s="477"/>
      <c r="Y30" s="477"/>
      <c r="Z30" s="477"/>
      <c r="AA30" s="477"/>
      <c r="AB30" s="477"/>
    </row>
    <row r="31" spans="2:28" ht="3.95" customHeight="1" x14ac:dyDescent="0.25">
      <c r="K31" s="531"/>
      <c r="L31" s="477"/>
      <c r="M31" s="477"/>
      <c r="N31" s="477"/>
      <c r="O31" s="477"/>
      <c r="P31" s="477"/>
      <c r="Q31" s="477"/>
      <c r="R31" s="477"/>
      <c r="S31" s="477"/>
      <c r="T31" s="477"/>
      <c r="U31" s="477"/>
      <c r="V31" s="477"/>
      <c r="W31" s="477"/>
      <c r="X31" s="477"/>
      <c r="Y31" s="477"/>
      <c r="Z31" s="477"/>
      <c r="AA31" s="477"/>
      <c r="AB31" s="477"/>
    </row>
    <row r="32" spans="2:28" ht="14.1" customHeight="1" x14ac:dyDescent="0.25">
      <c r="K32" s="531"/>
      <c r="L32" s="540" t="s">
        <v>865</v>
      </c>
      <c r="W32" s="565" t="s">
        <v>883</v>
      </c>
    </row>
    <row r="33" spans="1:28" ht="14.1" customHeight="1" x14ac:dyDescent="0.25">
      <c r="K33" s="531"/>
      <c r="L33" s="537" t="s">
        <v>837</v>
      </c>
      <c r="M33" s="537" t="s">
        <v>847</v>
      </c>
    </row>
    <row r="34" spans="1:28" ht="14.1" customHeight="1" x14ac:dyDescent="0.25">
      <c r="K34" s="531"/>
      <c r="M34" s="537" t="s">
        <v>846</v>
      </c>
    </row>
    <row r="35" spans="1:28" ht="14.1" customHeight="1" x14ac:dyDescent="0.25">
      <c r="K35" s="531"/>
      <c r="L35" s="537" t="s">
        <v>845</v>
      </c>
      <c r="M35" s="537" t="s">
        <v>849</v>
      </c>
    </row>
    <row r="36" spans="1:28" ht="14.1" customHeight="1" x14ac:dyDescent="0.25">
      <c r="K36" s="531"/>
      <c r="L36" s="537" t="s">
        <v>843</v>
      </c>
      <c r="M36" s="537" t="s">
        <v>852</v>
      </c>
    </row>
    <row r="37" spans="1:28" ht="14.1" customHeight="1" x14ac:dyDescent="0.25">
      <c r="K37" s="531"/>
      <c r="L37" s="537" t="s">
        <v>840</v>
      </c>
      <c r="M37" s="537" t="s">
        <v>851</v>
      </c>
    </row>
    <row r="38" spans="1:28" ht="3.95" customHeight="1" x14ac:dyDescent="0.25">
      <c r="K38" s="531"/>
    </row>
    <row r="39" spans="1:28" ht="14.1" customHeight="1" x14ac:dyDescent="0.25">
      <c r="K39" s="531"/>
      <c r="L39" s="470" t="s">
        <v>866</v>
      </c>
      <c r="W39" s="565" t="s">
        <v>881</v>
      </c>
    </row>
    <row r="40" spans="1:28" ht="14.1" customHeight="1" x14ac:dyDescent="0.25">
      <c r="K40" s="531"/>
      <c r="L40" s="537" t="s">
        <v>837</v>
      </c>
      <c r="M40" s="537" t="s">
        <v>853</v>
      </c>
    </row>
    <row r="41" spans="1:28" ht="14.1" customHeight="1" x14ac:dyDescent="0.25">
      <c r="K41" s="531"/>
      <c r="L41" s="537" t="s">
        <v>843</v>
      </c>
      <c r="M41" s="537" t="s">
        <v>854</v>
      </c>
    </row>
    <row r="42" spans="1:28" ht="14.1" customHeight="1" x14ac:dyDescent="0.25">
      <c r="K42" s="531"/>
      <c r="L42" s="537" t="s">
        <v>840</v>
      </c>
      <c r="M42" s="537" t="s">
        <v>855</v>
      </c>
    </row>
    <row r="43" spans="1:28" ht="3.95" customHeight="1" x14ac:dyDescent="0.25">
      <c r="K43" s="531"/>
    </row>
    <row r="44" spans="1:28" ht="14.1" customHeight="1" x14ac:dyDescent="0.25">
      <c r="A44" s="399" t="s">
        <v>244</v>
      </c>
      <c r="B44" s="399"/>
      <c r="C44" s="399" t="s">
        <v>800</v>
      </c>
      <c r="D44" s="399"/>
      <c r="E44" s="399"/>
      <c r="K44" s="531"/>
      <c r="L44" s="540" t="s">
        <v>878</v>
      </c>
      <c r="W44" s="565" t="s">
        <v>882</v>
      </c>
    </row>
    <row r="45" spans="1:28" ht="14.1" customHeight="1" x14ac:dyDescent="0.25">
      <c r="A45" s="415">
        <v>1</v>
      </c>
      <c r="B45" s="402"/>
      <c r="C45" s="526" t="s">
        <v>799</v>
      </c>
      <c r="D45" s="478"/>
      <c r="E45" s="479"/>
      <c r="K45" s="531"/>
      <c r="L45" s="537" t="s">
        <v>837</v>
      </c>
      <c r="M45" s="537" t="s">
        <v>844</v>
      </c>
    </row>
    <row r="46" spans="1:28" s="477" customFormat="1" ht="14.1" customHeight="1" x14ac:dyDescent="0.25">
      <c r="A46" s="415">
        <v>2</v>
      </c>
      <c r="B46" s="410"/>
      <c r="C46" s="526" t="s">
        <v>802</v>
      </c>
      <c r="D46" s="478"/>
      <c r="E46" s="479"/>
      <c r="J46" s="475"/>
      <c r="K46" s="531"/>
      <c r="L46" s="537" t="s">
        <v>843</v>
      </c>
      <c r="M46" s="537" t="s">
        <v>944</v>
      </c>
      <c r="N46" s="475"/>
      <c r="O46" s="475"/>
      <c r="P46" s="475"/>
      <c r="Q46" s="475"/>
      <c r="R46" s="475"/>
      <c r="S46" s="475"/>
      <c r="T46" s="475"/>
      <c r="U46" s="475"/>
      <c r="V46" s="475"/>
      <c r="W46" s="475"/>
      <c r="X46" s="475"/>
      <c r="Y46" s="475"/>
      <c r="Z46" s="475"/>
      <c r="AA46" s="475"/>
      <c r="AB46" s="475"/>
    </row>
    <row r="47" spans="1:28" s="477" customFormat="1" ht="14.1" customHeight="1" x14ac:dyDescent="0.25">
      <c r="A47" s="415">
        <v>3</v>
      </c>
      <c r="B47" s="405"/>
      <c r="C47" s="526" t="s">
        <v>796</v>
      </c>
      <c r="D47" s="478"/>
      <c r="E47" s="479"/>
      <c r="J47" s="475"/>
      <c r="K47" s="531"/>
      <c r="L47" s="537" t="s">
        <v>840</v>
      </c>
      <c r="M47" s="537" t="s">
        <v>848</v>
      </c>
      <c r="N47" s="475"/>
      <c r="O47" s="475"/>
      <c r="P47" s="475"/>
      <c r="Q47" s="475"/>
      <c r="R47" s="475"/>
      <c r="S47" s="475"/>
      <c r="T47" s="475"/>
      <c r="U47" s="475"/>
      <c r="V47" s="475"/>
      <c r="W47" s="475"/>
      <c r="X47" s="475"/>
      <c r="Y47" s="475"/>
      <c r="Z47" s="475"/>
      <c r="AA47" s="475"/>
      <c r="AB47" s="475"/>
    </row>
    <row r="48" spans="1:28" s="477" customFormat="1" ht="3.95" customHeight="1" x14ac:dyDescent="0.25">
      <c r="J48" s="475"/>
      <c r="K48" s="531"/>
      <c r="L48" s="475"/>
      <c r="M48" s="475"/>
      <c r="N48" s="475"/>
      <c r="O48" s="475"/>
      <c r="P48" s="475"/>
      <c r="Q48" s="475"/>
      <c r="R48" s="475"/>
      <c r="S48" s="475"/>
      <c r="T48" s="475"/>
      <c r="U48" s="475"/>
      <c r="V48" s="475"/>
      <c r="W48" s="475"/>
      <c r="X48" s="475"/>
      <c r="Y48" s="475"/>
      <c r="Z48" s="475"/>
      <c r="AA48" s="475"/>
      <c r="AB48" s="475"/>
    </row>
    <row r="49" spans="1:27" ht="14.1" customHeight="1" x14ac:dyDescent="0.25">
      <c r="A49" s="415">
        <v>4</v>
      </c>
      <c r="B49" s="408"/>
      <c r="C49" s="526" t="s">
        <v>797</v>
      </c>
      <c r="D49" s="478"/>
      <c r="E49" s="479"/>
      <c r="K49" s="531"/>
      <c r="L49" s="376" t="s">
        <v>869</v>
      </c>
      <c r="W49" s="565" t="s">
        <v>868</v>
      </c>
    </row>
    <row r="50" spans="1:27" ht="14.1" customHeight="1" x14ac:dyDescent="0.25">
      <c r="A50" s="415">
        <v>5</v>
      </c>
      <c r="B50" s="403"/>
      <c r="C50" s="526" t="s">
        <v>23</v>
      </c>
      <c r="D50" s="478"/>
      <c r="E50" s="479"/>
      <c r="K50" s="531"/>
      <c r="L50" s="537" t="s">
        <v>870</v>
      </c>
      <c r="M50" s="537" t="s">
        <v>876</v>
      </c>
    </row>
    <row r="51" spans="1:27" ht="14.1" customHeight="1" x14ac:dyDescent="0.25">
      <c r="A51" s="415">
        <v>6</v>
      </c>
      <c r="B51" s="406"/>
      <c r="C51" s="526" t="s">
        <v>798</v>
      </c>
      <c r="D51" s="478"/>
      <c r="E51" s="479"/>
      <c r="K51" s="531"/>
      <c r="L51" s="537" t="s">
        <v>845</v>
      </c>
      <c r="M51" s="537" t="s">
        <v>871</v>
      </c>
    </row>
    <row r="52" spans="1:27" ht="14.1" customHeight="1" x14ac:dyDescent="0.25">
      <c r="A52" s="415">
        <v>7</v>
      </c>
      <c r="B52" s="413"/>
      <c r="C52" s="526" t="s">
        <v>801</v>
      </c>
      <c r="D52" s="478"/>
      <c r="E52" s="479"/>
      <c r="K52" s="531"/>
      <c r="L52" s="537" t="s">
        <v>843</v>
      </c>
      <c r="M52" s="537" t="s">
        <v>873</v>
      </c>
    </row>
    <row r="53" spans="1:27" ht="14.1" customHeight="1" x14ac:dyDescent="0.25">
      <c r="A53" s="415">
        <v>8</v>
      </c>
      <c r="B53" s="404"/>
      <c r="C53" s="526" t="s">
        <v>32</v>
      </c>
      <c r="D53" s="478"/>
      <c r="E53" s="479"/>
      <c r="K53" s="531"/>
      <c r="M53" s="537" t="s">
        <v>872</v>
      </c>
    </row>
    <row r="54" spans="1:27" ht="14.1" customHeight="1" x14ac:dyDescent="0.25">
      <c r="A54" s="415">
        <v>9</v>
      </c>
      <c r="B54" s="414"/>
      <c r="C54" s="526" t="s">
        <v>35</v>
      </c>
      <c r="D54" s="478"/>
      <c r="E54" s="479"/>
      <c r="K54" s="531"/>
      <c r="L54" s="537" t="s">
        <v>840</v>
      </c>
      <c r="M54" s="470" t="s">
        <v>874</v>
      </c>
    </row>
    <row r="55" spans="1:27" ht="14.1" customHeight="1" x14ac:dyDescent="0.25">
      <c r="K55" s="531"/>
      <c r="M55" s="537" t="s">
        <v>875</v>
      </c>
    </row>
    <row r="56" spans="1:27" ht="3.95" customHeight="1" x14ac:dyDescent="0.25">
      <c r="K56" s="531"/>
    </row>
    <row r="57" spans="1:27" ht="15.75" x14ac:dyDescent="0.25">
      <c r="K57" s="531"/>
      <c r="L57" s="539" t="s">
        <v>886</v>
      </c>
      <c r="M57" s="539"/>
      <c r="N57" s="539"/>
      <c r="O57" s="539"/>
      <c r="P57" s="539"/>
      <c r="Q57" s="539"/>
      <c r="R57" s="539"/>
      <c r="S57" s="539"/>
      <c r="T57" s="464"/>
      <c r="U57" s="464"/>
      <c r="V57" s="464"/>
      <c r="W57" s="464"/>
      <c r="X57" s="464"/>
      <c r="Y57" s="464"/>
      <c r="Z57" s="464"/>
      <c r="AA57" s="464"/>
    </row>
    <row r="58" spans="1:27" ht="3.95" customHeight="1" x14ac:dyDescent="0.25">
      <c r="K58" s="531"/>
    </row>
    <row r="59" spans="1:27" x14ac:dyDescent="0.25">
      <c r="K59" s="531"/>
      <c r="L59" s="569" t="s">
        <v>885</v>
      </c>
      <c r="O59" s="537"/>
      <c r="P59" s="570"/>
      <c r="R59" s="570"/>
      <c r="T59" s="540"/>
      <c r="U59" s="537"/>
    </row>
    <row r="60" spans="1:27" ht="14.1" customHeight="1" x14ac:dyDescent="0.25">
      <c r="K60" s="531"/>
      <c r="L60" s="537" t="s">
        <v>934</v>
      </c>
      <c r="P60" s="570"/>
      <c r="Q60" s="540"/>
      <c r="R60" s="537"/>
      <c r="T60" s="540" t="s">
        <v>939</v>
      </c>
    </row>
    <row r="61" spans="1:27" ht="14.1" customHeight="1" x14ac:dyDescent="0.25">
      <c r="K61" s="531"/>
      <c r="L61" s="376" t="s">
        <v>887</v>
      </c>
      <c r="N61" s="540"/>
      <c r="Q61" s="540"/>
      <c r="R61" s="537"/>
      <c r="T61" s="540" t="s">
        <v>891</v>
      </c>
    </row>
    <row r="62" spans="1:27" ht="14.1" customHeight="1" x14ac:dyDescent="0.25">
      <c r="K62" s="531"/>
      <c r="L62" s="475" t="s">
        <v>888</v>
      </c>
      <c r="Q62" s="540"/>
      <c r="T62" s="537" t="s">
        <v>892</v>
      </c>
    </row>
    <row r="63" spans="1:27" ht="14.1" customHeight="1" x14ac:dyDescent="0.25">
      <c r="K63" s="531"/>
      <c r="L63" s="376" t="s">
        <v>927</v>
      </c>
      <c r="T63" s="540" t="s">
        <v>889</v>
      </c>
    </row>
    <row r="64" spans="1:27" ht="14.1" customHeight="1" x14ac:dyDescent="0.25">
      <c r="K64" s="531"/>
      <c r="L64" s="537" t="s">
        <v>893</v>
      </c>
      <c r="R64" s="470"/>
      <c r="T64" s="537" t="s">
        <v>890</v>
      </c>
    </row>
    <row r="65" spans="11:22" ht="14.45" customHeight="1" x14ac:dyDescent="0.25">
      <c r="K65" s="531"/>
      <c r="L65" s="571" t="s">
        <v>894</v>
      </c>
    </row>
    <row r="66" spans="11:22" ht="14.1" customHeight="1" x14ac:dyDescent="0.25">
      <c r="K66" s="531"/>
      <c r="L66" s="537" t="s">
        <v>935</v>
      </c>
      <c r="T66" s="540" t="s">
        <v>940</v>
      </c>
    </row>
    <row r="67" spans="11:22" ht="14.1" customHeight="1" x14ac:dyDescent="0.25">
      <c r="K67" s="531"/>
      <c r="L67" s="376" t="s">
        <v>895</v>
      </c>
      <c r="T67" s="540" t="s">
        <v>898</v>
      </c>
    </row>
    <row r="68" spans="11:22" ht="14.1" customHeight="1" x14ac:dyDescent="0.25">
      <c r="K68" s="531"/>
      <c r="L68" s="475" t="s">
        <v>896</v>
      </c>
      <c r="T68" s="537" t="s">
        <v>899</v>
      </c>
    </row>
    <row r="69" spans="11:22" ht="14.1" customHeight="1" x14ac:dyDescent="0.25">
      <c r="K69" s="531"/>
      <c r="L69" s="376" t="s">
        <v>902</v>
      </c>
      <c r="T69" s="540" t="s">
        <v>901</v>
      </c>
    </row>
    <row r="70" spans="11:22" ht="14.1" customHeight="1" x14ac:dyDescent="0.25">
      <c r="K70" s="531"/>
      <c r="L70" s="537" t="s">
        <v>897</v>
      </c>
      <c r="T70" s="537" t="s">
        <v>900</v>
      </c>
    </row>
    <row r="71" spans="11:22" ht="14.45" customHeight="1" x14ac:dyDescent="0.25">
      <c r="K71" s="531"/>
      <c r="L71" s="571" t="s">
        <v>903</v>
      </c>
    </row>
    <row r="72" spans="11:22" ht="14.1" customHeight="1" x14ac:dyDescent="0.25">
      <c r="K72" s="531"/>
      <c r="L72" s="537" t="s">
        <v>936</v>
      </c>
      <c r="T72" s="540" t="s">
        <v>941</v>
      </c>
    </row>
    <row r="73" spans="11:22" ht="14.1" customHeight="1" x14ac:dyDescent="0.25">
      <c r="K73" s="531"/>
      <c r="L73" s="376" t="s">
        <v>905</v>
      </c>
      <c r="P73" s="567"/>
      <c r="T73" s="540" t="s">
        <v>907</v>
      </c>
    </row>
    <row r="74" spans="11:22" ht="14.1" customHeight="1" x14ac:dyDescent="0.25">
      <c r="K74" s="531"/>
      <c r="L74" s="537" t="s">
        <v>906</v>
      </c>
      <c r="P74" s="570"/>
      <c r="Q74" s="540"/>
      <c r="R74" s="537"/>
      <c r="T74" s="475" t="s">
        <v>908</v>
      </c>
    </row>
    <row r="75" spans="11:22" ht="14.1" customHeight="1" x14ac:dyDescent="0.25">
      <c r="K75" s="531"/>
      <c r="L75" s="376" t="s">
        <v>909</v>
      </c>
      <c r="N75" s="540"/>
      <c r="Q75" s="540"/>
      <c r="R75" s="537"/>
      <c r="T75" s="540" t="s">
        <v>910</v>
      </c>
    </row>
    <row r="76" spans="11:22" ht="14.1" customHeight="1" x14ac:dyDescent="0.25">
      <c r="K76" s="531"/>
      <c r="L76" s="475" t="s">
        <v>904</v>
      </c>
      <c r="Q76" s="540"/>
      <c r="T76" s="475" t="s">
        <v>911</v>
      </c>
    </row>
    <row r="77" spans="11:22" s="477" customFormat="1" ht="14.45" customHeight="1" x14ac:dyDescent="0.25">
      <c r="K77" s="531"/>
      <c r="L77" s="571" t="s">
        <v>912</v>
      </c>
      <c r="M77" s="475"/>
      <c r="N77" s="475"/>
      <c r="O77" s="475"/>
      <c r="P77" s="475"/>
      <c r="Q77" s="475"/>
      <c r="R77" s="470"/>
    </row>
    <row r="78" spans="11:22" s="477" customFormat="1" ht="14.1" customHeight="1" x14ac:dyDescent="0.25">
      <c r="K78" s="531"/>
      <c r="L78" s="537" t="s">
        <v>937</v>
      </c>
      <c r="M78" s="475"/>
      <c r="N78" s="475"/>
      <c r="O78" s="475"/>
      <c r="P78" s="475"/>
      <c r="Q78" s="475"/>
      <c r="R78" s="475"/>
      <c r="T78" s="540" t="s">
        <v>942</v>
      </c>
    </row>
    <row r="79" spans="11:22" s="477" customFormat="1" ht="14.1" customHeight="1" x14ac:dyDescent="0.25">
      <c r="K79" s="531"/>
      <c r="L79" s="376" t="s">
        <v>913</v>
      </c>
      <c r="M79" s="475"/>
      <c r="N79" s="475"/>
      <c r="O79" s="475"/>
      <c r="P79" s="475"/>
      <c r="Q79" s="475"/>
      <c r="R79" s="475"/>
      <c r="T79" s="540" t="s">
        <v>916</v>
      </c>
      <c r="V79" s="475"/>
    </row>
    <row r="80" spans="11:22" s="477" customFormat="1" ht="14.1" customHeight="1" x14ac:dyDescent="0.25">
      <c r="K80" s="531"/>
      <c r="L80" s="537" t="s">
        <v>915</v>
      </c>
      <c r="M80" s="475"/>
      <c r="N80" s="475"/>
      <c r="O80" s="475"/>
      <c r="P80" s="475"/>
      <c r="Q80" s="475"/>
      <c r="R80" s="475"/>
      <c r="T80" s="541" t="s">
        <v>917</v>
      </c>
      <c r="V80" s="568"/>
    </row>
    <row r="81" spans="10:20" s="477" customFormat="1" ht="14.1" customHeight="1" x14ac:dyDescent="0.25">
      <c r="K81" s="531"/>
      <c r="L81" s="376" t="s">
        <v>928</v>
      </c>
      <c r="M81" s="475"/>
      <c r="N81" s="475"/>
      <c r="O81" s="475"/>
      <c r="P81" s="475"/>
      <c r="Q81" s="475"/>
      <c r="R81" s="475"/>
      <c r="T81" s="540" t="s">
        <v>930</v>
      </c>
    </row>
    <row r="82" spans="10:20" s="477" customFormat="1" ht="14.1" customHeight="1" x14ac:dyDescent="0.25">
      <c r="K82" s="531"/>
      <c r="L82" s="475" t="s">
        <v>914</v>
      </c>
      <c r="M82" s="475"/>
      <c r="N82" s="475"/>
      <c r="O82" s="475"/>
      <c r="P82" s="475"/>
      <c r="Q82" s="475"/>
      <c r="R82" s="475"/>
      <c r="T82" s="541" t="s">
        <v>929</v>
      </c>
    </row>
    <row r="83" spans="10:20" s="477" customFormat="1" ht="14.45" customHeight="1" x14ac:dyDescent="0.25">
      <c r="K83" s="531"/>
      <c r="L83" s="571" t="s">
        <v>918</v>
      </c>
    </row>
    <row r="84" spans="10:20" s="477" customFormat="1" ht="14.1" customHeight="1" x14ac:dyDescent="0.25">
      <c r="K84" s="531"/>
      <c r="L84" s="537" t="s">
        <v>938</v>
      </c>
      <c r="T84" s="540" t="s">
        <v>943</v>
      </c>
    </row>
    <row r="85" spans="10:20" s="477" customFormat="1" ht="14.1" customHeight="1" x14ac:dyDescent="0.25">
      <c r="K85" s="531"/>
      <c r="L85" s="376" t="s">
        <v>919</v>
      </c>
      <c r="T85" s="540" t="s">
        <v>923</v>
      </c>
    </row>
    <row r="86" spans="10:20" s="477" customFormat="1" ht="14.1" customHeight="1" x14ac:dyDescent="0.25">
      <c r="K86" s="531"/>
      <c r="L86" s="541" t="s">
        <v>922</v>
      </c>
      <c r="T86" s="541" t="s">
        <v>924</v>
      </c>
    </row>
    <row r="87" spans="10:20" s="477" customFormat="1" ht="14.1" customHeight="1" x14ac:dyDescent="0.25">
      <c r="K87" s="531"/>
      <c r="L87" s="376" t="s">
        <v>920</v>
      </c>
      <c r="T87" s="541" t="s">
        <v>926</v>
      </c>
    </row>
    <row r="88" spans="10:20" s="477" customFormat="1" ht="14.1" customHeight="1" x14ac:dyDescent="0.25">
      <c r="K88" s="531"/>
      <c r="L88" s="541" t="s">
        <v>921</v>
      </c>
      <c r="T88" s="541" t="s">
        <v>925</v>
      </c>
    </row>
    <row r="89" spans="10:20" s="477" customFormat="1" ht="14.45" customHeight="1" x14ac:dyDescent="0.25">
      <c r="J89" s="521"/>
      <c r="K89" s="521"/>
      <c r="L89" s="521"/>
      <c r="S89" s="541"/>
    </row>
  </sheetData>
  <mergeCells count="1">
    <mergeCell ref="A2:V2"/>
  </mergeCells>
  <pageMargins left="0" right="0" top="0" bottom="0" header="0" footer="0"/>
  <pageSetup paperSize="8" scale="74"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2A62-3055-4541-B63E-C95BE730F85C}">
  <dimension ref="A1:AJ30"/>
  <sheetViews>
    <sheetView zoomScale="90" zoomScaleNormal="90" workbookViewId="0">
      <selection activeCell="F25" sqref="F25"/>
    </sheetView>
  </sheetViews>
  <sheetFormatPr baseColWidth="10" defaultRowHeight="15" x14ac:dyDescent="0.25"/>
  <cols>
    <col min="1" max="1" width="2.85546875" style="475" customWidth="1"/>
    <col min="2" max="2" width="2.5703125" style="475" customWidth="1"/>
    <col min="3" max="3" width="26.42578125" style="475" customWidth="1"/>
    <col min="4" max="4" width="11.42578125" style="475"/>
    <col min="5" max="5" width="9.140625" style="475" customWidth="1"/>
    <col min="6" max="6" width="13" style="475" customWidth="1"/>
    <col min="7" max="8" width="11.42578125" style="475"/>
    <col min="9" max="9" width="8.5703125" style="475" customWidth="1"/>
    <col min="10" max="10" width="6.28515625" style="475" customWidth="1"/>
    <col min="11" max="11" width="1" style="475" customWidth="1"/>
    <col min="12" max="12" width="11.140625" style="475" customWidth="1"/>
    <col min="13" max="13" width="3.85546875" style="475" customWidth="1"/>
    <col min="14" max="14" width="12.140625" style="475" customWidth="1"/>
    <col min="15" max="15" width="11.42578125" style="475"/>
    <col min="16" max="16" width="13.85546875" style="475" customWidth="1"/>
    <col min="17" max="17" width="14" style="475" customWidth="1"/>
    <col min="18" max="18" width="11.42578125" style="475"/>
    <col min="19" max="19" width="10.28515625" style="475" customWidth="1"/>
    <col min="20" max="20" width="13.42578125" style="475" customWidth="1"/>
    <col min="21" max="21" width="11.42578125" style="475"/>
    <col min="22" max="22" width="13.7109375" style="475" customWidth="1"/>
    <col min="23" max="23" width="11.140625" style="475" customWidth="1"/>
    <col min="24" max="25" width="11.42578125" style="475"/>
    <col min="26" max="26" width="9.85546875" style="475" customWidth="1"/>
    <col min="27" max="16384" width="11.42578125" style="475"/>
  </cols>
  <sheetData>
    <row r="1" spans="1:36" s="446" customFormat="1" ht="17.100000000000001" customHeight="1" x14ac:dyDescent="0.25">
      <c r="A1" s="535" t="s">
        <v>740</v>
      </c>
      <c r="B1" s="476"/>
      <c r="C1" s="476"/>
      <c r="D1" s="476"/>
      <c r="E1" s="476"/>
      <c r="F1" s="476"/>
      <c r="G1" s="476"/>
      <c r="H1" s="476"/>
      <c r="I1" s="476"/>
      <c r="J1" s="476"/>
      <c r="K1" s="476"/>
      <c r="L1" s="476"/>
      <c r="M1" s="476"/>
      <c r="N1" s="476"/>
      <c r="O1" s="476"/>
      <c r="P1" s="476"/>
      <c r="Q1" s="476"/>
      <c r="R1" s="476"/>
      <c r="S1" s="476"/>
      <c r="T1" s="476"/>
      <c r="U1" s="476"/>
      <c r="V1" s="476"/>
      <c r="W1" s="476"/>
      <c r="X1" s="476"/>
      <c r="Y1" s="476"/>
      <c r="Z1" s="476"/>
      <c r="AA1" s="475"/>
      <c r="AB1" s="481"/>
      <c r="AC1" s="480"/>
      <c r="AD1" s="480"/>
      <c r="AE1" s="480"/>
      <c r="AF1" s="480"/>
      <c r="AG1" s="480"/>
      <c r="AH1" s="480"/>
      <c r="AI1" s="480"/>
      <c r="AJ1" s="480"/>
    </row>
    <row r="2" spans="1:36" s="446" customFormat="1" ht="11.1" hidden="1" customHeight="1" x14ac:dyDescent="0.25">
      <c r="A2" s="585" t="s">
        <v>741</v>
      </c>
      <c r="B2" s="586"/>
      <c r="C2" s="586"/>
      <c r="D2" s="586"/>
      <c r="E2" s="586"/>
      <c r="F2" s="586"/>
      <c r="G2" s="586"/>
      <c r="H2" s="586"/>
      <c r="I2" s="586"/>
      <c r="J2" s="586"/>
      <c r="K2" s="586"/>
      <c r="L2" s="586"/>
      <c r="M2" s="586"/>
      <c r="N2" s="586"/>
      <c r="O2" s="586"/>
      <c r="P2" s="586"/>
      <c r="Q2" s="586"/>
      <c r="R2" s="586"/>
      <c r="S2" s="586"/>
      <c r="T2" s="586"/>
      <c r="U2" s="586"/>
      <c r="V2" s="586"/>
      <c r="W2" s="480"/>
      <c r="X2" s="480"/>
      <c r="Y2" s="480"/>
      <c r="Z2" s="480"/>
      <c r="AA2" s="475"/>
      <c r="AB2" s="475"/>
      <c r="AC2" s="480"/>
      <c r="AD2" s="480"/>
      <c r="AE2" s="480"/>
      <c r="AF2" s="480"/>
      <c r="AG2" s="480"/>
      <c r="AH2" s="480"/>
      <c r="AI2" s="480"/>
      <c r="AJ2" s="480"/>
    </row>
    <row r="3" spans="1:36" x14ac:dyDescent="0.25">
      <c r="J3" s="521"/>
      <c r="K3" s="521"/>
      <c r="L3" s="521"/>
    </row>
    <row r="4" spans="1:36" s="480" customFormat="1" ht="18" x14ac:dyDescent="0.25">
      <c r="A4" s="469"/>
      <c r="B4" s="465"/>
      <c r="C4" s="469"/>
      <c r="D4" s="469"/>
      <c r="E4" s="469"/>
      <c r="F4" s="469"/>
      <c r="G4" s="466"/>
      <c r="H4" s="465" t="s">
        <v>932</v>
      </c>
      <c r="I4" s="469"/>
      <c r="J4" s="469"/>
      <c r="K4" s="469"/>
      <c r="L4" s="469"/>
      <c r="M4" s="469"/>
      <c r="N4" s="469"/>
      <c r="O4" s="469"/>
      <c r="P4" s="466"/>
      <c r="Q4" s="466"/>
      <c r="R4" s="466"/>
      <c r="S4" s="466"/>
      <c r="T4" s="466"/>
      <c r="U4" s="466"/>
      <c r="V4" s="466"/>
      <c r="W4" s="466"/>
      <c r="X4" s="466"/>
      <c r="Y4" s="466"/>
    </row>
    <row r="5" spans="1:36" s="480" customFormat="1" ht="9.9499999999999993" customHeight="1" x14ac:dyDescent="0.25">
      <c r="A5" s="518"/>
      <c r="M5" s="518"/>
      <c r="N5" s="518"/>
      <c r="O5" s="518"/>
    </row>
    <row r="6" spans="1:36" s="521" customFormat="1" x14ac:dyDescent="0.25">
      <c r="F6" s="520" t="s">
        <v>692</v>
      </c>
      <c r="O6" s="519"/>
      <c r="P6" s="519"/>
    </row>
    <row r="7" spans="1:36" s="521" customFormat="1" x14ac:dyDescent="0.25">
      <c r="F7" s="527" t="s">
        <v>804</v>
      </c>
      <c r="J7" s="527"/>
      <c r="O7" s="519"/>
      <c r="P7" s="522"/>
    </row>
    <row r="8" spans="1:36" s="521" customFormat="1" x14ac:dyDescent="0.25">
      <c r="F8" s="527" t="s">
        <v>803</v>
      </c>
      <c r="O8" s="475"/>
      <c r="P8" s="522"/>
    </row>
    <row r="9" spans="1:36" s="521" customFormat="1" x14ac:dyDescent="0.25">
      <c r="F9" s="527" t="s">
        <v>805</v>
      </c>
      <c r="O9" s="475"/>
      <c r="P9" s="522"/>
    </row>
    <row r="10" spans="1:36" s="521" customFormat="1" x14ac:dyDescent="0.25">
      <c r="A10" s="527"/>
      <c r="N10" s="527"/>
      <c r="P10" s="529"/>
    </row>
    <row r="11" spans="1:36" s="521" customFormat="1" x14ac:dyDescent="0.25">
      <c r="A11" s="520" t="s">
        <v>685</v>
      </c>
      <c r="B11" s="519"/>
      <c r="C11" s="519"/>
      <c r="D11" s="519"/>
      <c r="E11" s="519"/>
      <c r="F11" s="519"/>
      <c r="G11" s="519"/>
      <c r="H11" s="519"/>
      <c r="I11" s="519"/>
      <c r="J11" s="519"/>
      <c r="M11" s="530"/>
      <c r="N11" s="532" t="s">
        <v>689</v>
      </c>
      <c r="P11" s="519"/>
    </row>
    <row r="12" spans="1:36" s="521" customFormat="1" x14ac:dyDescent="0.25">
      <c r="A12" s="527" t="s">
        <v>806</v>
      </c>
      <c r="B12" s="519"/>
      <c r="C12" s="519"/>
      <c r="D12" s="519"/>
      <c r="E12" s="519"/>
      <c r="F12" s="519"/>
      <c r="G12" s="519"/>
      <c r="H12" s="519"/>
      <c r="I12" s="519"/>
      <c r="J12" s="519"/>
      <c r="M12" s="530"/>
      <c r="N12" s="533" t="s">
        <v>818</v>
      </c>
      <c r="P12" s="519"/>
    </row>
    <row r="13" spans="1:36" s="521" customFormat="1" x14ac:dyDescent="0.25">
      <c r="A13" s="527" t="s">
        <v>807</v>
      </c>
      <c r="B13" s="519"/>
      <c r="C13" s="519"/>
      <c r="D13" s="519"/>
      <c r="E13" s="519"/>
      <c r="F13" s="519"/>
      <c r="G13" s="519"/>
      <c r="H13" s="519"/>
      <c r="I13" s="519"/>
      <c r="J13" s="519"/>
      <c r="M13" s="530"/>
      <c r="N13" s="533" t="s">
        <v>819</v>
      </c>
      <c r="P13" s="519"/>
    </row>
    <row r="14" spans="1:36" s="521" customFormat="1" x14ac:dyDescent="0.25">
      <c r="A14" s="527" t="s">
        <v>808</v>
      </c>
      <c r="B14" s="519"/>
      <c r="C14" s="519"/>
      <c r="D14" s="519"/>
      <c r="E14" s="519"/>
      <c r="F14" s="519"/>
      <c r="G14" s="519"/>
      <c r="H14" s="519"/>
      <c r="I14" s="519"/>
      <c r="J14" s="519"/>
      <c r="M14" s="530"/>
      <c r="N14" s="533" t="s">
        <v>820</v>
      </c>
      <c r="P14" s="519"/>
    </row>
    <row r="15" spans="1:36" s="521" customFormat="1" x14ac:dyDescent="0.25">
      <c r="A15" s="527" t="s">
        <v>809</v>
      </c>
      <c r="B15" s="519"/>
      <c r="C15" s="519"/>
      <c r="D15" s="519"/>
      <c r="E15" s="519"/>
      <c r="F15" s="523"/>
      <c r="G15" s="519"/>
      <c r="H15" s="519"/>
      <c r="I15" s="519"/>
      <c r="J15" s="519"/>
      <c r="M15" s="530"/>
      <c r="N15" s="525"/>
      <c r="P15" s="519"/>
    </row>
    <row r="16" spans="1:36" s="521" customFormat="1" x14ac:dyDescent="0.25">
      <c r="A16" s="527"/>
      <c r="B16" s="525"/>
      <c r="C16" s="525"/>
      <c r="D16" s="525"/>
      <c r="E16" s="525"/>
      <c r="F16" s="525"/>
      <c r="G16" s="525"/>
      <c r="H16" s="525"/>
      <c r="I16" s="525"/>
      <c r="J16" s="525"/>
      <c r="M16" s="530"/>
      <c r="N16" s="532" t="s">
        <v>690</v>
      </c>
      <c r="P16" s="525"/>
    </row>
    <row r="17" spans="1:16" s="521" customFormat="1" x14ac:dyDescent="0.25">
      <c r="A17" s="520" t="s">
        <v>686</v>
      </c>
      <c r="B17" s="519"/>
      <c r="C17" s="519"/>
      <c r="D17" s="519"/>
      <c r="E17" s="519"/>
      <c r="F17" s="524"/>
      <c r="G17" s="519"/>
      <c r="H17" s="519"/>
      <c r="I17" s="519"/>
      <c r="J17" s="519"/>
      <c r="M17" s="530"/>
      <c r="N17" s="533" t="s">
        <v>821</v>
      </c>
      <c r="P17" s="519"/>
    </row>
    <row r="18" spans="1:16" s="521" customFormat="1" x14ac:dyDescent="0.25">
      <c r="A18" s="527" t="s">
        <v>810</v>
      </c>
      <c r="B18" s="519"/>
      <c r="C18" s="519"/>
      <c r="D18" s="519"/>
      <c r="E18" s="519"/>
      <c r="F18" s="524"/>
      <c r="G18" s="519"/>
      <c r="H18" s="519"/>
      <c r="I18" s="519"/>
      <c r="J18" s="519"/>
      <c r="M18" s="530"/>
      <c r="N18" s="533" t="s">
        <v>822</v>
      </c>
      <c r="P18" s="519"/>
    </row>
    <row r="19" spans="1:16" s="521" customFormat="1" x14ac:dyDescent="0.25">
      <c r="A19" s="528" t="s">
        <v>811</v>
      </c>
      <c r="B19" s="519"/>
      <c r="C19" s="519"/>
      <c r="D19" s="519"/>
      <c r="E19" s="519"/>
      <c r="F19" s="524"/>
      <c r="G19" s="519"/>
      <c r="H19" s="519"/>
      <c r="I19" s="519"/>
      <c r="J19" s="519"/>
      <c r="M19" s="530"/>
      <c r="N19" s="533" t="s">
        <v>823</v>
      </c>
      <c r="P19" s="519"/>
    </row>
    <row r="20" spans="1:16" s="521" customFormat="1" x14ac:dyDescent="0.25">
      <c r="A20" s="527" t="s">
        <v>812</v>
      </c>
      <c r="B20" s="519"/>
      <c r="C20" s="519"/>
      <c r="D20" s="519"/>
      <c r="E20" s="519"/>
      <c r="F20" s="524"/>
      <c r="G20" s="519"/>
      <c r="H20" s="519"/>
      <c r="I20" s="519"/>
      <c r="J20" s="519"/>
      <c r="K20" s="519"/>
      <c r="M20" s="530"/>
      <c r="N20" s="525"/>
      <c r="P20" s="519"/>
    </row>
    <row r="21" spans="1:16" s="521" customFormat="1" x14ac:dyDescent="0.25">
      <c r="B21" s="519"/>
      <c r="C21" s="519"/>
      <c r="D21" s="519"/>
      <c r="E21" s="519"/>
      <c r="F21" s="519"/>
      <c r="G21" s="519"/>
      <c r="H21" s="519"/>
      <c r="I21" s="519"/>
      <c r="J21" s="519"/>
      <c r="K21" s="519"/>
      <c r="M21" s="530"/>
      <c r="N21" s="532" t="s">
        <v>691</v>
      </c>
      <c r="P21" s="519"/>
    </row>
    <row r="22" spans="1:16" s="521" customFormat="1" x14ac:dyDescent="0.25">
      <c r="A22" s="520" t="s">
        <v>687</v>
      </c>
      <c r="B22" s="519"/>
      <c r="C22" s="519"/>
      <c r="D22" s="519"/>
      <c r="E22" s="519"/>
      <c r="F22" s="519"/>
      <c r="G22" s="519"/>
      <c r="H22" s="519"/>
      <c r="I22" s="519"/>
      <c r="J22" s="519"/>
      <c r="K22" s="519"/>
      <c r="M22" s="530"/>
      <c r="N22" s="533" t="s">
        <v>824</v>
      </c>
      <c r="P22" s="519"/>
    </row>
    <row r="23" spans="1:16" s="521" customFormat="1" x14ac:dyDescent="0.25">
      <c r="A23" s="527" t="s">
        <v>813</v>
      </c>
      <c r="B23" s="519"/>
      <c r="C23" s="519"/>
      <c r="D23" s="519"/>
      <c r="E23" s="519"/>
      <c r="F23" s="519"/>
      <c r="G23" s="519"/>
      <c r="H23" s="519"/>
      <c r="I23" s="519"/>
      <c r="J23" s="519"/>
      <c r="K23" s="519"/>
      <c r="M23" s="530"/>
      <c r="N23" s="533" t="s">
        <v>825</v>
      </c>
      <c r="P23" s="519"/>
    </row>
    <row r="24" spans="1:16" s="521" customFormat="1" x14ac:dyDescent="0.25">
      <c r="A24" s="527" t="s">
        <v>814</v>
      </c>
      <c r="B24" s="519"/>
      <c r="C24" s="519"/>
      <c r="D24" s="519"/>
      <c r="E24" s="519"/>
      <c r="F24" s="519"/>
      <c r="G24" s="519"/>
      <c r="H24" s="519"/>
      <c r="I24" s="519"/>
      <c r="J24" s="519"/>
      <c r="K24" s="519"/>
      <c r="M24" s="530"/>
      <c r="N24" s="533" t="s">
        <v>830</v>
      </c>
      <c r="P24" s="519"/>
    </row>
    <row r="25" spans="1:16" s="521" customFormat="1" x14ac:dyDescent="0.25">
      <c r="A25" s="527" t="s">
        <v>815</v>
      </c>
      <c r="B25" s="519"/>
      <c r="C25" s="519"/>
      <c r="D25" s="519"/>
      <c r="E25" s="519"/>
      <c r="F25" s="519"/>
      <c r="G25" s="519"/>
      <c r="H25" s="519"/>
      <c r="I25" s="519"/>
      <c r="J25" s="519"/>
      <c r="K25" s="519"/>
      <c r="M25" s="530"/>
      <c r="N25" s="525"/>
      <c r="P25" s="519"/>
    </row>
    <row r="26" spans="1:16" s="521" customFormat="1" x14ac:dyDescent="0.25">
      <c r="C26" s="519"/>
      <c r="D26" s="519"/>
      <c r="E26" s="519"/>
      <c r="F26" s="519"/>
      <c r="G26" s="519"/>
      <c r="H26" s="519"/>
      <c r="I26" s="519"/>
      <c r="J26" s="519"/>
      <c r="K26" s="519"/>
      <c r="M26" s="530"/>
      <c r="N26" s="532" t="s">
        <v>693</v>
      </c>
      <c r="P26" s="519"/>
    </row>
    <row r="27" spans="1:16" s="521" customFormat="1" x14ac:dyDescent="0.25">
      <c r="A27" s="520" t="s">
        <v>688</v>
      </c>
      <c r="C27" s="519"/>
      <c r="D27" s="519"/>
      <c r="E27" s="519"/>
      <c r="F27" s="519"/>
      <c r="G27" s="519"/>
      <c r="H27" s="519"/>
      <c r="I27" s="519"/>
      <c r="J27" s="519"/>
      <c r="K27" s="519"/>
      <c r="M27" s="530"/>
      <c r="N27" s="533" t="s">
        <v>826</v>
      </c>
      <c r="P27" s="525"/>
    </row>
    <row r="28" spans="1:16" x14ac:dyDescent="0.25">
      <c r="A28" s="527" t="s">
        <v>816</v>
      </c>
      <c r="M28" s="531"/>
      <c r="N28" s="534" t="s">
        <v>827</v>
      </c>
    </row>
    <row r="29" spans="1:16" x14ac:dyDescent="0.25">
      <c r="A29" s="527" t="s">
        <v>829</v>
      </c>
      <c r="M29" s="531"/>
      <c r="N29" s="533" t="s">
        <v>828</v>
      </c>
    </row>
    <row r="30" spans="1:16" x14ac:dyDescent="0.25">
      <c r="A30" s="527" t="s">
        <v>817</v>
      </c>
      <c r="M30" s="531"/>
      <c r="N30" s="477"/>
    </row>
  </sheetData>
  <mergeCells count="1">
    <mergeCell ref="A2:V2"/>
  </mergeCells>
  <pageMargins left="0" right="0" top="0" bottom="0" header="0" footer="0"/>
  <pageSetup paperSize="8" scale="74"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P66"/>
  <sheetViews>
    <sheetView showGridLines="0" workbookViewId="0">
      <pane ySplit="2" topLeftCell="A3" activePane="bottomLeft" state="frozen"/>
      <selection activeCell="C64" sqref="C64"/>
      <selection pane="bottomLeft" activeCell="C64" sqref="C64"/>
    </sheetView>
  </sheetViews>
  <sheetFormatPr baseColWidth="10" defaultColWidth="9.140625" defaultRowHeight="15" x14ac:dyDescent="0.25"/>
  <cols>
    <col min="1" max="1" width="8" style="439" customWidth="1"/>
    <col min="2" max="2" width="24" style="439" customWidth="1"/>
    <col min="3" max="3" width="12" style="439" customWidth="1"/>
    <col min="4" max="4" width="13.42578125" style="439" customWidth="1"/>
    <col min="5" max="5" width="9" style="439" customWidth="1"/>
    <col min="6" max="6" width="24" style="439" customWidth="1"/>
    <col min="7" max="7" width="12" style="439" customWidth="1"/>
    <col min="8" max="8" width="13.42578125" style="439" customWidth="1"/>
    <col min="9" max="9" width="8" style="439" customWidth="1"/>
    <col min="10" max="10" width="18" style="439" customWidth="1"/>
    <col min="11" max="11" width="12" style="439" customWidth="1"/>
    <col min="12" max="42" width="13.42578125" style="439" customWidth="1"/>
  </cols>
  <sheetData>
    <row r="1" spans="1:42" ht="27.95" customHeight="1" x14ac:dyDescent="0.25">
      <c r="A1" s="587" t="s">
        <v>585</v>
      </c>
      <c r="B1" s="579"/>
      <c r="C1" s="579"/>
      <c r="D1" s="579"/>
      <c r="E1" s="579"/>
      <c r="F1" s="579"/>
      <c r="G1" s="579"/>
      <c r="H1" s="579"/>
      <c r="I1" s="579"/>
      <c r="J1" s="579"/>
      <c r="K1" s="579"/>
      <c r="L1" s="579"/>
      <c r="M1" s="579"/>
      <c r="N1" s="579"/>
      <c r="O1" s="579"/>
      <c r="P1" s="579"/>
      <c r="Q1" s="579"/>
      <c r="R1" s="579"/>
      <c r="S1" s="579"/>
      <c r="T1" s="579"/>
      <c r="U1" s="579"/>
      <c r="V1" s="579"/>
      <c r="W1" s="579"/>
      <c r="X1" s="579"/>
      <c r="Y1" s="579"/>
      <c r="Z1" s="579"/>
      <c r="AA1" s="579"/>
      <c r="AB1" s="579"/>
      <c r="AC1" s="579"/>
      <c r="AD1" s="579"/>
      <c r="AE1" s="579"/>
      <c r="AF1" s="579"/>
      <c r="AG1" s="579"/>
      <c r="AH1" s="579"/>
      <c r="AI1" s="579"/>
      <c r="AJ1" s="579"/>
      <c r="AK1" s="579"/>
      <c r="AL1" s="579"/>
      <c r="AM1" s="579"/>
      <c r="AN1" s="579"/>
      <c r="AO1" s="579"/>
      <c r="AP1" s="579"/>
    </row>
    <row r="2" spans="1:42" x14ac:dyDescent="0.25">
      <c r="A2" s="588" t="s">
        <v>677</v>
      </c>
      <c r="B2" s="579"/>
      <c r="C2" s="579"/>
      <c r="D2" s="579"/>
      <c r="E2" s="579"/>
      <c r="F2" s="579"/>
      <c r="G2" s="579"/>
      <c r="H2" s="579"/>
      <c r="I2" s="579"/>
      <c r="J2" s="579"/>
      <c r="K2" s="579"/>
      <c r="L2" s="579"/>
      <c r="M2" s="579"/>
      <c r="N2" s="579"/>
      <c r="O2" s="579"/>
      <c r="P2" s="579"/>
      <c r="Q2" s="579"/>
      <c r="R2" s="579"/>
      <c r="S2" s="579"/>
      <c r="T2" s="579"/>
      <c r="U2" s="579"/>
      <c r="V2" s="579"/>
      <c r="W2" s="579"/>
      <c r="X2" s="579"/>
      <c r="Y2" s="579"/>
      <c r="Z2" s="579"/>
      <c r="AA2" s="579"/>
      <c r="AB2" s="579"/>
      <c r="AC2" s="579"/>
      <c r="AD2" s="579"/>
      <c r="AE2" s="579"/>
      <c r="AF2" s="579"/>
      <c r="AG2" s="579"/>
      <c r="AH2" s="579"/>
      <c r="AI2" s="579"/>
      <c r="AJ2" s="579"/>
      <c r="AK2" s="579"/>
      <c r="AL2" s="579"/>
      <c r="AM2" s="579"/>
      <c r="AN2" s="579"/>
      <c r="AO2" s="579"/>
      <c r="AP2" s="579"/>
    </row>
    <row r="3" spans="1:42" ht="21.95" customHeight="1" x14ac:dyDescent="0.25">
      <c r="A3" s="572" t="s">
        <v>678</v>
      </c>
      <c r="B3" s="573"/>
      <c r="C3" s="574"/>
      <c r="E3" s="572" t="s">
        <v>656</v>
      </c>
      <c r="F3" s="573"/>
      <c r="G3" s="574"/>
      <c r="I3" s="572" t="s">
        <v>651</v>
      </c>
      <c r="J3" s="573"/>
      <c r="K3" s="574"/>
    </row>
    <row r="4" spans="1:42" ht="21.95" customHeight="1" x14ac:dyDescent="0.25">
      <c r="A4" s="399" t="s">
        <v>244</v>
      </c>
      <c r="B4" s="399" t="s">
        <v>679</v>
      </c>
      <c r="C4" s="399" t="s">
        <v>652</v>
      </c>
      <c r="E4" s="399" t="s">
        <v>244</v>
      </c>
      <c r="F4" s="399" t="s">
        <v>586</v>
      </c>
      <c r="G4" s="399" t="s">
        <v>652</v>
      </c>
      <c r="I4" s="399" t="s">
        <v>244</v>
      </c>
      <c r="J4" s="399" t="s">
        <v>586</v>
      </c>
      <c r="K4" s="399" t="s">
        <v>652</v>
      </c>
    </row>
    <row r="5" spans="1:42" ht="21.95" customHeight="1" x14ac:dyDescent="0.25">
      <c r="A5" s="400">
        <v>1</v>
      </c>
      <c r="B5" s="401" t="s">
        <v>587</v>
      </c>
      <c r="C5" s="402"/>
      <c r="E5" s="400">
        <v>1</v>
      </c>
      <c r="F5" s="401" t="s">
        <v>272</v>
      </c>
      <c r="G5" s="403"/>
      <c r="I5" s="400">
        <v>1</v>
      </c>
      <c r="J5" s="401" t="s">
        <v>313</v>
      </c>
      <c r="K5" s="404"/>
    </row>
    <row r="6" spans="1:42" ht="21.95" customHeight="1" x14ac:dyDescent="0.25">
      <c r="A6" s="400">
        <v>2</v>
      </c>
      <c r="B6" s="401" t="s">
        <v>589</v>
      </c>
      <c r="C6" s="405"/>
      <c r="E6" s="400">
        <v>2</v>
      </c>
      <c r="F6" s="401" t="s">
        <v>273</v>
      </c>
      <c r="G6" s="406"/>
      <c r="I6" s="400">
        <v>2</v>
      </c>
      <c r="J6" s="401" t="s">
        <v>314</v>
      </c>
      <c r="K6" s="407"/>
    </row>
    <row r="7" spans="1:42" ht="21.95" customHeight="1" x14ac:dyDescent="0.25">
      <c r="E7" s="400">
        <v>3</v>
      </c>
      <c r="F7" s="401" t="s">
        <v>274</v>
      </c>
      <c r="G7" s="408"/>
      <c r="I7" s="400">
        <v>3</v>
      </c>
      <c r="J7" s="401" t="s">
        <v>315</v>
      </c>
      <c r="K7" s="409"/>
    </row>
    <row r="8" spans="1:42" ht="21.95" customHeight="1" x14ac:dyDescent="0.25">
      <c r="E8" s="400">
        <v>4</v>
      </c>
      <c r="F8" s="401" t="s">
        <v>275</v>
      </c>
      <c r="G8" s="410"/>
      <c r="I8" s="400">
        <v>4</v>
      </c>
      <c r="J8" s="401" t="s">
        <v>316</v>
      </c>
      <c r="K8" s="406"/>
    </row>
    <row r="9" spans="1:42" ht="24" customHeight="1" x14ac:dyDescent="0.25">
      <c r="A9" s="421" t="s">
        <v>585</v>
      </c>
      <c r="B9" s="422"/>
      <c r="C9" s="422"/>
      <c r="D9" s="422"/>
      <c r="E9" s="422"/>
      <c r="F9" s="422"/>
      <c r="G9" s="422"/>
      <c r="H9" s="422"/>
      <c r="I9" s="422"/>
      <c r="J9" s="422"/>
      <c r="K9" s="456"/>
      <c r="L9" s="456"/>
      <c r="M9" s="456"/>
      <c r="N9" s="456"/>
      <c r="O9" s="456"/>
      <c r="P9" s="456"/>
      <c r="Q9" s="456"/>
      <c r="R9" s="456"/>
      <c r="S9" s="456"/>
      <c r="T9" s="456"/>
      <c r="U9" s="456"/>
      <c r="V9" s="456"/>
      <c r="W9" s="456"/>
      <c r="X9" s="456"/>
      <c r="Y9" s="456"/>
      <c r="Z9" s="456"/>
      <c r="AA9" s="456"/>
      <c r="AB9" s="456"/>
      <c r="AC9" s="456"/>
      <c r="AD9" s="456"/>
      <c r="AE9" s="456"/>
      <c r="AF9" s="456"/>
      <c r="AG9" s="456"/>
      <c r="AH9" s="456"/>
      <c r="AI9" s="456"/>
      <c r="AJ9" s="456"/>
      <c r="AK9" s="456"/>
      <c r="AL9" s="456"/>
      <c r="AM9" s="456"/>
      <c r="AN9" s="456"/>
      <c r="AO9" s="456"/>
      <c r="AP9" s="457"/>
    </row>
    <row r="10" spans="1:42" ht="21.95" customHeight="1" x14ac:dyDescent="0.25"/>
    <row r="11" spans="1:42" ht="21.95" customHeight="1" x14ac:dyDescent="0.25"/>
    <row r="12" spans="1:42" ht="21.95" customHeight="1" x14ac:dyDescent="0.25"/>
    <row r="14" spans="1:42" ht="24" customHeight="1" x14ac:dyDescent="0.25"/>
    <row r="28" spans="1:42" ht="24" customHeight="1" x14ac:dyDescent="0.25">
      <c r="A28" s="589" t="s">
        <v>665</v>
      </c>
      <c r="B28" s="590"/>
      <c r="C28" s="590"/>
      <c r="D28" s="590"/>
      <c r="E28" s="590"/>
      <c r="F28" s="590"/>
      <c r="G28" s="590"/>
      <c r="H28" s="590"/>
      <c r="I28" s="590"/>
      <c r="J28" s="590"/>
      <c r="K28" s="590"/>
      <c r="L28" s="590"/>
      <c r="M28" s="590"/>
      <c r="N28" s="590"/>
      <c r="O28" s="590"/>
      <c r="P28" s="590"/>
      <c r="Q28" s="590"/>
      <c r="R28" s="590"/>
      <c r="S28" s="590"/>
      <c r="T28" s="590"/>
      <c r="U28" s="590"/>
      <c r="V28" s="590"/>
      <c r="W28" s="590"/>
      <c r="X28" s="590"/>
      <c r="Y28" s="590"/>
      <c r="Z28" s="590"/>
      <c r="AA28" s="590"/>
      <c r="AB28" s="590"/>
      <c r="AC28" s="590"/>
      <c r="AD28" s="590"/>
      <c r="AE28" s="590"/>
      <c r="AF28" s="590"/>
      <c r="AG28" s="590"/>
      <c r="AH28" s="590"/>
      <c r="AI28" s="590"/>
      <c r="AJ28" s="590"/>
      <c r="AK28" s="590"/>
      <c r="AL28" s="590"/>
      <c r="AM28" s="590"/>
      <c r="AN28" s="590"/>
      <c r="AO28" s="590"/>
      <c r="AP28" s="591"/>
    </row>
    <row r="33" spans="1:15" ht="24" customHeight="1" x14ac:dyDescent="0.25"/>
    <row r="46" spans="1:15" x14ac:dyDescent="0.25">
      <c r="A46" s="578" t="s">
        <v>637</v>
      </c>
      <c r="B46" s="579"/>
      <c r="C46" s="579"/>
      <c r="D46" s="579"/>
      <c r="E46" s="579"/>
      <c r="F46" s="579"/>
      <c r="G46" s="579"/>
      <c r="H46" s="579"/>
      <c r="I46" s="579"/>
      <c r="J46" s="579"/>
      <c r="K46" s="579"/>
      <c r="L46" s="579"/>
      <c r="M46" s="579"/>
      <c r="N46" s="579"/>
      <c r="O46" s="579"/>
    </row>
    <row r="48" spans="1:15" x14ac:dyDescent="0.25">
      <c r="A48" s="575" t="s">
        <v>638</v>
      </c>
      <c r="B48" s="574"/>
      <c r="D48" s="575" t="s">
        <v>639</v>
      </c>
      <c r="E48" s="574"/>
      <c r="G48" s="575" t="s">
        <v>640</v>
      </c>
      <c r="H48" s="574"/>
      <c r="J48" s="575" t="s">
        <v>641</v>
      </c>
      <c r="K48" s="574"/>
      <c r="M48" s="575" t="s">
        <v>642</v>
      </c>
      <c r="N48" s="574"/>
    </row>
    <row r="49" spans="1:14" x14ac:dyDescent="0.25">
      <c r="A49" s="399" t="s">
        <v>586</v>
      </c>
      <c r="B49" s="399" t="s">
        <v>643</v>
      </c>
      <c r="D49" s="399" t="s">
        <v>586</v>
      </c>
      <c r="E49" s="399" t="s">
        <v>643</v>
      </c>
      <c r="G49" s="399" t="s">
        <v>586</v>
      </c>
      <c r="H49" s="399" t="s">
        <v>643</v>
      </c>
      <c r="J49" s="399" t="s">
        <v>586</v>
      </c>
      <c r="K49" s="399" t="s">
        <v>643</v>
      </c>
      <c r="M49" s="399" t="s">
        <v>586</v>
      </c>
      <c r="N49" s="399" t="s">
        <v>643</v>
      </c>
    </row>
    <row r="50" spans="1:14" x14ac:dyDescent="0.25">
      <c r="A50" s="401" t="s">
        <v>644</v>
      </c>
      <c r="B50" s="411">
        <v>94469</v>
      </c>
      <c r="D50" s="401" t="s">
        <v>644</v>
      </c>
      <c r="E50" s="411">
        <v>1312073</v>
      </c>
      <c r="G50" s="401" t="s">
        <v>272</v>
      </c>
      <c r="H50" s="412">
        <v>0.31680240352480388</v>
      </c>
      <c r="J50" s="401" t="s">
        <v>272</v>
      </c>
      <c r="K50" s="412">
        <v>0.28725587444366207</v>
      </c>
      <c r="M50" s="401" t="s">
        <v>313</v>
      </c>
      <c r="N50" s="412">
        <v>3.3790101617821568E-2</v>
      </c>
    </row>
    <row r="51" spans="1:14" ht="30" customHeight="1" x14ac:dyDescent="0.25">
      <c r="A51" s="401" t="s">
        <v>645</v>
      </c>
      <c r="B51" s="411">
        <v>544491</v>
      </c>
      <c r="D51" s="401" t="s">
        <v>645</v>
      </c>
      <c r="E51" s="411">
        <v>4921806.5</v>
      </c>
      <c r="G51" s="401" t="s">
        <v>273</v>
      </c>
      <c r="H51" s="412">
        <v>0.48141795464124332</v>
      </c>
      <c r="J51" s="401" t="s">
        <v>273</v>
      </c>
      <c r="K51" s="412">
        <v>0.5722120180872613</v>
      </c>
      <c r="M51" s="401" t="s">
        <v>314</v>
      </c>
      <c r="N51" s="412">
        <v>0.39809399324580258</v>
      </c>
    </row>
    <row r="52" spans="1:14" ht="30" customHeight="1" x14ac:dyDescent="0.25">
      <c r="G52" s="401" t="s">
        <v>274</v>
      </c>
      <c r="H52" s="412">
        <v>0.15951406667159521</v>
      </c>
      <c r="J52" s="401" t="s">
        <v>274</v>
      </c>
      <c r="K52" s="412">
        <v>7.2668261135418452E-2</v>
      </c>
      <c r="M52" s="401" t="s">
        <v>315</v>
      </c>
      <c r="N52" s="412">
        <v>0.48806545824813102</v>
      </c>
    </row>
    <row r="53" spans="1:14" x14ac:dyDescent="0.25">
      <c r="G53" s="401" t="s">
        <v>275</v>
      </c>
      <c r="H53" s="412">
        <v>4.2265575162357592E-2</v>
      </c>
      <c r="J53" s="401" t="s">
        <v>275</v>
      </c>
      <c r="K53" s="412">
        <v>6.786384633365819E-2</v>
      </c>
      <c r="M53" s="401" t="s">
        <v>316</v>
      </c>
      <c r="N53" s="412">
        <v>7.8456450212754936E-2</v>
      </c>
    </row>
    <row r="54" spans="1:14" x14ac:dyDescent="0.25">
      <c r="M54" s="401" t="s">
        <v>317</v>
      </c>
      <c r="N54" s="412">
        <v>1.5939966754898551E-3</v>
      </c>
    </row>
    <row r="60" spans="1:14" x14ac:dyDescent="0.25">
      <c r="A60" s="575" t="s">
        <v>646</v>
      </c>
      <c r="B60" s="574"/>
      <c r="D60" s="575" t="s">
        <v>647</v>
      </c>
      <c r="E60" s="574"/>
      <c r="G60" s="575" t="s">
        <v>648</v>
      </c>
      <c r="H60" s="574"/>
      <c r="J60" s="575" t="s">
        <v>649</v>
      </c>
      <c r="K60" s="574"/>
      <c r="M60" s="575" t="s">
        <v>650</v>
      </c>
      <c r="N60" s="574"/>
    </row>
    <row r="61" spans="1:14" x14ac:dyDescent="0.25">
      <c r="A61" s="399" t="s">
        <v>586</v>
      </c>
      <c r="B61" s="399" t="s">
        <v>643</v>
      </c>
      <c r="D61" s="399" t="s">
        <v>586</v>
      </c>
      <c r="E61" s="399" t="s">
        <v>643</v>
      </c>
      <c r="G61" s="399" t="s">
        <v>586</v>
      </c>
      <c r="H61" s="399" t="s">
        <v>643</v>
      </c>
      <c r="J61" s="399" t="s">
        <v>586</v>
      </c>
      <c r="K61" s="399" t="s">
        <v>643</v>
      </c>
      <c r="M61" s="399" t="s">
        <v>586</v>
      </c>
      <c r="N61" s="399" t="s">
        <v>643</v>
      </c>
    </row>
    <row r="62" spans="1:14" x14ac:dyDescent="0.25">
      <c r="A62" s="401" t="s">
        <v>313</v>
      </c>
      <c r="B62" s="412">
        <v>5.5207901946165497E-2</v>
      </c>
      <c r="D62" s="401" t="s">
        <v>644</v>
      </c>
      <c r="E62" s="411">
        <v>94614</v>
      </c>
      <c r="G62" s="401" t="s">
        <v>644</v>
      </c>
      <c r="H62" s="411">
        <v>1315225</v>
      </c>
      <c r="J62" s="401" t="s">
        <v>272</v>
      </c>
      <c r="K62" s="412">
        <v>0.27338558041399758</v>
      </c>
      <c r="M62" s="401" t="s">
        <v>272</v>
      </c>
      <c r="N62" s="412">
        <v>0.26104811880419282</v>
      </c>
    </row>
    <row r="63" spans="1:14" x14ac:dyDescent="0.25">
      <c r="A63" s="401" t="s">
        <v>314</v>
      </c>
      <c r="B63" s="412">
        <v>0.33578568713540452</v>
      </c>
      <c r="D63" s="401" t="s">
        <v>645</v>
      </c>
      <c r="E63" s="411">
        <v>553326</v>
      </c>
      <c r="G63" s="401" t="s">
        <v>645</v>
      </c>
      <c r="H63" s="411">
        <v>4970801</v>
      </c>
      <c r="J63" s="401" t="s">
        <v>273</v>
      </c>
      <c r="K63" s="412">
        <v>0.49094455321332853</v>
      </c>
      <c r="M63" s="401" t="s">
        <v>273</v>
      </c>
      <c r="N63" s="412">
        <v>0.57682625999310788</v>
      </c>
    </row>
    <row r="64" spans="1:14" ht="30" customHeight="1" x14ac:dyDescent="0.25">
      <c r="A64" s="401" t="s">
        <v>315</v>
      </c>
      <c r="B64" s="412">
        <v>0.41692720874947042</v>
      </c>
      <c r="J64" s="401" t="s">
        <v>274</v>
      </c>
      <c r="K64" s="412">
        <v>0.20291125092664761</v>
      </c>
      <c r="M64" s="401" t="s">
        <v>274</v>
      </c>
      <c r="N64" s="412">
        <v>9.9172123366032927E-2</v>
      </c>
    </row>
    <row r="65" spans="1:14" ht="30" customHeight="1" x14ac:dyDescent="0.25">
      <c r="A65" s="401" t="s">
        <v>316</v>
      </c>
      <c r="B65" s="412">
        <v>0.16869236349498909</v>
      </c>
      <c r="J65" s="401" t="s">
        <v>275</v>
      </c>
      <c r="K65" s="412">
        <v>3.2758615446026353E-2</v>
      </c>
      <c r="M65" s="401" t="s">
        <v>275</v>
      </c>
      <c r="N65" s="412">
        <v>6.2953497836666539E-2</v>
      </c>
    </row>
    <row r="66" spans="1:14" x14ac:dyDescent="0.25">
      <c r="A66" s="401" t="s">
        <v>317</v>
      </c>
      <c r="B66" s="412">
        <v>2.3386838673970629E-2</v>
      </c>
    </row>
  </sheetData>
  <mergeCells count="17">
    <mergeCell ref="M48:N48"/>
    <mergeCell ref="A1:AP1"/>
    <mergeCell ref="A60:B60"/>
    <mergeCell ref="A46:O46"/>
    <mergeCell ref="J60:K60"/>
    <mergeCell ref="A3:C3"/>
    <mergeCell ref="E3:G3"/>
    <mergeCell ref="G60:H60"/>
    <mergeCell ref="I3:K3"/>
    <mergeCell ref="D48:E48"/>
    <mergeCell ref="G48:H48"/>
    <mergeCell ref="A2:AP2"/>
    <mergeCell ref="J48:K48"/>
    <mergeCell ref="A28:AP28"/>
    <mergeCell ref="A48:B48"/>
    <mergeCell ref="D60:E60"/>
    <mergeCell ref="M60:N60"/>
  </mergeCells>
  <pageMargins left="0.75" right="0.75" top="1" bottom="1" header="0.5" footer="0.5"/>
  <pageSetup fitToHeight="0"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P91"/>
  <sheetViews>
    <sheetView showGridLines="0" zoomScaleNormal="100" workbookViewId="0">
      <pane ySplit="2" topLeftCell="A27" activePane="bottomLeft" state="frozen"/>
      <selection activeCell="C64" sqref="C64"/>
      <selection pane="bottomLeft" activeCell="C64" sqref="C64"/>
    </sheetView>
  </sheetViews>
  <sheetFormatPr baseColWidth="10" defaultColWidth="9.140625" defaultRowHeight="15" x14ac:dyDescent="0.25"/>
  <cols>
    <col min="1" max="1" width="8" style="439" customWidth="1"/>
    <col min="2" max="2" width="29.140625" style="439" customWidth="1"/>
    <col min="3" max="3" width="72.140625" style="439" customWidth="1"/>
    <col min="4" max="4" width="12" style="439" customWidth="1"/>
    <col min="5" max="5" width="13.42578125" style="439" customWidth="1"/>
    <col min="6" max="6" width="8" style="439" customWidth="1"/>
    <col min="7" max="7" width="24" style="439" customWidth="1"/>
    <col min="8" max="8" width="12" style="439" customWidth="1"/>
    <col min="9" max="9" width="13.42578125" style="439" customWidth="1"/>
    <col min="10" max="10" width="8" style="439" customWidth="1"/>
    <col min="11" max="11" width="18" style="439" customWidth="1"/>
    <col min="12" max="12" width="3.5703125" style="439" customWidth="1"/>
    <col min="13" max="42" width="13.42578125" style="439" customWidth="1"/>
  </cols>
  <sheetData>
    <row r="1" spans="1:42" x14ac:dyDescent="0.25">
      <c r="A1" s="587" t="s">
        <v>653</v>
      </c>
      <c r="B1" s="579"/>
      <c r="C1" s="579"/>
      <c r="D1" s="579"/>
      <c r="E1" s="579"/>
      <c r="F1" s="579"/>
      <c r="G1" s="579"/>
      <c r="H1" s="579"/>
      <c r="I1" s="579"/>
      <c r="J1" s="579"/>
      <c r="K1" s="579"/>
      <c r="L1" s="579"/>
      <c r="M1" s="579"/>
      <c r="N1" s="579"/>
      <c r="O1" s="579"/>
      <c r="P1" s="579"/>
      <c r="Q1" s="579"/>
      <c r="R1" s="579"/>
      <c r="S1" s="579"/>
      <c r="T1" s="579"/>
      <c r="U1" s="579"/>
      <c r="V1" s="579"/>
      <c r="W1" s="579"/>
      <c r="X1" s="579"/>
      <c r="Y1" s="579"/>
      <c r="Z1" s="579"/>
      <c r="AA1" s="579"/>
      <c r="AB1" s="579"/>
      <c r="AC1" s="579"/>
      <c r="AD1" s="579"/>
      <c r="AE1" s="579"/>
      <c r="AF1" s="579"/>
      <c r="AG1" s="579"/>
      <c r="AH1" s="579"/>
      <c r="AI1" s="579"/>
      <c r="AJ1" s="579"/>
      <c r="AK1" s="579"/>
      <c r="AL1" s="579"/>
      <c r="AM1" s="579"/>
      <c r="AN1" s="579"/>
      <c r="AO1" s="579"/>
      <c r="AP1" s="579"/>
    </row>
    <row r="2" spans="1:42" x14ac:dyDescent="0.25">
      <c r="A2" s="588" t="s">
        <v>654</v>
      </c>
      <c r="B2" s="579"/>
      <c r="C2" s="579"/>
      <c r="D2" s="579"/>
      <c r="E2" s="579"/>
      <c r="F2" s="579"/>
      <c r="G2" s="579"/>
      <c r="H2" s="579"/>
      <c r="I2" s="579"/>
      <c r="J2" s="579"/>
      <c r="K2" s="579"/>
      <c r="L2" s="579"/>
      <c r="M2" s="579"/>
      <c r="N2" s="579"/>
      <c r="O2" s="579"/>
      <c r="P2" s="579"/>
      <c r="Q2" s="579"/>
      <c r="R2" s="579"/>
      <c r="S2" s="579"/>
      <c r="T2" s="579"/>
      <c r="U2" s="579"/>
      <c r="V2" s="579"/>
      <c r="W2" s="579"/>
      <c r="X2" s="579"/>
      <c r="Y2" s="579"/>
      <c r="Z2" s="579"/>
      <c r="AA2" s="579"/>
      <c r="AB2" s="579"/>
      <c r="AC2" s="579"/>
      <c r="AD2" s="579"/>
      <c r="AE2" s="579"/>
      <c r="AF2" s="579"/>
      <c r="AG2" s="579"/>
      <c r="AH2" s="579"/>
      <c r="AI2" s="579"/>
      <c r="AJ2" s="579"/>
      <c r="AK2" s="579"/>
      <c r="AL2" s="579"/>
      <c r="AM2" s="579"/>
      <c r="AN2" s="579"/>
      <c r="AO2" s="579"/>
      <c r="AP2" s="579"/>
    </row>
    <row r="3" spans="1:42" ht="15" customHeight="1" x14ac:dyDescent="0.25">
      <c r="A3" s="417" t="s">
        <v>655</v>
      </c>
      <c r="B3" s="418"/>
      <c r="C3" s="418"/>
      <c r="D3" s="419"/>
      <c r="F3" s="572" t="s">
        <v>656</v>
      </c>
      <c r="G3" s="573"/>
      <c r="H3" s="574"/>
      <c r="J3" s="572" t="s">
        <v>651</v>
      </c>
      <c r="K3" s="573"/>
      <c r="L3" s="574"/>
    </row>
    <row r="4" spans="1:42" ht="60" customHeight="1" x14ac:dyDescent="0.25">
      <c r="A4" s="399" t="s">
        <v>244</v>
      </c>
      <c r="B4" s="399" t="s">
        <v>657</v>
      </c>
      <c r="C4" s="399" t="s">
        <v>658</v>
      </c>
      <c r="D4" s="399" t="s">
        <v>652</v>
      </c>
      <c r="F4" s="399" t="s">
        <v>244</v>
      </c>
      <c r="G4" s="399" t="s">
        <v>586</v>
      </c>
      <c r="H4" s="399" t="s">
        <v>652</v>
      </c>
      <c r="J4" s="399" t="s">
        <v>244</v>
      </c>
      <c r="K4" s="399" t="s">
        <v>586</v>
      </c>
      <c r="L4" s="399" t="s">
        <v>652</v>
      </c>
    </row>
    <row r="5" spans="1:42" x14ac:dyDescent="0.25">
      <c r="A5" s="415">
        <v>1</v>
      </c>
      <c r="B5" s="416" t="s">
        <v>4</v>
      </c>
      <c r="C5" s="416" t="s">
        <v>659</v>
      </c>
      <c r="D5" s="402"/>
      <c r="F5" s="400">
        <v>1</v>
      </c>
      <c r="G5" s="401" t="s">
        <v>272</v>
      </c>
      <c r="H5" s="403"/>
      <c r="J5" s="400">
        <v>2</v>
      </c>
      <c r="K5" s="401" t="s">
        <v>314</v>
      </c>
      <c r="L5" s="407"/>
    </row>
    <row r="6" spans="1:42" x14ac:dyDescent="0.25">
      <c r="A6" s="415">
        <v>2</v>
      </c>
      <c r="B6" s="416" t="s">
        <v>8</v>
      </c>
      <c r="C6" s="416" t="s">
        <v>660</v>
      </c>
      <c r="D6" s="410"/>
      <c r="F6" s="400">
        <v>2</v>
      </c>
      <c r="G6" s="401" t="s">
        <v>273</v>
      </c>
      <c r="H6" s="406"/>
      <c r="J6" s="400">
        <v>3</v>
      </c>
      <c r="K6" s="401" t="s">
        <v>315</v>
      </c>
      <c r="L6" s="409"/>
    </row>
    <row r="7" spans="1:42" x14ac:dyDescent="0.25">
      <c r="A7" s="415">
        <v>3</v>
      </c>
      <c r="B7" s="416" t="s">
        <v>12</v>
      </c>
      <c r="C7" s="416" t="s">
        <v>661</v>
      </c>
      <c r="D7" s="405"/>
      <c r="F7" s="400">
        <v>3</v>
      </c>
      <c r="G7" s="401" t="s">
        <v>274</v>
      </c>
      <c r="H7" s="408"/>
      <c r="J7" s="400">
        <v>4</v>
      </c>
      <c r="K7" s="401" t="s">
        <v>316</v>
      </c>
      <c r="L7" s="406"/>
    </row>
    <row r="8" spans="1:42" x14ac:dyDescent="0.25">
      <c r="A8" s="415">
        <v>4</v>
      </c>
      <c r="B8" s="416" t="s">
        <v>12</v>
      </c>
      <c r="C8" s="416" t="s">
        <v>16</v>
      </c>
      <c r="D8" s="408"/>
      <c r="F8" s="400">
        <v>4</v>
      </c>
      <c r="G8" s="401" t="s">
        <v>275</v>
      </c>
      <c r="H8" s="410"/>
      <c r="J8" s="400">
        <v>5</v>
      </c>
      <c r="K8" s="401" t="s">
        <v>317</v>
      </c>
      <c r="L8" s="403"/>
    </row>
    <row r="9" spans="1:42" x14ac:dyDescent="0.25">
      <c r="A9" s="415">
        <v>5</v>
      </c>
      <c r="B9" s="416" t="s">
        <v>19</v>
      </c>
      <c r="C9" s="416" t="s">
        <v>23</v>
      </c>
      <c r="D9" s="403"/>
      <c r="J9" s="400">
        <v>1</v>
      </c>
      <c r="K9" s="401" t="s">
        <v>313</v>
      </c>
      <c r="L9" s="404"/>
    </row>
    <row r="10" spans="1:42" x14ac:dyDescent="0.25">
      <c r="A10" s="415">
        <v>6</v>
      </c>
      <c r="B10" s="416" t="s">
        <v>19</v>
      </c>
      <c r="C10" s="416" t="s">
        <v>20</v>
      </c>
      <c r="D10" s="406"/>
    </row>
    <row r="11" spans="1:42" x14ac:dyDescent="0.25">
      <c r="A11" s="415">
        <v>7</v>
      </c>
      <c r="B11" s="416" t="s">
        <v>19</v>
      </c>
      <c r="C11" s="416" t="s">
        <v>662</v>
      </c>
      <c r="D11" s="413"/>
    </row>
    <row r="12" spans="1:42" x14ac:dyDescent="0.25">
      <c r="A12" s="415">
        <v>8</v>
      </c>
      <c r="B12" s="416" t="s">
        <v>31</v>
      </c>
      <c r="C12" s="416" t="s">
        <v>663</v>
      </c>
      <c r="D12" s="404"/>
    </row>
    <row r="13" spans="1:42" ht="15.75" customHeight="1" thickBot="1" x14ac:dyDescent="0.3">
      <c r="A13" s="415">
        <v>9</v>
      </c>
      <c r="B13" s="416" t="s">
        <v>31</v>
      </c>
      <c r="C13" s="416" t="s">
        <v>35</v>
      </c>
      <c r="D13" s="414"/>
    </row>
    <row r="14" spans="1:42" ht="15" customHeight="1" thickBot="1" x14ac:dyDescent="0.3">
      <c r="A14" s="421" t="s">
        <v>664</v>
      </c>
      <c r="B14" s="422"/>
      <c r="C14" s="422"/>
      <c r="D14" s="422"/>
      <c r="E14" s="422"/>
      <c r="F14" s="422"/>
      <c r="G14" s="422"/>
      <c r="H14" s="456"/>
      <c r="I14" s="456"/>
      <c r="J14" s="456"/>
      <c r="K14" s="456"/>
      <c r="L14" s="456"/>
      <c r="M14" s="456"/>
      <c r="N14" s="456"/>
      <c r="O14" s="456"/>
      <c r="P14" s="456"/>
      <c r="Q14" s="456"/>
      <c r="R14" s="456"/>
      <c r="S14" s="456"/>
      <c r="T14" s="456"/>
      <c r="U14" s="456"/>
      <c r="V14" s="456"/>
      <c r="W14" s="456"/>
      <c r="X14" s="456"/>
      <c r="Y14" s="456"/>
      <c r="Z14" s="456"/>
      <c r="AA14" s="456"/>
      <c r="AB14" s="456"/>
      <c r="AC14" s="456"/>
      <c r="AD14" s="456"/>
      <c r="AE14" s="456"/>
      <c r="AF14" s="456"/>
      <c r="AG14" s="456"/>
      <c r="AH14" s="456"/>
      <c r="AI14" s="456"/>
      <c r="AJ14" s="456"/>
      <c r="AK14" s="456"/>
      <c r="AL14" s="456"/>
      <c r="AM14" s="456"/>
      <c r="AN14" s="456"/>
      <c r="AO14" s="456"/>
      <c r="AP14" s="457"/>
    </row>
    <row r="30" s="446" customFormat="1" x14ac:dyDescent="0.25"/>
    <row r="31" s="446" customFormat="1" x14ac:dyDescent="0.25"/>
    <row r="32" s="446" customFormat="1" x14ac:dyDescent="0.25"/>
    <row r="33" spans="1:42" s="446" customFormat="1" x14ac:dyDescent="0.25"/>
    <row r="34" spans="1:42" s="446" customFormat="1" x14ac:dyDescent="0.25"/>
    <row r="35" spans="1:42" s="446" customFormat="1" x14ac:dyDescent="0.25"/>
    <row r="36" spans="1:42" s="446" customFormat="1" x14ac:dyDescent="0.25"/>
    <row r="37" spans="1:42" s="446" customFormat="1" x14ac:dyDescent="0.25"/>
    <row r="38" spans="1:42" s="446" customFormat="1" x14ac:dyDescent="0.25"/>
    <row r="39" spans="1:42" s="446" customFormat="1" x14ac:dyDescent="0.25"/>
    <row r="40" spans="1:42" s="446" customFormat="1" x14ac:dyDescent="0.25"/>
    <row r="41" spans="1:42" s="446" customFormat="1" x14ac:dyDescent="0.25"/>
    <row r="42" spans="1:42" s="446" customFormat="1" x14ac:dyDescent="0.25"/>
    <row r="46" spans="1:42" ht="15" customHeight="1" thickBot="1" x14ac:dyDescent="0.3">
      <c r="A46" s="455" t="s">
        <v>665</v>
      </c>
      <c r="B46" s="456"/>
      <c r="C46" s="456"/>
      <c r="D46" s="456"/>
      <c r="E46" s="456"/>
      <c r="F46" s="456"/>
      <c r="G46" s="456"/>
      <c r="H46" s="456"/>
      <c r="I46" s="456"/>
      <c r="J46" s="456"/>
      <c r="K46" s="456"/>
      <c r="L46" s="456"/>
      <c r="M46" s="456"/>
      <c r="N46" s="456"/>
      <c r="O46" s="456"/>
      <c r="P46" s="456"/>
      <c r="Q46" s="456"/>
      <c r="R46" s="456"/>
      <c r="S46" s="456"/>
      <c r="T46" s="456"/>
      <c r="U46" s="456"/>
      <c r="V46" s="456"/>
      <c r="W46" s="456"/>
      <c r="X46" s="456"/>
      <c r="Y46" s="456"/>
      <c r="Z46" s="456"/>
      <c r="AA46" s="456"/>
      <c r="AB46" s="456"/>
      <c r="AC46" s="456"/>
      <c r="AD46" s="456"/>
      <c r="AE46" s="456"/>
      <c r="AF46" s="456"/>
      <c r="AG46" s="456"/>
      <c r="AH46" s="456"/>
      <c r="AI46" s="456"/>
      <c r="AJ46" s="456"/>
      <c r="AK46" s="456"/>
      <c r="AL46" s="456"/>
      <c r="AM46" s="456"/>
      <c r="AN46" s="456"/>
      <c r="AO46" s="456"/>
      <c r="AP46" s="457"/>
    </row>
    <row r="65" spans="1:15" ht="15" customHeight="1" x14ac:dyDescent="0.25">
      <c r="A65" s="453" t="s">
        <v>637</v>
      </c>
      <c r="B65" s="454"/>
      <c r="C65" s="454"/>
      <c r="D65" s="454"/>
      <c r="E65" s="454"/>
      <c r="F65" s="454"/>
      <c r="G65" s="454"/>
      <c r="H65" s="454"/>
      <c r="I65" s="454"/>
      <c r="J65" s="454"/>
      <c r="K65" s="454"/>
      <c r="L65" s="454"/>
      <c r="M65" s="454"/>
      <c r="N65" s="454"/>
      <c r="O65" s="454"/>
    </row>
    <row r="67" spans="1:15" ht="15" customHeight="1" x14ac:dyDescent="0.25">
      <c r="A67" s="575" t="s">
        <v>666</v>
      </c>
      <c r="B67" s="574"/>
      <c r="D67" s="452" t="s">
        <v>667</v>
      </c>
      <c r="E67" s="451"/>
      <c r="G67" s="575" t="s">
        <v>640</v>
      </c>
      <c r="H67" s="574"/>
      <c r="J67" s="575" t="s">
        <v>641</v>
      </c>
      <c r="K67" s="574"/>
      <c r="M67" s="575" t="s">
        <v>642</v>
      </c>
      <c r="N67" s="574"/>
    </row>
    <row r="68" spans="1:15" x14ac:dyDescent="0.25">
      <c r="A68" s="399" t="s">
        <v>586</v>
      </c>
      <c r="B68" s="399" t="s">
        <v>643</v>
      </c>
      <c r="D68" s="399" t="s">
        <v>586</v>
      </c>
      <c r="E68" s="399" t="s">
        <v>643</v>
      </c>
      <c r="G68" s="399" t="s">
        <v>586</v>
      </c>
      <c r="H68" s="399" t="s">
        <v>643</v>
      </c>
      <c r="J68" s="399" t="s">
        <v>586</v>
      </c>
      <c r="K68" s="399" t="s">
        <v>643</v>
      </c>
      <c r="M68" s="399" t="s">
        <v>586</v>
      </c>
      <c r="N68" s="399" t="s">
        <v>643</v>
      </c>
    </row>
    <row r="69" spans="1:15" ht="30" customHeight="1" x14ac:dyDescent="0.25">
      <c r="A69" s="401" t="s">
        <v>644</v>
      </c>
      <c r="B69" s="411">
        <v>28100</v>
      </c>
      <c r="D69" s="401" t="s">
        <v>644</v>
      </c>
      <c r="E69" s="411">
        <v>618200</v>
      </c>
      <c r="G69" s="401" t="s">
        <v>272</v>
      </c>
      <c r="H69" s="412">
        <v>0.31680240352480388</v>
      </c>
      <c r="J69" s="401" t="s">
        <v>272</v>
      </c>
      <c r="K69" s="412">
        <v>0.28725587444366207</v>
      </c>
      <c r="M69" s="401" t="s">
        <v>313</v>
      </c>
      <c r="N69" s="412">
        <v>3.3790101617821568E-2</v>
      </c>
    </row>
    <row r="70" spans="1:15" ht="30" customHeight="1" x14ac:dyDescent="0.25">
      <c r="A70" s="401" t="s">
        <v>645</v>
      </c>
      <c r="B70" s="411">
        <v>3650</v>
      </c>
      <c r="D70" s="401" t="s">
        <v>645</v>
      </c>
      <c r="E70" s="411">
        <v>58400</v>
      </c>
      <c r="G70" s="401" t="s">
        <v>273</v>
      </c>
      <c r="H70" s="412">
        <v>0.48141795464124332</v>
      </c>
      <c r="J70" s="401" t="s">
        <v>273</v>
      </c>
      <c r="K70" s="412">
        <v>0.5722120180872613</v>
      </c>
      <c r="M70" s="401" t="s">
        <v>314</v>
      </c>
      <c r="N70" s="412">
        <v>0.39809399324580258</v>
      </c>
    </row>
    <row r="71" spans="1:15" ht="30" customHeight="1" x14ac:dyDescent="0.25">
      <c r="A71" s="401" t="s">
        <v>668</v>
      </c>
      <c r="B71" s="411">
        <v>8700</v>
      </c>
      <c r="D71" s="401" t="s">
        <v>668</v>
      </c>
      <c r="E71" s="411">
        <v>217500</v>
      </c>
      <c r="G71" s="401" t="s">
        <v>274</v>
      </c>
      <c r="H71" s="412">
        <v>0.15951406667159521</v>
      </c>
      <c r="J71" s="401" t="s">
        <v>274</v>
      </c>
      <c r="K71" s="412">
        <v>7.2668261135418452E-2</v>
      </c>
      <c r="M71" s="401" t="s">
        <v>315</v>
      </c>
      <c r="N71" s="412">
        <v>0.48806545824813102</v>
      </c>
    </row>
    <row r="72" spans="1:15" x14ac:dyDescent="0.25">
      <c r="A72" s="401" t="s">
        <v>669</v>
      </c>
      <c r="B72" s="411">
        <v>5050</v>
      </c>
      <c r="D72" s="401" t="s">
        <v>669</v>
      </c>
      <c r="E72" s="411">
        <v>70700</v>
      </c>
      <c r="G72" s="401" t="s">
        <v>275</v>
      </c>
      <c r="H72" s="412">
        <v>4.2265575162357592E-2</v>
      </c>
      <c r="J72" s="401" t="s">
        <v>275</v>
      </c>
      <c r="K72" s="412">
        <v>6.786384633365819E-2</v>
      </c>
      <c r="M72" s="401" t="s">
        <v>316</v>
      </c>
      <c r="N72" s="412">
        <v>7.8456450212754936E-2</v>
      </c>
    </row>
    <row r="73" spans="1:15" x14ac:dyDescent="0.25">
      <c r="A73" s="401" t="s">
        <v>670</v>
      </c>
      <c r="B73" s="411">
        <v>37496</v>
      </c>
      <c r="D73" s="401" t="s">
        <v>670</v>
      </c>
      <c r="E73" s="411">
        <v>112488</v>
      </c>
      <c r="M73" s="401" t="s">
        <v>317</v>
      </c>
      <c r="N73" s="412">
        <v>1.5939966754898551E-3</v>
      </c>
    </row>
    <row r="74" spans="1:15" x14ac:dyDescent="0.25">
      <c r="A74" s="401" t="s">
        <v>671</v>
      </c>
      <c r="B74" s="411">
        <v>10000</v>
      </c>
      <c r="D74" s="401" t="s">
        <v>671</v>
      </c>
      <c r="E74" s="411">
        <v>160000</v>
      </c>
    </row>
    <row r="75" spans="1:15" x14ac:dyDescent="0.25">
      <c r="A75" s="401" t="s">
        <v>672</v>
      </c>
      <c r="B75" s="411">
        <v>121</v>
      </c>
      <c r="D75" s="401" t="s">
        <v>672</v>
      </c>
      <c r="E75" s="411">
        <v>3025</v>
      </c>
    </row>
    <row r="76" spans="1:15" x14ac:dyDescent="0.25">
      <c r="A76" s="401" t="s">
        <v>673</v>
      </c>
      <c r="B76" s="411">
        <v>832</v>
      </c>
      <c r="D76" s="401" t="s">
        <v>673</v>
      </c>
      <c r="E76" s="411">
        <v>66560</v>
      </c>
    </row>
    <row r="77" spans="1:15" x14ac:dyDescent="0.25">
      <c r="A77" s="401" t="s">
        <v>674</v>
      </c>
      <c r="B77" s="411">
        <v>520</v>
      </c>
      <c r="D77" s="401" t="s">
        <v>674</v>
      </c>
      <c r="E77" s="411">
        <v>5200</v>
      </c>
    </row>
    <row r="81" spans="1:14" ht="15" customHeight="1" x14ac:dyDescent="0.25">
      <c r="A81" s="575" t="s">
        <v>646</v>
      </c>
      <c r="B81" s="574"/>
      <c r="D81" s="452" t="s">
        <v>675</v>
      </c>
      <c r="E81" s="451"/>
      <c r="G81" s="575" t="s">
        <v>676</v>
      </c>
      <c r="H81" s="574"/>
      <c r="J81" s="575" t="s">
        <v>649</v>
      </c>
      <c r="K81" s="574"/>
      <c r="M81" s="575" t="s">
        <v>650</v>
      </c>
      <c r="N81" s="574"/>
    </row>
    <row r="82" spans="1:14" x14ac:dyDescent="0.25">
      <c r="A82" s="399" t="s">
        <v>586</v>
      </c>
      <c r="B82" s="399" t="s">
        <v>643</v>
      </c>
      <c r="D82" s="399" t="s">
        <v>586</v>
      </c>
      <c r="E82" s="399" t="s">
        <v>643</v>
      </c>
      <c r="G82" s="399" t="s">
        <v>586</v>
      </c>
      <c r="H82" s="399" t="s">
        <v>643</v>
      </c>
      <c r="J82" s="399" t="s">
        <v>586</v>
      </c>
      <c r="K82" s="399" t="s">
        <v>643</v>
      </c>
      <c r="M82" s="399" t="s">
        <v>586</v>
      </c>
      <c r="N82" s="399" t="s">
        <v>643</v>
      </c>
    </row>
    <row r="83" spans="1:14" ht="30" customHeight="1" x14ac:dyDescent="0.25">
      <c r="A83" s="401" t="s">
        <v>313</v>
      </c>
      <c r="B83" s="412">
        <v>5.5207901946165497E-2</v>
      </c>
      <c r="D83" s="401" t="s">
        <v>644</v>
      </c>
      <c r="E83" s="411">
        <v>27600</v>
      </c>
      <c r="G83" s="401" t="s">
        <v>644</v>
      </c>
      <c r="H83" s="411">
        <v>607200</v>
      </c>
      <c r="J83" s="401" t="s">
        <v>272</v>
      </c>
      <c r="K83" s="412">
        <v>0.27338558041399758</v>
      </c>
      <c r="M83" s="401" t="s">
        <v>272</v>
      </c>
      <c r="N83" s="412">
        <v>0.26104811880419282</v>
      </c>
    </row>
    <row r="84" spans="1:14" ht="30" customHeight="1" x14ac:dyDescent="0.25">
      <c r="A84" s="401" t="s">
        <v>314</v>
      </c>
      <c r="B84" s="412">
        <v>0.33578568713540452</v>
      </c>
      <c r="D84" s="401" t="s">
        <v>645</v>
      </c>
      <c r="E84" s="411">
        <v>4100</v>
      </c>
      <c r="G84" s="401" t="s">
        <v>645</v>
      </c>
      <c r="H84" s="411">
        <v>65600</v>
      </c>
      <c r="J84" s="401" t="s">
        <v>273</v>
      </c>
      <c r="K84" s="412">
        <v>0.49094455321332853</v>
      </c>
      <c r="M84" s="401" t="s">
        <v>273</v>
      </c>
      <c r="N84" s="412">
        <v>0.57682625999310788</v>
      </c>
    </row>
    <row r="85" spans="1:14" ht="30" customHeight="1" x14ac:dyDescent="0.25">
      <c r="A85" s="401" t="s">
        <v>315</v>
      </c>
      <c r="B85" s="412">
        <v>0.41692720874947042</v>
      </c>
      <c r="D85" s="401" t="s">
        <v>668</v>
      </c>
      <c r="E85" s="411">
        <v>9050</v>
      </c>
      <c r="G85" s="401" t="s">
        <v>668</v>
      </c>
      <c r="H85" s="411">
        <v>226250</v>
      </c>
      <c r="J85" s="401" t="s">
        <v>274</v>
      </c>
      <c r="K85" s="412">
        <v>0.20291125092664761</v>
      </c>
      <c r="M85" s="401" t="s">
        <v>274</v>
      </c>
      <c r="N85" s="412">
        <v>9.9172123366032927E-2</v>
      </c>
    </row>
    <row r="86" spans="1:14" ht="30" customHeight="1" x14ac:dyDescent="0.25">
      <c r="A86" s="401" t="s">
        <v>316</v>
      </c>
      <c r="B86" s="412">
        <v>0.16869236349498909</v>
      </c>
      <c r="D86" s="401" t="s">
        <v>669</v>
      </c>
      <c r="E86" s="411">
        <v>5230</v>
      </c>
      <c r="G86" s="401" t="s">
        <v>669</v>
      </c>
      <c r="H86" s="411">
        <v>73220</v>
      </c>
      <c r="J86" s="401" t="s">
        <v>275</v>
      </c>
      <c r="K86" s="412">
        <v>3.2758615446026353E-2</v>
      </c>
      <c r="M86" s="401" t="s">
        <v>275</v>
      </c>
      <c r="N86" s="412">
        <v>6.2953497836666539E-2</v>
      </c>
    </row>
    <row r="87" spans="1:14" x14ac:dyDescent="0.25">
      <c r="A87" s="401" t="s">
        <v>317</v>
      </c>
      <c r="B87" s="412">
        <v>2.3386838673970629E-2</v>
      </c>
      <c r="D87" s="401" t="s">
        <v>670</v>
      </c>
      <c r="E87" s="411">
        <v>37460</v>
      </c>
      <c r="G87" s="401" t="s">
        <v>670</v>
      </c>
      <c r="H87" s="411">
        <v>112380</v>
      </c>
    </row>
    <row r="88" spans="1:14" x14ac:dyDescent="0.25">
      <c r="D88" s="401" t="s">
        <v>671</v>
      </c>
      <c r="E88" s="411">
        <v>9650</v>
      </c>
      <c r="G88" s="401" t="s">
        <v>671</v>
      </c>
      <c r="H88" s="411">
        <v>154400</v>
      </c>
    </row>
    <row r="89" spans="1:14" x14ac:dyDescent="0.25">
      <c r="D89" s="401" t="s">
        <v>672</v>
      </c>
      <c r="E89" s="411">
        <v>119</v>
      </c>
      <c r="G89" s="401" t="s">
        <v>672</v>
      </c>
      <c r="H89" s="411">
        <v>2975</v>
      </c>
    </row>
    <row r="90" spans="1:14" x14ac:dyDescent="0.25">
      <c r="D90" s="401" t="s">
        <v>673</v>
      </c>
      <c r="E90" s="411">
        <v>845</v>
      </c>
      <c r="G90" s="401" t="s">
        <v>673</v>
      </c>
      <c r="H90" s="411">
        <v>67600</v>
      </c>
    </row>
    <row r="91" spans="1:14" x14ac:dyDescent="0.25">
      <c r="D91" s="401" t="s">
        <v>674</v>
      </c>
      <c r="E91" s="411">
        <v>560</v>
      </c>
      <c r="G91" s="401" t="s">
        <v>674</v>
      </c>
      <c r="H91" s="411">
        <v>5600</v>
      </c>
    </row>
  </sheetData>
  <mergeCells count="12">
    <mergeCell ref="G81:H81"/>
    <mergeCell ref="J67:K67"/>
    <mergeCell ref="A1:AP1"/>
    <mergeCell ref="M81:N81"/>
    <mergeCell ref="A81:B81"/>
    <mergeCell ref="J81:K81"/>
    <mergeCell ref="G67:H67"/>
    <mergeCell ref="M67:N67"/>
    <mergeCell ref="F3:H3"/>
    <mergeCell ref="A67:B67"/>
    <mergeCell ref="J3:L3"/>
    <mergeCell ref="A2:AP2"/>
  </mergeCells>
  <pageMargins left="0.75" right="0.75" top="1" bottom="1" header="0.5" footer="0.5"/>
  <pageSetup fitToHeight="0"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8</vt:i4>
      </vt:variant>
      <vt:variant>
        <vt:lpstr>Plages nommées</vt:lpstr>
      </vt:variant>
      <vt:variant>
        <vt:i4>3</vt:i4>
      </vt:variant>
    </vt:vector>
  </HeadingPairs>
  <TitlesOfParts>
    <vt:vector size="11" baseType="lpstr">
      <vt:lpstr>Périmètre TERTIAIRE</vt:lpstr>
      <vt:lpstr>DATA - ANALYSE - TERTIAIRE</vt:lpstr>
      <vt:lpstr>PARC TERTIAIRE vs. TOTAL</vt:lpstr>
      <vt:lpstr>DETAIL PARC TERTIAIRE</vt:lpstr>
      <vt:lpstr>VENTES 2026-30 – NEUF-RÉNO</vt:lpstr>
      <vt:lpstr>SYNTHESE &amp; BONUS MITIGEURS</vt:lpstr>
      <vt:lpstr>PARC TERTIAIRE vs. TOTAL - OLD</vt:lpstr>
      <vt:lpstr>DETAIL PARC TERTIAIREprevious</vt:lpstr>
      <vt:lpstr>'DETAIL PARC TERTIAIRE'!Zone_d_impression</vt:lpstr>
      <vt:lpstr>'PARC TERTIAIRE vs. TOTAL'!Zone_d_impression</vt:lpstr>
      <vt:lpstr>'VENTES 2026-30 – NEUF-RÉNO'!Zone_d_impression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BEDOS Alexandre</cp:lastModifiedBy>
  <cp:lastPrinted>2026-06-05T13:56:46Z</cp:lastPrinted>
  <dcterms:created xsi:type="dcterms:W3CDTF">2026-05-20T16:42:18Z</dcterms:created>
  <dcterms:modified xsi:type="dcterms:W3CDTF">2026-06-11T07:46:42Z</dcterms:modified>
</cp:coreProperties>
</file>