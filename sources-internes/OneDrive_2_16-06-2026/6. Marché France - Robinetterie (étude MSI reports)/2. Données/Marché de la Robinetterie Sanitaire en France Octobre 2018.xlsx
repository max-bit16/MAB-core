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Y:\Geneviève\Finalisation de Brochures et d'Études\Robinetterie Sanitaire\"/>
    </mc:Choice>
  </mc:AlternateContent>
  <bookViews>
    <workbookView xWindow="0" yWindow="0" windowWidth="27675" windowHeight="9675" tabRatio="897" activeTab="1"/>
  </bookViews>
  <sheets>
    <sheet name="PEISR" sheetId="29" r:id="rId1"/>
    <sheet name="Taille de Marché" sheetId="3" r:id="rId2"/>
    <sheet name="Échanges Internationaux" sheetId="25" r:id="rId3"/>
    <sheet name="Distribution" sheetId="30" r:id="rId4"/>
    <sheet name="Parts de Marché" sheetId="22" r:id="rId5"/>
    <sheet name="Profils" sheetId="20" r:id="rId6"/>
  </sheets>
  <definedNames>
    <definedName name="_xlnm.Print_Area" localSheetId="3">Distribution!$A$1:$AH$70</definedName>
    <definedName name="_xlnm.Print_Area" localSheetId="2">'Échanges Internationaux'!$A$1:$U$141</definedName>
    <definedName name="_xlnm.Print_Area" localSheetId="4">'Parts de Marché'!$A$1:$P$34</definedName>
    <definedName name="_xlnm.Print_Area" localSheetId="0">PEISR!$A$1:$R$578</definedName>
    <definedName name="_xlnm.Print_Area" localSheetId="5">Profils!$A$1:$T$186</definedName>
    <definedName name="_xlnm.Print_Area" localSheetId="1">'Taille de Marché'!$A$1:$U$368</definedName>
  </definedNames>
  <calcPr calcId="152511"/>
  <customWorkbookViews>
    <customWorkbookView name="Maud - Personal View" guid="{6EFF7B11-DE7E-4129-AF78-EEA0AB3489F2}" mergeInterval="0" personalView="1" maximized="1" windowWidth="1020" windowHeight="596" tabRatio="897" activeSheetId="13"/>
  </customWorkbookViews>
</workbook>
</file>

<file path=xl/calcChain.xml><?xml version="1.0" encoding="utf-8"?>
<calcChain xmlns="http://schemas.openxmlformats.org/spreadsheetml/2006/main">
  <c r="B28" i="22" l="1"/>
  <c r="O126" i="20"/>
  <c r="P88" i="20"/>
  <c r="O63" i="20"/>
  <c r="C79" i="3" l="1"/>
  <c r="C94" i="3" s="1"/>
  <c r="D79" i="3"/>
  <c r="D94" i="3" s="1"/>
  <c r="E79" i="3"/>
  <c r="E95" i="3" s="1"/>
  <c r="F79" i="3"/>
  <c r="F94" i="3" s="1"/>
  <c r="G79" i="3"/>
  <c r="G95" i="3" s="1"/>
  <c r="H79" i="3"/>
  <c r="H94" i="3" s="1"/>
  <c r="I79" i="3"/>
  <c r="I95" i="3" s="1"/>
  <c r="J79" i="3"/>
  <c r="J94" i="3" s="1"/>
  <c r="K79" i="3"/>
  <c r="K94" i="3" s="1"/>
  <c r="C82" i="3"/>
  <c r="C97" i="3" s="1"/>
  <c r="D82" i="3"/>
  <c r="D97" i="3" s="1"/>
  <c r="E82" i="3"/>
  <c r="E98" i="3" s="1"/>
  <c r="F82" i="3"/>
  <c r="F98" i="3" s="1"/>
  <c r="G82" i="3"/>
  <c r="G98" i="3" s="1"/>
  <c r="H82" i="3"/>
  <c r="H97" i="3" s="1"/>
  <c r="I82" i="3"/>
  <c r="I98" i="3" s="1"/>
  <c r="J82" i="3"/>
  <c r="J98" i="3" s="1"/>
  <c r="K82" i="3"/>
  <c r="K97" i="3" s="1"/>
  <c r="B82" i="3"/>
  <c r="B98" i="3" s="1"/>
  <c r="B79" i="3"/>
  <c r="B95" i="3" s="1"/>
  <c r="B86" i="3"/>
  <c r="G97" i="3" l="1"/>
  <c r="F97" i="3"/>
  <c r="H98" i="3"/>
  <c r="E97" i="3"/>
  <c r="K98" i="3"/>
  <c r="K95" i="3"/>
  <c r="J97" i="3"/>
  <c r="J95" i="3"/>
  <c r="I97" i="3"/>
  <c r="I94" i="3"/>
  <c r="H95" i="3"/>
  <c r="G94" i="3"/>
  <c r="F95" i="3"/>
  <c r="E94" i="3"/>
  <c r="D98" i="3"/>
  <c r="D95" i="3"/>
  <c r="C98" i="3"/>
  <c r="C95" i="3"/>
  <c r="B97" i="3"/>
  <c r="B94" i="3"/>
  <c r="K108" i="3"/>
  <c r="K109" i="3"/>
  <c r="B110" i="3"/>
  <c r="I109" i="3"/>
  <c r="H109" i="3"/>
  <c r="H108" i="3"/>
  <c r="C110" i="3"/>
  <c r="D110" i="3"/>
  <c r="N79" i="3"/>
  <c r="O79" i="3"/>
  <c r="P79" i="3"/>
  <c r="Q79" i="3"/>
  <c r="R79" i="3"/>
  <c r="S79" i="3"/>
  <c r="T79" i="3"/>
  <c r="U79" i="3"/>
  <c r="N80" i="3"/>
  <c r="O80" i="3"/>
  <c r="P80" i="3"/>
  <c r="Q80" i="3"/>
  <c r="R80" i="3"/>
  <c r="S80" i="3"/>
  <c r="T80" i="3"/>
  <c r="U80" i="3"/>
  <c r="N81" i="3"/>
  <c r="O81" i="3"/>
  <c r="P81" i="3"/>
  <c r="Q81" i="3"/>
  <c r="R81" i="3"/>
  <c r="S81" i="3"/>
  <c r="T81" i="3"/>
  <c r="U81" i="3"/>
  <c r="N82" i="3"/>
  <c r="O82" i="3"/>
  <c r="P82" i="3"/>
  <c r="Q82" i="3"/>
  <c r="R82" i="3"/>
  <c r="S82" i="3"/>
  <c r="T82" i="3"/>
  <c r="U82" i="3"/>
  <c r="N83" i="3"/>
  <c r="O83" i="3"/>
  <c r="P83" i="3"/>
  <c r="Q83" i="3"/>
  <c r="R83" i="3"/>
  <c r="S83" i="3"/>
  <c r="T83" i="3"/>
  <c r="U83" i="3"/>
  <c r="N84" i="3"/>
  <c r="O84" i="3"/>
  <c r="P84" i="3"/>
  <c r="Q84" i="3"/>
  <c r="R84" i="3"/>
  <c r="S84" i="3"/>
  <c r="T84" i="3"/>
  <c r="U84" i="3"/>
  <c r="M80" i="3"/>
  <c r="M81" i="3"/>
  <c r="M82" i="3"/>
  <c r="M83" i="3"/>
  <c r="M84" i="3"/>
  <c r="C87" i="3"/>
  <c r="C86" i="3"/>
  <c r="C85" i="3"/>
  <c r="I85" i="3"/>
  <c r="N68" i="3"/>
  <c r="O68" i="3"/>
  <c r="P68" i="3"/>
  <c r="Q68" i="3"/>
  <c r="R68" i="3"/>
  <c r="S68" i="3"/>
  <c r="T68" i="3"/>
  <c r="U68" i="3"/>
  <c r="M68" i="3"/>
  <c r="J41" i="3"/>
  <c r="E41" i="3"/>
  <c r="I41" i="3"/>
  <c r="H41" i="3"/>
  <c r="D41" i="3"/>
  <c r="C41" i="3"/>
  <c r="G41" i="3"/>
  <c r="K41" i="3"/>
  <c r="C29" i="3"/>
  <c r="D29" i="3"/>
  <c r="E29" i="3"/>
  <c r="F29" i="3"/>
  <c r="G29" i="3"/>
  <c r="H29" i="3"/>
  <c r="I29" i="3"/>
  <c r="J29" i="3"/>
  <c r="K29" i="3"/>
  <c r="B29" i="3"/>
  <c r="F41" i="3"/>
  <c r="B41" i="3"/>
  <c r="U41" i="3" l="1"/>
  <c r="R41" i="3"/>
  <c r="T41" i="3"/>
  <c r="Q41" i="3"/>
  <c r="S41" i="3"/>
  <c r="D116" i="3"/>
  <c r="D117" i="3"/>
  <c r="C116" i="3"/>
  <c r="C117" i="3"/>
  <c r="B116" i="3"/>
  <c r="B117" i="3"/>
  <c r="I96" i="3"/>
  <c r="I67" i="3"/>
  <c r="I93" i="3"/>
  <c r="C67" i="3"/>
  <c r="C96" i="3"/>
  <c r="C101" i="3"/>
  <c r="C100" i="3"/>
  <c r="C93" i="3"/>
  <c r="J108" i="3"/>
  <c r="I108" i="3"/>
  <c r="E110" i="3"/>
  <c r="J109" i="3"/>
  <c r="I110" i="3"/>
  <c r="F110" i="3"/>
  <c r="H110" i="3"/>
  <c r="H87" i="3"/>
  <c r="K86" i="3"/>
  <c r="K85" i="3"/>
  <c r="J87" i="3"/>
  <c r="G86" i="3"/>
  <c r="F87" i="3"/>
  <c r="E85" i="3"/>
  <c r="D87" i="3"/>
  <c r="N87" i="3" s="1"/>
  <c r="B87" i="3"/>
  <c r="M87" i="3" s="1"/>
  <c r="K87" i="3"/>
  <c r="J85" i="3"/>
  <c r="J86" i="3"/>
  <c r="I87" i="3"/>
  <c r="I101" i="3" s="1"/>
  <c r="I86" i="3"/>
  <c r="I100" i="3" s="1"/>
  <c r="H85" i="3"/>
  <c r="H86" i="3"/>
  <c r="G87" i="3"/>
  <c r="G85" i="3"/>
  <c r="F85" i="3"/>
  <c r="F86" i="3"/>
  <c r="E87" i="3"/>
  <c r="E86" i="3"/>
  <c r="D86" i="3"/>
  <c r="D85" i="3"/>
  <c r="M86" i="3"/>
  <c r="B339" i="3"/>
  <c r="B324" i="3" s="1"/>
  <c r="B21" i="3" s="1"/>
  <c r="M338" i="3"/>
  <c r="M337" i="3"/>
  <c r="M336" i="3"/>
  <c r="M356" i="3"/>
  <c r="C357" i="3"/>
  <c r="M355" i="3"/>
  <c r="B357" i="3"/>
  <c r="I99" i="3" l="1"/>
  <c r="C99" i="3"/>
  <c r="C363" i="3"/>
  <c r="C364" i="3"/>
  <c r="B363" i="3"/>
  <c r="B364" i="3"/>
  <c r="B347" i="3"/>
  <c r="B345" i="3"/>
  <c r="B346" i="3"/>
  <c r="F117" i="3"/>
  <c r="F116" i="3"/>
  <c r="J110" i="3"/>
  <c r="E117" i="3"/>
  <c r="E116" i="3"/>
  <c r="D118" i="3"/>
  <c r="C118" i="3"/>
  <c r="B118" i="3"/>
  <c r="K100" i="3"/>
  <c r="K93" i="3"/>
  <c r="K101" i="3"/>
  <c r="K96" i="3"/>
  <c r="K67" i="3"/>
  <c r="J100" i="3"/>
  <c r="T85" i="3"/>
  <c r="J101" i="3"/>
  <c r="J67" i="3"/>
  <c r="J96" i="3"/>
  <c r="J93" i="3"/>
  <c r="I69" i="3"/>
  <c r="H101" i="3"/>
  <c r="H96" i="3"/>
  <c r="H67" i="3"/>
  <c r="H93" i="3"/>
  <c r="H100" i="3"/>
  <c r="G100" i="3"/>
  <c r="G101" i="3"/>
  <c r="G67" i="3"/>
  <c r="G96" i="3"/>
  <c r="G93" i="3"/>
  <c r="Q87" i="3"/>
  <c r="F100" i="3"/>
  <c r="P85" i="3"/>
  <c r="F67" i="3"/>
  <c r="F101" i="3"/>
  <c r="F96" i="3"/>
  <c r="F93" i="3"/>
  <c r="E67" i="3"/>
  <c r="E101" i="3"/>
  <c r="E96" i="3"/>
  <c r="E93" i="3"/>
  <c r="E100" i="3"/>
  <c r="N86" i="3"/>
  <c r="D100" i="3"/>
  <c r="N85" i="3"/>
  <c r="D101" i="3"/>
  <c r="D96" i="3"/>
  <c r="D93" i="3"/>
  <c r="D67" i="3"/>
  <c r="C69" i="3"/>
  <c r="O85" i="3"/>
  <c r="Q85" i="3"/>
  <c r="R85" i="3"/>
  <c r="U85" i="3"/>
  <c r="S85" i="3"/>
  <c r="U87" i="3"/>
  <c r="S86" i="3"/>
  <c r="P87" i="3"/>
  <c r="U86" i="3"/>
  <c r="O86" i="3"/>
  <c r="O87" i="3"/>
  <c r="S87" i="3"/>
  <c r="Q86" i="3"/>
  <c r="R87" i="3"/>
  <c r="P86" i="3"/>
  <c r="R86" i="3"/>
  <c r="T86" i="3"/>
  <c r="T87" i="3"/>
  <c r="K110" i="3"/>
  <c r="C339" i="3"/>
  <c r="C324" i="3" s="1"/>
  <c r="N337" i="3"/>
  <c r="N338" i="3"/>
  <c r="N356" i="3"/>
  <c r="M357" i="3"/>
  <c r="N325" i="3"/>
  <c r="E99" i="3" l="1"/>
  <c r="D99" i="3"/>
  <c r="F99" i="3"/>
  <c r="G99" i="3"/>
  <c r="K99" i="3"/>
  <c r="T67" i="3"/>
  <c r="H99" i="3"/>
  <c r="C326" i="3"/>
  <c r="M324" i="3"/>
  <c r="C21" i="3"/>
  <c r="K69" i="3"/>
  <c r="J99" i="3"/>
  <c r="E118" i="3"/>
  <c r="F118" i="3"/>
  <c r="C365" i="3"/>
  <c r="B365" i="3"/>
  <c r="M339" i="3"/>
  <c r="C345" i="3"/>
  <c r="C346" i="3"/>
  <c r="C347" i="3"/>
  <c r="B348" i="3"/>
  <c r="U67" i="3"/>
  <c r="J69" i="3"/>
  <c r="S67" i="3"/>
  <c r="H69" i="3"/>
  <c r="S69" i="3" s="1"/>
  <c r="R67" i="3"/>
  <c r="G69" i="3"/>
  <c r="Q67" i="3"/>
  <c r="F69" i="3"/>
  <c r="E69" i="3"/>
  <c r="P67" i="3"/>
  <c r="O67" i="3"/>
  <c r="D69" i="3"/>
  <c r="N67" i="3"/>
  <c r="O337" i="3"/>
  <c r="O338" i="3"/>
  <c r="D339" i="3"/>
  <c r="D324" i="3" s="1"/>
  <c r="N336" i="3"/>
  <c r="D357" i="3"/>
  <c r="N355" i="3"/>
  <c r="O325" i="3"/>
  <c r="D326" i="3" l="1"/>
  <c r="D21" i="3"/>
  <c r="N324" i="3"/>
  <c r="U69" i="3"/>
  <c r="T69" i="3"/>
  <c r="R69" i="3"/>
  <c r="P69" i="3"/>
  <c r="O69" i="3"/>
  <c r="N357" i="3"/>
  <c r="D363" i="3"/>
  <c r="D364" i="3"/>
  <c r="D345" i="3"/>
  <c r="D346" i="3"/>
  <c r="D347" i="3"/>
  <c r="C348" i="3"/>
  <c r="Q69" i="3"/>
  <c r="N69" i="3"/>
  <c r="O355" i="3"/>
  <c r="E357" i="3"/>
  <c r="P356" i="3"/>
  <c r="P338" i="3"/>
  <c r="P337" i="3"/>
  <c r="N339" i="3"/>
  <c r="O356" i="3"/>
  <c r="O336" i="3"/>
  <c r="E339" i="3"/>
  <c r="E324" i="3" s="1"/>
  <c r="P325" i="3"/>
  <c r="E21" i="3" l="1"/>
  <c r="O324" i="3"/>
  <c r="E326" i="3"/>
  <c r="E363" i="3"/>
  <c r="E364" i="3"/>
  <c r="D365" i="3"/>
  <c r="O339" i="3"/>
  <c r="E345" i="3"/>
  <c r="E347" i="3"/>
  <c r="E346" i="3"/>
  <c r="D348" i="3"/>
  <c r="F357" i="3"/>
  <c r="O357" i="3"/>
  <c r="Q356" i="3"/>
  <c r="F339" i="3"/>
  <c r="F324" i="3" s="1"/>
  <c r="P336" i="3"/>
  <c r="P355" i="3"/>
  <c r="Q338" i="3"/>
  <c r="Q337" i="3"/>
  <c r="Q325" i="3"/>
  <c r="P324" i="3" l="1"/>
  <c r="F21" i="3"/>
  <c r="F326" i="3"/>
  <c r="P357" i="3"/>
  <c r="F363" i="3"/>
  <c r="F364" i="3"/>
  <c r="E365" i="3"/>
  <c r="P339" i="3"/>
  <c r="F345" i="3"/>
  <c r="F347" i="3"/>
  <c r="F346" i="3"/>
  <c r="E348" i="3"/>
  <c r="R356" i="3"/>
  <c r="Q355" i="3"/>
  <c r="G357" i="3"/>
  <c r="R338" i="3"/>
  <c r="Q336" i="3"/>
  <c r="G339" i="3"/>
  <c r="G324" i="3" s="1"/>
  <c r="R325" i="3"/>
  <c r="G326" i="3" l="1"/>
  <c r="Q324" i="3"/>
  <c r="G21" i="3"/>
  <c r="Q357" i="3"/>
  <c r="G363" i="3"/>
  <c r="G364" i="3"/>
  <c r="F365" i="3"/>
  <c r="G345" i="3"/>
  <c r="G346" i="3"/>
  <c r="G347" i="3"/>
  <c r="F348" i="3"/>
  <c r="H357" i="3"/>
  <c r="R355" i="3"/>
  <c r="S337" i="3"/>
  <c r="R337" i="3"/>
  <c r="Q339" i="3"/>
  <c r="R336" i="3"/>
  <c r="H339" i="3"/>
  <c r="H324" i="3" s="1"/>
  <c r="S325" i="3"/>
  <c r="H326" i="3" l="1"/>
  <c r="H21" i="3"/>
  <c r="R324" i="3"/>
  <c r="R357" i="3"/>
  <c r="H363" i="3"/>
  <c r="H364" i="3"/>
  <c r="G365" i="3"/>
  <c r="R339" i="3"/>
  <c r="H345" i="3"/>
  <c r="H347" i="3"/>
  <c r="H346" i="3"/>
  <c r="G348" i="3"/>
  <c r="S356" i="3"/>
  <c r="S355" i="3"/>
  <c r="I357" i="3"/>
  <c r="T356" i="3"/>
  <c r="S338" i="3"/>
  <c r="T337" i="3"/>
  <c r="T338" i="3"/>
  <c r="I339" i="3"/>
  <c r="I324" i="3" s="1"/>
  <c r="S336" i="3"/>
  <c r="T325" i="3"/>
  <c r="I21" i="3" l="1"/>
  <c r="S324" i="3"/>
  <c r="I326" i="3"/>
  <c r="I363" i="3"/>
  <c r="I364" i="3"/>
  <c r="H365" i="3"/>
  <c r="S339" i="3"/>
  <c r="I345" i="3"/>
  <c r="I346" i="3"/>
  <c r="I347" i="3"/>
  <c r="H348" i="3"/>
  <c r="J357" i="3"/>
  <c r="T355" i="3"/>
  <c r="S357" i="3"/>
  <c r="U356" i="3"/>
  <c r="T336" i="3"/>
  <c r="J339" i="3"/>
  <c r="J324" i="3" s="1"/>
  <c r="U337" i="3"/>
  <c r="U338" i="3"/>
  <c r="U325" i="3"/>
  <c r="T324" i="3" l="1"/>
  <c r="J21" i="3"/>
  <c r="J326" i="3"/>
  <c r="T357" i="3"/>
  <c r="J363" i="3"/>
  <c r="J364" i="3"/>
  <c r="I365" i="3"/>
  <c r="J345" i="3"/>
  <c r="J347" i="3"/>
  <c r="J346" i="3"/>
  <c r="I348" i="3"/>
  <c r="U355" i="3"/>
  <c r="K357" i="3"/>
  <c r="U336" i="3"/>
  <c r="K339" i="3"/>
  <c r="K324" i="3" s="1"/>
  <c r="T339" i="3"/>
  <c r="K326" i="3" l="1"/>
  <c r="U324" i="3"/>
  <c r="K21" i="3"/>
  <c r="U357" i="3"/>
  <c r="K363" i="3"/>
  <c r="K364" i="3"/>
  <c r="J365" i="3"/>
  <c r="U339" i="3"/>
  <c r="K345" i="3"/>
  <c r="K346" i="3"/>
  <c r="K347" i="3"/>
  <c r="J348" i="3"/>
  <c r="M63" i="20"/>
  <c r="N63" i="20"/>
  <c r="L63" i="20"/>
  <c r="K63" i="20"/>
  <c r="J63" i="20"/>
  <c r="I63" i="20"/>
  <c r="H63" i="20"/>
  <c r="G63" i="20"/>
  <c r="F63" i="20"/>
  <c r="E63" i="20"/>
  <c r="D63" i="20"/>
  <c r="C63" i="20"/>
  <c r="B63" i="20"/>
  <c r="K365" i="3" l="1"/>
  <c r="K348" i="3"/>
  <c r="B90" i="25"/>
  <c r="L103" i="25"/>
  <c r="L104" i="25"/>
  <c r="L105" i="25"/>
  <c r="L106" i="25"/>
  <c r="L107" i="25"/>
  <c r="L108" i="25"/>
  <c r="L109" i="25"/>
  <c r="L110" i="25"/>
  <c r="L111" i="25"/>
  <c r="L112" i="25"/>
  <c r="L113" i="25"/>
  <c r="L114" i="25"/>
  <c r="L115" i="25"/>
  <c r="L116" i="25"/>
  <c r="L117" i="25"/>
  <c r="L118"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4" i="25"/>
  <c r="J103" i="25"/>
  <c r="I111" i="25"/>
  <c r="I112" i="25"/>
  <c r="I113" i="25"/>
  <c r="I114" i="25"/>
  <c r="I115" i="25"/>
  <c r="I116" i="25"/>
  <c r="I117" i="25"/>
  <c r="I118" i="25"/>
  <c r="I119" i="25"/>
  <c r="I120" i="25"/>
  <c r="I121" i="25"/>
  <c r="I122" i="25"/>
  <c r="H133" i="25"/>
  <c r="J133" i="25" s="1"/>
  <c r="G133" i="25"/>
  <c r="E104" i="25"/>
  <c r="E105" i="25"/>
  <c r="E106" i="25"/>
  <c r="E107" i="25"/>
  <c r="E108" i="25"/>
  <c r="E109" i="25"/>
  <c r="E110" i="25"/>
  <c r="E111" i="25"/>
  <c r="E112" i="25"/>
  <c r="E113" i="25"/>
  <c r="E114" i="25"/>
  <c r="E115" i="25"/>
  <c r="E116" i="25"/>
  <c r="E117" i="25"/>
  <c r="E118" i="25"/>
  <c r="E119" i="25"/>
  <c r="E120" i="25"/>
  <c r="E121" i="25"/>
  <c r="E122" i="25"/>
  <c r="E123" i="25"/>
  <c r="E124" i="25"/>
  <c r="E125" i="25"/>
  <c r="E126" i="25"/>
  <c r="E127" i="25"/>
  <c r="E128" i="25"/>
  <c r="E129" i="25"/>
  <c r="E130" i="25"/>
  <c r="E131" i="25"/>
  <c r="E132" i="25"/>
  <c r="E134" i="25"/>
  <c r="E103" i="25"/>
  <c r="D105" i="25"/>
  <c r="D106" i="25"/>
  <c r="D107" i="25"/>
  <c r="D108" i="25"/>
  <c r="D109" i="25"/>
  <c r="D110" i="25"/>
  <c r="D111" i="25"/>
  <c r="D112" i="25"/>
  <c r="D113" i="25"/>
  <c r="D114" i="25"/>
  <c r="D115" i="25"/>
  <c r="D116" i="25"/>
  <c r="D117" i="25"/>
  <c r="D118" i="25"/>
  <c r="D119" i="25"/>
  <c r="D120" i="25"/>
  <c r="C133" i="25"/>
  <c r="E133" i="25" s="1"/>
  <c r="B133" i="25"/>
  <c r="H90" i="25"/>
  <c r="G90" i="25"/>
  <c r="C90" i="25"/>
  <c r="L80" i="25"/>
  <c r="L81" i="25"/>
  <c r="L82" i="25"/>
  <c r="L83" i="25"/>
  <c r="L84" i="25"/>
  <c r="L85" i="25"/>
  <c r="L86" i="25"/>
  <c r="L87" i="25"/>
  <c r="L88" i="25"/>
  <c r="L89" i="25"/>
  <c r="I77" i="25"/>
  <c r="J77" i="25"/>
  <c r="I78" i="25"/>
  <c r="J78" i="25"/>
  <c r="I79" i="25"/>
  <c r="J79" i="25"/>
  <c r="I80" i="25"/>
  <c r="J80" i="25"/>
  <c r="I81" i="25"/>
  <c r="J81" i="25"/>
  <c r="I82" i="25"/>
  <c r="J82" i="25"/>
  <c r="I83" i="25"/>
  <c r="J83" i="25"/>
  <c r="J84" i="25"/>
  <c r="I85" i="25"/>
  <c r="J85" i="25"/>
  <c r="I86" i="25"/>
  <c r="J86" i="25"/>
  <c r="I87" i="25"/>
  <c r="J87" i="25"/>
  <c r="I88" i="25"/>
  <c r="J88" i="25"/>
  <c r="I89" i="25"/>
  <c r="J89" i="25"/>
  <c r="D76" i="25"/>
  <c r="D77" i="25"/>
  <c r="D78" i="25"/>
  <c r="D79" i="25"/>
  <c r="D80" i="25"/>
  <c r="D81" i="25"/>
  <c r="D82" i="25"/>
  <c r="D83" i="25"/>
  <c r="D84" i="25"/>
  <c r="D85" i="25"/>
  <c r="D86" i="25"/>
  <c r="D87" i="25"/>
  <c r="D88" i="25"/>
  <c r="D89" i="25"/>
  <c r="L31" i="25"/>
  <c r="L32" i="25"/>
  <c r="L33" i="25"/>
  <c r="L34" i="25"/>
  <c r="L35" i="25"/>
  <c r="L36" i="25"/>
  <c r="L37" i="25"/>
  <c r="L38" i="25"/>
  <c r="L39" i="25"/>
  <c r="L40" i="25"/>
  <c r="L41" i="25"/>
  <c r="L42" i="25"/>
  <c r="L43" i="25"/>
  <c r="L44" i="25"/>
  <c r="L45" i="25"/>
  <c r="L46" i="25"/>
  <c r="L47" i="25"/>
  <c r="L48" i="25"/>
  <c r="L49" i="25"/>
  <c r="L50" i="25"/>
  <c r="L51" i="25"/>
  <c r="L52" i="25"/>
  <c r="L53" i="25"/>
  <c r="L54" i="25"/>
  <c r="L55" i="25"/>
  <c r="L56" i="25"/>
  <c r="L57" i="25"/>
  <c r="L58" i="25"/>
  <c r="L59" i="25"/>
  <c r="I37" i="25"/>
  <c r="J37" i="25"/>
  <c r="I38" i="25"/>
  <c r="J38" i="25"/>
  <c r="I39" i="25"/>
  <c r="J39" i="25"/>
  <c r="I40" i="25"/>
  <c r="J40" i="25"/>
  <c r="I41" i="25"/>
  <c r="J41" i="25"/>
  <c r="I42" i="25"/>
  <c r="J42" i="25"/>
  <c r="I43" i="25"/>
  <c r="J43" i="25"/>
  <c r="I44" i="25"/>
  <c r="J44" i="25"/>
  <c r="I45" i="25"/>
  <c r="J45" i="25"/>
  <c r="J46" i="25"/>
  <c r="I47" i="25"/>
  <c r="J47" i="25"/>
  <c r="I48" i="25"/>
  <c r="J48" i="25"/>
  <c r="I49" i="25"/>
  <c r="J49" i="25"/>
  <c r="I50" i="25"/>
  <c r="J50" i="25"/>
  <c r="I51" i="25"/>
  <c r="J51" i="25"/>
  <c r="I52" i="25"/>
  <c r="J52" i="25"/>
  <c r="I53" i="25"/>
  <c r="J53" i="25"/>
  <c r="I54" i="25"/>
  <c r="J54" i="25"/>
  <c r="I55" i="25"/>
  <c r="J55" i="25"/>
  <c r="I56" i="25"/>
  <c r="J56" i="25"/>
  <c r="I57" i="25"/>
  <c r="J57" i="25"/>
  <c r="I58" i="25"/>
  <c r="J58" i="25"/>
  <c r="I59" i="25"/>
  <c r="J59" i="25"/>
  <c r="D61" i="25"/>
  <c r="D31" i="25"/>
  <c r="E31" i="25"/>
  <c r="D32" i="25"/>
  <c r="E32" i="25"/>
  <c r="D33" i="25"/>
  <c r="E33" i="25"/>
  <c r="D34" i="25"/>
  <c r="E34" i="25"/>
  <c r="D35" i="25"/>
  <c r="E35" i="25"/>
  <c r="D36" i="25"/>
  <c r="E36" i="25"/>
  <c r="D37" i="25"/>
  <c r="E37" i="25"/>
  <c r="D38" i="25"/>
  <c r="E38" i="25"/>
  <c r="D39" i="25"/>
  <c r="E39" i="25"/>
  <c r="D40" i="25"/>
  <c r="E40" i="25"/>
  <c r="D41" i="25"/>
  <c r="E41" i="25"/>
  <c r="D42" i="25"/>
  <c r="E42" i="25"/>
  <c r="D43" i="25"/>
  <c r="E43" i="25"/>
  <c r="D44" i="25"/>
  <c r="E44" i="25"/>
  <c r="D45" i="25"/>
  <c r="E45" i="25"/>
  <c r="E46" i="25"/>
  <c r="D47" i="25"/>
  <c r="E47" i="25"/>
  <c r="D48" i="25"/>
  <c r="E48" i="25"/>
  <c r="D49" i="25"/>
  <c r="E49" i="25"/>
  <c r="D50" i="25"/>
  <c r="E50" i="25"/>
  <c r="D51" i="25"/>
  <c r="E51" i="25"/>
  <c r="D52" i="25"/>
  <c r="E52" i="25"/>
  <c r="D53" i="25"/>
  <c r="E53" i="25"/>
  <c r="D54" i="25"/>
  <c r="E54" i="25"/>
  <c r="D55" i="25"/>
  <c r="E55" i="25"/>
  <c r="D56" i="25"/>
  <c r="E56" i="25"/>
  <c r="D57" i="25"/>
  <c r="E57" i="25"/>
  <c r="D58" i="25"/>
  <c r="E58" i="25"/>
  <c r="D59" i="25"/>
  <c r="E59" i="25"/>
  <c r="H60" i="25"/>
  <c r="G60" i="25"/>
  <c r="C60" i="25"/>
  <c r="E60" i="25" s="1"/>
  <c r="B60" i="25"/>
  <c r="L12" i="25"/>
  <c r="L13" i="25"/>
  <c r="L14" i="25"/>
  <c r="L15" i="25"/>
  <c r="J12" i="25"/>
  <c r="J13" i="25"/>
  <c r="J14" i="25"/>
  <c r="J15" i="25"/>
  <c r="I9" i="25"/>
  <c r="I10" i="25"/>
  <c r="I11" i="25"/>
  <c r="I12" i="25"/>
  <c r="I13" i="25"/>
  <c r="I14" i="25"/>
  <c r="I15" i="25"/>
  <c r="H16" i="25"/>
  <c r="C16" i="25"/>
  <c r="E8" i="25"/>
  <c r="E7" i="25"/>
  <c r="E10" i="25"/>
  <c r="E11" i="25"/>
  <c r="E12" i="25"/>
  <c r="E13" i="25"/>
  <c r="E14" i="25"/>
  <c r="E15" i="25"/>
  <c r="D9" i="25"/>
  <c r="D10" i="25"/>
  <c r="D11" i="25"/>
  <c r="D12" i="25"/>
  <c r="D13" i="25"/>
  <c r="D14" i="25"/>
  <c r="D15" i="25"/>
  <c r="G16" i="25"/>
  <c r="I60" i="25" l="1"/>
  <c r="L16" i="25"/>
  <c r="J60" i="25"/>
  <c r="D60" i="25"/>
  <c r="L60" i="25"/>
  <c r="I16" i="25"/>
  <c r="P167" i="20" l="1"/>
  <c r="O167" i="20"/>
  <c r="D113" i="20" l="1"/>
  <c r="C113" i="20"/>
  <c r="B113" i="20"/>
  <c r="N36" i="20" l="1"/>
  <c r="M180" i="20" l="1"/>
  <c r="N180" i="20"/>
  <c r="O180" i="20"/>
  <c r="M167" i="20"/>
  <c r="N167" i="20"/>
  <c r="M152" i="20"/>
  <c r="N152" i="20"/>
  <c r="M139" i="20"/>
  <c r="N139" i="20"/>
  <c r="O139" i="20"/>
  <c r="M126" i="20"/>
  <c r="N126" i="20"/>
  <c r="L101" i="20"/>
  <c r="M101" i="20"/>
  <c r="N101" i="20"/>
  <c r="M88" i="20"/>
  <c r="N88" i="20"/>
  <c r="O88" i="20"/>
  <c r="L75" i="20"/>
  <c r="M75" i="20"/>
  <c r="N75" i="20"/>
  <c r="O75" i="20"/>
  <c r="M49" i="20"/>
  <c r="N49" i="20"/>
  <c r="O49" i="20"/>
  <c r="M36" i="20"/>
  <c r="O36" i="20"/>
  <c r="M23" i="20"/>
  <c r="N23" i="20"/>
  <c r="O23" i="20"/>
  <c r="M9" i="20"/>
  <c r="O9" i="20"/>
  <c r="M563" i="29"/>
  <c r="M570" i="29" s="1"/>
  <c r="L563" i="29"/>
  <c r="L570" i="29" s="1"/>
  <c r="K563" i="29"/>
  <c r="K570" i="29" s="1"/>
  <c r="J563" i="29"/>
  <c r="J570" i="29" s="1"/>
  <c r="I563" i="29"/>
  <c r="I570" i="29" s="1"/>
  <c r="H563" i="29"/>
  <c r="H570" i="29" s="1"/>
  <c r="G563" i="29"/>
  <c r="G570" i="29" s="1"/>
  <c r="F563" i="29"/>
  <c r="F570" i="29" s="1"/>
  <c r="E563" i="29"/>
  <c r="E570" i="29" s="1"/>
  <c r="D563" i="29"/>
  <c r="D570" i="29" s="1"/>
  <c r="C563" i="29"/>
  <c r="C570" i="29" s="1"/>
  <c r="B563" i="29"/>
  <c r="B570" i="29" s="1"/>
  <c r="M546" i="29"/>
  <c r="M553" i="29" s="1"/>
  <c r="L546" i="29"/>
  <c r="L553" i="29" s="1"/>
  <c r="K546" i="29"/>
  <c r="K553" i="29" s="1"/>
  <c r="J546" i="29"/>
  <c r="J553" i="29" s="1"/>
  <c r="I546" i="29"/>
  <c r="I553" i="29" s="1"/>
  <c r="H546" i="29"/>
  <c r="H553" i="29" s="1"/>
  <c r="G546" i="29"/>
  <c r="G553" i="29" s="1"/>
  <c r="F546" i="29"/>
  <c r="F553" i="29" s="1"/>
  <c r="E546" i="29"/>
  <c r="E553" i="29" s="1"/>
  <c r="D546" i="29"/>
  <c r="D553" i="29" s="1"/>
  <c r="C546" i="29"/>
  <c r="C553" i="29" s="1"/>
  <c r="B546" i="29"/>
  <c r="B553" i="29" s="1"/>
  <c r="M529" i="29"/>
  <c r="M536" i="29" s="1"/>
  <c r="L529" i="29"/>
  <c r="L536" i="29" s="1"/>
  <c r="K529" i="29"/>
  <c r="K536" i="29" s="1"/>
  <c r="J529" i="29"/>
  <c r="J536" i="29" s="1"/>
  <c r="I529" i="29"/>
  <c r="I536" i="29" s="1"/>
  <c r="H529" i="29"/>
  <c r="H536" i="29" s="1"/>
  <c r="G529" i="29"/>
  <c r="G536" i="29" s="1"/>
  <c r="F529" i="29"/>
  <c r="F536" i="29" s="1"/>
  <c r="E529" i="29"/>
  <c r="E536" i="29" s="1"/>
  <c r="D529" i="29"/>
  <c r="D536" i="29" s="1"/>
  <c r="C529" i="29"/>
  <c r="C536" i="29" s="1"/>
  <c r="B529" i="29"/>
  <c r="B536" i="29" s="1"/>
  <c r="M512" i="29"/>
  <c r="M519" i="29" s="1"/>
  <c r="L512" i="29"/>
  <c r="L519" i="29" s="1"/>
  <c r="K512" i="29"/>
  <c r="K519" i="29" s="1"/>
  <c r="J512" i="29"/>
  <c r="J519" i="29" s="1"/>
  <c r="I512" i="29"/>
  <c r="I519" i="29" s="1"/>
  <c r="H512" i="29"/>
  <c r="H519" i="29" s="1"/>
  <c r="G512" i="29"/>
  <c r="G519" i="29" s="1"/>
  <c r="F512" i="29"/>
  <c r="F519" i="29" s="1"/>
  <c r="E512" i="29"/>
  <c r="E519" i="29" s="1"/>
  <c r="D512" i="29"/>
  <c r="D519" i="29" s="1"/>
  <c r="C512" i="29"/>
  <c r="C519" i="29" s="1"/>
  <c r="B512" i="29"/>
  <c r="B519" i="29" s="1"/>
  <c r="M495" i="29"/>
  <c r="M502" i="29" s="1"/>
  <c r="L495" i="29"/>
  <c r="L502" i="29" s="1"/>
  <c r="K495" i="29"/>
  <c r="K502" i="29" s="1"/>
  <c r="J495" i="29"/>
  <c r="J502" i="29" s="1"/>
  <c r="I495" i="29"/>
  <c r="I502" i="29" s="1"/>
  <c r="H495" i="29"/>
  <c r="H502" i="29" s="1"/>
  <c r="G495" i="29"/>
  <c r="G502" i="29" s="1"/>
  <c r="F495" i="29"/>
  <c r="F502" i="29" s="1"/>
  <c r="E495" i="29"/>
  <c r="E502" i="29" s="1"/>
  <c r="D495" i="29"/>
  <c r="D502" i="29" s="1"/>
  <c r="C495" i="29"/>
  <c r="C502" i="29" s="1"/>
  <c r="B495" i="29"/>
  <c r="B502" i="29" s="1"/>
  <c r="M478" i="29"/>
  <c r="M485" i="29" s="1"/>
  <c r="L478" i="29"/>
  <c r="L485" i="29" s="1"/>
  <c r="K478" i="29"/>
  <c r="K485" i="29" s="1"/>
  <c r="J478" i="29"/>
  <c r="J485" i="29" s="1"/>
  <c r="I478" i="29"/>
  <c r="I485" i="29" s="1"/>
  <c r="H478" i="29"/>
  <c r="H485" i="29" s="1"/>
  <c r="G478" i="29"/>
  <c r="G485" i="29" s="1"/>
  <c r="F478" i="29"/>
  <c r="F485" i="29" s="1"/>
  <c r="E478" i="29"/>
  <c r="E485" i="29" s="1"/>
  <c r="D478" i="29"/>
  <c r="D485" i="29" s="1"/>
  <c r="C478" i="29"/>
  <c r="C485" i="29" s="1"/>
  <c r="B478" i="29"/>
  <c r="B485" i="29" s="1"/>
  <c r="M461" i="29"/>
  <c r="M468" i="29" s="1"/>
  <c r="L461" i="29"/>
  <c r="L468" i="29" s="1"/>
  <c r="K461" i="29"/>
  <c r="K468" i="29" s="1"/>
  <c r="J461" i="29"/>
  <c r="J468" i="29" s="1"/>
  <c r="I461" i="29"/>
  <c r="I468" i="29" s="1"/>
  <c r="H461" i="29"/>
  <c r="H468" i="29" s="1"/>
  <c r="G461" i="29"/>
  <c r="G468" i="29" s="1"/>
  <c r="F461" i="29"/>
  <c r="F468" i="29" s="1"/>
  <c r="E461" i="29"/>
  <c r="E468" i="29" s="1"/>
  <c r="D461" i="29"/>
  <c r="D468" i="29" s="1"/>
  <c r="C461" i="29"/>
  <c r="C468" i="29" s="1"/>
  <c r="B461" i="29"/>
  <c r="B468" i="29" s="1"/>
  <c r="M444" i="29"/>
  <c r="M451" i="29" s="1"/>
  <c r="L444" i="29"/>
  <c r="L451" i="29" s="1"/>
  <c r="K444" i="29"/>
  <c r="K451" i="29" s="1"/>
  <c r="J444" i="29"/>
  <c r="J451" i="29" s="1"/>
  <c r="I444" i="29"/>
  <c r="I451" i="29" s="1"/>
  <c r="H444" i="29"/>
  <c r="H451" i="29" s="1"/>
  <c r="G444" i="29"/>
  <c r="G451" i="29" s="1"/>
  <c r="F444" i="29"/>
  <c r="F451" i="29" s="1"/>
  <c r="E444" i="29"/>
  <c r="E451" i="29" s="1"/>
  <c r="D444" i="29"/>
  <c r="D451" i="29" s="1"/>
  <c r="C444" i="29"/>
  <c r="C451" i="29" s="1"/>
  <c r="B444" i="29"/>
  <c r="B451" i="29" s="1"/>
  <c r="M375" i="29"/>
  <c r="R312" i="29"/>
  <c r="R309" i="29"/>
  <c r="R306" i="29"/>
  <c r="M294" i="29"/>
  <c r="L294" i="29"/>
  <c r="K294" i="29"/>
  <c r="J294" i="29"/>
  <c r="I294" i="29"/>
  <c r="H294" i="29"/>
  <c r="G294" i="29"/>
  <c r="F294" i="29"/>
  <c r="E294" i="29"/>
  <c r="D294" i="29"/>
  <c r="C294" i="29"/>
  <c r="B294" i="29"/>
  <c r="M289" i="29"/>
  <c r="L289" i="29"/>
  <c r="K289" i="29"/>
  <c r="J289" i="29"/>
  <c r="I289" i="29"/>
  <c r="H289" i="29"/>
  <c r="G289" i="29"/>
  <c r="F289" i="29"/>
  <c r="E289" i="29"/>
  <c r="D289" i="29"/>
  <c r="C289" i="29"/>
  <c r="B289" i="29"/>
  <c r="M286" i="29"/>
  <c r="L286" i="29"/>
  <c r="K286" i="29"/>
  <c r="J286" i="29"/>
  <c r="I286" i="29"/>
  <c r="H286" i="29"/>
  <c r="G286" i="29"/>
  <c r="F286" i="29"/>
  <c r="E286" i="29"/>
  <c r="D286" i="29"/>
  <c r="C286" i="29"/>
  <c r="B286" i="29"/>
  <c r="M281" i="29"/>
  <c r="L281" i="29"/>
  <c r="K281" i="29"/>
  <c r="J281" i="29"/>
  <c r="I281" i="29"/>
  <c r="H281" i="29"/>
  <c r="G281" i="29"/>
  <c r="F281" i="29"/>
  <c r="E281" i="29"/>
  <c r="D281" i="29"/>
  <c r="C281" i="29"/>
  <c r="B281" i="29"/>
  <c r="M278" i="29"/>
  <c r="L278" i="29"/>
  <c r="K278" i="29"/>
  <c r="J278" i="29"/>
  <c r="I278" i="29"/>
  <c r="H278" i="29"/>
  <c r="G278" i="29"/>
  <c r="F278" i="29"/>
  <c r="E278" i="29"/>
  <c r="D278" i="29"/>
  <c r="C278" i="29"/>
  <c r="B278" i="29"/>
  <c r="M273" i="29"/>
  <c r="L273" i="29"/>
  <c r="K273" i="29"/>
  <c r="J273" i="29"/>
  <c r="I273" i="29"/>
  <c r="H273" i="29"/>
  <c r="G273" i="29"/>
  <c r="F273" i="29"/>
  <c r="E273" i="29"/>
  <c r="D273" i="29"/>
  <c r="C273" i="29"/>
  <c r="B273" i="29"/>
  <c r="M270" i="29"/>
  <c r="L270" i="29"/>
  <c r="K270" i="29"/>
  <c r="J270" i="29"/>
  <c r="I270" i="29"/>
  <c r="H270" i="29"/>
  <c r="G270" i="29"/>
  <c r="F270" i="29"/>
  <c r="E270" i="29"/>
  <c r="D270" i="29"/>
  <c r="C270" i="29"/>
  <c r="B270" i="29"/>
  <c r="M265" i="29"/>
  <c r="L265" i="29"/>
  <c r="K265" i="29"/>
  <c r="J265" i="29"/>
  <c r="I265" i="29"/>
  <c r="H265" i="29"/>
  <c r="G265" i="29"/>
  <c r="F265" i="29"/>
  <c r="E265" i="29"/>
  <c r="D265" i="29"/>
  <c r="C265" i="29"/>
  <c r="B265" i="29"/>
  <c r="M262" i="29"/>
  <c r="L262" i="29"/>
  <c r="K262" i="29"/>
  <c r="J262" i="29"/>
  <c r="I262" i="29"/>
  <c r="H262" i="29"/>
  <c r="G262" i="29"/>
  <c r="F262" i="29"/>
  <c r="E262" i="29"/>
  <c r="D262" i="29"/>
  <c r="C262" i="29"/>
  <c r="B262" i="29"/>
  <c r="M257" i="29"/>
  <c r="L257" i="29"/>
  <c r="K257" i="29"/>
  <c r="J257" i="29"/>
  <c r="I257" i="29"/>
  <c r="H257" i="29"/>
  <c r="G257" i="29"/>
  <c r="F257" i="29"/>
  <c r="E257" i="29"/>
  <c r="D257" i="29"/>
  <c r="C257" i="29"/>
  <c r="B257" i="29"/>
  <c r="M254" i="29"/>
  <c r="L254" i="29"/>
  <c r="K254" i="29"/>
  <c r="J254" i="29"/>
  <c r="I254" i="29"/>
  <c r="H254" i="29"/>
  <c r="G254" i="29"/>
  <c r="F254" i="29"/>
  <c r="E254" i="29"/>
  <c r="D254" i="29"/>
  <c r="C254" i="29"/>
  <c r="B254" i="29"/>
  <c r="M249" i="29"/>
  <c r="L249" i="29"/>
  <c r="K249" i="29"/>
  <c r="J249" i="29"/>
  <c r="I249" i="29"/>
  <c r="H249" i="29"/>
  <c r="G249" i="29"/>
  <c r="F249" i="29"/>
  <c r="E249" i="29"/>
  <c r="D249" i="29"/>
  <c r="C249" i="29"/>
  <c r="B249" i="29"/>
  <c r="M246" i="29"/>
  <c r="L246" i="29"/>
  <c r="K246" i="29"/>
  <c r="J246" i="29"/>
  <c r="I246" i="29"/>
  <c r="H246" i="29"/>
  <c r="G246" i="29"/>
  <c r="F246" i="29"/>
  <c r="E246" i="29"/>
  <c r="D246" i="29"/>
  <c r="C246" i="29"/>
  <c r="B246" i="29"/>
  <c r="M241" i="29"/>
  <c r="L241" i="29"/>
  <c r="K241" i="29"/>
  <c r="J241" i="29"/>
  <c r="I241" i="29"/>
  <c r="H241" i="29"/>
  <c r="G241" i="29"/>
  <c r="F241" i="29"/>
  <c r="E241" i="29"/>
  <c r="D241" i="29"/>
  <c r="C241" i="29"/>
  <c r="B241" i="29"/>
  <c r="M238" i="29"/>
  <c r="L238" i="29"/>
  <c r="K238" i="29"/>
  <c r="J238" i="29"/>
  <c r="I238" i="29"/>
  <c r="H238" i="29"/>
  <c r="G238" i="29"/>
  <c r="F238" i="29"/>
  <c r="E238" i="29"/>
  <c r="D238" i="29"/>
  <c r="C238" i="29"/>
  <c r="B238" i="29"/>
  <c r="M233" i="29"/>
  <c r="L233" i="29"/>
  <c r="K233" i="29"/>
  <c r="J233" i="29"/>
  <c r="I233" i="29"/>
  <c r="H233" i="29"/>
  <c r="G233" i="29"/>
  <c r="F233" i="29"/>
  <c r="E233" i="29"/>
  <c r="D233" i="29"/>
  <c r="C233" i="29"/>
  <c r="B233" i="29"/>
  <c r="M222" i="29"/>
  <c r="L222" i="29"/>
  <c r="K222" i="29"/>
  <c r="J222" i="29"/>
  <c r="I222" i="29"/>
  <c r="H222" i="29"/>
  <c r="G222" i="29"/>
  <c r="F222" i="29"/>
  <c r="E222" i="29"/>
  <c r="D222" i="29"/>
  <c r="C222" i="29"/>
  <c r="B222" i="29"/>
  <c r="M217" i="29"/>
  <c r="L217" i="29"/>
  <c r="K217" i="29"/>
  <c r="J217" i="29"/>
  <c r="I217" i="29"/>
  <c r="H217" i="29"/>
  <c r="G217" i="29"/>
  <c r="F217" i="29"/>
  <c r="E217" i="29"/>
  <c r="D217" i="29"/>
  <c r="C217" i="29"/>
  <c r="B217" i="29"/>
  <c r="M214" i="29"/>
  <c r="L214" i="29"/>
  <c r="K214" i="29"/>
  <c r="J214" i="29"/>
  <c r="I214" i="29"/>
  <c r="H214" i="29"/>
  <c r="G214" i="29"/>
  <c r="F214" i="29"/>
  <c r="E214" i="29"/>
  <c r="D214" i="29"/>
  <c r="C214" i="29"/>
  <c r="B214" i="29"/>
  <c r="M209" i="29"/>
  <c r="L209" i="29"/>
  <c r="K209" i="29"/>
  <c r="J209" i="29"/>
  <c r="I209" i="29"/>
  <c r="H209" i="29"/>
  <c r="G209" i="29"/>
  <c r="F209" i="29"/>
  <c r="E209" i="29"/>
  <c r="D209" i="29"/>
  <c r="C209" i="29"/>
  <c r="B209" i="29"/>
  <c r="M206" i="29"/>
  <c r="L206" i="29"/>
  <c r="K206" i="29"/>
  <c r="J206" i="29"/>
  <c r="I206" i="29"/>
  <c r="H206" i="29"/>
  <c r="G206" i="29"/>
  <c r="F206" i="29"/>
  <c r="E206" i="29"/>
  <c r="D206" i="29"/>
  <c r="C206" i="29"/>
  <c r="B206" i="29"/>
  <c r="M201" i="29"/>
  <c r="L201" i="29"/>
  <c r="K201" i="29"/>
  <c r="J201" i="29"/>
  <c r="I201" i="29"/>
  <c r="H201" i="29"/>
  <c r="G201" i="29"/>
  <c r="F201" i="29"/>
  <c r="E201" i="29"/>
  <c r="D201" i="29"/>
  <c r="C201" i="29"/>
  <c r="B201" i="29"/>
  <c r="M198" i="29"/>
  <c r="L198" i="29"/>
  <c r="K198" i="29"/>
  <c r="J198" i="29"/>
  <c r="I198" i="29"/>
  <c r="H198" i="29"/>
  <c r="G198" i="29"/>
  <c r="F198" i="29"/>
  <c r="E198" i="29"/>
  <c r="D198" i="29"/>
  <c r="C198" i="29"/>
  <c r="B198" i="29"/>
  <c r="M193" i="29"/>
  <c r="L193" i="29"/>
  <c r="K193" i="29"/>
  <c r="J193" i="29"/>
  <c r="I193" i="29"/>
  <c r="H193" i="29"/>
  <c r="G193" i="29"/>
  <c r="F193" i="29"/>
  <c r="E193" i="29"/>
  <c r="D193" i="29"/>
  <c r="C193" i="29"/>
  <c r="B193" i="29"/>
  <c r="M190" i="29"/>
  <c r="L190" i="29"/>
  <c r="K190" i="29"/>
  <c r="J190" i="29"/>
  <c r="I190" i="29"/>
  <c r="H190" i="29"/>
  <c r="G190" i="29"/>
  <c r="F190" i="29"/>
  <c r="E190" i="29"/>
  <c r="D190" i="29"/>
  <c r="C190" i="29"/>
  <c r="B190" i="29"/>
  <c r="L185" i="29"/>
  <c r="K185" i="29"/>
  <c r="J185" i="29"/>
  <c r="I185" i="29"/>
  <c r="H185" i="29"/>
  <c r="G185" i="29"/>
  <c r="F185" i="29"/>
  <c r="E185" i="29"/>
  <c r="D185" i="29"/>
  <c r="C185" i="29"/>
  <c r="B185" i="29"/>
  <c r="M182" i="29"/>
  <c r="L182" i="29"/>
  <c r="K182" i="29"/>
  <c r="J182" i="29"/>
  <c r="I182" i="29"/>
  <c r="H182" i="29"/>
  <c r="G182" i="29"/>
  <c r="F182" i="29"/>
  <c r="E182" i="29"/>
  <c r="D182" i="29"/>
  <c r="C182" i="29"/>
  <c r="B182" i="29"/>
  <c r="M177" i="29"/>
  <c r="L177" i="29"/>
  <c r="K177" i="29"/>
  <c r="J177" i="29"/>
  <c r="I177" i="29"/>
  <c r="H177" i="29"/>
  <c r="G177" i="29"/>
  <c r="F177" i="29"/>
  <c r="E177" i="29"/>
  <c r="D177" i="29"/>
  <c r="C177" i="29"/>
  <c r="B177" i="29"/>
  <c r="M174" i="29"/>
  <c r="L174" i="29"/>
  <c r="K174" i="29"/>
  <c r="J174" i="29"/>
  <c r="I174" i="29"/>
  <c r="H174" i="29"/>
  <c r="G174" i="29"/>
  <c r="F174" i="29"/>
  <c r="E174" i="29"/>
  <c r="D174" i="29"/>
  <c r="C174" i="29"/>
  <c r="B174" i="29"/>
  <c r="M169" i="29"/>
  <c r="L169" i="29"/>
  <c r="K169" i="29"/>
  <c r="J169" i="29"/>
  <c r="I169" i="29"/>
  <c r="H169" i="29"/>
  <c r="G169" i="29"/>
  <c r="F169" i="29"/>
  <c r="E169" i="29"/>
  <c r="D169" i="29"/>
  <c r="C169" i="29"/>
  <c r="B169" i="29"/>
  <c r="M166" i="29"/>
  <c r="L166" i="29"/>
  <c r="K166" i="29"/>
  <c r="J166" i="29"/>
  <c r="I166" i="29"/>
  <c r="H166" i="29"/>
  <c r="G166" i="29"/>
  <c r="F166" i="29"/>
  <c r="E166" i="29"/>
  <c r="D166" i="29"/>
  <c r="C166" i="29"/>
  <c r="B166" i="29"/>
  <c r="M161" i="29"/>
  <c r="L161" i="29"/>
  <c r="K161" i="29"/>
  <c r="J161" i="29"/>
  <c r="I161" i="29"/>
  <c r="H161" i="29"/>
  <c r="G161" i="29"/>
  <c r="F161" i="29"/>
  <c r="E161" i="29"/>
  <c r="D161" i="29"/>
  <c r="C161" i="29"/>
  <c r="B161" i="29"/>
  <c r="M150" i="29"/>
  <c r="L150" i="29"/>
  <c r="K150" i="29"/>
  <c r="J150" i="29"/>
  <c r="I150" i="29"/>
  <c r="H150" i="29"/>
  <c r="G150" i="29"/>
  <c r="F150" i="29"/>
  <c r="E150" i="29"/>
  <c r="D150" i="29"/>
  <c r="C150" i="29"/>
  <c r="B150" i="29"/>
  <c r="M145" i="29"/>
  <c r="L145" i="29"/>
  <c r="K145" i="29"/>
  <c r="J145" i="29"/>
  <c r="I145" i="29"/>
  <c r="H145" i="29"/>
  <c r="G145" i="29"/>
  <c r="F145" i="29"/>
  <c r="E145" i="29"/>
  <c r="D145" i="29"/>
  <c r="C145" i="29"/>
  <c r="B145" i="29"/>
  <c r="M142" i="29"/>
  <c r="L142" i="29"/>
  <c r="K142" i="29"/>
  <c r="J142" i="29"/>
  <c r="I142" i="29"/>
  <c r="H142" i="29"/>
  <c r="G142" i="29"/>
  <c r="F142" i="29"/>
  <c r="E142" i="29"/>
  <c r="D142" i="29"/>
  <c r="C142" i="29"/>
  <c r="B142" i="29"/>
  <c r="M137" i="29"/>
  <c r="L137" i="29"/>
  <c r="K137" i="29"/>
  <c r="J137" i="29"/>
  <c r="I137" i="29"/>
  <c r="H137" i="29"/>
  <c r="G137" i="29"/>
  <c r="F137" i="29"/>
  <c r="E137" i="29"/>
  <c r="D137" i="29"/>
  <c r="C137" i="29"/>
  <c r="B137" i="29"/>
  <c r="M134" i="29"/>
  <c r="L134" i="29"/>
  <c r="K134" i="29"/>
  <c r="J134" i="29"/>
  <c r="I134" i="29"/>
  <c r="H134" i="29"/>
  <c r="G134" i="29"/>
  <c r="F134" i="29"/>
  <c r="E134" i="29"/>
  <c r="D134" i="29"/>
  <c r="C134" i="29"/>
  <c r="B134" i="29"/>
  <c r="M129" i="29"/>
  <c r="L129" i="29"/>
  <c r="K129" i="29"/>
  <c r="J129" i="29"/>
  <c r="I129" i="29"/>
  <c r="H129" i="29"/>
  <c r="G129" i="29"/>
  <c r="F129" i="29"/>
  <c r="E129" i="29"/>
  <c r="D129" i="29"/>
  <c r="C129" i="29"/>
  <c r="B129" i="29"/>
  <c r="M126" i="29"/>
  <c r="L126" i="29"/>
  <c r="K126" i="29"/>
  <c r="J126" i="29"/>
  <c r="I126" i="29"/>
  <c r="H126" i="29"/>
  <c r="G126" i="29"/>
  <c r="F126" i="29"/>
  <c r="E126" i="29"/>
  <c r="D126" i="29"/>
  <c r="C126" i="29"/>
  <c r="B126" i="29"/>
  <c r="M121" i="29"/>
  <c r="L121" i="29"/>
  <c r="K121" i="29"/>
  <c r="J121" i="29"/>
  <c r="I121" i="29"/>
  <c r="H121" i="29"/>
  <c r="G121" i="29"/>
  <c r="F121" i="29"/>
  <c r="E121" i="29"/>
  <c r="D121" i="29"/>
  <c r="C121" i="29"/>
  <c r="B121" i="29"/>
  <c r="M118" i="29"/>
  <c r="L118" i="29"/>
  <c r="K118" i="29"/>
  <c r="J118" i="29"/>
  <c r="I118" i="29"/>
  <c r="H118" i="29"/>
  <c r="G118" i="29"/>
  <c r="F118" i="29"/>
  <c r="E118" i="29"/>
  <c r="D118" i="29"/>
  <c r="C118" i="29"/>
  <c r="B118" i="29"/>
  <c r="M113" i="29"/>
  <c r="L113" i="29"/>
  <c r="K113" i="29"/>
  <c r="J113" i="29"/>
  <c r="I113" i="29"/>
  <c r="H113" i="29"/>
  <c r="G113" i="29"/>
  <c r="F113" i="29"/>
  <c r="E113" i="29"/>
  <c r="D113" i="29"/>
  <c r="C113" i="29"/>
  <c r="B113" i="29"/>
  <c r="M110" i="29"/>
  <c r="L110" i="29"/>
  <c r="K110" i="29"/>
  <c r="J110" i="29"/>
  <c r="I110" i="29"/>
  <c r="H110" i="29"/>
  <c r="G110" i="29"/>
  <c r="F110" i="29"/>
  <c r="E110" i="29"/>
  <c r="D110" i="29"/>
  <c r="C110" i="29"/>
  <c r="B110" i="29"/>
  <c r="M105" i="29"/>
  <c r="L105" i="29"/>
  <c r="K105" i="29"/>
  <c r="J105" i="29"/>
  <c r="I105" i="29"/>
  <c r="H105" i="29"/>
  <c r="G105" i="29"/>
  <c r="F105" i="29"/>
  <c r="E105" i="29"/>
  <c r="D105" i="29"/>
  <c r="C105" i="29"/>
  <c r="B105" i="29"/>
  <c r="M102" i="29"/>
  <c r="L102" i="29"/>
  <c r="K102" i="29"/>
  <c r="J102" i="29"/>
  <c r="I102" i="29"/>
  <c r="H102" i="29"/>
  <c r="G102" i="29"/>
  <c r="F102" i="29"/>
  <c r="E102" i="29"/>
  <c r="D102" i="29"/>
  <c r="C102" i="29"/>
  <c r="B102" i="29"/>
  <c r="M97" i="29"/>
  <c r="L97" i="29"/>
  <c r="K97" i="29"/>
  <c r="J97" i="29"/>
  <c r="I97" i="29"/>
  <c r="H97" i="29"/>
  <c r="G97" i="29"/>
  <c r="F97" i="29"/>
  <c r="E97" i="29"/>
  <c r="D97" i="29"/>
  <c r="C97" i="29"/>
  <c r="B97" i="29"/>
  <c r="M94" i="29"/>
  <c r="L94" i="29"/>
  <c r="K94" i="29"/>
  <c r="J94" i="29"/>
  <c r="I94" i="29"/>
  <c r="H94" i="29"/>
  <c r="G94" i="29"/>
  <c r="F94" i="29"/>
  <c r="E94" i="29"/>
  <c r="D94" i="29"/>
  <c r="C94" i="29"/>
  <c r="B94" i="29"/>
  <c r="M89" i="29"/>
  <c r="L89" i="29"/>
  <c r="K89" i="29"/>
  <c r="J89" i="29"/>
  <c r="I89" i="29"/>
  <c r="H89" i="29"/>
  <c r="G89" i="29"/>
  <c r="F89" i="29"/>
  <c r="E89" i="29"/>
  <c r="D89" i="29"/>
  <c r="C89" i="29"/>
  <c r="B89" i="29"/>
  <c r="P66" i="29"/>
  <c r="O66" i="29"/>
  <c r="N66" i="29"/>
  <c r="L66" i="29"/>
  <c r="K66" i="29"/>
  <c r="J66" i="29"/>
  <c r="H66" i="29"/>
  <c r="G66" i="29"/>
  <c r="F66" i="29"/>
  <c r="D66" i="29"/>
  <c r="C66" i="29"/>
  <c r="B66" i="29"/>
  <c r="O50" i="29"/>
  <c r="N50" i="29"/>
  <c r="K50" i="29"/>
  <c r="J50" i="29"/>
  <c r="G50" i="29"/>
  <c r="F50" i="29"/>
  <c r="C50" i="29"/>
  <c r="B50" i="29"/>
  <c r="P49" i="29"/>
  <c r="L49" i="29"/>
  <c r="H49" i="29"/>
  <c r="D49" i="29"/>
  <c r="P48" i="29"/>
  <c r="L48" i="29"/>
  <c r="H48" i="29"/>
  <c r="D48" i="29"/>
  <c r="P47" i="29"/>
  <c r="P50" i="29" s="1"/>
  <c r="L47" i="29"/>
  <c r="L50" i="29" s="1"/>
  <c r="H47" i="29"/>
  <c r="H50" i="29" s="1"/>
  <c r="D47" i="29"/>
  <c r="K33" i="29"/>
  <c r="J33" i="29"/>
  <c r="K32" i="29"/>
  <c r="J32" i="29"/>
  <c r="L32" i="29" s="1"/>
  <c r="D31" i="29"/>
  <c r="C31" i="29"/>
  <c r="B31" i="29"/>
  <c r="D30" i="29"/>
  <c r="J30" i="29" s="1"/>
  <c r="D29" i="29"/>
  <c r="K29" i="29" s="1"/>
  <c r="C28" i="29"/>
  <c r="B28" i="29"/>
  <c r="B16" i="29"/>
  <c r="C17" i="29" s="1"/>
  <c r="B13" i="29"/>
  <c r="C14" i="29" s="1"/>
  <c r="B10" i="29"/>
  <c r="C11" i="29" s="1"/>
  <c r="B7" i="29"/>
  <c r="C8" i="29" s="1"/>
  <c r="C12" i="29" l="1"/>
  <c r="C18" i="29"/>
  <c r="C16" i="29" s="1"/>
  <c r="D50" i="29"/>
  <c r="C9" i="29"/>
  <c r="C15" i="29"/>
  <c r="L33" i="29"/>
  <c r="C7" i="29"/>
  <c r="C10" i="29"/>
  <c r="C13" i="29"/>
  <c r="K30" i="29"/>
  <c r="L30" i="29" s="1"/>
  <c r="K31" i="29"/>
  <c r="J29" i="29"/>
  <c r="L29" i="29" s="1"/>
  <c r="J31" i="29"/>
  <c r="L31" i="29" s="1"/>
  <c r="C34" i="29"/>
  <c r="B34" i="29"/>
  <c r="F31" i="29" s="1"/>
  <c r="D28" i="29"/>
  <c r="J28" i="29" s="1"/>
  <c r="K28" i="29" l="1"/>
  <c r="L28" i="29" s="1"/>
  <c r="D34" i="29"/>
  <c r="H28" i="29" s="1"/>
  <c r="G30" i="29"/>
  <c r="G32" i="29"/>
  <c r="G33" i="29"/>
  <c r="G31" i="29"/>
  <c r="G29" i="29"/>
  <c r="F28" i="29"/>
  <c r="F34" i="29" s="1"/>
  <c r="F33" i="29"/>
  <c r="F29" i="29"/>
  <c r="F30" i="29"/>
  <c r="F32" i="29"/>
  <c r="G28" i="29"/>
  <c r="G34" i="29" s="1"/>
  <c r="J34" i="29" l="1"/>
  <c r="H30" i="29"/>
  <c r="H32" i="29"/>
  <c r="H33" i="29"/>
  <c r="H29" i="29"/>
  <c r="H31" i="29"/>
  <c r="H34" i="29" s="1"/>
  <c r="K34" i="29"/>
  <c r="L34" i="29" s="1"/>
  <c r="B314" i="3" l="1"/>
  <c r="B289" i="3"/>
  <c r="B278" i="3"/>
  <c r="B267" i="3"/>
  <c r="B239" i="3"/>
  <c r="B214" i="3"/>
  <c r="B181" i="3"/>
  <c r="B169" i="3"/>
  <c r="B145" i="3"/>
  <c r="C311" i="3" l="1"/>
  <c r="C312" i="3"/>
  <c r="C313" i="3"/>
  <c r="C288" i="3"/>
  <c r="C287" i="3"/>
  <c r="C276" i="3"/>
  <c r="C277" i="3"/>
  <c r="C266" i="3"/>
  <c r="C265" i="3"/>
  <c r="C237" i="3"/>
  <c r="C238" i="3"/>
  <c r="C236" i="3"/>
  <c r="C211" i="3"/>
  <c r="C213" i="3"/>
  <c r="C212" i="3"/>
  <c r="C179" i="3"/>
  <c r="C180" i="3"/>
  <c r="C178" i="3"/>
  <c r="C167" i="3"/>
  <c r="C168" i="3"/>
  <c r="C166" i="3"/>
  <c r="C143" i="3"/>
  <c r="C144" i="3"/>
  <c r="C267" i="3" l="1"/>
  <c r="C278" i="3"/>
  <c r="C289" i="3"/>
  <c r="C314" i="3"/>
  <c r="C145" i="3"/>
  <c r="C181" i="3"/>
  <c r="C214" i="3"/>
  <c r="C239" i="3"/>
  <c r="C169" i="3"/>
  <c r="D29" i="25"/>
  <c r="D30" i="25"/>
  <c r="C45" i="3" l="1"/>
  <c r="D45" i="3"/>
  <c r="E45" i="3"/>
  <c r="F45" i="3"/>
  <c r="G45" i="3"/>
  <c r="H45" i="3"/>
  <c r="I45" i="3"/>
  <c r="J45" i="3"/>
  <c r="K45" i="3"/>
  <c r="N326" i="3" l="1"/>
  <c r="P326" i="3"/>
  <c r="R326" i="3"/>
  <c r="T326" i="3"/>
  <c r="U326" i="3" l="1"/>
  <c r="Q326" i="3"/>
  <c r="S326" i="3"/>
  <c r="O326" i="3"/>
  <c r="K152" i="20"/>
  <c r="J152" i="20"/>
  <c r="I152" i="20"/>
  <c r="H152" i="20"/>
  <c r="G152" i="20"/>
  <c r="F152" i="20"/>
  <c r="E152" i="20"/>
  <c r="D152" i="20"/>
  <c r="C152" i="20"/>
  <c r="B152" i="20"/>
  <c r="D75" i="25" l="1"/>
  <c r="D74" i="25"/>
  <c r="I134" i="25"/>
  <c r="I133" i="25"/>
  <c r="I132" i="25"/>
  <c r="I131" i="25"/>
  <c r="I130" i="25"/>
  <c r="I129" i="25"/>
  <c r="I128" i="25"/>
  <c r="I127" i="25"/>
  <c r="I126" i="25"/>
  <c r="I125" i="25"/>
  <c r="I124" i="25"/>
  <c r="I123" i="25"/>
  <c r="I110" i="25"/>
  <c r="I109" i="25"/>
  <c r="I108" i="25"/>
  <c r="I107" i="25"/>
  <c r="I106" i="25"/>
  <c r="I105" i="25"/>
  <c r="I104" i="25"/>
  <c r="I103" i="25"/>
  <c r="D104" i="25"/>
  <c r="D121" i="25"/>
  <c r="D122" i="25"/>
  <c r="D123" i="25"/>
  <c r="D124" i="25"/>
  <c r="D125" i="25"/>
  <c r="D126" i="25"/>
  <c r="D127" i="25"/>
  <c r="D128" i="25"/>
  <c r="D129" i="25"/>
  <c r="D130" i="25"/>
  <c r="D131" i="25"/>
  <c r="D132" i="25"/>
  <c r="D133" i="25"/>
  <c r="D134" i="25"/>
  <c r="D103" i="25"/>
  <c r="I90" i="25"/>
  <c r="I76" i="25"/>
  <c r="I75" i="25"/>
  <c r="I74" i="25"/>
  <c r="I36" i="25"/>
  <c r="I35" i="25"/>
  <c r="I34" i="25"/>
  <c r="I33" i="25"/>
  <c r="I32" i="25"/>
  <c r="I31" i="25"/>
  <c r="I30" i="25"/>
  <c r="I29" i="25"/>
  <c r="I8" i="25"/>
  <c r="I7" i="25"/>
  <c r="D8" i="25"/>
  <c r="D7" i="25"/>
  <c r="L126" i="25"/>
  <c r="L127" i="25"/>
  <c r="L128" i="25"/>
  <c r="L129" i="25"/>
  <c r="L130" i="25"/>
  <c r="L131" i="25"/>
  <c r="L132" i="25"/>
  <c r="L133" i="25"/>
  <c r="L134" i="25"/>
  <c r="L125" i="25"/>
  <c r="L124" i="25"/>
  <c r="L123" i="25"/>
  <c r="L122" i="25"/>
  <c r="L121" i="25"/>
  <c r="L120" i="25"/>
  <c r="L119" i="25"/>
  <c r="L74" i="25"/>
  <c r="L75" i="25"/>
  <c r="L76" i="25"/>
  <c r="L77" i="25"/>
  <c r="L78" i="25"/>
  <c r="L79" i="25"/>
  <c r="L30" i="25"/>
  <c r="L29" i="25"/>
  <c r="L8" i="25"/>
  <c r="L9" i="25"/>
  <c r="L11" i="25"/>
  <c r="L10" i="25"/>
  <c r="L7" i="25"/>
  <c r="J11" i="25" l="1"/>
  <c r="J7" i="25"/>
  <c r="I17" i="25"/>
  <c r="J9" i="25"/>
  <c r="J8" i="25"/>
  <c r="J10" i="25"/>
  <c r="J16" i="25"/>
  <c r="J17" i="25" l="1"/>
  <c r="J180" i="20"/>
  <c r="K180" i="20"/>
  <c r="L180" i="20"/>
  <c r="L167" i="20"/>
  <c r="K139" i="20"/>
  <c r="L139" i="20"/>
  <c r="J126" i="20"/>
  <c r="K126" i="20"/>
  <c r="L126" i="20"/>
  <c r="K101" i="20"/>
  <c r="J88" i="20"/>
  <c r="K88" i="20"/>
  <c r="L88" i="20"/>
  <c r="J75" i="20"/>
  <c r="K75" i="20"/>
  <c r="K9" i="20"/>
  <c r="L9" i="20"/>
  <c r="J49" i="20"/>
  <c r="K49" i="20"/>
  <c r="L49" i="20"/>
  <c r="J36" i="20"/>
  <c r="K36" i="20"/>
  <c r="L36" i="20"/>
  <c r="K23" i="20"/>
  <c r="L23" i="20"/>
  <c r="K251" i="3" l="1"/>
  <c r="K195" i="3"/>
  <c r="U250" i="3"/>
  <c r="T250" i="3"/>
  <c r="S250" i="3"/>
  <c r="R250" i="3"/>
  <c r="Q250" i="3"/>
  <c r="P250" i="3"/>
  <c r="O250" i="3"/>
  <c r="N250" i="3"/>
  <c r="M250" i="3"/>
  <c r="U249" i="3"/>
  <c r="T249" i="3"/>
  <c r="S249" i="3"/>
  <c r="R249" i="3"/>
  <c r="Q249" i="3"/>
  <c r="P249" i="3"/>
  <c r="O249" i="3"/>
  <c r="N249" i="3"/>
  <c r="M249" i="3"/>
  <c r="U194" i="3"/>
  <c r="T194" i="3"/>
  <c r="S194" i="3"/>
  <c r="R194" i="3"/>
  <c r="Q194" i="3"/>
  <c r="P194" i="3"/>
  <c r="O194" i="3"/>
  <c r="N194" i="3"/>
  <c r="M194" i="3"/>
  <c r="U193" i="3"/>
  <c r="T193" i="3"/>
  <c r="S193" i="3"/>
  <c r="R193" i="3"/>
  <c r="Q193" i="3"/>
  <c r="P193" i="3"/>
  <c r="O193" i="3"/>
  <c r="N193" i="3"/>
  <c r="M193" i="3"/>
  <c r="U192" i="3"/>
  <c r="T192" i="3"/>
  <c r="S192" i="3"/>
  <c r="R192" i="3"/>
  <c r="Q192" i="3"/>
  <c r="P192" i="3"/>
  <c r="O192" i="3"/>
  <c r="N192" i="3"/>
  <c r="M192" i="3"/>
  <c r="G195" i="3"/>
  <c r="H195" i="3"/>
  <c r="I195" i="3"/>
  <c r="J195" i="3"/>
  <c r="B23" i="20"/>
  <c r="C23" i="20"/>
  <c r="D23" i="20"/>
  <c r="E23" i="20"/>
  <c r="F23" i="20"/>
  <c r="G23" i="20"/>
  <c r="H23" i="20"/>
  <c r="I23" i="20"/>
  <c r="J23" i="20"/>
  <c r="B36" i="20"/>
  <c r="C36" i="20"/>
  <c r="D36" i="20"/>
  <c r="E36" i="20"/>
  <c r="G36" i="20"/>
  <c r="H36" i="20"/>
  <c r="I36" i="20"/>
  <c r="B49" i="20"/>
  <c r="C49" i="20"/>
  <c r="D49" i="20"/>
  <c r="E49" i="20"/>
  <c r="F49" i="20"/>
  <c r="G49" i="20"/>
  <c r="H49" i="20"/>
  <c r="I49" i="20"/>
  <c r="B9" i="20"/>
  <c r="C9" i="20"/>
  <c r="D9" i="20"/>
  <c r="E9" i="20"/>
  <c r="F9" i="20"/>
  <c r="G9" i="20"/>
  <c r="H9" i="20"/>
  <c r="I9" i="20"/>
  <c r="J9" i="20"/>
  <c r="B75" i="20"/>
  <c r="C75" i="20"/>
  <c r="D75" i="20"/>
  <c r="E75" i="20"/>
  <c r="F75" i="20"/>
  <c r="G75" i="20"/>
  <c r="H75" i="20"/>
  <c r="I75" i="20"/>
  <c r="B88" i="20"/>
  <c r="C88" i="20"/>
  <c r="D88" i="20"/>
  <c r="E88" i="20"/>
  <c r="F88" i="20"/>
  <c r="G88" i="20"/>
  <c r="H88" i="20"/>
  <c r="I88" i="20"/>
  <c r="B101" i="20"/>
  <c r="C101" i="20"/>
  <c r="D101" i="20"/>
  <c r="E101" i="20"/>
  <c r="F101" i="20"/>
  <c r="G101" i="20"/>
  <c r="H101" i="20"/>
  <c r="B126" i="20"/>
  <c r="C126" i="20"/>
  <c r="D126" i="20"/>
  <c r="E126" i="20"/>
  <c r="F126" i="20"/>
  <c r="G126" i="20"/>
  <c r="H126" i="20"/>
  <c r="I126" i="20"/>
  <c r="B139" i="20"/>
  <c r="C139" i="20"/>
  <c r="D139" i="20"/>
  <c r="E139" i="20"/>
  <c r="F139" i="20"/>
  <c r="G139" i="20"/>
  <c r="H139" i="20"/>
  <c r="I139" i="20"/>
  <c r="J139" i="20"/>
  <c r="B167" i="20"/>
  <c r="C167" i="20"/>
  <c r="D167" i="20"/>
  <c r="E167" i="20"/>
  <c r="F167" i="20"/>
  <c r="G167" i="20"/>
  <c r="H167" i="20"/>
  <c r="I167" i="20"/>
  <c r="J167" i="20"/>
  <c r="K167" i="20"/>
  <c r="B180" i="20"/>
  <c r="C180" i="20"/>
  <c r="D180" i="20"/>
  <c r="E180" i="20"/>
  <c r="F180" i="20"/>
  <c r="G180" i="20"/>
  <c r="H180" i="20"/>
  <c r="I180" i="20"/>
  <c r="B195" i="3"/>
  <c r="C195" i="3"/>
  <c r="D195" i="3"/>
  <c r="E195" i="3"/>
  <c r="F195" i="3"/>
  <c r="B226" i="3"/>
  <c r="B251" i="3"/>
  <c r="C251" i="3"/>
  <c r="D251" i="3"/>
  <c r="E251" i="3"/>
  <c r="F251" i="3"/>
  <c r="G251" i="3"/>
  <c r="H251" i="3"/>
  <c r="I251" i="3"/>
  <c r="J251" i="3"/>
  <c r="B301" i="3"/>
  <c r="C299" i="3" l="1"/>
  <c r="C298" i="3"/>
  <c r="C300" i="3"/>
  <c r="K20" i="3"/>
  <c r="K257" i="3"/>
  <c r="K256" i="3"/>
  <c r="J20" i="3"/>
  <c r="J256" i="3"/>
  <c r="J257" i="3"/>
  <c r="I20" i="3"/>
  <c r="I257" i="3"/>
  <c r="I256" i="3"/>
  <c r="H20" i="3"/>
  <c r="H256" i="3"/>
  <c r="H257" i="3"/>
  <c r="G20" i="3"/>
  <c r="G257" i="3"/>
  <c r="G256" i="3"/>
  <c r="F20" i="3"/>
  <c r="F256" i="3"/>
  <c r="F257" i="3"/>
  <c r="E20" i="3"/>
  <c r="E257" i="3"/>
  <c r="E256" i="3"/>
  <c r="D20" i="3"/>
  <c r="D256" i="3"/>
  <c r="D257" i="3"/>
  <c r="C20" i="3"/>
  <c r="C257" i="3"/>
  <c r="C256" i="3"/>
  <c r="B20" i="3"/>
  <c r="B257" i="3"/>
  <c r="B256" i="3"/>
  <c r="C225" i="3"/>
  <c r="C223" i="3"/>
  <c r="C224" i="3"/>
  <c r="K203" i="3"/>
  <c r="K202" i="3"/>
  <c r="K19" i="3"/>
  <c r="K201" i="3"/>
  <c r="J201" i="3"/>
  <c r="J202" i="3"/>
  <c r="J203" i="3"/>
  <c r="J19" i="3"/>
  <c r="I201" i="3"/>
  <c r="I202" i="3"/>
  <c r="I203" i="3"/>
  <c r="I19" i="3"/>
  <c r="T19" i="3" s="1"/>
  <c r="H202" i="3"/>
  <c r="H201" i="3"/>
  <c r="H203" i="3"/>
  <c r="H19" i="3"/>
  <c r="S19" i="3" s="1"/>
  <c r="G203" i="3"/>
  <c r="G202" i="3"/>
  <c r="G19" i="3"/>
  <c r="G201" i="3"/>
  <c r="F201" i="3"/>
  <c r="F202" i="3"/>
  <c r="F203" i="3"/>
  <c r="F19" i="3"/>
  <c r="E201" i="3"/>
  <c r="E19" i="3"/>
  <c r="E203" i="3"/>
  <c r="E202" i="3"/>
  <c r="D202" i="3"/>
  <c r="D19" i="3"/>
  <c r="D201" i="3"/>
  <c r="D203" i="3"/>
  <c r="C203" i="3"/>
  <c r="C202" i="3"/>
  <c r="C19" i="3"/>
  <c r="C201" i="3"/>
  <c r="B201" i="3"/>
  <c r="B19" i="3"/>
  <c r="B202" i="3"/>
  <c r="B203" i="3"/>
  <c r="J90" i="25"/>
  <c r="J75" i="25"/>
  <c r="J74" i="25"/>
  <c r="J76" i="25"/>
  <c r="I91" i="25"/>
  <c r="E29" i="25"/>
  <c r="E30" i="25"/>
  <c r="E16" i="25"/>
  <c r="E9" i="25"/>
  <c r="J35" i="25"/>
  <c r="J33" i="25"/>
  <c r="J31" i="25"/>
  <c r="J29" i="25"/>
  <c r="J34" i="25"/>
  <c r="J30" i="25"/>
  <c r="J36" i="25"/>
  <c r="J32" i="25"/>
  <c r="I61" i="25"/>
  <c r="L61" i="25"/>
  <c r="L17" i="25"/>
  <c r="Q251" i="3"/>
  <c r="U251" i="3"/>
  <c r="Q195" i="3"/>
  <c r="T195" i="3"/>
  <c r="P195" i="3"/>
  <c r="R195" i="3"/>
  <c r="M195" i="3"/>
  <c r="T251" i="3"/>
  <c r="U195" i="3"/>
  <c r="N251" i="3"/>
  <c r="S195" i="3"/>
  <c r="P251" i="3"/>
  <c r="O251" i="3"/>
  <c r="M251" i="3"/>
  <c r="R251" i="3"/>
  <c r="S251" i="3"/>
  <c r="N195" i="3"/>
  <c r="O195" i="3"/>
  <c r="D258" i="3" l="1"/>
  <c r="G204" i="3"/>
  <c r="E258" i="3"/>
  <c r="R20" i="3"/>
  <c r="U20" i="3"/>
  <c r="U19" i="3"/>
  <c r="T20" i="3"/>
  <c r="S20" i="3"/>
  <c r="R19" i="3"/>
  <c r="E61" i="25"/>
  <c r="J61" i="25"/>
  <c r="E17" i="25"/>
  <c r="B258" i="3"/>
  <c r="J258" i="3"/>
  <c r="J91" i="25"/>
  <c r="G258" i="3"/>
  <c r="F258" i="3"/>
  <c r="H258" i="3"/>
  <c r="K258" i="3"/>
  <c r="I258" i="3"/>
  <c r="C258" i="3"/>
  <c r="J204" i="3"/>
  <c r="I204" i="3"/>
  <c r="H204" i="3"/>
  <c r="E204" i="3"/>
  <c r="D204" i="3"/>
  <c r="C226" i="3"/>
  <c r="C204" i="3"/>
  <c r="B204" i="3"/>
  <c r="C301" i="3"/>
  <c r="F204" i="3"/>
  <c r="K204" i="3"/>
  <c r="B128" i="3" l="1"/>
  <c r="B135" i="3" l="1"/>
  <c r="B18" i="3"/>
  <c r="B17" i="3" s="1"/>
  <c r="B134" i="3"/>
  <c r="B136" i="3" l="1"/>
  <c r="B22" i="3"/>
  <c r="B5" i="3" s="1"/>
  <c r="M127" i="3"/>
  <c r="N127" i="3"/>
  <c r="N21" i="3"/>
  <c r="O21" i="3"/>
  <c r="M126" i="3" l="1"/>
  <c r="C128" i="3"/>
  <c r="D128" i="3"/>
  <c r="N126" i="3"/>
  <c r="D135" i="3" l="1"/>
  <c r="D18" i="3"/>
  <c r="D17" i="3" s="1"/>
  <c r="D134" i="3"/>
  <c r="C18" i="3"/>
  <c r="C17" i="3" s="1"/>
  <c r="C134" i="3"/>
  <c r="C135" i="3"/>
  <c r="M128" i="3"/>
  <c r="O127" i="3"/>
  <c r="N128" i="3"/>
  <c r="P21" i="3"/>
  <c r="N17" i="3" l="1"/>
  <c r="M17" i="3"/>
  <c r="D22" i="3"/>
  <c r="D136" i="3"/>
  <c r="C136" i="3"/>
  <c r="O126" i="3"/>
  <c r="E128" i="3"/>
  <c r="P127" i="3"/>
  <c r="Q21" i="3"/>
  <c r="R21" i="3"/>
  <c r="E135" i="3" l="1"/>
  <c r="E134" i="3"/>
  <c r="E18" i="3"/>
  <c r="E17" i="3" s="1"/>
  <c r="D33" i="3"/>
  <c r="D5" i="3"/>
  <c r="O128" i="3"/>
  <c r="C22" i="3"/>
  <c r="B157" i="3"/>
  <c r="Q127" i="3"/>
  <c r="F128" i="3"/>
  <c r="P126" i="3"/>
  <c r="C156" i="3" l="1"/>
  <c r="C154" i="3"/>
  <c r="C155" i="3"/>
  <c r="F135" i="3"/>
  <c r="F18" i="3"/>
  <c r="F17" i="3" s="1"/>
  <c r="F134" i="3"/>
  <c r="O17" i="3"/>
  <c r="C33" i="3"/>
  <c r="C5" i="3"/>
  <c r="N5" i="3" s="1"/>
  <c r="N22" i="3"/>
  <c r="P128" i="3"/>
  <c r="E136" i="3"/>
  <c r="D34" i="3"/>
  <c r="R127" i="3"/>
  <c r="Q126" i="3"/>
  <c r="G128" i="3"/>
  <c r="S21" i="3"/>
  <c r="P17" i="3" l="1"/>
  <c r="G18" i="3"/>
  <c r="G134" i="3"/>
  <c r="G135" i="3"/>
  <c r="C157" i="3"/>
  <c r="Q128" i="3"/>
  <c r="F136" i="3"/>
  <c r="E22" i="3"/>
  <c r="E5" i="3" s="1"/>
  <c r="C34" i="3"/>
  <c r="S127" i="3"/>
  <c r="H128" i="3"/>
  <c r="R126" i="3"/>
  <c r="T21" i="3"/>
  <c r="U21" i="3"/>
  <c r="H135" i="3" l="1"/>
  <c r="H18" i="3"/>
  <c r="R18" i="3" s="1"/>
  <c r="H134" i="3"/>
  <c r="G17" i="3"/>
  <c r="E33" i="3"/>
  <c r="O22" i="3"/>
  <c r="R128" i="3"/>
  <c r="G136" i="3"/>
  <c r="F22" i="3"/>
  <c r="F5" i="3" s="1"/>
  <c r="T127" i="3"/>
  <c r="S126" i="3"/>
  <c r="I128" i="3"/>
  <c r="I135" i="3" l="1"/>
  <c r="I134" i="3"/>
  <c r="I18" i="3"/>
  <c r="H17" i="3"/>
  <c r="Q17" i="3"/>
  <c r="E34" i="3"/>
  <c r="F33" i="3"/>
  <c r="P22" i="3"/>
  <c r="S128" i="3"/>
  <c r="H136" i="3"/>
  <c r="G22" i="3"/>
  <c r="G5" i="3" s="1"/>
  <c r="O5" i="3"/>
  <c r="U127" i="3"/>
  <c r="J128" i="3"/>
  <c r="T126" i="3"/>
  <c r="R17" i="3" l="1"/>
  <c r="J18" i="3"/>
  <c r="J135" i="3"/>
  <c r="J134" i="3"/>
  <c r="I17" i="3"/>
  <c r="T18" i="3"/>
  <c r="S18" i="3"/>
  <c r="Q22" i="3"/>
  <c r="F34" i="3"/>
  <c r="G33" i="3"/>
  <c r="T128" i="3"/>
  <c r="I136" i="3"/>
  <c r="H22" i="3"/>
  <c r="H5" i="3" s="1"/>
  <c r="P5" i="3"/>
  <c r="U126" i="3"/>
  <c r="K128" i="3"/>
  <c r="M21" i="3"/>
  <c r="S17" i="3" l="1"/>
  <c r="K18" i="3"/>
  <c r="K17" i="3" s="1"/>
  <c r="K134" i="3"/>
  <c r="K135" i="3"/>
  <c r="J17" i="3"/>
  <c r="Q5" i="3"/>
  <c r="R22" i="3"/>
  <c r="H33" i="3"/>
  <c r="G34" i="3"/>
  <c r="U128" i="3"/>
  <c r="J136" i="3"/>
  <c r="I22" i="3"/>
  <c r="I5" i="3" s="1"/>
  <c r="P43" i="3"/>
  <c r="O42" i="3"/>
  <c r="Q44" i="3"/>
  <c r="Q43" i="3"/>
  <c r="R44" i="3"/>
  <c r="S42" i="3"/>
  <c r="P42" i="3"/>
  <c r="R43" i="3"/>
  <c r="U44" i="3"/>
  <c r="P44" i="3"/>
  <c r="N42" i="3"/>
  <c r="R42" i="3"/>
  <c r="M42" i="3"/>
  <c r="T44" i="3"/>
  <c r="S44" i="3"/>
  <c r="N43" i="3"/>
  <c r="U43" i="3"/>
  <c r="Q42" i="3"/>
  <c r="M43" i="3"/>
  <c r="U42" i="3"/>
  <c r="N44" i="3"/>
  <c r="T43" i="3"/>
  <c r="O44" i="3"/>
  <c r="M44" i="3"/>
  <c r="S43" i="3"/>
  <c r="O43" i="3"/>
  <c r="T42" i="3"/>
  <c r="N41" i="3"/>
  <c r="M41" i="3"/>
  <c r="O41" i="3"/>
  <c r="P41" i="3"/>
  <c r="U45" i="3"/>
  <c r="S45" i="3"/>
  <c r="O45" i="3"/>
  <c r="K46" i="3"/>
  <c r="I46" i="3"/>
  <c r="Q45" i="3"/>
  <c r="G46" i="3"/>
  <c r="N45" i="3"/>
  <c r="C46" i="3"/>
  <c r="T45" i="3"/>
  <c r="J46" i="3"/>
  <c r="D46" i="3"/>
  <c r="E46" i="3"/>
  <c r="P45" i="3"/>
  <c r="F46" i="3"/>
  <c r="R45" i="3"/>
  <c r="H46" i="3"/>
  <c r="U17" i="3" l="1"/>
  <c r="H55" i="3"/>
  <c r="H56" i="3"/>
  <c r="H57" i="3"/>
  <c r="H58" i="3"/>
  <c r="E55" i="3"/>
  <c r="E56" i="3"/>
  <c r="E57" i="3"/>
  <c r="E58" i="3"/>
  <c r="I55" i="3"/>
  <c r="I56" i="3"/>
  <c r="I57" i="3"/>
  <c r="I58" i="3"/>
  <c r="F57" i="3"/>
  <c r="F55" i="3"/>
  <c r="F56" i="3"/>
  <c r="F58" i="3"/>
  <c r="G56" i="3"/>
  <c r="G57" i="3"/>
  <c r="G55" i="3"/>
  <c r="G58" i="3"/>
  <c r="U18" i="3"/>
  <c r="T17" i="3"/>
  <c r="K6" i="3"/>
  <c r="K55" i="3"/>
  <c r="K56" i="3"/>
  <c r="K57" i="3"/>
  <c r="J6" i="3"/>
  <c r="J56" i="3"/>
  <c r="J55" i="3"/>
  <c r="J57" i="3"/>
  <c r="I6" i="3"/>
  <c r="I7" i="3" s="1"/>
  <c r="H6" i="3"/>
  <c r="H7" i="3" s="1"/>
  <c r="G6" i="3"/>
  <c r="G7" i="3" s="1"/>
  <c r="F6" i="3"/>
  <c r="F7" i="3" s="1"/>
  <c r="E6" i="3"/>
  <c r="E7" i="3" s="1"/>
  <c r="D6" i="3"/>
  <c r="D7" i="3" s="1"/>
  <c r="D55" i="3"/>
  <c r="D56" i="3"/>
  <c r="D57" i="3"/>
  <c r="C6" i="3"/>
  <c r="C7" i="3" s="1"/>
  <c r="C57" i="3"/>
  <c r="C55" i="3"/>
  <c r="C56" i="3"/>
  <c r="K58" i="3"/>
  <c r="J58" i="3"/>
  <c r="H34" i="3"/>
  <c r="S22" i="3"/>
  <c r="I33" i="3"/>
  <c r="D58" i="3"/>
  <c r="C58" i="3"/>
  <c r="K22" i="3"/>
  <c r="K5" i="3" s="1"/>
  <c r="K7" i="3" s="1"/>
  <c r="K136" i="3"/>
  <c r="J22" i="3"/>
  <c r="J5" i="3" s="1"/>
  <c r="R5" i="3"/>
  <c r="U46" i="3"/>
  <c r="T46" i="3"/>
  <c r="R46" i="3"/>
  <c r="S46" i="3"/>
  <c r="Q46" i="3"/>
  <c r="P46" i="3"/>
  <c r="O46" i="3"/>
  <c r="N46" i="3"/>
  <c r="G54" i="3" l="1"/>
  <c r="F54" i="3"/>
  <c r="F59" i="3" s="1"/>
  <c r="I54" i="3"/>
  <c r="I59" i="3" s="1"/>
  <c r="E54" i="3"/>
  <c r="E59" i="3" s="1"/>
  <c r="H54" i="3"/>
  <c r="H59" i="3" s="1"/>
  <c r="J7" i="3"/>
  <c r="K54" i="3"/>
  <c r="K59" i="3" s="1"/>
  <c r="J54" i="3"/>
  <c r="J59" i="3" s="1"/>
  <c r="D54" i="3"/>
  <c r="D59" i="3" s="1"/>
  <c r="C54" i="3"/>
  <c r="C59" i="3" s="1"/>
  <c r="I34" i="3"/>
  <c r="T22" i="3"/>
  <c r="J33" i="3"/>
  <c r="K33" i="3"/>
  <c r="U22" i="3"/>
  <c r="S5" i="3"/>
  <c r="S6" i="3"/>
  <c r="G59" i="3"/>
  <c r="R6" i="3"/>
  <c r="R7" i="3"/>
  <c r="Q6" i="3"/>
  <c r="Q7" i="3"/>
  <c r="P6" i="3"/>
  <c r="O6" i="3"/>
  <c r="N6" i="3"/>
  <c r="S7" i="3" l="1"/>
  <c r="T6" i="3"/>
  <c r="J34" i="3"/>
  <c r="K34" i="3"/>
  <c r="P7" i="3"/>
  <c r="U5" i="3"/>
  <c r="T5" i="3"/>
  <c r="O7" i="3"/>
  <c r="N7" i="3"/>
  <c r="E81" i="25" l="1"/>
  <c r="E89" i="25"/>
  <c r="E76" i="25"/>
  <c r="E84" i="25"/>
  <c r="D91" i="25"/>
  <c r="E77" i="25"/>
  <c r="E80" i="25"/>
  <c r="E79" i="25"/>
  <c r="E82" i="25"/>
  <c r="E83" i="25"/>
  <c r="E78" i="25"/>
  <c r="E86" i="25"/>
  <c r="E85" i="25"/>
  <c r="E88" i="25"/>
  <c r="L91" i="25"/>
  <c r="E87" i="25"/>
  <c r="E75" i="25"/>
  <c r="L90" i="25"/>
  <c r="E90" i="25"/>
  <c r="E74" i="25"/>
  <c r="D90" i="25"/>
  <c r="T7" i="3" l="1"/>
  <c r="U6" i="3"/>
  <c r="U7" i="3"/>
  <c r="E91" i="25"/>
  <c r="P19" i="3"/>
  <c r="Q20" i="3"/>
  <c r="Q18" i="3"/>
  <c r="M19" i="3"/>
  <c r="M20" i="3"/>
  <c r="O20" i="3"/>
  <c r="O18" i="3" l="1"/>
  <c r="N18" i="3"/>
  <c r="P18" i="3"/>
  <c r="Q19" i="3"/>
  <c r="O19" i="3"/>
  <c r="N19" i="3"/>
  <c r="P20" i="3"/>
  <c r="N20" i="3"/>
  <c r="M18" i="3"/>
  <c r="B33" i="3"/>
  <c r="B34" i="3" s="1"/>
  <c r="M22" i="3" l="1"/>
  <c r="M5" i="3" l="1"/>
  <c r="M79" i="3"/>
  <c r="B85" i="3"/>
  <c r="M85" i="3" l="1"/>
  <c r="B67" i="3"/>
  <c r="B96" i="3"/>
  <c r="B101" i="3"/>
  <c r="B100" i="3"/>
  <c r="B93" i="3"/>
  <c r="M325" i="3"/>
  <c r="B326" i="3"/>
  <c r="M326" i="3" s="1"/>
  <c r="B45" i="3"/>
  <c r="B69" i="3" l="1"/>
  <c r="M69" i="3" s="1"/>
  <c r="B99" i="3"/>
  <c r="M67" i="3"/>
  <c r="M45" i="3"/>
  <c r="B46" i="3"/>
  <c r="M46" i="3" l="1"/>
  <c r="B6" i="3"/>
  <c r="B56" i="3"/>
  <c r="B57" i="3"/>
  <c r="B55" i="3"/>
  <c r="B58" i="3"/>
  <c r="M6" i="3" l="1"/>
  <c r="B7" i="3"/>
  <c r="M7" i="3" s="1"/>
  <c r="B54" i="3"/>
  <c r="B59" i="3" s="1"/>
  <c r="D17" i="25"/>
  <c r="B16" i="25"/>
  <c r="D16" i="25" s="1"/>
</calcChain>
</file>

<file path=xl/sharedStrings.xml><?xml version="1.0" encoding="utf-8"?>
<sst xmlns="http://schemas.openxmlformats.org/spreadsheetml/2006/main" count="1420" uniqueCount="460">
  <si>
    <t>Hors robinetterie sanitaire de collectivités</t>
  </si>
  <si>
    <t>Le segment "bidets" est par défaut considéré comme négligeable</t>
  </si>
  <si>
    <t xml:space="preserve"> - Cuisine</t>
  </si>
  <si>
    <t>Total</t>
  </si>
  <si>
    <t>n/d</t>
  </si>
  <si>
    <t>Grohe</t>
  </si>
  <si>
    <t>Mitigeurs</t>
  </si>
  <si>
    <t>Mélangeurs</t>
  </si>
  <si>
    <t>Classique</t>
  </si>
  <si>
    <t>Contemporain</t>
  </si>
  <si>
    <t>Rétro</t>
  </si>
  <si>
    <t>Δ 13-14</t>
  </si>
  <si>
    <t>Δ 14-15</t>
  </si>
  <si>
    <t>Δ 15-16</t>
  </si>
  <si>
    <t>Unité : milliers d'unités</t>
  </si>
  <si>
    <t>Source : estimations et prévisions du secteur et de MSI</t>
  </si>
  <si>
    <t>PDM 13</t>
  </si>
  <si>
    <t>PDM 14</t>
  </si>
  <si>
    <t>PDM 15</t>
  </si>
  <si>
    <t>PDM 16</t>
  </si>
  <si>
    <t>Marge nette</t>
  </si>
  <si>
    <t>Chiffre d'affaires</t>
  </si>
  <si>
    <t>Résultat net</t>
  </si>
  <si>
    <t>Note : l’exercice financier se termine en décembre</t>
  </si>
  <si>
    <t>Unité : milliers d'€</t>
  </si>
  <si>
    <t>Unité : millions d'€</t>
  </si>
  <si>
    <t>Ensembliers sanitaires</t>
  </si>
  <si>
    <t>Chrome</t>
  </si>
  <si>
    <t>Noir ou blanc</t>
  </si>
  <si>
    <t>Allemagne</t>
  </si>
  <si>
    <t>Italie</t>
  </si>
  <si>
    <t>Chine</t>
  </si>
  <si>
    <t>Espagne</t>
  </si>
  <si>
    <t>Bulgarie</t>
  </si>
  <si>
    <t>Suisse</t>
  </si>
  <si>
    <t>Retour France</t>
  </si>
  <si>
    <t>Autres pays</t>
  </si>
  <si>
    <t>Notes : ces données se rapportent au code 84818011 ("Mélangeurs et mitigeurs sanitaires") dans la nomenclature des douanes françaises</t>
  </si>
  <si>
    <t>Données brutes de collecte, CAF-FAB hors matériel militaire</t>
  </si>
  <si>
    <t>Russie</t>
  </si>
  <si>
    <t>Royaume-Uni</t>
  </si>
  <si>
    <t>Belgique</t>
  </si>
  <si>
    <t>Nouvelle Calédonie</t>
  </si>
  <si>
    <t>Emirats Arabes Unis</t>
  </si>
  <si>
    <t>Maroc</t>
  </si>
  <si>
    <t>Pays-Bas</t>
  </si>
  <si>
    <t>Gabon</t>
  </si>
  <si>
    <t>Suède</t>
  </si>
  <si>
    <t>Autriche</t>
  </si>
  <si>
    <t>Pologne</t>
  </si>
  <si>
    <t xml:space="preserve"> - Maisons individuelles</t>
  </si>
  <si>
    <t>Entretien-rénovation de logements :</t>
  </si>
  <si>
    <t>Construction neuve de logements :</t>
  </si>
  <si>
    <t>Secteur non-résidentiel</t>
  </si>
  <si>
    <t xml:space="preserve"> - Lavabos/vasques et lave-mains</t>
  </si>
  <si>
    <t>Australie</t>
  </si>
  <si>
    <t>Hong-Kong</t>
  </si>
  <si>
    <t>Danemark</t>
  </si>
  <si>
    <t>Tunisie</t>
  </si>
  <si>
    <t>Arabie Saoudite</t>
  </si>
  <si>
    <t>Côte d'Ivoire</t>
  </si>
  <si>
    <t>Algérie</t>
  </si>
  <si>
    <t>Portugal</t>
  </si>
  <si>
    <t>Notes : ces données se rapportent au code 84818019 ("Robinetterie sanitaire (sauf mélangeurs et mitigeurs)") dans la nomenclature des douanes françaises</t>
  </si>
  <si>
    <t>Kohler (Jacob Delafon)</t>
  </si>
  <si>
    <t>Hansgrohe (Hansgrohe, Axor)</t>
  </si>
  <si>
    <t xml:space="preserve"> - dont export</t>
  </si>
  <si>
    <t>Source : Registre National du Commerce et des Sociétés</t>
  </si>
  <si>
    <t>Notes : l’exercice financier se termine en décembre</t>
  </si>
  <si>
    <t>Le chiffre d'affaires à l'export est nul ou peu significatif</t>
  </si>
  <si>
    <t>Milieu de gamme (100 à 199 €)</t>
  </si>
  <si>
    <t>Turquie</t>
  </si>
  <si>
    <t>Ukraine</t>
  </si>
  <si>
    <t>Robinetterie sanitaire (sauf mélangeurs et mitigeurs)</t>
  </si>
  <si>
    <t>Mélangeurs et mitigeurs</t>
  </si>
  <si>
    <t>€/tonne</t>
  </si>
  <si>
    <t>Source : analyse MSI des données des Douanes Françaises</t>
  </si>
  <si>
    <t>Haut de gamme et luxe (plus de 200 €)</t>
  </si>
  <si>
    <t>Mitigeurs thermostatiques</t>
  </si>
  <si>
    <t xml:space="preserve"> - Logements collectifs</t>
  </si>
  <si>
    <t>Total :</t>
  </si>
  <si>
    <t>Sans douchette</t>
  </si>
  <si>
    <t>Avec douchette</t>
  </si>
  <si>
    <t>Unité : % du total en valeur</t>
  </si>
  <si>
    <t>Autres (a)</t>
  </si>
  <si>
    <t xml:space="preserve">Volume </t>
  </si>
  <si>
    <t>Valeur</t>
  </si>
  <si>
    <t>Unités : milliers d'€, tonnes</t>
  </si>
  <si>
    <t xml:space="preserve">Valeur </t>
  </si>
  <si>
    <t>PDM</t>
  </si>
  <si>
    <t>Norvège</t>
  </si>
  <si>
    <t>Total marché (valeur)</t>
  </si>
  <si>
    <t>Total marché (volume)</t>
  </si>
  <si>
    <t xml:space="preserve">Prix moyen </t>
  </si>
  <si>
    <t>PDM 17</t>
  </si>
  <si>
    <t>Δ 16-17</t>
  </si>
  <si>
    <t>Unités : milliers d'unités et % du total</t>
  </si>
  <si>
    <t>PDM 18</t>
  </si>
  <si>
    <t>PDM 19</t>
  </si>
  <si>
    <t>Δ 17-18</t>
  </si>
  <si>
    <t>Δ 18-19</t>
  </si>
  <si>
    <t>Note : le segment "bidets" est par défaut considéré comme négligeable</t>
  </si>
  <si>
    <t>Note : les ventes de robinetterie électronique au secteur résidentiel sont par défaut considérées comme négligeables</t>
  </si>
  <si>
    <t>Résidences principales :</t>
  </si>
  <si>
    <t xml:space="preserve"> - Logements individuels</t>
  </si>
  <si>
    <t>Résidences secondaires :</t>
  </si>
  <si>
    <t>Logements vacants :</t>
  </si>
  <si>
    <t>Note : France métropolitaine uniquement</t>
  </si>
  <si>
    <t>Logements individuels</t>
  </si>
  <si>
    <t>Logements collectifs</t>
  </si>
  <si>
    <t>Ensemble</t>
  </si>
  <si>
    <t>Logements occupés par leur(s) propriétaire(s)</t>
  </si>
  <si>
    <t>Parc locatif (ensemble), dont :</t>
  </si>
  <si>
    <t xml:space="preserve">  - Secteur privé</t>
  </si>
  <si>
    <t xml:space="preserve">  - Secteur social</t>
  </si>
  <si>
    <t>Ensemble des logements</t>
  </si>
  <si>
    <t>Unité : % du total</t>
  </si>
  <si>
    <t>Propriétaires occupants :</t>
  </si>
  <si>
    <t xml:space="preserve"> - Non accédants</t>
  </si>
  <si>
    <t xml:space="preserve"> - Accédants</t>
  </si>
  <si>
    <t>Locataires :</t>
  </si>
  <si>
    <t>1 ou 2 pièces</t>
  </si>
  <si>
    <t>3 pièces</t>
  </si>
  <si>
    <t>4 pièces</t>
  </si>
  <si>
    <t>5 pièces</t>
  </si>
  <si>
    <t>6 pièces ou plus</t>
  </si>
  <si>
    <t>Unité : m²</t>
  </si>
  <si>
    <t>Logements individuels :</t>
  </si>
  <si>
    <t xml:space="preserve"> - Logements individuels purs</t>
  </si>
  <si>
    <t xml:space="preserve"> - Logements individuels groupés</t>
  </si>
  <si>
    <t>Logements en résidence</t>
  </si>
  <si>
    <t>Unité : nombre de logements autorisés au cours des 12 derniers mois (pour un mois donné)</t>
  </si>
  <si>
    <t>Notes : comprend également les travaux d'extension de logements existants ayant fait l'objet d'un permis de construire</t>
  </si>
  <si>
    <t>France entière (France métropolitaine et DROM)</t>
  </si>
  <si>
    <t>Source : Sit@del2, CGDD/SOeS</t>
  </si>
  <si>
    <t>Unité : nombre de logements mis en chantier au cours des 12 derniers mois (pour un mois donné)</t>
  </si>
  <si>
    <t>Unité : surface de l'ensemble des logements mis en chantier au cours des 12 derniers mois (pour un mois donné), en m²</t>
  </si>
  <si>
    <t>Source : SOeS, Sit@del2</t>
  </si>
  <si>
    <t>Hébergement hôtelier</t>
  </si>
  <si>
    <t>Bureaux</t>
  </si>
  <si>
    <t>Locaux commerciaux</t>
  </si>
  <si>
    <t>Bâtiments industriels</t>
  </si>
  <si>
    <t>Exploitations agricoles ou forestières</t>
  </si>
  <si>
    <t>Entrepôts</t>
  </si>
  <si>
    <t xml:space="preserve"> - Transport</t>
  </si>
  <si>
    <t xml:space="preserve"> - Enseignement et recherche</t>
  </si>
  <si>
    <t xml:space="preserve"> - Santé</t>
  </si>
  <si>
    <t xml:space="preserve"> - Action sociale</t>
  </si>
  <si>
    <t xml:space="preserve"> - Ouvrages spéciaux</t>
  </si>
  <si>
    <t xml:space="preserve"> - Culture et loisirs</t>
  </si>
  <si>
    <t>Unité : m² (surface mise en chantier au cours des 12 derniers mois, pour un mois donné)</t>
  </si>
  <si>
    <t>Notes : la réforme intervenue au 1er mars 2012 crée le concept de surface de plancher en lieu et place des précédentes SHON et SHOB. Les résultats diffusés dans ce tableau sont exprimés en surface de plancher sur l'ensemble de la période.</t>
  </si>
  <si>
    <t>Nombre de mise en vente :</t>
  </si>
  <si>
    <t>Nombre de logements réservés :</t>
  </si>
  <si>
    <t>Encours en fin d'année :</t>
  </si>
  <si>
    <t>Unité : nombre de logements mis en vente ou réservés au cours de l'année, encours de logements proposés à la vente en fin d'année</t>
  </si>
  <si>
    <t>Source : SOeS, ECLN</t>
  </si>
  <si>
    <t>Nombre de ventes au cours du mois</t>
  </si>
  <si>
    <t>Cumul des ventes sur les 12 derniers mois</t>
  </si>
  <si>
    <t>Unités : nombre de logements, % d'évolution</t>
  </si>
  <si>
    <t>Note : l'indicateur Markémétron/UMF mesure l'évolution des ventes brutes par les constructeurs de maisons individuelles, soit 3 à 4 mois en amont des permis de construire et 5 à 8 mois en amont des ouvertures de chantier.</t>
  </si>
  <si>
    <t>Source : Caron Marketing/ Union des Maisons Françaises</t>
  </si>
  <si>
    <t>Nombre de transactions</t>
  </si>
  <si>
    <t>Unités : nombre de transactions réalisées au cours des 12 derniers mois pour un mois donné, % de variation par rapport à la même période un an auparavant</t>
  </si>
  <si>
    <t>Source : CGEDD d'après DGFiP (MEDOC) et bases notariales</t>
  </si>
  <si>
    <t>Madagascar</t>
  </si>
  <si>
    <t>Volume</t>
  </si>
  <si>
    <t>Finlande</t>
  </si>
  <si>
    <t>Nouvelle-Zélande</t>
  </si>
  <si>
    <t>Roumanie</t>
  </si>
  <si>
    <t>Robinetterie domestique :</t>
  </si>
  <si>
    <t>Robinetterie de collectivités</t>
  </si>
  <si>
    <t>Unités : millions d'€ et % du total</t>
  </si>
  <si>
    <t>Païni</t>
  </si>
  <si>
    <t xml:space="preserve">Spécialistes Robinetterie </t>
  </si>
  <si>
    <t>Spécialistes Robinetterie haut de gamme</t>
  </si>
  <si>
    <t xml:space="preserve">6) Tableau : </t>
  </si>
  <si>
    <t xml:space="preserve">7) Tableau : </t>
  </si>
  <si>
    <t xml:space="preserve">8) Tableau : </t>
  </si>
  <si>
    <t xml:space="preserve">9) Tableau : </t>
  </si>
  <si>
    <t>II) Tableau :</t>
  </si>
  <si>
    <t xml:space="preserve">Notes : les logements commercialisés par les promoteurs immobiliers correspondent à des logements collectifs et à des logements individuels "groupés" (ce qui exclut les logements individuels "purs", dont la construction passe le plus souvent par des constructeurs de maisons individuelles). </t>
  </si>
  <si>
    <t>Comprend également les ventes de logements dont la construction n’est pas achevée.</t>
  </si>
  <si>
    <t xml:space="preserve">V) Tableau : </t>
  </si>
  <si>
    <t>Evolution des ventes (12 derniers mois / 12 mois mois précédents)</t>
  </si>
  <si>
    <t>Construction de Bâtiments Non-Résidentiels</t>
  </si>
  <si>
    <t>Artisanat</t>
  </si>
  <si>
    <t>Bâtiment de service public ou d’intérêt collectif :</t>
  </si>
  <si>
    <t xml:space="preserve">10) Tableau : </t>
  </si>
  <si>
    <t xml:space="preserve">VI) Tableau : </t>
  </si>
  <si>
    <t>Logements occupés par leurs propriétaires</t>
  </si>
  <si>
    <t>Parc locatif privé</t>
  </si>
  <si>
    <t>Parc locatif social</t>
  </si>
  <si>
    <t>106</t>
  </si>
  <si>
    <t>72</t>
  </si>
  <si>
    <t>99</t>
  </si>
  <si>
    <t>85</t>
  </si>
  <si>
    <t>57</t>
  </si>
  <si>
    <t>64</t>
  </si>
  <si>
    <t>87</t>
  </si>
  <si>
    <t>52</t>
  </si>
  <si>
    <t>63</t>
  </si>
  <si>
    <t>80</t>
  </si>
  <si>
    <t>66</t>
  </si>
  <si>
    <t>102</t>
  </si>
  <si>
    <t>61</t>
  </si>
  <si>
    <t xml:space="preserve">France entière (France métropolitaine et DROM, hors Mayotte). </t>
  </si>
  <si>
    <t>Parc de Logements en France : Surface Moyenne des Résidences Principales, par Type de Logement et selon le Type d’Occupant, 2011</t>
  </si>
  <si>
    <t>Δ 19-20</t>
  </si>
  <si>
    <t>Δ 20-21</t>
  </si>
  <si>
    <t>Δ 21-22</t>
  </si>
  <si>
    <t>PDM 20</t>
  </si>
  <si>
    <t>PDM 21</t>
  </si>
  <si>
    <t>PDM 22</t>
  </si>
  <si>
    <t>Marché de la Robinetterie Sanitaire Domestique pour Lavabos/Vasques et Lave-Mains en France, par Gamme de Prix, 2017</t>
  </si>
  <si>
    <t>Marché de la Robinetterie Sanitaire Domestique pour Lavabos/Vasques et Lave-Mains en France, par Type, en Volume, 2013-2022</t>
  </si>
  <si>
    <t>Marché de la Robinetterie Sanitaire Domestique pour Douche, Bain et Bain-Douche en France , par Type, en Volume, 2013-2022</t>
  </si>
  <si>
    <t>Marché de la Robinetterie Sanitaire Domestique pour Douche, Bain et Bain-Douche en France, par Gamme de Prix, 2017</t>
  </si>
  <si>
    <t>Marché de la Robinetterie Sanitaire Domestique pour Cuisine en France, par Gamme de Prix, 2017</t>
  </si>
  <si>
    <t>Note : les données en valeur s'entendent à prix fabricants HT, fourniture seule. Les prévisions en valeur s'entendent à prix constants 2017</t>
  </si>
  <si>
    <t>Marché de la Robinetterie Sanitaire Domestique en France, par Secteur Utilisateur, 2013-2017</t>
  </si>
  <si>
    <t>Notes : les données en valeur s'entendent à prix fabricants HT, fourniture seule. Les prévisions en valeur s'entendent à prix constants 2017</t>
  </si>
  <si>
    <t>Parts de Marché des Principaux Fabricants Actifs sur le Marché de la Robinetterie Sanitaire en France, 2017</t>
  </si>
  <si>
    <t>Immobilier : Parc de Logements</t>
  </si>
  <si>
    <t xml:space="preserve">2) Tableau : </t>
  </si>
  <si>
    <t>Parc de Logements en France Métropolitaine, par Type de Logement, 2016</t>
  </si>
  <si>
    <t>Nombre</t>
  </si>
  <si>
    <t>Unité : milliers de logements, % du total, au 1er janvier 2016</t>
  </si>
  <si>
    <t>Source : Insee, SOeS</t>
  </si>
  <si>
    <t xml:space="preserve">3) Tableau : </t>
  </si>
  <si>
    <t>Parc de Résidences Principales en France Métropolitaine, par Type de Logement et par Type d'Occupant, 2016</t>
  </si>
  <si>
    <t xml:space="preserve"> - secteur libre</t>
  </si>
  <si>
    <t xml:space="preserve"> - secteur social</t>
  </si>
  <si>
    <t>Unité : milliers de logements, au 1er juillet 2016</t>
  </si>
  <si>
    <t>Les ménages logés à titre gratuit (par leur famille, leur employeur ou toute autre personne physique ou morale), les crédirentiers et les usufruitiers (hors situation de donation ou de succession) sont compris dans la catégorie des "locataires"</t>
  </si>
  <si>
    <t>En revanche, les usufruitiers à la suite de donation ou de succession sont classés dans la filière des propriétaires non-accédants</t>
  </si>
  <si>
    <t>Source : Comptes du Logement (édition de décembre 2016)</t>
  </si>
  <si>
    <t xml:space="preserve">4) Tableau : </t>
  </si>
  <si>
    <t>Parc de Logements en France, par Ancienneté, 2013</t>
  </si>
  <si>
    <t>1984-1994</t>
  </si>
  <si>
    <t>1995-2005</t>
  </si>
  <si>
    <t>2006-2013</t>
  </si>
  <si>
    <t>Parts de marché</t>
  </si>
  <si>
    <t>Source : MEDDE - SOeS</t>
  </si>
  <si>
    <t xml:space="preserve">5) Tableau : </t>
  </si>
  <si>
    <t>Parc de Logements en France, selon le Nombre de Pièces, 2013</t>
  </si>
  <si>
    <t>Parc locatif (ensemble)</t>
  </si>
  <si>
    <t>Source : MEDDE - SOeS, Filocom</t>
  </si>
  <si>
    <t>Source : MEDDE - SOeS Filocom 2011</t>
  </si>
  <si>
    <t>Immobilier : Construction Neuve</t>
  </si>
  <si>
    <t>I) Tableau :</t>
  </si>
  <si>
    <t>Nombre de Logements Autorisés en France au cours des 12 derniers mois, par Type de Logement, 2010-2017</t>
  </si>
  <si>
    <t>Nombre de Logements Commencés en France au cours des 12 derniers mois, par Type de Logement, 2010-2017</t>
  </si>
  <si>
    <t>Surface des Logements Commencés en France au cours des 12 derniers mois, par Type de Logement, 2010-2017</t>
  </si>
  <si>
    <t>Immobilier : Promotion immobilière</t>
  </si>
  <si>
    <t xml:space="preserve">III) Tableau : </t>
  </si>
  <si>
    <t>Commercialisation de Logements Neufs par les Promoteurs Immobiliers en France, par Type de Logement, 2000-2016</t>
  </si>
  <si>
    <t>Ventes de Logements Neufs au Détail (Ventes Brutes) par les Promoteurs Immobiliers en France, 2001-2016</t>
  </si>
  <si>
    <t>Ventes au titre de l'investissement locatif</t>
  </si>
  <si>
    <t>Ventes au titre de l'accession à la propriété</t>
  </si>
  <si>
    <t>Unité : nombre de logements réservés à la vente</t>
  </si>
  <si>
    <t>Notes : ventes brutes : réservations à la vente avec dépôts d'arrhes (source : CGDD). À la différence des ventes nettes, les ventes brutes ne tiennent pas compte des désistements</t>
  </si>
  <si>
    <t>Source : Fédération des Promoteurs Immobiliers (FPI)</t>
  </si>
  <si>
    <t xml:space="preserve">IV) Tableau : </t>
  </si>
  <si>
    <t>Ventes de Logements Neufs par les Promoteurs Immobiliers en France, 2015-2016</t>
  </si>
  <si>
    <t>Ventes au détail (ventes nettes) :</t>
  </si>
  <si>
    <t xml:space="preserve"> - Ventes au titre de l'investissement locatif</t>
  </si>
  <si>
    <t xml:space="preserve"> - Ventes au titre de l'accession à la propriété</t>
  </si>
  <si>
    <t>Ventes en bloc</t>
  </si>
  <si>
    <t>Ventes de résidences services (a)</t>
  </si>
  <si>
    <t>Unité : nombre de logements</t>
  </si>
  <si>
    <t>Notes : (a) = échantillon</t>
  </si>
  <si>
    <t>Données redressées</t>
  </si>
  <si>
    <t>Surface Moyenne et Prix de Vente Moyen des Logements Collectifs Neufs Vendus par les Promoteurs Immobiliers en France, selon le Nombre de Pièces, 2016</t>
  </si>
  <si>
    <t>Studio</t>
  </si>
  <si>
    <t>2 pièces</t>
  </si>
  <si>
    <t>Surface habitable moyenne</t>
  </si>
  <si>
    <t>29,3 m²</t>
  </si>
  <si>
    <t>43,0 m²</t>
  </si>
  <si>
    <t>63,4 m²</t>
  </si>
  <si>
    <t>84,2 m²</t>
  </si>
  <si>
    <t>107,8 m²</t>
  </si>
  <si>
    <t>Prix de vente moyen</t>
  </si>
  <si>
    <t>Notes : les données ci-dessus s'entendent pour les logements vendus au cours du 3ème trimestre 2016</t>
  </si>
  <si>
    <t>Hors parking, France entière</t>
  </si>
  <si>
    <t>Immobilier : Autres Indicateurs</t>
  </si>
  <si>
    <t>Ventes de Maisons Individuelles Neuves en Secteur Diffus en France (Indicateur Markémétron), 2010-2016</t>
  </si>
  <si>
    <t>Transactions de Logements Anciens en France, 2010-2017</t>
  </si>
  <si>
    <t>Mises en Chantier de Bâtiments Non-Résidentiels en France, par Secteur, 2010-2017</t>
  </si>
  <si>
    <t>La notion de « local artisanal » a été introduite en octobre 2007 lors de la réforme du droit des sols, et Sit@del2 prend dorénavant en compte l’artisanat de manière spécifique. Auparavant, les superficies de locaux artisanaux étaient comprises dans les données sur les bâtiments industriels et les commerces</t>
  </si>
  <si>
    <t>Les données ci-dessus s'entendent pour la France entière (France métropolitaine et DROM, hors Mayotte) et sont exprimées non pas en date réelle mais en date de prise en compte dans la base de données</t>
  </si>
  <si>
    <t>Données Financières d'Hansgrohe, 2003-2017</t>
  </si>
  <si>
    <t>Marché de la Robinetterie Sanitaire en France, 2013-2022</t>
  </si>
  <si>
    <t>Marché de la Robinetterie Sanitaire en France, par Application, en Volume, 2013-2022</t>
  </si>
  <si>
    <t>Marché de la Robinetterie Sanitaire en France, par Application, en Valeur, 2013-2022</t>
  </si>
  <si>
    <t>2016 (a)</t>
  </si>
  <si>
    <t>Notes : l’exercice financier se termine en décembre jusqu'en 2015, puis mars en 2016</t>
  </si>
  <si>
    <t>(a) exercice financier de 15 mois</t>
  </si>
  <si>
    <t>Données Financières de Grohe, 2003-2016</t>
  </si>
  <si>
    <t>Données Financières d'Ideal Standard France, 2003-2016</t>
  </si>
  <si>
    <t>Données Financières de Kohler France, 2003-2016</t>
  </si>
  <si>
    <t>Données Financières de Roca, 2003-2016</t>
  </si>
  <si>
    <t>Données Financières d'Hansa France, 2003-2016</t>
  </si>
  <si>
    <t>Données Financières d'Hansgrohe Wasselonne, 2004-2016</t>
  </si>
  <si>
    <t>Données Financières de Noyon et Thiebault, 2013-2015</t>
  </si>
  <si>
    <t>Données Financières de Païni France, 2003-2016</t>
  </si>
  <si>
    <t>Données Financières de Robinetterie R. Hammel, 2004-2016</t>
  </si>
  <si>
    <t>Données Financières d'Ets Tétard Haudiquez Grisoni, 2003-2016</t>
  </si>
  <si>
    <t>Données Financières d'Horus, 2001-2015</t>
  </si>
  <si>
    <t>Inde</t>
  </si>
  <si>
    <t>Δ16-17</t>
  </si>
  <si>
    <t>Importations Françaises de Mélangeurs et Mitigeurs Sanitaires, par Pays d'Origine, 2016-2017</t>
  </si>
  <si>
    <t>Etats-Unis d'Amérique</t>
  </si>
  <si>
    <t>Polynésie française</t>
  </si>
  <si>
    <t>République tchèque</t>
  </si>
  <si>
    <t>Exportations Françaises de Mélangeurs et Mitigeurs Sanitaires, par Pays de Destination, 2016-2017</t>
  </si>
  <si>
    <t>Pakistan</t>
  </si>
  <si>
    <t>Pérou</t>
  </si>
  <si>
    <t>Irlande</t>
  </si>
  <si>
    <t>Qatar</t>
  </si>
  <si>
    <t>Importations Françaises de Robinetterie Sanitaire (sauf Mélangeurs et Mitigeurs), par Pays d'Origine, 2016-2017</t>
  </si>
  <si>
    <t>Exportations Françaises de Robinetterie Sanitaire (sauf Mélangeurs et Mitigeurs), par Pays de Destination, 2016-2017</t>
  </si>
  <si>
    <t>Hongrie</t>
  </si>
  <si>
    <t>Parts de Marché des Principaux Fabricants Actifs sur le Marché de la Robinetterie Sanitaire de Collectivités en France, 2017</t>
  </si>
  <si>
    <t>Delabie</t>
  </si>
  <si>
    <t>Autres (Schell, Franke, Grohe, etc.)</t>
  </si>
  <si>
    <t>Robinetterie sanitaire domestique</t>
  </si>
  <si>
    <t>Marché de la Robinetterie Sanitaire Domestique en France, 2013-2022</t>
  </si>
  <si>
    <t>Marché de la Robinetterie Sanitaire Domestique en France, par Type de Travaux et par Type de Logement, 2013-2017</t>
  </si>
  <si>
    <t xml:space="preserve">Secteur résidentiel </t>
  </si>
  <si>
    <t>Marché de la Robinetterie Sanitaire Domestique pour Lavabos/Vasques et Lave-Mains en France, par Type, en Valeur, 2017</t>
  </si>
  <si>
    <t>Milieu de gamme (60 à 150 €)</t>
  </si>
  <si>
    <t>Haut de gamme et luxe (plus de 150 €)</t>
  </si>
  <si>
    <t>Marché de la Robinetterie Sanitaire Domestique pour Lavabos/Vasques et Lave-Mains en France, par Style, 2017</t>
  </si>
  <si>
    <t>Marché de la Robinetterie Sanitaire Domestique pour Lavabos/Vasques et Lave-Mains en France, par Type de Coloris, 2017</t>
  </si>
  <si>
    <t>Marché de la Robinetterie Sanitaire Domestique pour Douche, Bain et Bain-Douche en France, par Type, en Valeur, 2017</t>
  </si>
  <si>
    <t>Entrée de gamme (moins de 50 €)</t>
  </si>
  <si>
    <t>Milieu de gamme (50 à 150 €)</t>
  </si>
  <si>
    <t>Marché de la Robinetterie Sanitaire Domestique pour Douche, Bain et Bain-douche en France, par Style, 2017</t>
  </si>
  <si>
    <t>Robinets pour lavabos/vasques et lave-mains</t>
  </si>
  <si>
    <t>Robinets pour douche, bain et bain-douche</t>
  </si>
  <si>
    <t>Robinets pour cuisine</t>
  </si>
  <si>
    <t>Marché de la Robinetterie Sanitaire Domestique pour Cuisine en France, par Type, en Valeur, 2017</t>
  </si>
  <si>
    <t>Marché de la Robinetterie Sanitaire Domestique pour Cuisine en France en Volume : Mitigeurs, par Type (avec ou sans Douchette), 2017</t>
  </si>
  <si>
    <t>Marché de la Robinetterie Sanitaire Domestique pour Cuisine en France en Valeur : Mitigeurs, par Type (avec ou sans Douchette), 2017</t>
  </si>
  <si>
    <t>Entrée de gamme (moins de 100 €)</t>
  </si>
  <si>
    <t>Marché de la Robinetterie Sanitaire Domestique pour Cuisine en France, par Style, 2017</t>
  </si>
  <si>
    <t>Marché de la Robinetterie Sanitaire de Collectivités en France, 2013-2022</t>
  </si>
  <si>
    <t>Marché de la Robinetterie Sanitaire de Collectivités en France, par Type, 2013-2022</t>
  </si>
  <si>
    <t>Mitigeurs temporisés</t>
  </si>
  <si>
    <t>Robinets temporisés</t>
  </si>
  <si>
    <t>Mitigeurs électroniques</t>
  </si>
  <si>
    <t>Marché de la Robinetterie Sanitaire de Collectivités en France, par Secteur Utilisateur, 2013-2022</t>
  </si>
  <si>
    <t>Secteur public</t>
  </si>
  <si>
    <t>Secteur privé</t>
  </si>
  <si>
    <t xml:space="preserve"> - Douche, bain et bain-douche</t>
  </si>
  <si>
    <t>Ideal Standard (Ideal Standard, Porcher)</t>
  </si>
  <si>
    <t>Franke</t>
  </si>
  <si>
    <t>Roca (Roca, Laufen, Zoom)</t>
  </si>
  <si>
    <t>Nobili (Nobili, Superinox)</t>
  </si>
  <si>
    <t>Notes : (a) = dont imports Chine et MDD</t>
  </si>
  <si>
    <t>Entrée de gamme (moins de 60 €)</t>
  </si>
  <si>
    <t xml:space="preserve">65) Tableau : </t>
  </si>
  <si>
    <t xml:space="preserve">66) Tableau : </t>
  </si>
  <si>
    <t xml:space="preserve">67) Tableau : </t>
  </si>
  <si>
    <t xml:space="preserve">68) Tableau : </t>
  </si>
  <si>
    <t>Données Financières de Franke France, 2004-2017</t>
  </si>
  <si>
    <t xml:space="preserve">69) Tableau : </t>
  </si>
  <si>
    <t xml:space="preserve">71) Tableau : </t>
  </si>
  <si>
    <t xml:space="preserve">72) Tableau : </t>
  </si>
  <si>
    <t xml:space="preserve">70) Tableau : </t>
  </si>
  <si>
    <t xml:space="preserve">73) Tableau : </t>
  </si>
  <si>
    <t>Données Financières d'Ondyna, 2004-2017</t>
  </si>
  <si>
    <t xml:space="preserve">74) Tableau : </t>
  </si>
  <si>
    <t xml:space="preserve">75) Tableau : </t>
  </si>
  <si>
    <t xml:space="preserve">76) Tableau : </t>
  </si>
  <si>
    <t xml:space="preserve">63) Tableau : </t>
  </si>
  <si>
    <t>Source : estimations du secteur et de MSI Reports</t>
  </si>
  <si>
    <t>Les Robinets Presto</t>
  </si>
  <si>
    <t>≈ 23%</t>
  </si>
  <si>
    <t>≈ 17%</t>
  </si>
  <si>
    <t>≈ 10%</t>
  </si>
  <si>
    <t>≈ 5%</t>
  </si>
  <si>
    <t>≈ 25%</t>
  </si>
  <si>
    <t xml:space="preserve">64) Tableau : </t>
  </si>
  <si>
    <t>Source : analyse MSI Reports des données des Douanes Françaises</t>
  </si>
  <si>
    <t xml:space="preserve"> 50, 51) Tableaux :</t>
  </si>
  <si>
    <t>52, 53) Tableaux :</t>
  </si>
  <si>
    <t>Source : estimations et prévisions du secteur et de MSI Reports</t>
  </si>
  <si>
    <t>Autres*</t>
  </si>
  <si>
    <t>Note : * = dont couleurs, aspect brossé etc.</t>
  </si>
  <si>
    <t>Unités : milliers d'unités, millions d'€ HT,  € HT</t>
  </si>
  <si>
    <t>Unités : milliers d'unités, millions d'€ HT, € HT</t>
  </si>
  <si>
    <t>Marché de la Robinetterie Sanitaire Domestique pour Cuisine en France, par Type, en Volume, 2013-2022</t>
  </si>
  <si>
    <t xml:space="preserve">15, 16) Tableaux : </t>
  </si>
  <si>
    <t xml:space="preserve">17, 19) Tableaux : </t>
  </si>
  <si>
    <t xml:space="preserve">18, 20) Tableaux : </t>
  </si>
  <si>
    <t xml:space="preserve">21, 22) Tableaux : </t>
  </si>
  <si>
    <t xml:space="preserve">23, 24) Tableaux : </t>
  </si>
  <si>
    <t xml:space="preserve">25) Tableau : </t>
  </si>
  <si>
    <t xml:space="preserve">26, 28) Tableaux : </t>
  </si>
  <si>
    <t xml:space="preserve">27) Tableau : </t>
  </si>
  <si>
    <t xml:space="preserve">29) Tableau : </t>
  </si>
  <si>
    <t xml:space="preserve">30) Tableau : </t>
  </si>
  <si>
    <t xml:space="preserve">31) Tableau : </t>
  </si>
  <si>
    <t xml:space="preserve">32, 34) Tableaux : </t>
  </si>
  <si>
    <t xml:space="preserve">33) Tableau : </t>
  </si>
  <si>
    <t xml:space="preserve">35) Tableau : </t>
  </si>
  <si>
    <t xml:space="preserve">36) Tableau : </t>
  </si>
  <si>
    <t xml:space="preserve">38) Tableau : </t>
  </si>
  <si>
    <t xml:space="preserve">37, 39) Tableaux : </t>
  </si>
  <si>
    <t xml:space="preserve">40) Tableau : </t>
  </si>
  <si>
    <t xml:space="preserve">41) Tableau : </t>
  </si>
  <si>
    <t xml:space="preserve">42) Tableau : </t>
  </si>
  <si>
    <t xml:space="preserve">43) Tableau : </t>
  </si>
  <si>
    <t xml:space="preserve">44, 45) Tableaux : </t>
  </si>
  <si>
    <t xml:space="preserve">46, 47) Tableaux : </t>
  </si>
  <si>
    <t xml:space="preserve">48, 49) Tableaux : </t>
  </si>
  <si>
    <t>VII) Tableau :</t>
  </si>
  <si>
    <t>VIII) Tableau :</t>
  </si>
  <si>
    <t xml:space="preserve">77) Tableau : </t>
  </si>
  <si>
    <t xml:space="preserve">78) Tableau : </t>
  </si>
  <si>
    <t>Note : les segments tarifaires ci-dessus s’entendent à prix publics TTC</t>
  </si>
  <si>
    <t>Fabricants / Importateurs</t>
  </si>
  <si>
    <t>Distribution Professionnelle</t>
  </si>
  <si>
    <t>Distribution Grand Public</t>
  </si>
  <si>
    <t>Spécialistes</t>
  </si>
  <si>
    <t>Vente en ligne</t>
  </si>
  <si>
    <t>Coopératives d'artisans</t>
  </si>
  <si>
    <t>Grossistes sanitaires</t>
  </si>
  <si>
    <t>Négoces généralistes</t>
  </si>
  <si>
    <t>Bricolage</t>
  </si>
  <si>
    <t>Equipement</t>
  </si>
  <si>
    <t>Bainistes</t>
  </si>
  <si>
    <t>Cuisinistes</t>
  </si>
  <si>
    <t>GSB/MSB, GSS, discounters</t>
  </si>
  <si>
    <t>GSE, Jeune habitat</t>
  </si>
  <si>
    <r>
      <t>Artisans-poseurs</t>
    </r>
    <r>
      <rPr>
        <sz val="7"/>
        <rFont val="Century Gothic"/>
        <family val="2"/>
      </rPr>
      <t xml:space="preserve"> (plombiers etc.)</t>
    </r>
  </si>
  <si>
    <r>
      <t>Clients Finaux</t>
    </r>
    <r>
      <rPr>
        <sz val="7.5"/>
        <rFont val="Century Gothic"/>
        <family val="2"/>
      </rPr>
      <t xml:space="preserve"> (a)</t>
    </r>
  </si>
  <si>
    <t>Note : (a) = particuliers, promoteurs immobiliers, entreprises/administrations etc.</t>
  </si>
  <si>
    <r>
      <t>Clients Finaux</t>
    </r>
    <r>
      <rPr>
        <b/>
        <sz val="7.5"/>
        <rFont val="Century Gothic"/>
        <family val="2"/>
      </rPr>
      <t xml:space="preserve"> (a)</t>
    </r>
  </si>
  <si>
    <t>Unité : % du total en volume</t>
  </si>
  <si>
    <t>Notes : (a) = particuliers, promoteurs immobiliers, entreprises/administrations etc.</t>
  </si>
  <si>
    <t>On estime que, dans la distribution professionnelle (négoces), environ 80 à 85% de la robinetterie sanitaire est vendue à des artisans, et environ 15 à 20% à des particuliers</t>
  </si>
  <si>
    <t xml:space="preserve">On estime que, dans la distribution grand public Bricolage (GSB/MSB, discounters), environ 90% de la robinetterie sanitaire est vendue à des particuliers, et environ 10% à des particuliers. </t>
  </si>
  <si>
    <t>Ces taux ne sont pas applicables à la GSS Lapeyre,</t>
  </si>
  <si>
    <t>Le poids de la vente directe est par défaut considéré comme négligeable</t>
  </si>
  <si>
    <t>Distribution professionnelle</t>
  </si>
  <si>
    <t>Entreprises générales</t>
  </si>
  <si>
    <t>Grossistes sanitaires et autres négoces</t>
  </si>
  <si>
    <r>
      <t>Artisans-poseurs</t>
    </r>
    <r>
      <rPr>
        <sz val="7.5"/>
        <rFont val="Arial"/>
        <family val="2"/>
      </rPr>
      <t xml:space="preserve"> (plombiers etc.)</t>
    </r>
  </si>
  <si>
    <t>Unité : % du total en volume/valeur</t>
  </si>
  <si>
    <t>Note : (a) = État, collectivités territoriales, entreprises, promoteurs immobiliers etc.</t>
  </si>
  <si>
    <t>Source : MSI Reports</t>
  </si>
  <si>
    <t>12) Analyse :</t>
  </si>
  <si>
    <t>58) Tableau :</t>
  </si>
  <si>
    <t>Distribution de Robinetterie Sanitaire dans le Secteur Diffus en France, par Canal, 2017</t>
  </si>
  <si>
    <t>60) Tableau :</t>
  </si>
  <si>
    <t>Distribution de Robinetterie Sanitaire de Collectivités en France, par Canal, 2017</t>
  </si>
  <si>
    <t>Structure de la Distribution de Robinetterie Sanitaire dans le Secteur Diffus en France, par canal, 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</si>
</sst>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 _€_-;\-* #,##0.00\ _€_-;_-* &quot;-&quot;??\ _€_-;_-@_-"/>
    <numFmt numFmtId="164" formatCode="0.0%"/>
    <numFmt numFmtId="165" formatCode="0.0"/>
    <numFmt numFmtId="166" formatCode="#,##0.0"/>
    <numFmt numFmtId="167" formatCode="_-* #,##0.0\ _€_-;\-* #,##0.0\ _€_-;_-* &quot;-&quot;?\ _€_-;_-@_-"/>
    <numFmt numFmtId="168" formatCode="mmm\ yyyy"/>
    <numFmt numFmtId="169" formatCode="_-* #,##0\ _€_-;\-* #,##0\ _€_-;_-* &quot;-&quot;??\ _€_-;_-@_-"/>
    <numFmt numFmtId="170" formatCode="#,##0\ &quot;€&quot;"/>
  </numFmts>
  <fonts count="42">
    <font>
      <sz val="10"/>
      <name val="Arial"/>
    </font>
    <font>
      <sz val="11"/>
      <color theme="1"/>
      <name val="Calibri"/>
      <family val="2"/>
      <scheme val="minor"/>
    </font>
    <font>
      <sz val="10"/>
      <name val="Arial"/>
      <family val="2"/>
    </font>
    <font>
      <sz val="10"/>
      <name val="Century Gothic"/>
      <family val="2"/>
    </font>
    <font>
      <i/>
      <sz val="7"/>
      <name val="Century Gothic"/>
      <family val="2"/>
    </font>
    <font>
      <i/>
      <sz val="6"/>
      <name val="Century Gothic"/>
      <family val="2"/>
    </font>
    <font>
      <sz val="10"/>
      <name val="Arial"/>
      <family val="2"/>
    </font>
    <font>
      <sz val="8"/>
      <name val="Century Gothic"/>
      <family val="2"/>
    </font>
    <font>
      <b/>
      <sz val="8"/>
      <name val="Century Gothic"/>
      <family val="2"/>
    </font>
    <font>
      <i/>
      <sz val="8"/>
      <name val="Century Gothic"/>
      <family val="2"/>
    </font>
    <font>
      <sz val="6"/>
      <name val="Century Gothic"/>
      <family val="2"/>
    </font>
    <font>
      <sz val="7.5"/>
      <name val="Century Gothic"/>
      <family val="2"/>
    </font>
    <font>
      <b/>
      <sz val="8"/>
      <color indexed="56"/>
      <name val="Century Gothic"/>
      <family val="2"/>
    </font>
    <font>
      <b/>
      <sz val="7"/>
      <name val="Century Gothic"/>
      <family val="2"/>
    </font>
    <font>
      <b/>
      <sz val="10"/>
      <name val="Arial"/>
      <family val="2"/>
    </font>
    <font>
      <sz val="7"/>
      <name val="Century Gothic"/>
      <family val="2"/>
    </font>
    <font>
      <b/>
      <sz val="11"/>
      <color indexed="9"/>
      <name val="Century Gothic"/>
      <family val="2"/>
    </font>
    <font>
      <b/>
      <sz val="8"/>
      <color indexed="9"/>
      <name val="Century Gothic"/>
      <family val="2"/>
    </font>
    <font>
      <sz val="8"/>
      <color indexed="10"/>
      <name val="Century Gothic"/>
      <family val="2"/>
    </font>
    <font>
      <sz val="7"/>
      <color indexed="12"/>
      <name val="Century Gothic"/>
      <family val="2"/>
    </font>
    <font>
      <i/>
      <sz val="7"/>
      <color indexed="12"/>
      <name val="Century Gothic"/>
      <family val="2"/>
    </font>
    <font>
      <sz val="10"/>
      <color indexed="12"/>
      <name val="Century Gothic"/>
      <family val="2"/>
    </font>
    <font>
      <sz val="7"/>
      <color indexed="8"/>
      <name val="Century Gothic"/>
      <family val="2"/>
    </font>
    <font>
      <b/>
      <sz val="8"/>
      <color indexed="12"/>
      <name val="Century Gothic"/>
      <family val="2"/>
    </font>
    <font>
      <sz val="7"/>
      <color indexed="10"/>
      <name val="Century Gothic"/>
      <family val="2"/>
    </font>
    <font>
      <sz val="8"/>
      <color indexed="12"/>
      <name val="Century Gothic"/>
      <family val="2"/>
    </font>
    <font>
      <b/>
      <sz val="8"/>
      <color indexed="10"/>
      <name val="Century Gothic"/>
      <family val="2"/>
    </font>
    <font>
      <b/>
      <sz val="8"/>
      <color indexed="8"/>
      <name val="Century Gothic"/>
      <family val="2"/>
    </font>
    <font>
      <sz val="8"/>
      <color indexed="8"/>
      <name val="Century Gothic"/>
      <family val="2"/>
    </font>
    <font>
      <sz val="7.5"/>
      <color indexed="8"/>
      <name val="Century Gothic"/>
      <family val="2"/>
    </font>
    <font>
      <sz val="10"/>
      <name val="Geneva"/>
    </font>
    <font>
      <b/>
      <sz val="10"/>
      <name val="Geneva"/>
    </font>
    <font>
      <b/>
      <sz val="8"/>
      <color indexed="8"/>
      <name val="Arial"/>
      <family val="2"/>
    </font>
    <font>
      <sz val="10"/>
      <name val="Arial"/>
      <family val="2"/>
    </font>
    <font>
      <b/>
      <i/>
      <sz val="10"/>
      <color rgb="FFFF0000"/>
      <name val="Century Gothic"/>
      <family val="2"/>
    </font>
    <font>
      <b/>
      <sz val="10"/>
      <color rgb="FFFF0000"/>
      <name val="Century Gothic"/>
      <family val="2"/>
    </font>
    <font>
      <b/>
      <sz val="10"/>
      <color theme="0"/>
      <name val="Century Gothic"/>
      <family val="2"/>
    </font>
    <font>
      <b/>
      <sz val="10"/>
      <color rgb="FFFF0000"/>
      <name val="Arial"/>
      <family val="2"/>
    </font>
    <font>
      <b/>
      <sz val="8"/>
      <color rgb="FF000000"/>
      <name val="Century Gothic"/>
      <family val="2"/>
    </font>
    <font>
      <b/>
      <sz val="7.5"/>
      <name val="Century Gothic"/>
      <family val="2"/>
    </font>
    <font>
      <sz val="7.5"/>
      <name val="Arial"/>
      <family val="2"/>
    </font>
    <font>
      <b/>
      <sz val="7.5"/>
      <name val="Arial"/>
      <family val="2"/>
    </font>
  </fonts>
  <fills count="18">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56"/>
        <bgColor indexed="64"/>
      </patternFill>
    </fill>
    <fill>
      <patternFill patternType="solid">
        <fgColor indexed="51"/>
        <bgColor indexed="64"/>
      </patternFill>
    </fill>
    <fill>
      <patternFill patternType="solid">
        <fgColor indexed="44"/>
        <bgColor indexed="9"/>
      </patternFill>
    </fill>
    <fill>
      <patternFill patternType="solid">
        <fgColor indexed="43"/>
        <bgColor indexed="9"/>
      </patternFill>
    </fill>
    <fill>
      <patternFill patternType="solid">
        <fgColor rgb="FF0070C0"/>
        <bgColor indexed="64"/>
      </patternFill>
    </fill>
    <fill>
      <patternFill patternType="solid">
        <fgColor rgb="FF99CCFF"/>
        <bgColor indexed="64"/>
      </patternFill>
    </fill>
    <fill>
      <patternFill patternType="solid">
        <fgColor rgb="FFFFFF99"/>
        <bgColor indexed="64"/>
      </patternFill>
    </fill>
    <fill>
      <patternFill patternType="solid">
        <fgColor rgb="FF00B0F0"/>
        <bgColor indexed="64"/>
      </patternFill>
    </fill>
    <fill>
      <patternFill patternType="solid">
        <fgColor indexed="40"/>
        <bgColor indexed="64"/>
      </patternFill>
    </fill>
    <fill>
      <patternFill patternType="solid">
        <fgColor indexed="50"/>
        <bgColor indexed="64"/>
      </patternFill>
    </fill>
    <fill>
      <patternFill patternType="solid">
        <fgColor indexed="46"/>
        <bgColor indexed="64"/>
      </patternFill>
    </fill>
    <fill>
      <patternFill patternType="solid">
        <fgColor indexed="41"/>
        <bgColor indexed="64"/>
      </patternFill>
    </fill>
    <fill>
      <patternFill patternType="solid">
        <fgColor indexed="47"/>
        <bgColor indexed="64"/>
      </patternFill>
    </fill>
    <fill>
      <patternFill patternType="solid">
        <fgColor indexed="42"/>
        <bgColor indexed="64"/>
      </patternFill>
    </fill>
  </fills>
  <borders count="1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3">
    <xf numFmtId="0" fontId="0" fillId="0" borderId="0"/>
    <xf numFmtId="9" fontId="2" fillId="0" borderId="0" applyFont="0" applyFill="0" applyBorder="0" applyAlignment="0" applyProtection="0"/>
    <xf numFmtId="9" fontId="6" fillId="0" borderId="0" applyFont="0" applyFill="0" applyBorder="0" applyAlignment="0" applyProtection="0"/>
    <xf numFmtId="0" fontId="30" fillId="0" borderId="0"/>
    <xf numFmtId="43" fontId="33" fillId="0" borderId="0" applyFont="0" applyFill="0" applyBorder="0" applyAlignment="0" applyProtection="0"/>
    <xf numFmtId="9" fontId="2" fillId="0" borderId="0" applyFont="0" applyFill="0" applyBorder="0" applyAlignment="0" applyProtection="0"/>
    <xf numFmtId="0" fontId="1"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9" fontId="2" fillId="0" borderId="0" applyFont="0" applyFill="0" applyBorder="0" applyAlignment="0" applyProtection="0"/>
  </cellStyleXfs>
  <cellXfs count="638">
    <xf numFmtId="0" fontId="0" fillId="0" borderId="0" xfId="0"/>
    <xf numFmtId="0" fontId="0" fillId="0" borderId="0" xfId="0" applyAlignment="1">
      <alignment vertical="center"/>
    </xf>
    <xf numFmtId="0" fontId="8" fillId="2" borderId="1" xfId="0" applyFont="1" applyFill="1" applyBorder="1" applyAlignment="1">
      <alignment horizontal="right" vertical="justify"/>
    </xf>
    <xf numFmtId="0" fontId="7" fillId="0" borderId="0" xfId="0" applyFont="1"/>
    <xf numFmtId="0" fontId="8" fillId="0" borderId="0" xfId="0" applyFont="1"/>
    <xf numFmtId="0" fontId="5" fillId="0" borderId="0" xfId="0" applyFont="1" applyAlignment="1">
      <alignment vertical="center"/>
    </xf>
    <xf numFmtId="0" fontId="10" fillId="0" borderId="0" xfId="0" applyFont="1" applyAlignment="1">
      <alignment vertical="center"/>
    </xf>
    <xf numFmtId="0" fontId="7" fillId="2" borderId="0" xfId="0" applyFont="1" applyFill="1" applyAlignment="1">
      <alignment vertical="center"/>
    </xf>
    <xf numFmtId="0" fontId="0" fillId="0" borderId="0" xfId="0" applyBorder="1" applyAlignment="1">
      <alignment vertical="center"/>
    </xf>
    <xf numFmtId="0" fontId="11" fillId="0" borderId="0" xfId="0" applyFont="1" applyAlignment="1">
      <alignment vertical="center"/>
    </xf>
    <xf numFmtId="0" fontId="4" fillId="0" borderId="0" xfId="0" applyFont="1" applyAlignment="1">
      <alignment vertical="center"/>
    </xf>
    <xf numFmtId="0" fontId="4" fillId="0" borderId="0" xfId="0" applyFont="1" applyBorder="1" applyAlignment="1">
      <alignment vertical="center"/>
    </xf>
    <xf numFmtId="3" fontId="7" fillId="0" borderId="0" xfId="0" applyNumberFormat="1" applyFont="1" applyBorder="1" applyAlignment="1">
      <alignment horizontal="right" vertical="center"/>
    </xf>
    <xf numFmtId="0" fontId="5" fillId="0" borderId="0" xfId="0" applyFont="1" applyFill="1" applyAlignment="1">
      <alignment vertical="center"/>
    </xf>
    <xf numFmtId="0" fontId="7" fillId="0" borderId="0" xfId="0" applyFont="1" applyAlignment="1">
      <alignment vertical="center"/>
    </xf>
    <xf numFmtId="0" fontId="7" fillId="0" borderId="0" xfId="0" applyFont="1" applyFill="1" applyAlignment="1">
      <alignment vertical="center"/>
    </xf>
    <xf numFmtId="0" fontId="3" fillId="0" borderId="0" xfId="0" applyFont="1" applyFill="1" applyAlignment="1">
      <alignment vertical="center"/>
    </xf>
    <xf numFmtId="0" fontId="3" fillId="0" borderId="0" xfId="0" applyFont="1" applyBorder="1" applyAlignment="1">
      <alignment vertical="center"/>
    </xf>
    <xf numFmtId="0" fontId="3" fillId="0" borderId="0" xfId="0" applyFont="1" applyAlignment="1">
      <alignment vertical="center"/>
    </xf>
    <xf numFmtId="0" fontId="4" fillId="0" borderId="0" xfId="0" applyFont="1" applyFill="1" applyAlignment="1">
      <alignment vertical="center"/>
    </xf>
    <xf numFmtId="164" fontId="3" fillId="0" borderId="0" xfId="0" applyNumberFormat="1" applyFont="1" applyAlignment="1">
      <alignment vertical="center"/>
    </xf>
    <xf numFmtId="0" fontId="3" fillId="0" borderId="8" xfId="0" applyFont="1" applyBorder="1" applyAlignment="1">
      <alignment vertical="center"/>
    </xf>
    <xf numFmtId="0" fontId="7" fillId="0" borderId="0" xfId="0" applyFont="1" applyFill="1" applyBorder="1" applyAlignment="1">
      <alignment vertical="center"/>
    </xf>
    <xf numFmtId="164" fontId="7" fillId="0" borderId="0" xfId="0" applyNumberFormat="1" applyFont="1" applyBorder="1" applyAlignment="1">
      <alignment horizontal="right" vertical="center"/>
    </xf>
    <xf numFmtId="0" fontId="7" fillId="0" borderId="0" xfId="0" applyFont="1" applyFill="1" applyBorder="1" applyAlignment="1">
      <alignment horizontal="left" vertical="center"/>
    </xf>
    <xf numFmtId="3" fontId="7" fillId="2" borderId="0" xfId="0" applyNumberFormat="1" applyFont="1" applyFill="1" applyAlignment="1">
      <alignment vertical="center"/>
    </xf>
    <xf numFmtId="164" fontId="7" fillId="0" borderId="0" xfId="0" applyNumberFormat="1" applyFont="1" applyAlignment="1">
      <alignment vertical="center"/>
    </xf>
    <xf numFmtId="9" fontId="7" fillId="0" borderId="0" xfId="0" applyNumberFormat="1" applyFont="1" applyAlignment="1">
      <alignment vertical="center"/>
    </xf>
    <xf numFmtId="0" fontId="8" fillId="0" borderId="0" xfId="0" applyFont="1" applyAlignment="1">
      <alignment vertical="center"/>
    </xf>
    <xf numFmtId="3" fontId="7" fillId="0" borderId="0" xfId="0" applyNumberFormat="1" applyFont="1" applyAlignment="1">
      <alignment vertical="center"/>
    </xf>
    <xf numFmtId="165" fontId="7" fillId="0" borderId="0" xfId="0" applyNumberFormat="1" applyFont="1" applyAlignment="1">
      <alignment vertical="center"/>
    </xf>
    <xf numFmtId="0" fontId="7" fillId="0" borderId="0" xfId="0" applyFont="1" applyFill="1" applyBorder="1" applyAlignment="1">
      <alignment horizontal="center" vertical="center"/>
    </xf>
    <xf numFmtId="0" fontId="7" fillId="0" borderId="0" xfId="0" applyFont="1" applyBorder="1" applyAlignment="1">
      <alignment vertical="center"/>
    </xf>
    <xf numFmtId="0" fontId="17" fillId="0" borderId="0" xfId="0" applyFont="1" applyFill="1" applyBorder="1" applyAlignment="1">
      <alignment vertical="center"/>
    </xf>
    <xf numFmtId="0" fontId="7" fillId="0" borderId="8" xfId="0" applyFont="1" applyBorder="1" applyAlignment="1">
      <alignment vertical="center"/>
    </xf>
    <xf numFmtId="0" fontId="9" fillId="0" borderId="0" xfId="0" applyFont="1" applyAlignment="1">
      <alignment vertical="center"/>
    </xf>
    <xf numFmtId="0" fontId="8" fillId="2" borderId="1" xfId="0" applyFont="1" applyFill="1" applyBorder="1" applyAlignment="1">
      <alignment vertical="justify"/>
    </xf>
    <xf numFmtId="3" fontId="7" fillId="0" borderId="5" xfId="0" applyNumberFormat="1" applyFont="1" applyBorder="1" applyAlignment="1">
      <alignment vertical="justify"/>
    </xf>
    <xf numFmtId="3" fontId="7" fillId="0" borderId="12" xfId="0" applyNumberFormat="1" applyFont="1" applyBorder="1" applyAlignment="1">
      <alignment vertical="justify"/>
    </xf>
    <xf numFmtId="3" fontId="7" fillId="0" borderId="0" xfId="0" applyNumberFormat="1" applyFont="1" applyBorder="1" applyAlignment="1">
      <alignment vertical="justify"/>
    </xf>
    <xf numFmtId="3" fontId="7" fillId="0" borderId="0" xfId="0" applyNumberFormat="1" applyFont="1" applyBorder="1" applyAlignment="1">
      <alignment horizontal="right" vertical="justify"/>
    </xf>
    <xf numFmtId="3" fontId="7" fillId="0" borderId="10" xfId="0" applyNumberFormat="1" applyFont="1" applyBorder="1" applyAlignment="1">
      <alignment vertical="justify"/>
    </xf>
    <xf numFmtId="3" fontId="9" fillId="0" borderId="0" xfId="0" applyNumberFormat="1" applyFont="1" applyAlignment="1">
      <alignment vertical="center"/>
    </xf>
    <xf numFmtId="0" fontId="18" fillId="0" borderId="0" xfId="0" applyFont="1" applyAlignment="1">
      <alignment vertical="center"/>
    </xf>
    <xf numFmtId="164" fontId="8" fillId="0" borderId="0" xfId="0" applyNumberFormat="1" applyFont="1" applyBorder="1" applyAlignment="1">
      <alignment horizontal="right" vertical="center"/>
    </xf>
    <xf numFmtId="0" fontId="3" fillId="0" borderId="0" xfId="0" applyFont="1" applyFill="1" applyBorder="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164" fontId="7" fillId="0" borderId="0" xfId="0" applyNumberFormat="1" applyFont="1" applyBorder="1" applyAlignment="1">
      <alignment vertical="center"/>
    </xf>
    <xf numFmtId="0" fontId="7" fillId="0" borderId="0" xfId="0" applyFont="1" applyAlignment="1">
      <alignment horizontal="center" vertical="center"/>
    </xf>
    <xf numFmtId="0" fontId="12" fillId="0" borderId="0" xfId="0" applyFont="1" applyAlignment="1">
      <alignment horizontal="center" vertical="center"/>
    </xf>
    <xf numFmtId="0" fontId="10" fillId="0" borderId="0" xfId="0" applyFont="1" applyBorder="1" applyAlignment="1">
      <alignment vertical="center"/>
    </xf>
    <xf numFmtId="3" fontId="15" fillId="0" borderId="0" xfId="0" applyNumberFormat="1" applyFont="1" applyAlignment="1">
      <alignment vertical="center"/>
    </xf>
    <xf numFmtId="3" fontId="3" fillId="0" borderId="0" xfId="0" applyNumberFormat="1" applyFont="1" applyAlignment="1">
      <alignment vertical="center"/>
    </xf>
    <xf numFmtId="0" fontId="4" fillId="0" borderId="0" xfId="0" applyFont="1" applyFill="1" applyBorder="1" applyAlignment="1">
      <alignment vertical="center"/>
    </xf>
    <xf numFmtId="0" fontId="14" fillId="0" borderId="0" xfId="0" applyFont="1" applyFill="1" applyBorder="1" applyAlignment="1">
      <alignment horizontal="center" vertical="center"/>
    </xf>
    <xf numFmtId="9" fontId="3" fillId="0" borderId="0" xfId="0" applyNumberFormat="1" applyFont="1" applyAlignment="1">
      <alignment vertical="center"/>
    </xf>
    <xf numFmtId="165" fontId="7" fillId="0" borderId="0" xfId="0" applyNumberFormat="1" applyFont="1" applyBorder="1" applyAlignment="1">
      <alignment horizontal="right" vertical="center"/>
    </xf>
    <xf numFmtId="3" fontId="23" fillId="0" borderId="0" xfId="0" applyNumberFormat="1" applyFont="1" applyAlignment="1">
      <alignment vertical="center"/>
    </xf>
    <xf numFmtId="3" fontId="4" fillId="0" borderId="0" xfId="0" applyNumberFormat="1" applyFont="1" applyAlignment="1">
      <alignment vertical="center"/>
    </xf>
    <xf numFmtId="3" fontId="22" fillId="0" borderId="0" xfId="0" applyNumberFormat="1" applyFont="1" applyAlignment="1">
      <alignment horizontal="right" wrapText="1"/>
    </xf>
    <xf numFmtId="164" fontId="25" fillId="0" borderId="0" xfId="0" applyNumberFormat="1" applyFont="1" applyAlignment="1">
      <alignment vertical="center"/>
    </xf>
    <xf numFmtId="3" fontId="7" fillId="0" borderId="3" xfId="0" applyNumberFormat="1" applyFont="1" applyBorder="1" applyAlignment="1">
      <alignment vertical="justify"/>
    </xf>
    <xf numFmtId="3" fontId="7" fillId="0" borderId="4" xfId="0" applyNumberFormat="1" applyFont="1" applyBorder="1" applyAlignment="1">
      <alignment vertical="justify"/>
    </xf>
    <xf numFmtId="3" fontId="7" fillId="0" borderId="4" xfId="0" applyNumberFormat="1" applyFont="1" applyBorder="1" applyAlignment="1">
      <alignment horizontal="right" vertical="justify"/>
    </xf>
    <xf numFmtId="3" fontId="7" fillId="0" borderId="0" xfId="0" applyNumberFormat="1" applyFont="1" applyFill="1" applyBorder="1" applyAlignment="1">
      <alignment horizontal="right" vertical="justify"/>
    </xf>
    <xf numFmtId="3" fontId="7" fillId="0" borderId="10" xfId="0" applyNumberFormat="1" applyFont="1" applyBorder="1" applyAlignment="1">
      <alignment horizontal="right" vertical="justify"/>
    </xf>
    <xf numFmtId="3" fontId="8" fillId="0" borderId="11" xfId="0" applyNumberFormat="1" applyFont="1" applyBorder="1" applyAlignment="1">
      <alignment horizontal="right" vertical="justify"/>
    </xf>
    <xf numFmtId="3" fontId="8" fillId="0" borderId="8" xfId="0" applyNumberFormat="1" applyFont="1" applyBorder="1" applyAlignment="1">
      <alignment horizontal="right" vertical="justify"/>
    </xf>
    <xf numFmtId="3" fontId="8" fillId="0" borderId="13" xfId="0" applyNumberFormat="1" applyFont="1" applyBorder="1" applyAlignment="1">
      <alignment horizontal="right" vertical="justify"/>
    </xf>
    <xf numFmtId="3" fontId="7" fillId="0" borderId="10" xfId="0" applyNumberFormat="1" applyFont="1" applyFill="1" applyBorder="1" applyAlignment="1">
      <alignment horizontal="right" vertical="justify"/>
    </xf>
    <xf numFmtId="3" fontId="8" fillId="0" borderId="11" xfId="0" applyNumberFormat="1" applyFont="1" applyBorder="1" applyAlignment="1">
      <alignment vertical="justify"/>
    </xf>
    <xf numFmtId="3" fontId="8" fillId="0" borderId="8" xfId="0" applyNumberFormat="1" applyFont="1" applyBorder="1" applyAlignment="1">
      <alignment vertical="justify"/>
    </xf>
    <xf numFmtId="3" fontId="8" fillId="0" borderId="13" xfId="0" applyNumberFormat="1" applyFont="1" applyBorder="1" applyAlignment="1">
      <alignment vertical="justify"/>
    </xf>
    <xf numFmtId="3" fontId="8" fillId="0" borderId="0" xfId="0" applyNumberFormat="1" applyFont="1" applyFill="1" applyBorder="1" applyAlignment="1">
      <alignment vertical="justify"/>
    </xf>
    <xf numFmtId="3" fontId="7" fillId="0" borderId="4" xfId="0" applyNumberFormat="1" applyFont="1" applyFill="1" applyBorder="1" applyAlignment="1">
      <alignment horizontal="right" vertical="justify"/>
    </xf>
    <xf numFmtId="165" fontId="7" fillId="0" borderId="4" xfId="0" applyNumberFormat="1" applyFont="1" applyBorder="1" applyAlignment="1">
      <alignment vertical="justify"/>
    </xf>
    <xf numFmtId="165" fontId="7" fillId="0" borderId="0" xfId="0" applyNumberFormat="1" applyFont="1" applyBorder="1" applyAlignment="1">
      <alignment vertical="justify"/>
    </xf>
    <xf numFmtId="164" fontId="7" fillId="0" borderId="0" xfId="0" applyNumberFormat="1" applyFont="1" applyBorder="1" applyAlignment="1">
      <alignment vertical="justify"/>
    </xf>
    <xf numFmtId="3" fontId="7" fillId="0" borderId="0" xfId="0" applyNumberFormat="1" applyFont="1" applyAlignment="1">
      <alignment vertical="justify"/>
    </xf>
    <xf numFmtId="9" fontId="7" fillId="0" borderId="0" xfId="0" applyNumberFormat="1" applyFont="1" applyBorder="1" applyAlignment="1">
      <alignment vertical="justify"/>
    </xf>
    <xf numFmtId="0" fontId="7" fillId="0" borderId="0" xfId="0" applyFont="1" applyBorder="1" applyAlignment="1">
      <alignment vertical="justify"/>
    </xf>
    <xf numFmtId="3" fontId="8" fillId="0" borderId="0" xfId="0" applyNumberFormat="1" applyFont="1" applyBorder="1" applyAlignment="1">
      <alignment horizontal="right" vertical="justify"/>
    </xf>
    <xf numFmtId="0" fontId="8" fillId="0" borderId="0" xfId="0" applyFont="1" applyBorder="1" applyAlignment="1">
      <alignment vertical="justify"/>
    </xf>
    <xf numFmtId="3" fontId="7" fillId="0" borderId="3" xfId="0" applyNumberFormat="1" applyFont="1" applyFill="1" applyBorder="1" applyAlignment="1">
      <alignment horizontal="right" vertical="justify"/>
    </xf>
    <xf numFmtId="3" fontId="7" fillId="0" borderId="5" xfId="0" applyNumberFormat="1" applyFont="1" applyFill="1" applyBorder="1" applyAlignment="1">
      <alignment horizontal="right" vertical="justify"/>
    </xf>
    <xf numFmtId="166" fontId="7" fillId="0" borderId="0" xfId="0" applyNumberFormat="1" applyFont="1" applyBorder="1" applyAlignment="1">
      <alignment vertical="justify"/>
    </xf>
    <xf numFmtId="1" fontId="8" fillId="2" borderId="5" xfId="0" applyNumberFormat="1" applyFont="1" applyFill="1" applyBorder="1" applyAlignment="1">
      <alignment horizontal="right" vertical="justify"/>
    </xf>
    <xf numFmtId="0" fontId="8" fillId="2" borderId="14" xfId="0" applyFont="1" applyFill="1" applyBorder="1" applyAlignment="1">
      <alignment horizontal="right" vertical="justify"/>
    </xf>
    <xf numFmtId="0" fontId="8" fillId="5" borderId="1" xfId="0" applyFont="1" applyFill="1" applyBorder="1" applyAlignment="1">
      <alignment horizontal="right" vertical="justify"/>
    </xf>
    <xf numFmtId="0" fontId="8" fillId="5" borderId="2" xfId="0" applyFont="1" applyFill="1" applyBorder="1" applyAlignment="1">
      <alignment horizontal="right" vertical="justify"/>
    </xf>
    <xf numFmtId="0" fontId="7" fillId="3" borderId="3" xfId="0" applyFont="1" applyFill="1" applyBorder="1" applyAlignment="1">
      <alignment vertical="justify"/>
    </xf>
    <xf numFmtId="0" fontId="7" fillId="0" borderId="0" xfId="0" applyFont="1" applyAlignment="1">
      <alignment vertical="justify"/>
    </xf>
    <xf numFmtId="164" fontId="7" fillId="0" borderId="3" xfId="0" applyNumberFormat="1" applyFont="1" applyBorder="1" applyAlignment="1">
      <alignment horizontal="right" vertical="justify"/>
    </xf>
    <xf numFmtId="164" fontId="7" fillId="0" borderId="5" xfId="0" applyNumberFormat="1" applyFont="1" applyBorder="1" applyAlignment="1">
      <alignment horizontal="right" vertical="justify"/>
    </xf>
    <xf numFmtId="164" fontId="7" fillId="0" borderId="12" xfId="0" applyNumberFormat="1" applyFont="1" applyBorder="1" applyAlignment="1">
      <alignment horizontal="right" vertical="justify"/>
    </xf>
    <xf numFmtId="0" fontId="7" fillId="3" borderId="4" xfId="0" applyFont="1" applyFill="1" applyBorder="1" applyAlignment="1">
      <alignment vertical="justify"/>
    </xf>
    <xf numFmtId="164" fontId="7" fillId="0" borderId="4" xfId="0" applyNumberFormat="1" applyFont="1" applyBorder="1" applyAlignment="1">
      <alignment horizontal="right" vertical="justify"/>
    </xf>
    <xf numFmtId="164" fontId="7" fillId="0" borderId="0" xfId="0" applyNumberFormat="1" applyFont="1" applyBorder="1" applyAlignment="1">
      <alignment horizontal="right" vertical="justify"/>
    </xf>
    <xf numFmtId="164" fontId="7" fillId="0" borderId="10" xfId="0" applyNumberFormat="1" applyFont="1" applyBorder="1" applyAlignment="1">
      <alignment horizontal="right" vertical="justify"/>
    </xf>
    <xf numFmtId="0" fontId="7" fillId="3" borderId="11" xfId="0" applyFont="1" applyFill="1" applyBorder="1" applyAlignment="1">
      <alignment vertical="justify"/>
    </xf>
    <xf numFmtId="166" fontId="7" fillId="0" borderId="11" xfId="0" applyNumberFormat="1" applyFont="1" applyBorder="1" applyAlignment="1">
      <alignment horizontal="right" vertical="justify"/>
    </xf>
    <xf numFmtId="166" fontId="7" fillId="0" borderId="8" xfId="0" applyNumberFormat="1" applyFont="1" applyBorder="1" applyAlignment="1">
      <alignment horizontal="right" vertical="justify"/>
    </xf>
    <xf numFmtId="166" fontId="7" fillId="0" borderId="13" xfId="0" applyNumberFormat="1" applyFont="1" applyBorder="1" applyAlignment="1">
      <alignment horizontal="right" vertical="justify"/>
    </xf>
    <xf numFmtId="164" fontId="7" fillId="0" borderId="11" xfId="0" applyNumberFormat="1" applyFont="1" applyBorder="1" applyAlignment="1">
      <alignment horizontal="right" vertical="justify"/>
    </xf>
    <xf numFmtId="164" fontId="7" fillId="0" borderId="8" xfId="0" applyNumberFormat="1" applyFont="1" applyBorder="1" applyAlignment="1">
      <alignment horizontal="right" vertical="justify"/>
    </xf>
    <xf numFmtId="164" fontId="7" fillId="0" borderId="13" xfId="0" applyNumberFormat="1" applyFont="1" applyBorder="1" applyAlignment="1">
      <alignment horizontal="right" vertical="justify"/>
    </xf>
    <xf numFmtId="0" fontId="8" fillId="2" borderId="5" xfId="0" applyFont="1" applyFill="1" applyBorder="1" applyAlignment="1">
      <alignment horizontal="right" vertical="justify"/>
    </xf>
    <xf numFmtId="0" fontId="8" fillId="3" borderId="3" xfId="0" applyFont="1" applyFill="1" applyBorder="1" applyAlignment="1">
      <alignment vertical="justify"/>
    </xf>
    <xf numFmtId="3" fontId="8" fillId="0" borderId="3" xfId="0" applyNumberFormat="1" applyFont="1" applyBorder="1" applyAlignment="1">
      <alignment horizontal="right" vertical="justify"/>
    </xf>
    <xf numFmtId="3" fontId="8" fillId="0" borderId="5" xfId="0" applyNumberFormat="1" applyFont="1" applyBorder="1" applyAlignment="1">
      <alignment horizontal="right" vertical="justify"/>
    </xf>
    <xf numFmtId="3" fontId="8" fillId="0" borderId="12" xfId="0" applyNumberFormat="1" applyFont="1" applyBorder="1" applyAlignment="1">
      <alignment horizontal="right" vertical="justify"/>
    </xf>
    <xf numFmtId="0" fontId="8" fillId="0" borderId="0" xfId="0" applyFont="1" applyAlignment="1">
      <alignment vertical="justify"/>
    </xf>
    <xf numFmtId="164" fontId="8" fillId="0" borderId="3" xfId="0" applyNumberFormat="1" applyFont="1" applyBorder="1" applyAlignment="1">
      <alignment horizontal="right" vertical="justify"/>
    </xf>
    <xf numFmtId="164" fontId="8" fillId="0" borderId="5" xfId="0" applyNumberFormat="1" applyFont="1" applyBorder="1" applyAlignment="1">
      <alignment horizontal="right" vertical="justify"/>
    </xf>
    <xf numFmtId="164" fontId="8" fillId="0" borderId="12" xfId="0" applyNumberFormat="1" applyFont="1" applyBorder="1" applyAlignment="1">
      <alignment horizontal="right" vertical="justify"/>
    </xf>
    <xf numFmtId="0" fontId="8" fillId="3" borderId="4" xfId="0" applyFont="1" applyFill="1" applyBorder="1" applyAlignment="1">
      <alignment vertical="justify"/>
    </xf>
    <xf numFmtId="3" fontId="8" fillId="0" borderId="4" xfId="0" applyNumberFormat="1" applyFont="1" applyBorder="1" applyAlignment="1">
      <alignment horizontal="right" vertical="justify"/>
    </xf>
    <xf numFmtId="3" fontId="8" fillId="0" borderId="10" xfId="0" applyNumberFormat="1" applyFont="1" applyBorder="1" applyAlignment="1">
      <alignment horizontal="right" vertical="justify"/>
    </xf>
    <xf numFmtId="164" fontId="8" fillId="0" borderId="4" xfId="0" applyNumberFormat="1" applyFont="1" applyBorder="1" applyAlignment="1">
      <alignment horizontal="right" vertical="justify"/>
    </xf>
    <xf numFmtId="164" fontId="8" fillId="0" borderId="0" xfId="0" applyNumberFormat="1" applyFont="1" applyBorder="1" applyAlignment="1">
      <alignment horizontal="right" vertical="justify"/>
    </xf>
    <xf numFmtId="164" fontId="8" fillId="0" borderId="10" xfId="0" applyNumberFormat="1" applyFont="1" applyBorder="1" applyAlignment="1">
      <alignment horizontal="right" vertical="justify"/>
    </xf>
    <xf numFmtId="0" fontId="8" fillId="3" borderId="11" xfId="0" applyFont="1" applyFill="1" applyBorder="1" applyAlignment="1">
      <alignment vertical="justify"/>
    </xf>
    <xf numFmtId="164" fontId="8" fillId="0" borderId="11" xfId="0" applyNumberFormat="1" applyFont="1" applyBorder="1" applyAlignment="1">
      <alignment horizontal="right" vertical="justify"/>
    </xf>
    <xf numFmtId="164" fontId="8" fillId="0" borderId="8" xfId="0" applyNumberFormat="1" applyFont="1" applyBorder="1" applyAlignment="1">
      <alignment horizontal="right" vertical="justify"/>
    </xf>
    <xf numFmtId="164" fontId="8" fillId="0" borderId="13" xfId="0" applyNumberFormat="1" applyFont="1" applyBorder="1" applyAlignment="1">
      <alignment horizontal="right" vertical="justify"/>
    </xf>
    <xf numFmtId="3" fontId="3" fillId="0" borderId="0" xfId="0" applyNumberFormat="1" applyFont="1" applyAlignment="1">
      <alignment vertical="justify"/>
    </xf>
    <xf numFmtId="164" fontId="7" fillId="0" borderId="0" xfId="0" applyNumberFormat="1" applyFont="1" applyAlignment="1">
      <alignment vertical="justify"/>
    </xf>
    <xf numFmtId="9" fontId="7" fillId="0" borderId="0" xfId="1" applyFont="1" applyFill="1" applyBorder="1" applyAlignment="1">
      <alignment horizontal="right" vertical="justify"/>
    </xf>
    <xf numFmtId="0" fontId="3" fillId="0" borderId="0" xfId="0" applyFont="1" applyAlignment="1">
      <alignment vertical="justify"/>
    </xf>
    <xf numFmtId="165" fontId="8" fillId="0" borderId="3" xfId="0" applyNumberFormat="1" applyFont="1" applyBorder="1" applyAlignment="1">
      <alignment vertical="justify"/>
    </xf>
    <xf numFmtId="165" fontId="8" fillId="0" borderId="5" xfId="0" applyNumberFormat="1" applyFont="1" applyBorder="1" applyAlignment="1">
      <alignment vertical="justify"/>
    </xf>
    <xf numFmtId="165" fontId="8" fillId="0" borderId="12" xfId="0" applyNumberFormat="1" applyFont="1" applyBorder="1" applyAlignment="1">
      <alignment vertical="justify"/>
    </xf>
    <xf numFmtId="165" fontId="7" fillId="0" borderId="10" xfId="0" applyNumberFormat="1" applyFont="1" applyBorder="1" applyAlignment="1">
      <alignment vertical="justify"/>
    </xf>
    <xf numFmtId="165" fontId="8" fillId="0" borderId="4" xfId="0" applyNumberFormat="1" applyFont="1" applyBorder="1" applyAlignment="1">
      <alignment vertical="justify"/>
    </xf>
    <xf numFmtId="165" fontId="8" fillId="0" borderId="0" xfId="0" applyNumberFormat="1" applyFont="1" applyBorder="1" applyAlignment="1">
      <alignment vertical="justify"/>
    </xf>
    <xf numFmtId="165" fontId="8" fillId="0" borderId="10" xfId="0" applyNumberFormat="1" applyFont="1" applyBorder="1" applyAlignment="1">
      <alignment vertical="justify"/>
    </xf>
    <xf numFmtId="165" fontId="8" fillId="0" borderId="11" xfId="0" applyNumberFormat="1" applyFont="1" applyBorder="1" applyAlignment="1">
      <alignment vertical="justify"/>
    </xf>
    <xf numFmtId="165" fontId="8" fillId="0" borderId="8" xfId="0" applyNumberFormat="1" applyFont="1" applyBorder="1" applyAlignment="1">
      <alignment vertical="justify"/>
    </xf>
    <xf numFmtId="165" fontId="8" fillId="0" borderId="13" xfId="0" applyNumberFormat="1" applyFont="1" applyBorder="1" applyAlignment="1">
      <alignment vertical="justify"/>
    </xf>
    <xf numFmtId="0" fontId="7" fillId="0" borderId="0" xfId="0" applyFont="1" applyAlignment="1">
      <alignment horizontal="right" vertical="justify" wrapText="1"/>
    </xf>
    <xf numFmtId="1" fontId="8" fillId="2" borderId="12" xfId="0" applyNumberFormat="1" applyFont="1" applyFill="1" applyBorder="1" applyAlignment="1">
      <alignment horizontal="right" vertical="justify"/>
    </xf>
    <xf numFmtId="0" fontId="8" fillId="2" borderId="12" xfId="0" applyFont="1" applyFill="1" applyBorder="1" applyAlignment="1">
      <alignment horizontal="right" vertical="justify"/>
    </xf>
    <xf numFmtId="0" fontId="11" fillId="0" borderId="0" xfId="0" applyFont="1" applyAlignment="1">
      <alignment vertical="justify"/>
    </xf>
    <xf numFmtId="0" fontId="5" fillId="0" borderId="0" xfId="0" applyFont="1" applyAlignment="1">
      <alignment vertical="justify"/>
    </xf>
    <xf numFmtId="0" fontId="3" fillId="0" borderId="0" xfId="0" applyFont="1" applyBorder="1" applyAlignment="1">
      <alignment vertical="justify"/>
    </xf>
    <xf numFmtId="9" fontId="8" fillId="0" borderId="11" xfId="0" applyNumberFormat="1" applyFont="1" applyBorder="1" applyAlignment="1">
      <alignment horizontal="right" vertical="justify"/>
    </xf>
    <xf numFmtId="9" fontId="8" fillId="0" borderId="8" xfId="0" applyNumberFormat="1" applyFont="1" applyBorder="1" applyAlignment="1">
      <alignment horizontal="right" vertical="justify"/>
    </xf>
    <xf numFmtId="9" fontId="8" fillId="0" borderId="13" xfId="0" applyNumberFormat="1" applyFont="1" applyBorder="1" applyAlignment="1">
      <alignment horizontal="right" vertical="justify"/>
    </xf>
    <xf numFmtId="1" fontId="8" fillId="2" borderId="14" xfId="0" applyNumberFormat="1" applyFont="1" applyFill="1" applyBorder="1" applyAlignment="1">
      <alignment horizontal="right" vertical="justify"/>
    </xf>
    <xf numFmtId="0" fontId="8" fillId="2" borderId="2" xfId="0" applyFont="1" applyFill="1" applyBorder="1" applyAlignment="1">
      <alignment horizontal="right" vertical="justify"/>
    </xf>
    <xf numFmtId="0" fontId="7" fillId="0" borderId="0" xfId="0" applyFont="1" applyFill="1" applyAlignment="1">
      <alignment vertical="justify"/>
    </xf>
    <xf numFmtId="0" fontId="7" fillId="0" borderId="0" xfId="0" applyFont="1" applyFill="1" applyBorder="1" applyAlignment="1">
      <alignment vertical="justify"/>
    </xf>
    <xf numFmtId="0" fontId="8" fillId="3" borderId="6" xfId="0" applyFont="1" applyFill="1" applyBorder="1" applyAlignment="1">
      <alignment vertical="justify"/>
    </xf>
    <xf numFmtId="3" fontId="8" fillId="0" borderId="3" xfId="0" applyNumberFormat="1" applyFont="1" applyFill="1" applyBorder="1" applyAlignment="1">
      <alignment horizontal="right" vertical="justify"/>
    </xf>
    <xf numFmtId="9" fontId="8" fillId="0" borderId="12" xfId="0" applyNumberFormat="1" applyFont="1" applyBorder="1" applyAlignment="1">
      <alignment horizontal="right" vertical="justify"/>
    </xf>
    <xf numFmtId="0" fontId="7" fillId="3" borderId="7" xfId="0" applyFont="1" applyFill="1" applyBorder="1" applyAlignment="1">
      <alignment vertical="justify"/>
    </xf>
    <xf numFmtId="9" fontId="7" fillId="0" borderId="10" xfId="0" applyNumberFormat="1" applyFont="1" applyBorder="1" applyAlignment="1">
      <alignment horizontal="right" vertical="justify"/>
    </xf>
    <xf numFmtId="0" fontId="8" fillId="3" borderId="7" xfId="0" applyFont="1" applyFill="1" applyBorder="1" applyAlignment="1">
      <alignment vertical="justify"/>
    </xf>
    <xf numFmtId="3" fontId="8" fillId="0" borderId="4" xfId="0" applyNumberFormat="1" applyFont="1" applyFill="1" applyBorder="1" applyAlignment="1">
      <alignment horizontal="right" vertical="justify"/>
    </xf>
    <xf numFmtId="9" fontId="8" fillId="0" borderId="10" xfId="0" applyNumberFormat="1" applyFont="1" applyBorder="1" applyAlignment="1">
      <alignment horizontal="right" vertical="justify"/>
    </xf>
    <xf numFmtId="0" fontId="7" fillId="3" borderId="9" xfId="0" applyFont="1" applyFill="1" applyBorder="1" applyAlignment="1">
      <alignment vertical="justify"/>
    </xf>
    <xf numFmtId="3" fontId="7" fillId="0" borderId="11" xfId="0" applyNumberFormat="1" applyFont="1" applyFill="1" applyBorder="1" applyAlignment="1">
      <alignment horizontal="right" vertical="justify"/>
    </xf>
    <xf numFmtId="9" fontId="7" fillId="0" borderId="13" xfId="0" applyNumberFormat="1" applyFont="1" applyBorder="1" applyAlignment="1">
      <alignment horizontal="right" vertical="justify"/>
    </xf>
    <xf numFmtId="3" fontId="7" fillId="0" borderId="12" xfId="0" applyNumberFormat="1" applyFont="1" applyFill="1" applyBorder="1" applyAlignment="1">
      <alignment horizontal="right" vertical="justify"/>
    </xf>
    <xf numFmtId="1" fontId="8" fillId="2" borderId="3" xfId="0" applyNumberFormat="1" applyFont="1" applyFill="1" applyBorder="1" applyAlignment="1">
      <alignment horizontal="right" vertical="justify"/>
    </xf>
    <xf numFmtId="1" fontId="8" fillId="0" borderId="0" xfId="0" applyNumberFormat="1" applyFont="1" applyFill="1" applyBorder="1" applyAlignment="1">
      <alignment vertical="justify"/>
    </xf>
    <xf numFmtId="0" fontId="8" fillId="0" borderId="0" xfId="0" applyFont="1" applyFill="1" applyBorder="1" applyAlignment="1">
      <alignment horizontal="right" vertical="justify"/>
    </xf>
    <xf numFmtId="164" fontId="7" fillId="0" borderId="0" xfId="0" applyNumberFormat="1" applyFont="1" applyFill="1" applyBorder="1" applyAlignment="1">
      <alignment vertical="justify"/>
    </xf>
    <xf numFmtId="164" fontId="7" fillId="0" borderId="0" xfId="0" applyNumberFormat="1" applyFont="1" applyFill="1" applyBorder="1" applyAlignment="1">
      <alignment horizontal="right" vertical="justify"/>
    </xf>
    <xf numFmtId="9" fontId="7" fillId="0" borderId="10" xfId="0" applyNumberFormat="1" applyFont="1" applyFill="1" applyBorder="1" applyAlignment="1">
      <alignment horizontal="right" vertical="justify"/>
    </xf>
    <xf numFmtId="0" fontId="8" fillId="0" borderId="0" xfId="0" applyFont="1" applyFill="1" applyBorder="1" applyAlignment="1">
      <alignment vertical="justify"/>
    </xf>
    <xf numFmtId="9" fontId="8" fillId="0" borderId="0" xfId="0" applyNumberFormat="1" applyFont="1" applyFill="1" applyBorder="1" applyAlignment="1">
      <alignment horizontal="right" vertical="justify"/>
    </xf>
    <xf numFmtId="164" fontId="8" fillId="0" borderId="0" xfId="0" applyNumberFormat="1" applyFont="1" applyFill="1" applyBorder="1" applyAlignment="1">
      <alignment horizontal="right" vertical="justify"/>
    </xf>
    <xf numFmtId="9" fontId="7" fillId="0" borderId="0" xfId="0" applyNumberFormat="1" applyFont="1" applyFill="1" applyBorder="1" applyAlignment="1">
      <alignment vertical="justify"/>
    </xf>
    <xf numFmtId="0" fontId="7" fillId="3" borderId="6" xfId="0" applyFont="1" applyFill="1" applyBorder="1" applyAlignment="1">
      <alignment vertical="justify"/>
    </xf>
    <xf numFmtId="1" fontId="7" fillId="0" borderId="0" xfId="0" applyNumberFormat="1" applyFont="1" applyAlignment="1">
      <alignment vertical="justify"/>
    </xf>
    <xf numFmtId="3" fontId="7" fillId="0" borderId="6" xfId="0" applyNumberFormat="1" applyFont="1" applyBorder="1" applyAlignment="1">
      <alignment vertical="justify"/>
    </xf>
    <xf numFmtId="3" fontId="7" fillId="0" borderId="7" xfId="0" applyNumberFormat="1" applyFont="1" applyBorder="1" applyAlignment="1">
      <alignment vertical="justify"/>
    </xf>
    <xf numFmtId="9" fontId="7" fillId="0" borderId="0" xfId="0" applyNumberFormat="1" applyFont="1" applyBorder="1" applyAlignment="1">
      <alignment horizontal="right" vertical="justify"/>
    </xf>
    <xf numFmtId="0" fontId="8" fillId="3" borderId="9" xfId="0" applyFont="1" applyFill="1" applyBorder="1" applyAlignment="1">
      <alignment vertical="justify"/>
    </xf>
    <xf numFmtId="3" fontId="8" fillId="0" borderId="9" xfId="0" applyNumberFormat="1" applyFont="1" applyBorder="1" applyAlignment="1">
      <alignment vertical="justify"/>
    </xf>
    <xf numFmtId="9" fontId="8" fillId="0" borderId="0" xfId="0" applyNumberFormat="1" applyFont="1" applyBorder="1" applyAlignment="1">
      <alignment vertical="justify"/>
    </xf>
    <xf numFmtId="9" fontId="7" fillId="0" borderId="0" xfId="0" applyNumberFormat="1" applyFont="1" applyAlignment="1">
      <alignment vertical="justify"/>
    </xf>
    <xf numFmtId="0" fontId="0" fillId="0" borderId="0" xfId="0" applyAlignment="1">
      <alignment vertical="justify"/>
    </xf>
    <xf numFmtId="0" fontId="0" fillId="0" borderId="0" xfId="0" applyBorder="1" applyAlignment="1">
      <alignment vertical="justify"/>
    </xf>
    <xf numFmtId="3" fontId="8" fillId="0" borderId="0" xfId="0" applyNumberFormat="1" applyFont="1" applyAlignment="1">
      <alignment vertical="justify"/>
    </xf>
    <xf numFmtId="0" fontId="8" fillId="2" borderId="14" xfId="0" applyFont="1" applyFill="1" applyBorder="1" applyAlignment="1">
      <alignment vertical="justify"/>
    </xf>
    <xf numFmtId="0" fontId="8" fillId="2" borderId="3" xfId="0" applyFont="1" applyFill="1" applyBorder="1" applyAlignment="1">
      <alignment vertical="justify"/>
    </xf>
    <xf numFmtId="0" fontId="8" fillId="2" borderId="5" xfId="0" applyFont="1" applyFill="1" applyBorder="1" applyAlignment="1">
      <alignment vertical="justify"/>
    </xf>
    <xf numFmtId="164" fontId="7" fillId="0" borderId="11" xfId="0" applyNumberFormat="1" applyFont="1" applyFill="1" applyBorder="1" applyAlignment="1">
      <alignment horizontal="right" vertical="justify"/>
    </xf>
    <xf numFmtId="164" fontId="7" fillId="0" borderId="8" xfId="0" applyNumberFormat="1" applyFont="1" applyFill="1" applyBorder="1" applyAlignment="1">
      <alignment horizontal="right" vertical="justify"/>
    </xf>
    <xf numFmtId="164" fontId="7" fillId="0" borderId="13" xfId="0" applyNumberFormat="1" applyFont="1" applyFill="1" applyBorder="1" applyAlignment="1">
      <alignment horizontal="right" vertical="justify"/>
    </xf>
    <xf numFmtId="0" fontId="7" fillId="0" borderId="0" xfId="0" applyFont="1" applyBorder="1" applyAlignment="1">
      <alignment horizontal="center" vertical="center"/>
    </xf>
    <xf numFmtId="0" fontId="7" fillId="0" borderId="0" xfId="0" applyFont="1" applyFill="1" applyAlignment="1">
      <alignment horizontal="center" vertical="center"/>
    </xf>
    <xf numFmtId="0" fontId="0" fillId="0" borderId="0" xfId="0" applyAlignment="1">
      <alignment horizontal="center" vertical="center"/>
    </xf>
    <xf numFmtId="0" fontId="8" fillId="5" borderId="1" xfId="0" applyFont="1" applyFill="1" applyBorder="1" applyAlignment="1">
      <alignment vertical="justify"/>
    </xf>
    <xf numFmtId="0" fontId="8" fillId="5" borderId="2" xfId="0" applyFont="1" applyFill="1" applyBorder="1" applyAlignment="1">
      <alignment vertical="justify"/>
    </xf>
    <xf numFmtId="0" fontId="9" fillId="0" borderId="0" xfId="0" applyFont="1" applyBorder="1" applyAlignment="1">
      <alignment vertical="center"/>
    </xf>
    <xf numFmtId="0" fontId="0" fillId="0" borderId="0" xfId="0" applyBorder="1"/>
    <xf numFmtId="3" fontId="7" fillId="0" borderId="0" xfId="0" applyNumberFormat="1" applyFont="1" applyFill="1" applyBorder="1" applyAlignment="1">
      <alignment horizontal="right" vertical="center"/>
    </xf>
    <xf numFmtId="3" fontId="7" fillId="0" borderId="0" xfId="0" applyNumberFormat="1" applyFont="1" applyFill="1" applyBorder="1" applyAlignment="1">
      <alignment vertical="center"/>
    </xf>
    <xf numFmtId="1" fontId="0" fillId="0" borderId="0" xfId="0" applyNumberFormat="1" applyAlignment="1">
      <alignment vertical="center"/>
    </xf>
    <xf numFmtId="164" fontId="0" fillId="0" borderId="0" xfId="0" applyNumberFormat="1" applyAlignment="1">
      <alignment vertical="center"/>
    </xf>
    <xf numFmtId="1" fontId="7" fillId="0" borderId="8" xfId="0" applyNumberFormat="1" applyFont="1" applyBorder="1" applyAlignment="1">
      <alignment vertical="center"/>
    </xf>
    <xf numFmtId="0" fontId="8" fillId="2" borderId="3"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12" xfId="0" applyFont="1" applyFill="1" applyBorder="1" applyAlignment="1">
      <alignment horizontal="center" vertical="center" wrapText="1"/>
    </xf>
    <xf numFmtId="9" fontId="7" fillId="0" borderId="0" xfId="0" applyNumberFormat="1" applyFont="1" applyBorder="1" applyAlignment="1">
      <alignment vertical="center"/>
    </xf>
    <xf numFmtId="0" fontId="0" fillId="0" borderId="0" xfId="0" applyFill="1" applyAlignment="1">
      <alignment vertical="center"/>
    </xf>
    <xf numFmtId="0" fontId="0" fillId="0" borderId="0" xfId="0" applyFill="1" applyBorder="1" applyAlignment="1">
      <alignment vertical="center"/>
    </xf>
    <xf numFmtId="3" fontId="8" fillId="0" borderId="0" xfId="0" applyNumberFormat="1" applyFont="1" applyFill="1" applyBorder="1" applyAlignment="1">
      <alignment vertical="center"/>
    </xf>
    <xf numFmtId="9" fontId="7" fillId="0" borderId="0" xfId="0" applyNumberFormat="1" applyFont="1" applyFill="1" applyBorder="1" applyAlignment="1">
      <alignment vertical="center"/>
    </xf>
    <xf numFmtId="164" fontId="7" fillId="0" borderId="0" xfId="0" applyNumberFormat="1" applyFont="1" applyFill="1" applyBorder="1" applyAlignment="1">
      <alignment vertical="center"/>
    </xf>
    <xf numFmtId="3" fontId="7" fillId="0" borderId="0" xfId="0" applyNumberFormat="1" applyFont="1" applyBorder="1" applyAlignment="1">
      <alignment vertical="center"/>
    </xf>
    <xf numFmtId="3" fontId="0" fillId="0" borderId="0" xfId="0" applyNumberFormat="1" applyFill="1" applyBorder="1" applyAlignment="1">
      <alignment vertical="center"/>
    </xf>
    <xf numFmtId="0" fontId="8" fillId="0" borderId="0" xfId="0" applyFont="1" applyAlignment="1">
      <alignment horizontal="left" vertical="center" wrapText="1"/>
    </xf>
    <xf numFmtId="0" fontId="2" fillId="0" borderId="0" xfId="0" applyFont="1" applyAlignment="1">
      <alignment vertical="center"/>
    </xf>
    <xf numFmtId="0" fontId="15" fillId="0" borderId="0" xfId="0" applyFont="1" applyAlignment="1">
      <alignment vertical="center"/>
    </xf>
    <xf numFmtId="0" fontId="26" fillId="0" borderId="0" xfId="0" applyFont="1" applyAlignment="1">
      <alignment horizontal="left" vertical="center"/>
    </xf>
    <xf numFmtId="0" fontId="8" fillId="2" borderId="2" xfId="0" applyFont="1" applyFill="1" applyBorder="1" applyAlignment="1">
      <alignment horizontal="right" vertical="center" wrapText="1"/>
    </xf>
    <xf numFmtId="0" fontId="5" fillId="0" borderId="0" xfId="0" applyFont="1" applyFill="1" applyBorder="1" applyAlignment="1">
      <alignment vertical="center"/>
    </xf>
    <xf numFmtId="0" fontId="5" fillId="0" borderId="0" xfId="0" applyFont="1" applyBorder="1" applyAlignment="1">
      <alignment vertical="center"/>
    </xf>
    <xf numFmtId="10" fontId="7" fillId="0" borderId="0" xfId="0" applyNumberFormat="1" applyFont="1" applyBorder="1" applyAlignment="1">
      <alignment vertical="center"/>
    </xf>
    <xf numFmtId="3" fontId="11" fillId="0" borderId="0" xfId="0" applyNumberFormat="1" applyFont="1" applyFill="1" applyBorder="1" applyAlignment="1">
      <alignment horizontal="right" vertical="center"/>
    </xf>
    <xf numFmtId="3" fontId="29" fillId="0" borderId="0" xfId="0" applyNumberFormat="1" applyFont="1" applyFill="1" applyBorder="1" applyAlignment="1">
      <alignment horizontal="right" vertical="center"/>
    </xf>
    <xf numFmtId="3" fontId="8" fillId="0" borderId="5" xfId="0" applyNumberFormat="1" applyFont="1" applyBorder="1" applyAlignment="1">
      <alignment horizontal="right" vertical="center"/>
    </xf>
    <xf numFmtId="0" fontId="31" fillId="0" borderId="0" xfId="3" applyFont="1" applyAlignment="1">
      <alignment horizontal="right" vertical="center"/>
    </xf>
    <xf numFmtId="0" fontId="7" fillId="0" borderId="0" xfId="0" applyNumberFormat="1" applyFont="1" applyFill="1" applyBorder="1" applyAlignment="1">
      <alignment vertical="center"/>
    </xf>
    <xf numFmtId="0" fontId="7" fillId="0" borderId="0" xfId="0" applyNumberFormat="1" applyFont="1" applyFill="1" applyAlignment="1">
      <alignment vertical="center"/>
    </xf>
    <xf numFmtId="0" fontId="5" fillId="0" borderId="0" xfId="0" applyNumberFormat="1" applyFont="1" applyBorder="1" applyAlignment="1">
      <alignment vertical="center"/>
    </xf>
    <xf numFmtId="3" fontId="7" fillId="0" borderId="5" xfId="0" applyNumberFormat="1" applyFont="1" applyBorder="1" applyAlignment="1">
      <alignment horizontal="right" vertical="justify"/>
    </xf>
    <xf numFmtId="0" fontId="0" fillId="0" borderId="0" xfId="0" applyBorder="1" applyAlignment="1">
      <alignment horizontal="center" vertical="center"/>
    </xf>
    <xf numFmtId="1" fontId="8" fillId="2" borderId="6" xfId="0" applyNumberFormat="1" applyFont="1" applyFill="1" applyBorder="1" applyAlignment="1">
      <alignment horizontal="right" vertical="justify"/>
    </xf>
    <xf numFmtId="164" fontId="7" fillId="0" borderId="0" xfId="1" applyNumberFormat="1" applyFont="1" applyBorder="1" applyAlignment="1">
      <alignment vertical="justify"/>
    </xf>
    <xf numFmtId="164" fontId="7" fillId="0" borderId="5" xfId="1" applyNumberFormat="1" applyFont="1" applyBorder="1" applyAlignment="1">
      <alignment vertical="justify"/>
    </xf>
    <xf numFmtId="164" fontId="7" fillId="0" borderId="12" xfId="1" applyNumberFormat="1" applyFont="1" applyBorder="1" applyAlignment="1">
      <alignment vertical="justify"/>
    </xf>
    <xf numFmtId="164" fontId="7" fillId="0" borderId="10" xfId="1" applyNumberFormat="1" applyFont="1" applyBorder="1" applyAlignment="1">
      <alignment vertical="justify"/>
    </xf>
    <xf numFmtId="164" fontId="8" fillId="0" borderId="8" xfId="1" applyNumberFormat="1" applyFont="1" applyBorder="1" applyAlignment="1">
      <alignment vertical="justify"/>
    </xf>
    <xf numFmtId="164" fontId="8" fillId="0" borderId="13" xfId="1" applyNumberFormat="1" applyFont="1" applyBorder="1" applyAlignment="1">
      <alignment vertical="justify"/>
    </xf>
    <xf numFmtId="9" fontId="8" fillId="0" borderId="13" xfId="1" applyNumberFormat="1" applyFont="1" applyBorder="1" applyAlignment="1">
      <alignment vertical="justify"/>
    </xf>
    <xf numFmtId="0" fontId="8" fillId="5" borderId="5" xfId="0" applyFont="1" applyFill="1" applyBorder="1" applyAlignment="1">
      <alignment vertical="justify"/>
    </xf>
    <xf numFmtId="0" fontId="8" fillId="5" borderId="12" xfId="0" applyFont="1" applyFill="1" applyBorder="1" applyAlignment="1">
      <alignment vertical="justify"/>
    </xf>
    <xf numFmtId="164" fontId="9" fillId="0" borderId="0" xfId="0" applyNumberFormat="1" applyFont="1" applyAlignment="1">
      <alignment vertical="center"/>
    </xf>
    <xf numFmtId="164" fontId="24" fillId="0" borderId="0" xfId="0" applyNumberFormat="1" applyFont="1" applyAlignment="1">
      <alignment horizontal="left" vertical="center"/>
    </xf>
    <xf numFmtId="166" fontId="7" fillId="0" borderId="3" xfId="0" applyNumberFormat="1" applyFont="1" applyFill="1" applyBorder="1" applyAlignment="1">
      <alignment horizontal="right" vertical="justify"/>
    </xf>
    <xf numFmtId="166" fontId="7" fillId="0" borderId="4" xfId="0" applyNumberFormat="1" applyFont="1" applyFill="1" applyBorder="1" applyAlignment="1">
      <alignment horizontal="right" vertical="justify"/>
    </xf>
    <xf numFmtId="166" fontId="8" fillId="0" borderId="11" xfId="0" applyNumberFormat="1" applyFont="1" applyBorder="1" applyAlignment="1">
      <alignment horizontal="right" vertical="justify"/>
    </xf>
    <xf numFmtId="166" fontId="8" fillId="0" borderId="11" xfId="0" applyNumberFormat="1" applyFont="1" applyBorder="1" applyAlignment="1">
      <alignment vertical="justify"/>
    </xf>
    <xf numFmtId="9" fontId="7" fillId="0" borderId="10" xfId="1" applyNumberFormat="1" applyFont="1" applyFill="1" applyBorder="1" applyAlignment="1">
      <alignment horizontal="right" vertical="justify"/>
    </xf>
    <xf numFmtId="9" fontId="7" fillId="0" borderId="12" xfId="1" applyNumberFormat="1" applyFont="1" applyFill="1" applyBorder="1" applyAlignment="1">
      <alignment horizontal="right" vertical="justify"/>
    </xf>
    <xf numFmtId="9" fontId="8" fillId="0" borderId="13" xfId="1" applyNumberFormat="1" applyFont="1" applyBorder="1" applyAlignment="1">
      <alignment horizontal="right" vertical="justify"/>
    </xf>
    <xf numFmtId="9" fontId="7" fillId="0" borderId="10" xfId="1" applyNumberFormat="1" applyFont="1" applyBorder="1" applyAlignment="1">
      <alignment horizontal="right" vertical="justify"/>
    </xf>
    <xf numFmtId="3" fontId="7" fillId="0" borderId="3" xfId="0" applyNumberFormat="1" applyFont="1" applyBorder="1" applyAlignment="1">
      <alignment horizontal="right" vertical="justify"/>
    </xf>
    <xf numFmtId="0" fontId="8" fillId="2" borderId="6" xfId="0" applyFont="1" applyFill="1" applyBorder="1" applyAlignment="1">
      <alignment horizontal="right" vertical="justify"/>
    </xf>
    <xf numFmtId="9" fontId="7" fillId="0" borderId="6" xfId="0" applyNumberFormat="1" applyFont="1" applyFill="1" applyBorder="1" applyAlignment="1">
      <alignment horizontal="right" vertical="justify"/>
    </xf>
    <xf numFmtId="9" fontId="7" fillId="0" borderId="7" xfId="0" applyNumberFormat="1" applyFont="1" applyFill="1" applyBorder="1" applyAlignment="1">
      <alignment horizontal="right" vertical="justify"/>
    </xf>
    <xf numFmtId="164" fontId="7" fillId="0" borderId="7" xfId="0" applyNumberFormat="1" applyFont="1" applyFill="1" applyBorder="1" applyAlignment="1">
      <alignment horizontal="right" vertical="justify"/>
    </xf>
    <xf numFmtId="9" fontId="8" fillId="0" borderId="9" xfId="0" applyNumberFormat="1" applyFont="1" applyBorder="1" applyAlignment="1">
      <alignment vertical="justify"/>
    </xf>
    <xf numFmtId="0" fontId="16" fillId="4" borderId="0" xfId="0" applyFont="1" applyFill="1" applyBorder="1" applyAlignment="1">
      <alignment vertical="center"/>
    </xf>
    <xf numFmtId="0" fontId="17" fillId="4" borderId="0" xfId="0" applyFont="1" applyFill="1" applyBorder="1" applyAlignment="1">
      <alignment vertical="center"/>
    </xf>
    <xf numFmtId="3" fontId="8" fillId="0" borderId="10" xfId="0" applyNumberFormat="1" applyFont="1" applyBorder="1" applyAlignment="1">
      <alignment vertical="justify"/>
    </xf>
    <xf numFmtId="3" fontId="8" fillId="0" borderId="4" xfId="0" applyNumberFormat="1" applyFont="1" applyBorder="1" applyAlignment="1">
      <alignment vertical="justify"/>
    </xf>
    <xf numFmtId="3" fontId="8" fillId="0" borderId="0" xfId="0" applyNumberFormat="1" applyFont="1" applyBorder="1" applyAlignment="1">
      <alignment vertical="justify"/>
    </xf>
    <xf numFmtId="17" fontId="32" fillId="6" borderId="14" xfId="0" applyNumberFormat="1" applyFont="1" applyFill="1" applyBorder="1" applyAlignment="1">
      <alignment vertical="justify"/>
    </xf>
    <xf numFmtId="17" fontId="32" fillId="6" borderId="1" xfId="0" applyNumberFormat="1" applyFont="1" applyFill="1" applyBorder="1" applyAlignment="1">
      <alignment vertical="justify"/>
    </xf>
    <xf numFmtId="17" fontId="8" fillId="2" borderId="1" xfId="0" applyNumberFormat="1" applyFont="1" applyFill="1" applyBorder="1" applyAlignment="1">
      <alignment vertical="justify"/>
    </xf>
    <xf numFmtId="17" fontId="8" fillId="2" borderId="2" xfId="0" applyNumberFormat="1" applyFont="1" applyFill="1" applyBorder="1" applyAlignment="1">
      <alignment vertical="justify"/>
    </xf>
    <xf numFmtId="3" fontId="7" fillId="0" borderId="5" xfId="0" applyNumberFormat="1" applyFont="1" applyFill="1" applyBorder="1" applyAlignment="1">
      <alignment vertical="justify"/>
    </xf>
    <xf numFmtId="3" fontId="7" fillId="0" borderId="0" xfId="0" applyNumberFormat="1" applyFont="1" applyFill="1" applyBorder="1" applyAlignment="1">
      <alignment vertical="justify"/>
    </xf>
    <xf numFmtId="17" fontId="32" fillId="6" borderId="2" xfId="0" applyNumberFormat="1" applyFont="1" applyFill="1" applyBorder="1" applyAlignment="1">
      <alignment vertical="justify"/>
    </xf>
    <xf numFmtId="0" fontId="7" fillId="3" borderId="3" xfId="0" applyNumberFormat="1" applyFont="1" applyFill="1" applyBorder="1" applyAlignment="1">
      <alignment vertical="justify"/>
    </xf>
    <xf numFmtId="0" fontId="7" fillId="3" borderId="4" xfId="0" applyNumberFormat="1" applyFont="1" applyFill="1" applyBorder="1" applyAlignment="1">
      <alignment vertical="justify"/>
    </xf>
    <xf numFmtId="0" fontId="0" fillId="0" borderId="0" xfId="0" applyFill="1" applyAlignment="1">
      <alignment vertical="justify"/>
    </xf>
    <xf numFmtId="0" fontId="7" fillId="0" borderId="0" xfId="0" applyNumberFormat="1" applyFont="1" applyFill="1" applyBorder="1" applyAlignment="1">
      <alignment vertical="justify"/>
    </xf>
    <xf numFmtId="17" fontId="8" fillId="2" borderId="14" xfId="0" applyNumberFormat="1" applyFont="1" applyFill="1" applyBorder="1" applyAlignment="1">
      <alignment vertical="justify"/>
    </xf>
    <xf numFmtId="0" fontId="7" fillId="3" borderId="14" xfId="0" applyNumberFormat="1" applyFont="1" applyFill="1" applyBorder="1" applyAlignment="1">
      <alignment vertical="justify"/>
    </xf>
    <xf numFmtId="0" fontId="7" fillId="0" borderId="0" xfId="0" applyNumberFormat="1" applyFont="1" applyBorder="1" applyAlignment="1">
      <alignment vertical="justify"/>
    </xf>
    <xf numFmtId="3" fontId="7" fillId="0" borderId="14" xfId="0" applyNumberFormat="1" applyFont="1" applyBorder="1" applyAlignment="1">
      <alignment vertical="justify"/>
    </xf>
    <xf numFmtId="3" fontId="7" fillId="0" borderId="1" xfId="0" applyNumberFormat="1" applyFont="1" applyBorder="1" applyAlignment="1">
      <alignment vertical="justify"/>
    </xf>
    <xf numFmtId="3" fontId="7" fillId="0" borderId="2" xfId="0" applyNumberFormat="1" applyFont="1" applyBorder="1" applyAlignment="1">
      <alignment vertical="justify"/>
    </xf>
    <xf numFmtId="0" fontId="7" fillId="3" borderId="15" xfId="0" applyNumberFormat="1" applyFont="1" applyFill="1" applyBorder="1" applyAlignment="1">
      <alignment vertical="justify"/>
    </xf>
    <xf numFmtId="17" fontId="8" fillId="2" borderId="12" xfId="0" applyNumberFormat="1" applyFont="1" applyFill="1" applyBorder="1" applyAlignment="1">
      <alignment vertical="justify"/>
    </xf>
    <xf numFmtId="0" fontId="31" fillId="0" borderId="0" xfId="3" applyFont="1" applyAlignment="1">
      <alignment horizontal="right"/>
    </xf>
    <xf numFmtId="0" fontId="14" fillId="0" borderId="0" xfId="0" applyFont="1"/>
    <xf numFmtId="3" fontId="31" fillId="0" borderId="0" xfId="5" applyNumberFormat="1" applyFont="1" applyFill="1" applyBorder="1" applyAlignment="1" applyProtection="1">
      <alignment horizontal="right"/>
      <protection locked="0"/>
    </xf>
    <xf numFmtId="17" fontId="28" fillId="0" borderId="3" xfId="0" applyNumberFormat="1" applyFont="1" applyFill="1" applyBorder="1" applyAlignment="1">
      <alignment horizontal="right" vertical="justify"/>
    </xf>
    <xf numFmtId="17" fontId="28" fillId="0" borderId="5" xfId="0" applyNumberFormat="1" applyFont="1" applyFill="1" applyBorder="1" applyAlignment="1">
      <alignment horizontal="right" vertical="justify"/>
    </xf>
    <xf numFmtId="17" fontId="28" fillId="0" borderId="12" xfId="0" applyNumberFormat="1" applyFont="1" applyFill="1" applyBorder="1" applyAlignment="1">
      <alignment horizontal="right" vertical="justify"/>
    </xf>
    <xf numFmtId="17" fontId="28" fillId="0" borderId="4" xfId="0" applyNumberFormat="1" applyFont="1" applyFill="1" applyBorder="1" applyAlignment="1">
      <alignment horizontal="right" vertical="justify"/>
    </xf>
    <xf numFmtId="17" fontId="28" fillId="0" borderId="0" xfId="0" applyNumberFormat="1" applyFont="1" applyFill="1" applyBorder="1" applyAlignment="1">
      <alignment horizontal="right" vertical="justify"/>
    </xf>
    <xf numFmtId="17" fontId="28" fillId="0" borderId="10" xfId="0" applyNumberFormat="1" applyFont="1" applyFill="1" applyBorder="1" applyAlignment="1">
      <alignment horizontal="right" vertical="justify"/>
    </xf>
    <xf numFmtId="9" fontId="7" fillId="0" borderId="11" xfId="0" applyNumberFormat="1" applyFont="1" applyBorder="1" applyAlignment="1">
      <alignment vertical="justify"/>
    </xf>
    <xf numFmtId="9" fontId="7" fillId="0" borderId="8" xfId="0" applyNumberFormat="1" applyFont="1" applyBorder="1" applyAlignment="1">
      <alignment vertical="justify"/>
    </xf>
    <xf numFmtId="9" fontId="7" fillId="0" borderId="13" xfId="0" applyNumberFormat="1" applyFont="1" applyBorder="1" applyAlignment="1">
      <alignment vertical="justify"/>
    </xf>
    <xf numFmtId="0" fontId="7" fillId="3" borderId="11" xfId="0" applyNumberFormat="1" applyFont="1" applyFill="1" applyBorder="1" applyAlignment="1">
      <alignment vertical="justify"/>
    </xf>
    <xf numFmtId="9" fontId="7" fillId="0" borderId="11" xfId="0" applyNumberFormat="1" applyFont="1" applyBorder="1" applyAlignment="1">
      <alignment horizontal="right" vertical="justify"/>
    </xf>
    <xf numFmtId="9" fontId="7" fillId="0" borderId="8" xfId="0" applyNumberFormat="1" applyFont="1" applyBorder="1" applyAlignment="1">
      <alignment horizontal="right" vertical="justify"/>
    </xf>
    <xf numFmtId="0" fontId="7" fillId="0" borderId="0" xfId="0" applyFont="1" applyBorder="1" applyAlignment="1">
      <alignment horizontal="right" vertical="justify"/>
    </xf>
    <xf numFmtId="17" fontId="8" fillId="2" borderId="14" xfId="0" applyNumberFormat="1" applyFont="1" applyFill="1" applyBorder="1" applyAlignment="1">
      <alignment horizontal="right" vertical="justify"/>
    </xf>
    <xf numFmtId="17" fontId="8" fillId="2" borderId="1" xfId="0" applyNumberFormat="1" applyFont="1" applyFill="1" applyBorder="1" applyAlignment="1">
      <alignment horizontal="right" vertical="justify"/>
    </xf>
    <xf numFmtId="17" fontId="8" fillId="2" borderId="2" xfId="0" applyNumberFormat="1" applyFont="1" applyFill="1" applyBorder="1" applyAlignment="1">
      <alignment horizontal="right" vertical="justify"/>
    </xf>
    <xf numFmtId="0" fontId="27" fillId="0" borderId="0" xfId="0" applyFont="1" applyFill="1" applyBorder="1" applyAlignment="1">
      <alignment vertical="justify"/>
    </xf>
    <xf numFmtId="17" fontId="8" fillId="2" borderId="3" xfId="0" applyNumberFormat="1" applyFont="1" applyFill="1" applyBorder="1" applyAlignment="1">
      <alignment vertical="justify"/>
    </xf>
    <xf numFmtId="17" fontId="8" fillId="2" borderId="5" xfId="0" applyNumberFormat="1" applyFont="1" applyFill="1" applyBorder="1" applyAlignment="1">
      <alignment vertical="justify"/>
    </xf>
    <xf numFmtId="166" fontId="34" fillId="0" borderId="0" xfId="0" applyNumberFormat="1" applyFont="1" applyAlignment="1">
      <alignment vertical="center"/>
    </xf>
    <xf numFmtId="0" fontId="35" fillId="0" borderId="0" xfId="0" applyFont="1" applyBorder="1" applyAlignment="1">
      <alignment vertical="center"/>
    </xf>
    <xf numFmtId="0" fontId="7" fillId="3" borderId="4" xfId="0" applyFont="1" applyFill="1" applyBorder="1" applyAlignment="1">
      <alignment vertical="center"/>
    </xf>
    <xf numFmtId="3" fontId="8" fillId="0" borderId="0" xfId="0" applyNumberFormat="1" applyFont="1" applyFill="1" applyBorder="1" applyAlignment="1">
      <alignment horizontal="right" vertical="center"/>
    </xf>
    <xf numFmtId="0" fontId="7" fillId="3" borderId="6" xfId="0" applyFont="1" applyFill="1" applyBorder="1" applyAlignment="1">
      <alignment vertical="center"/>
    </xf>
    <xf numFmtId="3" fontId="8" fillId="0" borderId="0" xfId="0" applyNumberFormat="1" applyFont="1" applyBorder="1" applyAlignment="1">
      <alignment vertical="center"/>
    </xf>
    <xf numFmtId="0" fontId="8" fillId="0" borderId="0" xfId="0" applyFont="1" applyFill="1" applyBorder="1" applyAlignment="1">
      <alignment horizontal="right" vertical="center"/>
    </xf>
    <xf numFmtId="0" fontId="13" fillId="0" borderId="0" xfId="0" applyFont="1" applyFill="1" applyBorder="1" applyAlignment="1">
      <alignment horizontal="right" vertical="center" wrapText="1"/>
    </xf>
    <xf numFmtId="0" fontId="7" fillId="3" borderId="3" xfId="0" applyFont="1" applyFill="1" applyBorder="1" applyAlignment="1">
      <alignment vertical="center"/>
    </xf>
    <xf numFmtId="0" fontId="8" fillId="3" borderId="11" xfId="0" applyFont="1" applyFill="1" applyBorder="1" applyAlignment="1">
      <alignment vertical="center"/>
    </xf>
    <xf numFmtId="0" fontId="8" fillId="0" borderId="0" xfId="0" applyFont="1" applyFill="1" applyBorder="1" applyAlignment="1">
      <alignment vertical="center"/>
    </xf>
    <xf numFmtId="0" fontId="2" fillId="0" borderId="0" xfId="0" applyFont="1" applyBorder="1" applyAlignment="1">
      <alignment vertical="center"/>
    </xf>
    <xf numFmtId="1" fontId="8" fillId="2" borderId="14" xfId="0" applyNumberFormat="1" applyFont="1" applyFill="1" applyBorder="1" applyAlignment="1">
      <alignment horizontal="right" vertical="center"/>
    </xf>
    <xf numFmtId="1" fontId="8" fillId="2" borderId="1" xfId="0" applyNumberFormat="1" applyFont="1" applyFill="1" applyBorder="1" applyAlignment="1">
      <alignment horizontal="right" vertical="center"/>
    </xf>
    <xf numFmtId="1" fontId="8" fillId="2" borderId="2" xfId="0" applyNumberFormat="1" applyFont="1" applyFill="1" applyBorder="1" applyAlignment="1">
      <alignment horizontal="right" vertical="center"/>
    </xf>
    <xf numFmtId="3" fontId="7" fillId="0" borderId="4" xfId="0" applyNumberFormat="1" applyFont="1" applyBorder="1" applyAlignment="1">
      <alignment horizontal="right" vertical="center"/>
    </xf>
    <xf numFmtId="3" fontId="7" fillId="0" borderId="10" xfId="0" applyNumberFormat="1" applyFont="1" applyBorder="1" applyAlignment="1">
      <alignment horizontal="right" vertical="center"/>
    </xf>
    <xf numFmtId="3" fontId="8" fillId="0" borderId="0" xfId="0" applyNumberFormat="1" applyFont="1" applyBorder="1" applyAlignment="1">
      <alignment horizontal="right" vertical="center"/>
    </xf>
    <xf numFmtId="1" fontId="8" fillId="0" borderId="0" xfId="0" applyNumberFormat="1" applyFont="1" applyFill="1" applyBorder="1" applyAlignment="1">
      <alignment horizontal="right" vertical="center"/>
    </xf>
    <xf numFmtId="3" fontId="7" fillId="0" borderId="3" xfId="0" applyNumberFormat="1" applyFont="1" applyBorder="1" applyAlignment="1">
      <alignment horizontal="right" vertical="center"/>
    </xf>
    <xf numFmtId="3" fontId="7" fillId="0" borderId="5" xfId="0" applyNumberFormat="1" applyFont="1" applyBorder="1" applyAlignment="1">
      <alignment horizontal="right" vertical="center"/>
    </xf>
    <xf numFmtId="3" fontId="8" fillId="0" borderId="11" xfId="0" applyNumberFormat="1" applyFont="1" applyBorder="1" applyAlignment="1">
      <alignment horizontal="right" vertical="center"/>
    </xf>
    <xf numFmtId="3" fontId="8" fillId="0" borderId="8" xfId="0" applyNumberFormat="1" applyFont="1" applyBorder="1" applyAlignment="1">
      <alignment horizontal="right" vertical="center"/>
    </xf>
    <xf numFmtId="3" fontId="8" fillId="0" borderId="13" xfId="0" applyNumberFormat="1" applyFont="1" applyBorder="1" applyAlignment="1">
      <alignment horizontal="right" vertical="center"/>
    </xf>
    <xf numFmtId="168" fontId="31" fillId="0" borderId="0" xfId="3" applyNumberFormat="1" applyFont="1" applyFill="1" applyBorder="1" applyAlignment="1" applyProtection="1">
      <alignment horizontal="center"/>
      <protection locked="0"/>
    </xf>
    <xf numFmtId="167" fontId="2" fillId="0" borderId="0" xfId="0" applyNumberFormat="1" applyFont="1" applyFill="1" applyBorder="1" applyAlignment="1">
      <alignment horizontal="center" vertical="center"/>
    </xf>
    <xf numFmtId="167" fontId="14" fillId="0" borderId="0" xfId="0" applyNumberFormat="1" applyFont="1" applyFill="1" applyBorder="1" applyAlignment="1">
      <alignment horizontal="center" vertical="center"/>
    </xf>
    <xf numFmtId="0" fontId="8" fillId="2" borderId="3" xfId="0" applyFont="1" applyFill="1" applyBorder="1" applyAlignment="1">
      <alignment horizontal="right" vertical="justify"/>
    </xf>
    <xf numFmtId="0" fontId="8" fillId="5" borderId="5" xfId="0" applyFont="1" applyFill="1" applyBorder="1" applyAlignment="1">
      <alignment horizontal="right" vertical="justify"/>
    </xf>
    <xf numFmtId="0" fontId="8" fillId="5" borderId="12" xfId="0" applyFont="1" applyFill="1" applyBorder="1" applyAlignment="1">
      <alignment horizontal="right" vertical="justify"/>
    </xf>
    <xf numFmtId="0" fontId="35" fillId="0" borderId="0" xfId="0" applyFont="1" applyFill="1" applyBorder="1" applyAlignment="1">
      <alignment vertical="center"/>
    </xf>
    <xf numFmtId="164" fontId="0" fillId="0" borderId="0" xfId="0" applyNumberFormat="1" applyFill="1" applyAlignment="1">
      <alignment vertical="center"/>
    </xf>
    <xf numFmtId="2" fontId="7" fillId="0" borderId="0" xfId="0" applyNumberFormat="1" applyFont="1" applyFill="1" applyBorder="1" applyAlignment="1">
      <alignment vertical="center"/>
    </xf>
    <xf numFmtId="165" fontId="7" fillId="0" borderId="0" xfId="0" applyNumberFormat="1" applyFont="1" applyFill="1" applyBorder="1" applyAlignment="1">
      <alignment vertical="center"/>
    </xf>
    <xf numFmtId="10" fontId="7" fillId="0" borderId="0" xfId="0" applyNumberFormat="1" applyFont="1" applyFill="1" applyBorder="1" applyAlignment="1">
      <alignment vertical="center"/>
    </xf>
    <xf numFmtId="0" fontId="0" fillId="0" borderId="0" xfId="0" applyNumberFormat="1" applyFill="1" applyAlignment="1">
      <alignment vertical="center"/>
    </xf>
    <xf numFmtId="0" fontId="7" fillId="0" borderId="0" xfId="0" applyFont="1" applyFill="1" applyBorder="1" applyAlignment="1">
      <alignment horizontal="right" vertical="justify"/>
    </xf>
    <xf numFmtId="3" fontId="7" fillId="0" borderId="12" xfId="0" applyNumberFormat="1" applyFont="1" applyFill="1" applyBorder="1" applyAlignment="1">
      <alignment vertical="justify"/>
    </xf>
    <xf numFmtId="3" fontId="7" fillId="0" borderId="10" xfId="0" applyNumberFormat="1" applyFont="1" applyFill="1" applyBorder="1" applyAlignment="1">
      <alignment vertical="justify"/>
    </xf>
    <xf numFmtId="0" fontId="14" fillId="0" borderId="0" xfId="0" applyFont="1" applyFill="1"/>
    <xf numFmtId="3" fontId="7" fillId="0" borderId="3" xfId="0" applyNumberFormat="1" applyFont="1" applyFill="1" applyBorder="1" applyAlignment="1">
      <alignment vertical="justify"/>
    </xf>
    <xf numFmtId="3" fontId="7" fillId="0" borderId="4" xfId="0" applyNumberFormat="1" applyFont="1" applyFill="1" applyBorder="1" applyAlignment="1">
      <alignment vertical="justify"/>
    </xf>
    <xf numFmtId="3" fontId="8" fillId="0" borderId="10" xfId="0" applyNumberFormat="1" applyFont="1" applyFill="1" applyBorder="1" applyAlignment="1">
      <alignment vertical="justify"/>
    </xf>
    <xf numFmtId="3" fontId="8" fillId="0" borderId="11" xfId="0" applyNumberFormat="1" applyFont="1" applyFill="1" applyBorder="1" applyAlignment="1">
      <alignment vertical="justify"/>
    </xf>
    <xf numFmtId="3" fontId="8" fillId="0" borderId="8" xfId="0" applyNumberFormat="1" applyFont="1" applyFill="1" applyBorder="1" applyAlignment="1">
      <alignment vertical="justify"/>
    </xf>
    <xf numFmtId="3" fontId="8" fillId="0" borderId="13" xfId="0" applyNumberFormat="1" applyFont="1" applyFill="1" applyBorder="1" applyAlignment="1">
      <alignment vertical="justify"/>
    </xf>
    <xf numFmtId="164" fontId="7" fillId="0" borderId="0" xfId="4" applyNumberFormat="1" applyFont="1" applyFill="1" applyBorder="1" applyAlignment="1">
      <alignment horizontal="right" vertical="center"/>
    </xf>
    <xf numFmtId="165" fontId="2" fillId="0" borderId="0" xfId="4" applyNumberFormat="1" applyFont="1" applyFill="1" applyBorder="1" applyAlignment="1">
      <alignment vertical="center"/>
    </xf>
    <xf numFmtId="0" fontId="0" fillId="0" borderId="0" xfId="0" applyFill="1"/>
    <xf numFmtId="0" fontId="16" fillId="0" borderId="0" xfId="0" applyFont="1" applyFill="1" applyBorder="1" applyAlignment="1">
      <alignment vertical="center"/>
    </xf>
    <xf numFmtId="0" fontId="2" fillId="0" borderId="0" xfId="0" applyFont="1" applyFill="1" applyBorder="1" applyAlignment="1">
      <alignment vertical="center"/>
    </xf>
    <xf numFmtId="164" fontId="0" fillId="0" borderId="0" xfId="0" applyNumberFormat="1" applyFill="1" applyBorder="1" applyAlignment="1">
      <alignment vertical="center"/>
    </xf>
    <xf numFmtId="0" fontId="8" fillId="0" borderId="0" xfId="0" applyFont="1" applyFill="1" applyBorder="1" applyAlignment="1">
      <alignment horizontal="left" vertical="center"/>
    </xf>
    <xf numFmtId="9" fontId="7" fillId="0" borderId="0" xfId="0" applyNumberFormat="1" applyFont="1" applyFill="1" applyBorder="1" applyAlignment="1">
      <alignment horizontal="right" vertical="justify"/>
    </xf>
    <xf numFmtId="0" fontId="14" fillId="0" borderId="0" xfId="0" applyFont="1" applyFill="1" applyBorder="1"/>
    <xf numFmtId="0" fontId="0" fillId="0" borderId="0" xfId="0" applyFill="1" applyBorder="1" applyAlignment="1">
      <alignment vertical="justify"/>
    </xf>
    <xf numFmtId="9" fontId="8" fillId="0" borderId="0" xfId="4" applyNumberFormat="1" applyFont="1" applyFill="1" applyBorder="1" applyAlignment="1">
      <alignment horizontal="right" vertical="center"/>
    </xf>
    <xf numFmtId="2" fontId="7" fillId="0" borderId="0" xfId="0" applyNumberFormat="1" applyFont="1" applyFill="1" applyBorder="1" applyAlignment="1">
      <alignment horizontal="right" vertical="center"/>
    </xf>
    <xf numFmtId="2" fontId="8" fillId="0" borderId="0" xfId="0" applyNumberFormat="1" applyFont="1" applyFill="1" applyBorder="1" applyAlignment="1">
      <alignment vertical="center"/>
    </xf>
    <xf numFmtId="167" fontId="0" fillId="0" borderId="0" xfId="0" applyNumberFormat="1" applyFill="1" applyBorder="1" applyAlignment="1">
      <alignment vertical="center"/>
    </xf>
    <xf numFmtId="0" fontId="0" fillId="0" borderId="0" xfId="0" applyFill="1" applyBorder="1"/>
    <xf numFmtId="0" fontId="31" fillId="0" borderId="0" xfId="3" applyFont="1" applyFill="1" applyBorder="1" applyAlignment="1">
      <alignment horizontal="right"/>
    </xf>
    <xf numFmtId="0" fontId="36" fillId="0" borderId="0" xfId="0" applyFont="1" applyFill="1" applyBorder="1" applyAlignment="1">
      <alignment vertical="center"/>
    </xf>
    <xf numFmtId="0" fontId="36" fillId="8" borderId="0" xfId="0" applyFont="1" applyFill="1" applyBorder="1" applyAlignment="1">
      <alignment vertical="center"/>
    </xf>
    <xf numFmtId="0" fontId="0" fillId="8" borderId="0" xfId="0" applyFill="1" applyBorder="1" applyAlignment="1">
      <alignment vertical="center"/>
    </xf>
    <xf numFmtId="0" fontId="5" fillId="0" borderId="0" xfId="6" applyFont="1" applyFill="1" applyAlignment="1">
      <alignment vertical="center"/>
    </xf>
    <xf numFmtId="0" fontId="8" fillId="2" borderId="3" xfId="0" applyFont="1" applyFill="1" applyBorder="1" applyAlignment="1">
      <alignment horizontal="right" vertical="center" wrapText="1"/>
    </xf>
    <xf numFmtId="0" fontId="8" fillId="2" borderId="5" xfId="0" applyFont="1" applyFill="1" applyBorder="1" applyAlignment="1">
      <alignment horizontal="right" vertical="center" wrapText="1"/>
    </xf>
    <xf numFmtId="0" fontId="8" fillId="2" borderId="12" xfId="0" applyFont="1" applyFill="1" applyBorder="1" applyAlignment="1">
      <alignment horizontal="right" vertical="center" wrapText="1"/>
    </xf>
    <xf numFmtId="3" fontId="13" fillId="0" borderId="0" xfId="0" applyNumberFormat="1" applyFont="1" applyFill="1" applyBorder="1" applyAlignment="1">
      <alignment horizontal="right" vertical="center"/>
    </xf>
    <xf numFmtId="0" fontId="8" fillId="2" borderId="14" xfId="0" applyFont="1" applyFill="1" applyBorder="1" applyAlignment="1">
      <alignment horizontal="right" vertical="center" wrapText="1"/>
    </xf>
    <xf numFmtId="0" fontId="8" fillId="2" borderId="1" xfId="0" applyFont="1" applyFill="1" applyBorder="1" applyAlignment="1">
      <alignment horizontal="right" vertical="center" wrapText="1"/>
    </xf>
    <xf numFmtId="9" fontId="15" fillId="0" borderId="0" xfId="0" applyNumberFormat="1" applyFont="1" applyFill="1" applyBorder="1" applyAlignment="1">
      <alignment horizontal="right" vertical="center"/>
    </xf>
    <xf numFmtId="3" fontId="8" fillId="0" borderId="0" xfId="0" applyNumberFormat="1" applyFont="1" applyFill="1" applyBorder="1" applyAlignment="1">
      <alignment horizontal="right" vertical="justify"/>
    </xf>
    <xf numFmtId="9" fontId="8" fillId="0" borderId="3" xfId="0" applyNumberFormat="1" applyFont="1" applyBorder="1" applyAlignment="1">
      <alignment horizontal="right" vertical="justify"/>
    </xf>
    <xf numFmtId="9" fontId="8" fillId="0" borderId="5" xfId="0" applyNumberFormat="1" applyFont="1" applyBorder="1" applyAlignment="1">
      <alignment horizontal="right" vertical="justify"/>
    </xf>
    <xf numFmtId="9" fontId="0" fillId="0" borderId="0" xfId="0" applyNumberFormat="1" applyAlignment="1">
      <alignment vertical="justify"/>
    </xf>
    <xf numFmtId="169" fontId="0" fillId="0" borderId="0" xfId="10" applyNumberFormat="1" applyFont="1" applyAlignment="1">
      <alignment vertical="justify"/>
    </xf>
    <xf numFmtId="3" fontId="7" fillId="0" borderId="4" xfId="6" applyNumberFormat="1" applyFont="1" applyBorder="1" applyAlignment="1">
      <alignment horizontal="right" vertical="justify"/>
    </xf>
    <xf numFmtId="3" fontId="7" fillId="0" borderId="0" xfId="6" applyNumberFormat="1" applyFont="1" applyBorder="1" applyAlignment="1">
      <alignment horizontal="right" vertical="justify"/>
    </xf>
    <xf numFmtId="9" fontId="7" fillId="0" borderId="4" xfId="0" applyNumberFormat="1" applyFont="1" applyBorder="1" applyAlignment="1">
      <alignment horizontal="right" vertical="justify"/>
    </xf>
    <xf numFmtId="9" fontId="8" fillId="0" borderId="4" xfId="0" applyNumberFormat="1" applyFont="1" applyBorder="1" applyAlignment="1">
      <alignment horizontal="right" vertical="justify"/>
    </xf>
    <xf numFmtId="9" fontId="8" fillId="0" borderId="0" xfId="0" applyNumberFormat="1" applyFont="1" applyBorder="1" applyAlignment="1">
      <alignment horizontal="right" vertical="justify"/>
    </xf>
    <xf numFmtId="9" fontId="0" fillId="0" borderId="0" xfId="9" applyFont="1" applyAlignment="1">
      <alignment vertical="justify"/>
    </xf>
    <xf numFmtId="3" fontId="8" fillId="0" borderId="11" xfId="0" applyNumberFormat="1" applyFont="1" applyFill="1" applyBorder="1" applyAlignment="1">
      <alignment horizontal="right" vertical="justify"/>
    </xf>
    <xf numFmtId="3" fontId="8" fillId="0" borderId="8" xfId="0" applyNumberFormat="1" applyFont="1" applyFill="1" applyBorder="1" applyAlignment="1">
      <alignment horizontal="right" vertical="justify"/>
    </xf>
    <xf numFmtId="3" fontId="8" fillId="0" borderId="13" xfId="0" applyNumberFormat="1" applyFont="1" applyFill="1" applyBorder="1" applyAlignment="1">
      <alignment horizontal="right" vertical="justify"/>
    </xf>
    <xf numFmtId="9" fontId="8" fillId="0" borderId="11" xfId="0" applyNumberFormat="1" applyFont="1" applyFill="1" applyBorder="1" applyAlignment="1">
      <alignment horizontal="right" vertical="justify"/>
    </xf>
    <xf numFmtId="9" fontId="8" fillId="0" borderId="8" xfId="0" applyNumberFormat="1" applyFont="1" applyFill="1" applyBorder="1" applyAlignment="1">
      <alignment horizontal="right" vertical="justify"/>
    </xf>
    <xf numFmtId="9" fontId="8" fillId="0" borderId="13" xfId="0" applyNumberFormat="1" applyFont="1" applyFill="1" applyBorder="1" applyAlignment="1">
      <alignment horizontal="right" vertical="justify"/>
    </xf>
    <xf numFmtId="0" fontId="37" fillId="0" borderId="0" xfId="0" applyFont="1" applyFill="1" applyAlignment="1">
      <alignment vertical="center"/>
    </xf>
    <xf numFmtId="0" fontId="8" fillId="0" borderId="0" xfId="0" applyFont="1" applyAlignment="1">
      <alignment horizontal="left" vertical="center"/>
    </xf>
    <xf numFmtId="164" fontId="0" fillId="0" borderId="0" xfId="0" applyNumberFormat="1" applyAlignment="1">
      <alignment horizontal="right" vertical="justify"/>
    </xf>
    <xf numFmtId="164" fontId="7" fillId="0" borderId="0" xfId="0" applyNumberFormat="1" applyFont="1" applyAlignment="1">
      <alignment horizontal="right" vertical="justify"/>
    </xf>
    <xf numFmtId="0" fontId="7" fillId="0" borderId="0" xfId="0" applyFont="1" applyAlignment="1">
      <alignment horizontal="right" vertical="justify"/>
    </xf>
    <xf numFmtId="164" fontId="37" fillId="0" borderId="0" xfId="0" applyNumberFormat="1" applyFont="1" applyFill="1" applyAlignment="1">
      <alignment vertical="center"/>
    </xf>
    <xf numFmtId="0" fontId="0" fillId="0" borderId="0" xfId="0" applyAlignment="1">
      <alignment horizontal="right" vertical="center"/>
    </xf>
    <xf numFmtId="0" fontId="7" fillId="0" borderId="0" xfId="0" applyFont="1" applyAlignment="1">
      <alignment horizontal="right" vertical="center"/>
    </xf>
    <xf numFmtId="49" fontId="7" fillId="0" borderId="4" xfId="0" applyNumberFormat="1" applyFont="1" applyFill="1" applyBorder="1" applyAlignment="1">
      <alignment horizontal="right" vertical="justify"/>
    </xf>
    <xf numFmtId="49" fontId="7" fillId="0" borderId="0" xfId="0" applyNumberFormat="1" applyFont="1" applyFill="1" applyBorder="1" applyAlignment="1">
      <alignment horizontal="right" vertical="justify"/>
    </xf>
    <xf numFmtId="49" fontId="7" fillId="0" borderId="10" xfId="0" applyNumberFormat="1" applyFont="1" applyFill="1" applyBorder="1" applyAlignment="1">
      <alignment horizontal="right" vertical="justify"/>
    </xf>
    <xf numFmtId="49" fontId="8" fillId="0" borderId="11" xfId="0" applyNumberFormat="1" applyFont="1" applyFill="1" applyBorder="1" applyAlignment="1">
      <alignment horizontal="right" vertical="justify"/>
    </xf>
    <xf numFmtId="49" fontId="8" fillId="0" borderId="8" xfId="0" applyNumberFormat="1" applyFont="1" applyFill="1" applyBorder="1" applyAlignment="1">
      <alignment horizontal="right" vertical="justify"/>
    </xf>
    <xf numFmtId="49" fontId="8" fillId="0" borderId="13" xfId="0" applyNumberFormat="1" applyFont="1" applyFill="1" applyBorder="1" applyAlignment="1">
      <alignment horizontal="right" vertical="justify"/>
    </xf>
    <xf numFmtId="0" fontId="8" fillId="0" borderId="0" xfId="0" applyFont="1" applyFill="1" applyAlignment="1">
      <alignment vertical="center"/>
    </xf>
    <xf numFmtId="0" fontId="8" fillId="0" borderId="0" xfId="0" applyFont="1" applyFill="1" applyBorder="1" applyAlignment="1">
      <alignment horizontal="left" vertical="justify"/>
    </xf>
    <xf numFmtId="0" fontId="7" fillId="3" borderId="4" xfId="0" applyFont="1" applyFill="1" applyBorder="1" applyAlignment="1">
      <alignment horizontal="left" vertical="justify"/>
    </xf>
    <xf numFmtId="0" fontId="8" fillId="3" borderId="11" xfId="0" applyFont="1" applyFill="1" applyBorder="1" applyAlignment="1">
      <alignment horizontal="left" vertical="justify"/>
    </xf>
    <xf numFmtId="17" fontId="32" fillId="6" borderId="1" xfId="0" applyNumberFormat="1" applyFont="1" applyFill="1" applyBorder="1" applyAlignment="1">
      <alignment horizontal="right" vertical="justify"/>
    </xf>
    <xf numFmtId="0" fontId="7" fillId="3" borderId="7" xfId="0" applyFont="1" applyFill="1" applyBorder="1" applyAlignment="1">
      <alignment horizontal="left" vertical="justify"/>
    </xf>
    <xf numFmtId="0" fontId="8" fillId="3" borderId="9" xfId="0" applyFont="1" applyFill="1" applyBorder="1" applyAlignment="1">
      <alignment horizontal="left" vertical="justify"/>
    </xf>
    <xf numFmtId="17" fontId="32" fillId="6" borderId="3" xfId="0" applyNumberFormat="1" applyFont="1" applyFill="1" applyBorder="1" applyAlignment="1">
      <alignment vertical="justify"/>
    </xf>
    <xf numFmtId="17" fontId="32" fillId="6" borderId="5" xfId="0" applyNumberFormat="1" applyFont="1" applyFill="1" applyBorder="1" applyAlignment="1">
      <alignment vertical="justify"/>
    </xf>
    <xf numFmtId="17" fontId="32" fillId="6" borderId="12" xfId="0" applyNumberFormat="1" applyFont="1" applyFill="1" applyBorder="1" applyAlignment="1">
      <alignment vertical="justify"/>
    </xf>
    <xf numFmtId="17" fontId="32" fillId="6" borderId="14" xfId="0" applyNumberFormat="1" applyFont="1" applyFill="1" applyBorder="1" applyAlignment="1">
      <alignment horizontal="right" vertical="justify"/>
    </xf>
    <xf numFmtId="3" fontId="7" fillId="0" borderId="12" xfId="0" applyNumberFormat="1" applyFont="1" applyBorder="1" applyAlignment="1">
      <alignment horizontal="right" vertical="justify"/>
    </xf>
    <xf numFmtId="9" fontId="8" fillId="0" borderId="0" xfId="9" applyFont="1" applyBorder="1" applyAlignment="1">
      <alignment vertical="justify"/>
    </xf>
    <xf numFmtId="9" fontId="0" fillId="0" borderId="0" xfId="9" applyFont="1" applyBorder="1" applyAlignment="1">
      <alignment vertical="center"/>
    </xf>
    <xf numFmtId="10" fontId="0" fillId="0" borderId="0" xfId="0" applyNumberFormat="1" applyFill="1" applyBorder="1" applyAlignment="1">
      <alignment vertical="justify"/>
    </xf>
    <xf numFmtId="0" fontId="7" fillId="0" borderId="0" xfId="0" applyFont="1" applyFill="1" applyBorder="1" applyAlignment="1">
      <alignment horizontal="left" vertical="justify"/>
    </xf>
    <xf numFmtId="0" fontId="7" fillId="9" borderId="0" xfId="0" applyFont="1" applyFill="1" applyAlignment="1">
      <alignment vertical="center"/>
    </xf>
    <xf numFmtId="1" fontId="8" fillId="2" borderId="1" xfId="0" applyNumberFormat="1" applyFont="1" applyFill="1" applyBorder="1" applyAlignment="1">
      <alignment horizontal="right" vertical="justify"/>
    </xf>
    <xf numFmtId="1" fontId="8" fillId="2" borderId="2" xfId="0" applyNumberFormat="1" applyFont="1" applyFill="1" applyBorder="1" applyAlignment="1">
      <alignment horizontal="right" vertical="justify"/>
    </xf>
    <xf numFmtId="3" fontId="7" fillId="0" borderId="11" xfId="0" applyNumberFormat="1" applyFont="1" applyBorder="1" applyAlignment="1">
      <alignment horizontal="right" vertical="justify"/>
    </xf>
    <xf numFmtId="3" fontId="7" fillId="0" borderId="8" xfId="0" applyNumberFormat="1" applyFont="1" applyBorder="1" applyAlignment="1">
      <alignment horizontal="right" vertical="justify"/>
    </xf>
    <xf numFmtId="3" fontId="7" fillId="0" borderId="13" xfId="0" applyNumberFormat="1" applyFont="1" applyBorder="1" applyAlignment="1">
      <alignment horizontal="right" vertical="justify"/>
    </xf>
    <xf numFmtId="3" fontId="7" fillId="0" borderId="12" xfId="0" applyNumberFormat="1" applyFont="1" applyBorder="1" applyAlignment="1">
      <alignment horizontal="right" vertical="center"/>
    </xf>
    <xf numFmtId="0" fontId="14" fillId="0" borderId="0" xfId="0" applyFont="1" applyAlignment="1">
      <alignment vertical="center"/>
    </xf>
    <xf numFmtId="0" fontId="14" fillId="0" borderId="0" xfId="0" applyFont="1" applyFill="1" applyBorder="1" applyAlignment="1">
      <alignment vertical="center"/>
    </xf>
    <xf numFmtId="0" fontId="14" fillId="0" borderId="0" xfId="0" applyFont="1" applyBorder="1" applyAlignment="1">
      <alignment vertical="center"/>
    </xf>
    <xf numFmtId="3" fontId="8" fillId="0" borderId="0" xfId="0" applyNumberFormat="1" applyFont="1" applyAlignment="1">
      <alignment vertical="center"/>
    </xf>
    <xf numFmtId="1" fontId="8" fillId="2" borderId="1" xfId="0" applyNumberFormat="1" applyFont="1" applyFill="1" applyBorder="1" applyAlignment="1">
      <alignment horizontal="right" vertical="center" wrapText="1"/>
    </xf>
    <xf numFmtId="1" fontId="8" fillId="2" borderId="2" xfId="0" applyNumberFormat="1" applyFont="1" applyFill="1" applyBorder="1" applyAlignment="1">
      <alignment horizontal="right" vertical="center" wrapText="1"/>
    </xf>
    <xf numFmtId="164" fontId="7" fillId="0" borderId="5" xfId="0" applyNumberFormat="1" applyFont="1" applyBorder="1" applyAlignment="1">
      <alignment horizontal="right" vertical="center"/>
    </xf>
    <xf numFmtId="9" fontId="7" fillId="0" borderId="5" xfId="0" applyNumberFormat="1" applyFont="1" applyBorder="1" applyAlignment="1">
      <alignment horizontal="right" vertical="center"/>
    </xf>
    <xf numFmtId="9" fontId="7" fillId="0" borderId="12" xfId="0" applyNumberFormat="1" applyFont="1" applyBorder="1" applyAlignment="1">
      <alignment horizontal="right" vertical="center"/>
    </xf>
    <xf numFmtId="0" fontId="7" fillId="3" borderId="9" xfId="0" applyFont="1" applyFill="1" applyBorder="1" applyAlignment="1">
      <alignment vertical="center"/>
    </xf>
    <xf numFmtId="170" fontId="7" fillId="0" borderId="11" xfId="0" applyNumberFormat="1" applyFont="1" applyBorder="1" applyAlignment="1">
      <alignment horizontal="right" vertical="center"/>
    </xf>
    <xf numFmtId="170" fontId="7" fillId="0" borderId="8" xfId="0" applyNumberFormat="1" applyFont="1" applyBorder="1" applyAlignment="1">
      <alignment horizontal="right" vertical="center"/>
    </xf>
    <xf numFmtId="170" fontId="7" fillId="0" borderId="13" xfId="0" applyNumberFormat="1" applyFont="1" applyBorder="1" applyAlignment="1">
      <alignment horizontal="right" vertical="center"/>
    </xf>
    <xf numFmtId="0" fontId="7" fillId="9" borderId="0" xfId="0" applyNumberFormat="1" applyFont="1" applyFill="1" applyAlignment="1">
      <alignment vertical="center"/>
    </xf>
    <xf numFmtId="0" fontId="14" fillId="0" borderId="0" xfId="0" applyNumberFormat="1" applyFont="1" applyFill="1" applyAlignment="1">
      <alignment vertical="center"/>
    </xf>
    <xf numFmtId="17" fontId="32" fillId="9" borderId="14" xfId="0" applyNumberFormat="1" applyFont="1" applyFill="1" applyBorder="1" applyAlignment="1">
      <alignment vertical="justify"/>
    </xf>
    <xf numFmtId="17" fontId="8" fillId="9" borderId="1" xfId="0" applyNumberFormat="1" applyFont="1" applyFill="1" applyBorder="1" applyAlignment="1">
      <alignment vertical="justify"/>
    </xf>
    <xf numFmtId="17" fontId="32" fillId="9" borderId="1" xfId="0" applyNumberFormat="1" applyFont="1" applyFill="1" applyBorder="1" applyAlignment="1">
      <alignment vertical="justify"/>
    </xf>
    <xf numFmtId="17" fontId="32" fillId="9" borderId="2" xfId="0" applyNumberFormat="1" applyFont="1" applyFill="1" applyBorder="1" applyAlignment="1">
      <alignment vertical="justify"/>
    </xf>
    <xf numFmtId="0" fontId="7" fillId="10" borderId="6" xfId="0" applyNumberFormat="1" applyFont="1" applyFill="1" applyBorder="1" applyAlignment="1">
      <alignment vertical="justify"/>
    </xf>
    <xf numFmtId="0" fontId="7" fillId="10" borderId="7" xfId="0" applyNumberFormat="1" applyFont="1" applyFill="1" applyBorder="1" applyAlignment="1">
      <alignment vertical="justify"/>
    </xf>
    <xf numFmtId="0" fontId="7" fillId="10" borderId="9" xfId="0" applyNumberFormat="1" applyFont="1" applyFill="1" applyBorder="1" applyAlignment="1">
      <alignment vertical="justify"/>
    </xf>
    <xf numFmtId="17" fontId="8" fillId="9" borderId="2" xfId="0" applyNumberFormat="1" applyFont="1" applyFill="1" applyBorder="1" applyAlignment="1">
      <alignment vertical="justify"/>
    </xf>
    <xf numFmtId="0" fontId="7" fillId="10" borderId="3" xfId="0" applyNumberFormat="1" applyFont="1" applyFill="1" applyBorder="1" applyAlignment="1">
      <alignment vertical="justify"/>
    </xf>
    <xf numFmtId="0" fontId="3" fillId="0" borderId="0" xfId="0" applyFont="1" applyFill="1" applyBorder="1" applyAlignment="1">
      <alignment vertical="justify"/>
    </xf>
    <xf numFmtId="0" fontId="7" fillId="10" borderId="4" xfId="0" applyNumberFormat="1" applyFont="1" applyFill="1" applyBorder="1" applyAlignment="1">
      <alignment vertical="justify"/>
    </xf>
    <xf numFmtId="0" fontId="7" fillId="10" borderId="11" xfId="0" applyNumberFormat="1" applyFont="1" applyFill="1" applyBorder="1" applyAlignment="1">
      <alignment vertical="justify"/>
    </xf>
    <xf numFmtId="164" fontId="3" fillId="0" borderId="0" xfId="0" applyNumberFormat="1" applyFont="1" applyFill="1" applyBorder="1" applyAlignment="1">
      <alignment vertical="justify"/>
    </xf>
    <xf numFmtId="17" fontId="8" fillId="9" borderId="14" xfId="0" applyNumberFormat="1" applyFont="1" applyFill="1" applyBorder="1" applyAlignment="1">
      <alignment horizontal="right" vertical="justify"/>
    </xf>
    <xf numFmtId="17" fontId="8" fillId="9" borderId="1" xfId="0" applyNumberFormat="1" applyFont="1" applyFill="1" applyBorder="1" applyAlignment="1">
      <alignment horizontal="right" vertical="justify"/>
    </xf>
    <xf numFmtId="17" fontId="8" fillId="9" borderId="2" xfId="0" applyNumberFormat="1" applyFont="1" applyFill="1" applyBorder="1" applyAlignment="1">
      <alignment horizontal="right" vertical="justify"/>
    </xf>
    <xf numFmtId="0" fontId="7" fillId="9" borderId="0" xfId="0" applyFont="1" applyFill="1" applyBorder="1" applyAlignment="1">
      <alignment vertical="center"/>
    </xf>
    <xf numFmtId="0" fontId="2" fillId="0" borderId="0" xfId="0" applyFont="1" applyFill="1"/>
    <xf numFmtId="3" fontId="7" fillId="0" borderId="14" xfId="0" applyNumberFormat="1" applyFont="1" applyBorder="1" applyAlignment="1">
      <alignment vertical="center"/>
    </xf>
    <xf numFmtId="3" fontId="7" fillId="0" borderId="1" xfId="0" applyNumberFormat="1" applyFont="1" applyBorder="1" applyAlignment="1">
      <alignment vertical="center"/>
    </xf>
    <xf numFmtId="3" fontId="7" fillId="0" borderId="2" xfId="0" applyNumberFormat="1" applyFont="1" applyBorder="1" applyAlignment="1">
      <alignment vertical="center"/>
    </xf>
    <xf numFmtId="3" fontId="7" fillId="0" borderId="3" xfId="3" applyNumberFormat="1" applyFont="1" applyBorder="1" applyAlignment="1">
      <alignment horizontal="right" vertical="center"/>
    </xf>
    <xf numFmtId="3" fontId="7" fillId="0" borderId="5" xfId="3" applyNumberFormat="1" applyFont="1" applyBorder="1" applyAlignment="1">
      <alignment horizontal="right" vertical="center"/>
    </xf>
    <xf numFmtId="3" fontId="7" fillId="0" borderId="12" xfId="3" applyNumberFormat="1" applyFont="1" applyBorder="1" applyAlignment="1">
      <alignment horizontal="right" vertical="center"/>
    </xf>
    <xf numFmtId="3" fontId="7" fillId="0" borderId="14" xfId="11" applyNumberFormat="1" applyFont="1" applyBorder="1" applyAlignment="1">
      <alignment vertical="justify"/>
    </xf>
    <xf numFmtId="3" fontId="7" fillId="0" borderId="1" xfId="11" applyNumberFormat="1" applyFont="1" applyBorder="1" applyAlignment="1">
      <alignment vertical="justify"/>
    </xf>
    <xf numFmtId="3" fontId="7" fillId="0" borderId="2" xfId="11" applyNumberFormat="1" applyFont="1" applyBorder="1" applyAlignment="1">
      <alignment vertical="justify"/>
    </xf>
    <xf numFmtId="17" fontId="8" fillId="2" borderId="14" xfId="0" applyNumberFormat="1" applyFont="1" applyFill="1" applyBorder="1" applyAlignment="1">
      <alignment vertical="center"/>
    </xf>
    <xf numFmtId="17" fontId="8" fillId="2" borderId="1" xfId="0" applyNumberFormat="1" applyFont="1" applyFill="1" applyBorder="1" applyAlignment="1">
      <alignment vertical="center"/>
    </xf>
    <xf numFmtId="17" fontId="8" fillId="2" borderId="2" xfId="0" applyNumberFormat="1" applyFont="1" applyFill="1" applyBorder="1" applyAlignment="1">
      <alignment vertical="center"/>
    </xf>
    <xf numFmtId="3" fontId="7" fillId="3" borderId="15" xfId="0" applyNumberFormat="1" applyFont="1" applyFill="1" applyBorder="1" applyAlignment="1">
      <alignment vertical="justify" wrapText="1"/>
    </xf>
    <xf numFmtId="3" fontId="31" fillId="0" borderId="0" xfId="12" applyNumberFormat="1" applyFont="1" applyFill="1" applyBorder="1" applyAlignment="1" applyProtection="1">
      <alignment horizontal="right"/>
      <protection locked="0"/>
    </xf>
    <xf numFmtId="0" fontId="27" fillId="0" borderId="0" xfId="0" applyFont="1" applyFill="1" applyBorder="1" applyAlignment="1">
      <alignment horizontal="left" vertical="justify"/>
    </xf>
    <xf numFmtId="0" fontId="28" fillId="7" borderId="3" xfId="0" applyFont="1" applyFill="1" applyBorder="1" applyAlignment="1">
      <alignment horizontal="left" vertical="justify"/>
    </xf>
    <xf numFmtId="3" fontId="28" fillId="0" borderId="5" xfId="0" applyNumberFormat="1" applyFont="1" applyFill="1" applyBorder="1" applyAlignment="1">
      <alignment horizontal="right" vertical="justify"/>
    </xf>
    <xf numFmtId="3" fontId="28" fillId="0" borderId="12" xfId="0" applyNumberFormat="1" applyFont="1" applyFill="1" applyBorder="1" applyAlignment="1">
      <alignment horizontal="right" vertical="justify"/>
    </xf>
    <xf numFmtId="0" fontId="28" fillId="7" borderId="4" xfId="0" applyFont="1" applyFill="1" applyBorder="1" applyAlignment="1">
      <alignment horizontal="left" vertical="justify"/>
    </xf>
    <xf numFmtId="0" fontId="27" fillId="7" borderId="4" xfId="0" applyFont="1" applyFill="1" applyBorder="1" applyAlignment="1">
      <alignment horizontal="left" vertical="justify"/>
    </xf>
    <xf numFmtId="0" fontId="27" fillId="7" borderId="11" xfId="0" applyFont="1" applyFill="1" applyBorder="1" applyAlignment="1">
      <alignment horizontal="left" vertical="justify"/>
    </xf>
    <xf numFmtId="9" fontId="8" fillId="0" borderId="0" xfId="9" applyFont="1" applyBorder="1" applyAlignment="1">
      <alignment horizontal="right" vertical="justify"/>
    </xf>
    <xf numFmtId="0" fontId="28" fillId="7" borderId="6" xfId="0" applyFont="1" applyFill="1" applyBorder="1" applyAlignment="1">
      <alignment horizontal="left" vertical="justify"/>
    </xf>
    <xf numFmtId="0" fontId="28" fillId="7" borderId="7" xfId="0" applyFont="1" applyFill="1" applyBorder="1" applyAlignment="1">
      <alignment horizontal="left" vertical="justify"/>
    </xf>
    <xf numFmtId="0" fontId="27" fillId="7" borderId="7" xfId="0" applyFont="1" applyFill="1" applyBorder="1" applyAlignment="1">
      <alignment horizontal="left" vertical="justify"/>
    </xf>
    <xf numFmtId="0" fontId="27" fillId="7" borderId="9" xfId="0" applyFont="1" applyFill="1" applyBorder="1" applyAlignment="1">
      <alignment horizontal="left" vertical="justify"/>
    </xf>
    <xf numFmtId="3" fontId="7" fillId="0" borderId="10" xfId="11" applyNumberFormat="1" applyFont="1" applyBorder="1" applyAlignment="1">
      <alignment vertical="justify"/>
    </xf>
    <xf numFmtId="3" fontId="7" fillId="0" borderId="10" xfId="11" applyNumberFormat="1" applyFont="1" applyFill="1" applyBorder="1" applyAlignment="1">
      <alignment vertical="justify"/>
    </xf>
    <xf numFmtId="3" fontId="38" fillId="0" borderId="11" xfId="0" applyNumberFormat="1" applyFont="1" applyFill="1" applyBorder="1" applyAlignment="1">
      <alignment vertical="justify"/>
    </xf>
    <xf numFmtId="3" fontId="38" fillId="0" borderId="8" xfId="0" applyNumberFormat="1" applyFont="1" applyFill="1" applyBorder="1" applyAlignment="1">
      <alignment vertical="justify"/>
    </xf>
    <xf numFmtId="3" fontId="38" fillId="0" borderId="13" xfId="0" applyNumberFormat="1" applyFont="1" applyFill="1" applyBorder="1" applyAlignment="1">
      <alignment vertical="justify"/>
    </xf>
    <xf numFmtId="0" fontId="5" fillId="0" borderId="0" xfId="0" applyFont="1" applyFill="1" applyBorder="1" applyAlignment="1">
      <alignment vertical="justify"/>
    </xf>
    <xf numFmtId="9" fontId="7" fillId="0" borderId="0" xfId="9" applyFont="1" applyBorder="1" applyAlignment="1">
      <alignment vertical="justify"/>
    </xf>
    <xf numFmtId="9" fontId="8" fillId="0" borderId="0" xfId="9" applyFont="1" applyFill="1" applyBorder="1" applyAlignment="1">
      <alignment vertical="justify"/>
    </xf>
    <xf numFmtId="1" fontId="8" fillId="2" borderId="15" xfId="0" applyNumberFormat="1" applyFont="1" applyFill="1" applyBorder="1" applyAlignment="1">
      <alignment horizontal="right" vertical="justify"/>
    </xf>
    <xf numFmtId="0" fontId="16" fillId="11" borderId="0" xfId="0" applyFont="1" applyFill="1" applyBorder="1" applyAlignment="1">
      <alignment vertical="center"/>
    </xf>
    <xf numFmtId="0" fontId="17" fillId="11" borderId="0" xfId="0" applyFont="1" applyFill="1" applyBorder="1" applyAlignment="1">
      <alignment vertical="center"/>
    </xf>
    <xf numFmtId="0" fontId="3" fillId="11" borderId="0" xfId="0" applyFont="1" applyFill="1" applyBorder="1" applyAlignment="1">
      <alignment vertical="center"/>
    </xf>
    <xf numFmtId="3" fontId="8" fillId="0" borderId="11" xfId="1" applyNumberFormat="1" applyFont="1" applyFill="1" applyBorder="1" applyAlignment="1">
      <alignment horizontal="right" vertical="justify"/>
    </xf>
    <xf numFmtId="3" fontId="8" fillId="0" borderId="8" xfId="1" applyNumberFormat="1" applyFont="1" applyFill="1" applyBorder="1" applyAlignment="1">
      <alignment horizontal="right" vertical="justify"/>
    </xf>
    <xf numFmtId="3" fontId="8" fillId="0" borderId="13" xfId="1" applyNumberFormat="1" applyFont="1" applyFill="1" applyBorder="1" applyAlignment="1">
      <alignment horizontal="right" vertical="justify"/>
    </xf>
    <xf numFmtId="165" fontId="3" fillId="0" borderId="0" xfId="0" applyNumberFormat="1" applyFont="1" applyAlignment="1">
      <alignment vertical="center"/>
    </xf>
    <xf numFmtId="164" fontId="23" fillId="0" borderId="0" xfId="1" applyNumberFormat="1" applyFont="1" applyAlignment="1">
      <alignment vertical="center"/>
    </xf>
    <xf numFmtId="164" fontId="3" fillId="0" borderId="0" xfId="1" applyNumberFormat="1" applyFont="1" applyAlignment="1">
      <alignment vertical="center"/>
    </xf>
    <xf numFmtId="166" fontId="3" fillId="0" borderId="0" xfId="0" applyNumberFormat="1" applyFont="1" applyAlignment="1">
      <alignment vertical="center"/>
    </xf>
    <xf numFmtId="166" fontId="23" fillId="0" borderId="0" xfId="1" applyNumberFormat="1" applyFont="1" applyAlignment="1">
      <alignment vertical="center"/>
    </xf>
    <xf numFmtId="166" fontId="22" fillId="0" borderId="0" xfId="0" applyNumberFormat="1" applyFont="1" applyAlignment="1">
      <alignment horizontal="right" wrapText="1"/>
    </xf>
    <xf numFmtId="3" fontId="8" fillId="0" borderId="3" xfId="0" applyNumberFormat="1" applyFont="1" applyBorder="1" applyAlignment="1">
      <alignment vertical="justify"/>
    </xf>
    <xf numFmtId="3" fontId="8" fillId="0" borderId="5" xfId="0" applyNumberFormat="1" applyFont="1" applyBorder="1" applyAlignment="1">
      <alignment vertical="justify"/>
    </xf>
    <xf numFmtId="3" fontId="8" fillId="0" borderId="12" xfId="0" applyNumberFormat="1" applyFont="1" applyBorder="1" applyAlignment="1">
      <alignment vertical="justify"/>
    </xf>
    <xf numFmtId="3" fontId="7" fillId="0" borderId="11" xfId="0" applyNumberFormat="1" applyFont="1" applyBorder="1" applyAlignment="1">
      <alignment vertical="justify"/>
    </xf>
    <xf numFmtId="3" fontId="7" fillId="0" borderId="8" xfId="0" applyNumberFormat="1" applyFont="1" applyBorder="1" applyAlignment="1">
      <alignment vertical="justify"/>
    </xf>
    <xf numFmtId="3" fontId="7" fillId="0" borderId="13" xfId="0" applyNumberFormat="1" applyFont="1" applyBorder="1" applyAlignment="1">
      <alignment vertical="justify"/>
    </xf>
    <xf numFmtId="9" fontId="8" fillId="0" borderId="9" xfId="0" applyNumberFormat="1" applyFont="1" applyFill="1" applyBorder="1" applyAlignment="1">
      <alignment horizontal="right" vertical="justify"/>
    </xf>
    <xf numFmtId="9" fontId="8" fillId="0" borderId="4" xfId="1" applyNumberFormat="1" applyFont="1" applyFill="1" applyBorder="1" applyAlignment="1">
      <alignment horizontal="right" vertical="justify"/>
    </xf>
    <xf numFmtId="9" fontId="8" fillId="0" borderId="0" xfId="1" applyNumberFormat="1" applyFont="1" applyFill="1" applyBorder="1" applyAlignment="1">
      <alignment horizontal="right" vertical="justify"/>
    </xf>
    <xf numFmtId="9" fontId="8" fillId="0" borderId="10" xfId="1" applyNumberFormat="1" applyFont="1" applyFill="1" applyBorder="1" applyAlignment="1">
      <alignment horizontal="right" vertical="justify"/>
    </xf>
    <xf numFmtId="9" fontId="7" fillId="0" borderId="4" xfId="1" applyNumberFormat="1" applyFont="1" applyFill="1" applyBorder="1" applyAlignment="1">
      <alignment horizontal="right" vertical="justify"/>
    </xf>
    <xf numFmtId="9" fontId="7" fillId="0" borderId="0" xfId="1" applyNumberFormat="1" applyFont="1" applyFill="1" applyBorder="1" applyAlignment="1">
      <alignment horizontal="right" vertical="justify"/>
    </xf>
    <xf numFmtId="9" fontId="8" fillId="0" borderId="11" xfId="1" applyNumberFormat="1" applyFont="1" applyFill="1" applyBorder="1" applyAlignment="1">
      <alignment horizontal="right" vertical="justify"/>
    </xf>
    <xf numFmtId="9" fontId="8" fillId="0" borderId="8" xfId="1" applyNumberFormat="1" applyFont="1" applyFill="1" applyBorder="1" applyAlignment="1">
      <alignment horizontal="right" vertical="justify"/>
    </xf>
    <xf numFmtId="9" fontId="8" fillId="0" borderId="13" xfId="1" applyNumberFormat="1" applyFont="1" applyFill="1" applyBorder="1" applyAlignment="1">
      <alignment horizontal="right" vertical="justify"/>
    </xf>
    <xf numFmtId="9" fontId="8" fillId="0" borderId="3" xfId="1" applyNumberFormat="1" applyFont="1" applyFill="1" applyBorder="1" applyAlignment="1">
      <alignment horizontal="right" vertical="justify"/>
    </xf>
    <xf numFmtId="9" fontId="8" fillId="0" borderId="5" xfId="1" applyNumberFormat="1" applyFont="1" applyFill="1" applyBorder="1" applyAlignment="1">
      <alignment horizontal="right" vertical="justify"/>
    </xf>
    <xf numFmtId="9" fontId="8" fillId="0" borderId="12" xfId="1" applyNumberFormat="1" applyFont="1" applyFill="1" applyBorder="1" applyAlignment="1">
      <alignment horizontal="right" vertical="justify"/>
    </xf>
    <xf numFmtId="9" fontId="7" fillId="0" borderId="11" xfId="1" applyNumberFormat="1" applyFont="1" applyFill="1" applyBorder="1" applyAlignment="1">
      <alignment horizontal="right" vertical="justify"/>
    </xf>
    <xf numFmtId="9" fontId="7" fillId="0" borderId="8" xfId="1" applyNumberFormat="1" applyFont="1" applyFill="1" applyBorder="1" applyAlignment="1">
      <alignment horizontal="right" vertical="justify"/>
    </xf>
    <xf numFmtId="9" fontId="7" fillId="0" borderId="13" xfId="1" applyNumberFormat="1" applyFont="1" applyFill="1" applyBorder="1" applyAlignment="1">
      <alignment horizontal="right" vertical="justify"/>
    </xf>
    <xf numFmtId="9" fontId="7" fillId="0" borderId="3" xfId="1" applyNumberFormat="1" applyFont="1" applyFill="1" applyBorder="1" applyAlignment="1">
      <alignment horizontal="right" vertical="justify"/>
    </xf>
    <xf numFmtId="9" fontId="7" fillId="0" borderId="5" xfId="1" applyNumberFormat="1" applyFont="1" applyFill="1" applyBorder="1" applyAlignment="1">
      <alignment horizontal="right" vertical="justify"/>
    </xf>
    <xf numFmtId="9" fontId="7" fillId="0" borderId="12" xfId="0" applyNumberFormat="1" applyFont="1" applyFill="1" applyBorder="1" applyAlignment="1">
      <alignment horizontal="right" vertical="justify"/>
    </xf>
    <xf numFmtId="1" fontId="7" fillId="0" borderId="0" xfId="0" applyNumberFormat="1" applyFont="1" applyAlignment="1">
      <alignment vertical="center"/>
    </xf>
    <xf numFmtId="164" fontId="7" fillId="0" borderId="0" xfId="1" applyNumberFormat="1" applyFont="1" applyBorder="1" applyAlignment="1">
      <alignment horizontal="right" vertical="justify"/>
    </xf>
    <xf numFmtId="166" fontId="7" fillId="0" borderId="0" xfId="0" applyNumberFormat="1" applyFont="1" applyBorder="1" applyAlignment="1">
      <alignment horizontal="right" vertical="justify"/>
    </xf>
    <xf numFmtId="166" fontId="7" fillId="0" borderId="4" xfId="0" applyNumberFormat="1" applyFont="1" applyBorder="1" applyAlignment="1">
      <alignment horizontal="right" vertical="justify"/>
    </xf>
    <xf numFmtId="166" fontId="7" fillId="0" borderId="10" xfId="0" applyNumberFormat="1" applyFont="1" applyBorder="1" applyAlignment="1">
      <alignment horizontal="right" vertical="justify"/>
    </xf>
    <xf numFmtId="166" fontId="7" fillId="0" borderId="11" xfId="0" applyNumberFormat="1" applyFont="1" applyFill="1" applyBorder="1" applyAlignment="1">
      <alignment horizontal="right" vertical="justify"/>
    </xf>
    <xf numFmtId="166" fontId="7" fillId="0" borderId="8" xfId="0" applyNumberFormat="1" applyFont="1" applyFill="1" applyBorder="1" applyAlignment="1">
      <alignment horizontal="right" vertical="justify"/>
    </xf>
    <xf numFmtId="166" fontId="7" fillId="0" borderId="13" xfId="0" applyNumberFormat="1" applyFont="1" applyFill="1" applyBorder="1" applyAlignment="1">
      <alignment horizontal="right" vertical="justify"/>
    </xf>
    <xf numFmtId="3" fontId="34" fillId="0" borderId="0" xfId="0" applyNumberFormat="1" applyFont="1" applyBorder="1" applyAlignment="1">
      <alignment vertical="center"/>
    </xf>
    <xf numFmtId="3" fontId="34" fillId="0" borderId="0" xfId="0" applyNumberFormat="1" applyFont="1" applyAlignment="1">
      <alignment vertical="center"/>
    </xf>
    <xf numFmtId="166" fontId="34" fillId="0" borderId="0" xfId="0" applyNumberFormat="1" applyFont="1" applyFill="1" applyAlignment="1">
      <alignment vertical="center"/>
    </xf>
    <xf numFmtId="9" fontId="8" fillId="0" borderId="0" xfId="0" applyNumberFormat="1" applyFont="1" applyFill="1" applyBorder="1" applyAlignment="1">
      <alignment vertical="center"/>
    </xf>
    <xf numFmtId="0" fontId="7" fillId="0" borderId="0" xfId="0" applyFont="1" applyFill="1" applyAlignment="1">
      <alignment horizontal="left" vertical="center"/>
    </xf>
    <xf numFmtId="9" fontId="8" fillId="0" borderId="0" xfId="0" applyNumberFormat="1" applyFont="1" applyFill="1" applyBorder="1" applyAlignment="1">
      <alignment horizontal="center" vertical="center"/>
    </xf>
    <xf numFmtId="9" fontId="7" fillId="0" borderId="0" xfId="0" applyNumberFormat="1" applyFont="1" applyFill="1" applyAlignment="1">
      <alignment vertical="center"/>
    </xf>
    <xf numFmtId="9" fontId="7" fillId="0" borderId="0" xfId="0" applyNumberFormat="1" applyFont="1" applyFill="1" applyAlignment="1">
      <alignment horizontal="right" vertical="center"/>
    </xf>
    <xf numFmtId="0" fontId="11" fillId="0" borderId="0" xfId="0" applyFont="1" applyFill="1" applyBorder="1" applyAlignment="1">
      <alignment horizontal="center" vertical="center" wrapText="1"/>
    </xf>
    <xf numFmtId="0" fontId="11" fillId="0" borderId="0" xfId="0" applyFont="1" applyFill="1" applyAlignment="1">
      <alignment vertical="center"/>
    </xf>
    <xf numFmtId="0" fontId="11" fillId="0" borderId="0" xfId="0" applyFont="1" applyFill="1" applyAlignment="1">
      <alignment horizontal="left" vertical="center"/>
    </xf>
    <xf numFmtId="0" fontId="7" fillId="0" borderId="0" xfId="0" applyFont="1" applyFill="1" applyBorder="1" applyAlignment="1">
      <alignment horizontal="center" vertical="center" wrapText="1"/>
    </xf>
    <xf numFmtId="9" fontId="8" fillId="0" borderId="0" xfId="0" applyNumberFormat="1" applyFont="1" applyFill="1" applyBorder="1" applyAlignment="1">
      <alignment horizontal="left" vertical="center"/>
    </xf>
    <xf numFmtId="0" fontId="8" fillId="0" borderId="0" xfId="0" applyFont="1" applyFill="1" applyBorder="1" applyAlignment="1">
      <alignment horizontal="center" vertical="center"/>
    </xf>
    <xf numFmtId="9" fontId="8" fillId="0" borderId="0" xfId="0" applyNumberFormat="1" applyFont="1" applyFill="1" applyAlignment="1">
      <alignment vertical="center"/>
    </xf>
    <xf numFmtId="0" fontId="0" fillId="0" borderId="0" xfId="0" applyBorder="1" applyAlignment="1"/>
    <xf numFmtId="0" fontId="11" fillId="0" borderId="0" xfId="0" applyFont="1" applyFill="1" applyBorder="1" applyAlignment="1">
      <alignment horizontal="center" vertical="center"/>
    </xf>
    <xf numFmtId="0" fontId="39" fillId="0" borderId="0" xfId="0" applyFont="1" applyFill="1" applyBorder="1" applyAlignment="1">
      <alignment horizontal="center" vertical="center"/>
    </xf>
    <xf numFmtId="0" fontId="40" fillId="0" borderId="0" xfId="0" applyFont="1" applyBorder="1" applyAlignment="1">
      <alignment vertical="center"/>
    </xf>
    <xf numFmtId="0" fontId="12" fillId="0" borderId="0" xfId="0" applyFont="1" applyBorder="1" applyAlignment="1">
      <alignment horizontal="center" vertical="center"/>
    </xf>
    <xf numFmtId="0" fontId="0" fillId="0" borderId="0" xfId="0" applyBorder="1" applyAlignment="1">
      <alignment horizontal="center" vertical="center"/>
    </xf>
    <xf numFmtId="0" fontId="11" fillId="15" borderId="3" xfId="0" applyFont="1" applyFill="1" applyBorder="1" applyAlignment="1">
      <alignment horizontal="center" vertical="center" wrapText="1"/>
    </xf>
    <xf numFmtId="0" fontId="11" fillId="15" borderId="5" xfId="0" applyFont="1" applyFill="1" applyBorder="1" applyAlignment="1">
      <alignment horizontal="center" vertical="center" wrapText="1"/>
    </xf>
    <xf numFmtId="0" fontId="11" fillId="15" borderId="12" xfId="0" applyFont="1" applyFill="1" applyBorder="1" applyAlignment="1">
      <alignment horizontal="center" vertical="center" wrapText="1"/>
    </xf>
    <xf numFmtId="0" fontId="11" fillId="15" borderId="4" xfId="0" applyFont="1" applyFill="1" applyBorder="1" applyAlignment="1">
      <alignment horizontal="center" vertical="center" wrapText="1"/>
    </xf>
    <xf numFmtId="0" fontId="11" fillId="15" borderId="0" xfId="0" applyFont="1" applyFill="1" applyBorder="1" applyAlignment="1">
      <alignment horizontal="center" vertical="center" wrapText="1"/>
    </xf>
    <xf numFmtId="0" fontId="11" fillId="15" borderId="10" xfId="0" applyFont="1" applyFill="1" applyBorder="1" applyAlignment="1">
      <alignment horizontal="center" vertical="center" wrapText="1"/>
    </xf>
    <xf numFmtId="0" fontId="11" fillId="15" borderId="11" xfId="0" applyFont="1" applyFill="1" applyBorder="1" applyAlignment="1">
      <alignment horizontal="center" vertical="center" wrapText="1"/>
    </xf>
    <xf numFmtId="0" fontId="11" fillId="15" borderId="8" xfId="0" applyFont="1" applyFill="1" applyBorder="1" applyAlignment="1">
      <alignment horizontal="center" vertical="center" wrapText="1"/>
    </xf>
    <xf numFmtId="0" fontId="11" fillId="15" borderId="13" xfId="0" applyFont="1" applyFill="1" applyBorder="1" applyAlignment="1">
      <alignment horizontal="center" vertical="center" wrapText="1"/>
    </xf>
    <xf numFmtId="0" fontId="39" fillId="13" borderId="16" xfId="0" applyFont="1" applyFill="1" applyBorder="1" applyAlignment="1">
      <alignment horizontal="center" vertical="center" wrapText="1"/>
    </xf>
    <xf numFmtId="0" fontId="14" fillId="13" borderId="17" xfId="0" applyFont="1" applyFill="1" applyBorder="1" applyAlignment="1">
      <alignment horizontal="center" vertical="center" wrapText="1"/>
    </xf>
    <xf numFmtId="0" fontId="14" fillId="13" borderId="18" xfId="0" applyFont="1" applyFill="1" applyBorder="1" applyAlignment="1">
      <alignment horizontal="center" vertical="center" wrapText="1"/>
    </xf>
    <xf numFmtId="0" fontId="8" fillId="0" borderId="14" xfId="0" applyFont="1" applyFill="1" applyBorder="1" applyAlignment="1">
      <alignment horizontal="center" vertical="center"/>
    </xf>
    <xf numFmtId="0" fontId="0" fillId="0" borderId="1" xfId="0" applyBorder="1" applyAlignment="1">
      <alignment vertical="center"/>
    </xf>
    <xf numFmtId="0" fontId="0" fillId="0" borderId="2" xfId="0" applyBorder="1" applyAlignment="1">
      <alignment vertical="center"/>
    </xf>
    <xf numFmtId="0" fontId="8" fillId="5" borderId="14" xfId="0" applyFont="1" applyFill="1" applyBorder="1" applyAlignment="1">
      <alignment horizontal="center" vertical="center"/>
    </xf>
    <xf numFmtId="0" fontId="8" fillId="14" borderId="14" xfId="0" applyFont="1" applyFill="1" applyBorder="1" applyAlignment="1">
      <alignment horizontal="center" vertical="center"/>
    </xf>
    <xf numFmtId="0" fontId="8" fillId="14" borderId="1" xfId="0" applyFont="1" applyFill="1" applyBorder="1" applyAlignment="1">
      <alignment horizontal="center" vertical="center"/>
    </xf>
    <xf numFmtId="0" fontId="8" fillId="14" borderId="2" xfId="0" applyFont="1" applyFill="1" applyBorder="1" applyAlignment="1">
      <alignment horizontal="center" vertical="center"/>
    </xf>
    <xf numFmtId="0" fontId="8" fillId="12" borderId="14" xfId="0" applyFont="1" applyFill="1" applyBorder="1" applyAlignment="1">
      <alignment horizontal="center" vertical="center"/>
    </xf>
    <xf numFmtId="0" fontId="14" fillId="12" borderId="1" xfId="0" applyFont="1" applyFill="1" applyBorder="1" applyAlignment="1">
      <alignment horizontal="center" vertical="center"/>
    </xf>
    <xf numFmtId="0" fontId="14" fillId="12" borderId="2" xfId="0" applyFont="1" applyFill="1" applyBorder="1" applyAlignment="1">
      <alignment horizontal="center" vertical="center"/>
    </xf>
    <xf numFmtId="0" fontId="8" fillId="13" borderId="14" xfId="0" applyFont="1" applyFill="1" applyBorder="1" applyAlignment="1">
      <alignment horizontal="center" vertical="center"/>
    </xf>
    <xf numFmtId="0" fontId="0" fillId="13" borderId="1" xfId="0" applyFill="1" applyBorder="1" applyAlignment="1">
      <alignment vertical="center"/>
    </xf>
    <xf numFmtId="0" fontId="0" fillId="13" borderId="2" xfId="0" applyFill="1" applyBorder="1" applyAlignment="1">
      <alignment vertical="center"/>
    </xf>
    <xf numFmtId="0" fontId="11" fillId="16" borderId="3" xfId="0" applyFont="1" applyFill="1" applyBorder="1" applyAlignment="1">
      <alignment horizontal="center" vertical="center" wrapText="1"/>
    </xf>
    <xf numFmtId="0" fontId="11" fillId="16" borderId="5" xfId="0" applyFont="1" applyFill="1" applyBorder="1" applyAlignment="1">
      <alignment horizontal="center" vertical="center" wrapText="1"/>
    </xf>
    <xf numFmtId="0" fontId="11" fillId="16" borderId="12" xfId="0" applyFont="1" applyFill="1" applyBorder="1" applyAlignment="1">
      <alignment horizontal="center" vertical="center" wrapText="1"/>
    </xf>
    <xf numFmtId="0" fontId="11" fillId="16" borderId="4" xfId="0" applyFont="1" applyFill="1" applyBorder="1" applyAlignment="1">
      <alignment horizontal="center" vertical="center" wrapText="1"/>
    </xf>
    <xf numFmtId="0" fontId="11" fillId="16" borderId="0" xfId="0" applyFont="1" applyFill="1" applyBorder="1" applyAlignment="1">
      <alignment horizontal="center" vertical="center" wrapText="1"/>
    </xf>
    <xf numFmtId="0" fontId="11" fillId="16" borderId="10" xfId="0" applyFont="1" applyFill="1" applyBorder="1" applyAlignment="1">
      <alignment horizontal="center" vertical="center" wrapText="1"/>
    </xf>
    <xf numFmtId="0" fontId="11" fillId="16" borderId="11" xfId="0" applyFont="1" applyFill="1" applyBorder="1" applyAlignment="1">
      <alignment horizontal="center" vertical="center" wrapText="1"/>
    </xf>
    <xf numFmtId="0" fontId="11" fillId="16" borderId="8" xfId="0" applyFont="1" applyFill="1" applyBorder="1" applyAlignment="1">
      <alignment horizontal="center" vertical="center" wrapText="1"/>
    </xf>
    <xf numFmtId="0" fontId="11" fillId="16" borderId="13" xfId="0" applyFont="1" applyFill="1" applyBorder="1" applyAlignment="1">
      <alignment horizontal="center" vertical="center" wrapText="1"/>
    </xf>
    <xf numFmtId="0" fontId="11" fillId="17" borderId="4" xfId="0" applyFont="1" applyFill="1" applyBorder="1" applyAlignment="1">
      <alignment horizontal="center" vertical="center" wrapText="1"/>
    </xf>
    <xf numFmtId="0" fontId="11" fillId="17" borderId="0" xfId="0" applyFont="1" applyFill="1" applyAlignment="1">
      <alignment horizontal="center" vertical="center" wrapText="1"/>
    </xf>
    <xf numFmtId="0" fontId="11" fillId="17" borderId="10" xfId="0" applyFont="1" applyFill="1" applyBorder="1" applyAlignment="1">
      <alignment horizontal="center" vertical="center" wrapText="1"/>
    </xf>
    <xf numFmtId="0" fontId="11" fillId="17" borderId="11" xfId="0" applyFont="1" applyFill="1" applyBorder="1" applyAlignment="1">
      <alignment horizontal="center" vertical="center" wrapText="1"/>
    </xf>
    <xf numFmtId="0" fontId="11" fillId="17" borderId="8" xfId="0" applyFont="1" applyFill="1" applyBorder="1" applyAlignment="1">
      <alignment horizontal="center" vertical="center" wrapText="1"/>
    </xf>
    <xf numFmtId="0" fontId="11" fillId="17" borderId="13" xfId="0" applyFont="1" applyFill="1" applyBorder="1" applyAlignment="1">
      <alignment horizontal="center" vertical="center" wrapText="1"/>
    </xf>
    <xf numFmtId="0" fontId="8" fillId="0" borderId="3" xfId="0" applyFont="1" applyFill="1" applyBorder="1" applyAlignment="1">
      <alignment horizontal="center" vertical="center"/>
    </xf>
    <xf numFmtId="0" fontId="0" fillId="0" borderId="5" xfId="0" applyBorder="1" applyAlignment="1">
      <alignment vertical="center"/>
    </xf>
    <xf numFmtId="0" fontId="0" fillId="0" borderId="12" xfId="0" applyBorder="1" applyAlignment="1">
      <alignment vertical="center"/>
    </xf>
    <xf numFmtId="0" fontId="0" fillId="0" borderId="11" xfId="0" applyBorder="1" applyAlignment="1">
      <alignment vertical="center"/>
    </xf>
    <xf numFmtId="0" fontId="0" fillId="0" borderId="8" xfId="0" applyBorder="1" applyAlignment="1">
      <alignment vertical="center"/>
    </xf>
    <xf numFmtId="0" fontId="0" fillId="0" borderId="13" xfId="0" applyBorder="1" applyAlignment="1">
      <alignment vertical="center"/>
    </xf>
    <xf numFmtId="0" fontId="8" fillId="0" borderId="5"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2" xfId="0" applyFont="1" applyFill="1" applyBorder="1" applyAlignment="1">
      <alignment horizontal="center" vertical="center"/>
    </xf>
    <xf numFmtId="0" fontId="8" fillId="12" borderId="1" xfId="0" applyFont="1" applyFill="1" applyBorder="1" applyAlignment="1">
      <alignment horizontal="center" vertical="center"/>
    </xf>
    <xf numFmtId="0" fontId="8" fillId="12" borderId="2" xfId="0" applyFont="1" applyFill="1" applyBorder="1" applyAlignment="1">
      <alignment horizontal="center" vertical="center"/>
    </xf>
    <xf numFmtId="0" fontId="8" fillId="13" borderId="1" xfId="0" applyFont="1" applyFill="1" applyBorder="1" applyAlignment="1">
      <alignment horizontal="center" vertical="center"/>
    </xf>
    <xf numFmtId="0" fontId="8" fillId="13" borderId="2"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41" fillId="0" borderId="3" xfId="0" applyFont="1" applyBorder="1"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13" xfId="0" applyBorder="1" applyAlignment="1">
      <alignment horizontal="center" vertical="center" wrapText="1"/>
    </xf>
    <xf numFmtId="0" fontId="39" fillId="12" borderId="16" xfId="0" applyFont="1" applyFill="1" applyBorder="1" applyAlignment="1">
      <alignment horizontal="center" vertical="center" wrapText="1"/>
    </xf>
    <xf numFmtId="0" fontId="14" fillId="12" borderId="17" xfId="0" applyFont="1" applyFill="1" applyBorder="1" applyAlignment="1">
      <alignment horizontal="center" vertical="center" wrapText="1"/>
    </xf>
    <xf numFmtId="0" fontId="0" fillId="12" borderId="17" xfId="0" applyFill="1" applyBorder="1" applyAlignment="1">
      <alignment horizontal="center" vertical="center"/>
    </xf>
    <xf numFmtId="0" fontId="0" fillId="12" borderId="18" xfId="0" applyFill="1" applyBorder="1" applyAlignment="1">
      <alignment horizontal="center" vertical="center"/>
    </xf>
    <xf numFmtId="0" fontId="0" fillId="15" borderId="8" xfId="0" applyFill="1" applyBorder="1" applyAlignment="1">
      <alignment vertical="center"/>
    </xf>
    <xf numFmtId="0" fontId="0" fillId="15" borderId="13" xfId="0" applyFill="1" applyBorder="1" applyAlignment="1">
      <alignment vertical="center"/>
    </xf>
    <xf numFmtId="0" fontId="11" fillId="17" borderId="3" xfId="0" applyFont="1" applyFill="1" applyBorder="1" applyAlignment="1">
      <alignment horizontal="center" vertical="center" wrapText="1"/>
    </xf>
  </cellXfs>
  <cellStyles count="13">
    <cellStyle name="Milliers" xfId="4" builtinId="3"/>
    <cellStyle name="Milliers 10" xfId="10"/>
    <cellStyle name="Milliers 2" xfId="8"/>
    <cellStyle name="Normal" xfId="0" builtinId="0"/>
    <cellStyle name="Normal 2 2 2" xfId="11"/>
    <cellStyle name="Normal 3" xfId="7"/>
    <cellStyle name="Normal 4" xfId="6"/>
    <cellStyle name="Normal_Suivi des indices" xfId="3"/>
    <cellStyle name="Percent 2" xfId="2"/>
    <cellStyle name="Percent 2 2 2" xfId="5"/>
    <cellStyle name="Percent 2 2 2 2 2" xfId="12"/>
    <cellStyle name="Pourcentage" xfId="1" builtinId="5"/>
    <cellStyle name="Pourcentage 2"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123825</xdr:colOff>
      <xdr:row>11</xdr:row>
      <xdr:rowOff>0</xdr:rowOff>
    </xdr:from>
    <xdr:to>
      <xdr:col>3</xdr:col>
      <xdr:colOff>123825</xdr:colOff>
      <xdr:row>13</xdr:row>
      <xdr:rowOff>0</xdr:rowOff>
    </xdr:to>
    <xdr:sp macro="" textlink="">
      <xdr:nvSpPr>
        <xdr:cNvPr id="33" name="Line 56"/>
        <xdr:cNvSpPr>
          <a:spLocks noChangeShapeType="1"/>
        </xdr:cNvSpPr>
      </xdr:nvSpPr>
      <xdr:spPr bwMode="auto">
        <a:xfrm>
          <a:off x="819150"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123825</xdr:colOff>
      <xdr:row>13</xdr:row>
      <xdr:rowOff>0</xdr:rowOff>
    </xdr:from>
    <xdr:to>
      <xdr:col>11</xdr:col>
      <xdr:colOff>123825</xdr:colOff>
      <xdr:row>13</xdr:row>
      <xdr:rowOff>0</xdr:rowOff>
    </xdr:to>
    <xdr:sp macro="" textlink="">
      <xdr:nvSpPr>
        <xdr:cNvPr id="34" name="Line 57"/>
        <xdr:cNvSpPr>
          <a:spLocks noChangeShapeType="1"/>
        </xdr:cNvSpPr>
      </xdr:nvSpPr>
      <xdr:spPr bwMode="auto">
        <a:xfrm>
          <a:off x="819150" y="2152650"/>
          <a:ext cx="1733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123825</xdr:colOff>
      <xdr:row>11</xdr:row>
      <xdr:rowOff>9525</xdr:rowOff>
    </xdr:from>
    <xdr:to>
      <xdr:col>11</xdr:col>
      <xdr:colOff>123825</xdr:colOff>
      <xdr:row>13</xdr:row>
      <xdr:rowOff>0</xdr:rowOff>
    </xdr:to>
    <xdr:sp macro="" textlink="">
      <xdr:nvSpPr>
        <xdr:cNvPr id="35" name="Line 59"/>
        <xdr:cNvSpPr>
          <a:spLocks noChangeShapeType="1"/>
        </xdr:cNvSpPr>
      </xdr:nvSpPr>
      <xdr:spPr bwMode="auto">
        <a:xfrm>
          <a:off x="2552700"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123825</xdr:colOff>
      <xdr:row>11</xdr:row>
      <xdr:rowOff>9525</xdr:rowOff>
    </xdr:from>
    <xdr:to>
      <xdr:col>15</xdr:col>
      <xdr:colOff>123825</xdr:colOff>
      <xdr:row>13</xdr:row>
      <xdr:rowOff>0</xdr:rowOff>
    </xdr:to>
    <xdr:sp macro="" textlink="">
      <xdr:nvSpPr>
        <xdr:cNvPr id="36" name="Line 61"/>
        <xdr:cNvSpPr>
          <a:spLocks noChangeShapeType="1"/>
        </xdr:cNvSpPr>
      </xdr:nvSpPr>
      <xdr:spPr bwMode="auto">
        <a:xfrm>
          <a:off x="3486150"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123825</xdr:colOff>
      <xdr:row>11</xdr:row>
      <xdr:rowOff>0</xdr:rowOff>
    </xdr:from>
    <xdr:to>
      <xdr:col>19</xdr:col>
      <xdr:colOff>123825</xdr:colOff>
      <xdr:row>13</xdr:row>
      <xdr:rowOff>0</xdr:rowOff>
    </xdr:to>
    <xdr:sp macro="" textlink="">
      <xdr:nvSpPr>
        <xdr:cNvPr id="37" name="Line 71"/>
        <xdr:cNvSpPr>
          <a:spLocks noChangeShapeType="1"/>
        </xdr:cNvSpPr>
      </xdr:nvSpPr>
      <xdr:spPr bwMode="auto">
        <a:xfrm>
          <a:off x="435292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133350</xdr:colOff>
      <xdr:row>13</xdr:row>
      <xdr:rowOff>0</xdr:rowOff>
    </xdr:from>
    <xdr:to>
      <xdr:col>19</xdr:col>
      <xdr:colOff>123825</xdr:colOff>
      <xdr:row>13</xdr:row>
      <xdr:rowOff>0</xdr:rowOff>
    </xdr:to>
    <xdr:sp macro="" textlink="">
      <xdr:nvSpPr>
        <xdr:cNvPr id="38" name="Line 74"/>
        <xdr:cNvSpPr>
          <a:spLocks noChangeShapeType="1"/>
        </xdr:cNvSpPr>
      </xdr:nvSpPr>
      <xdr:spPr bwMode="auto">
        <a:xfrm>
          <a:off x="3495675" y="2152650"/>
          <a:ext cx="857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123825</xdr:colOff>
      <xdr:row>11</xdr:row>
      <xdr:rowOff>9525</xdr:rowOff>
    </xdr:from>
    <xdr:to>
      <xdr:col>7</xdr:col>
      <xdr:colOff>123825</xdr:colOff>
      <xdr:row>13</xdr:row>
      <xdr:rowOff>0</xdr:rowOff>
    </xdr:to>
    <xdr:sp macro="" textlink="">
      <xdr:nvSpPr>
        <xdr:cNvPr id="39" name="Line 59"/>
        <xdr:cNvSpPr>
          <a:spLocks noChangeShapeType="1"/>
        </xdr:cNvSpPr>
      </xdr:nvSpPr>
      <xdr:spPr bwMode="auto">
        <a:xfrm>
          <a:off x="1685925"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9525</xdr:colOff>
      <xdr:row>15</xdr:row>
      <xdr:rowOff>0</xdr:rowOff>
    </xdr:from>
    <xdr:to>
      <xdr:col>25</xdr:col>
      <xdr:colOff>47625</xdr:colOff>
      <xdr:row>15</xdr:row>
      <xdr:rowOff>0</xdr:rowOff>
    </xdr:to>
    <xdr:sp macro="" textlink="">
      <xdr:nvSpPr>
        <xdr:cNvPr id="41" name="Line 57"/>
        <xdr:cNvSpPr>
          <a:spLocks noChangeShapeType="1"/>
        </xdr:cNvSpPr>
      </xdr:nvSpPr>
      <xdr:spPr bwMode="auto">
        <a:xfrm flipV="1">
          <a:off x="2066925" y="2343150"/>
          <a:ext cx="3638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123825</xdr:colOff>
      <xdr:row>11</xdr:row>
      <xdr:rowOff>0</xdr:rowOff>
    </xdr:from>
    <xdr:to>
      <xdr:col>23</xdr:col>
      <xdr:colOff>123825</xdr:colOff>
      <xdr:row>13</xdr:row>
      <xdr:rowOff>0</xdr:rowOff>
    </xdr:to>
    <xdr:sp macro="" textlink="">
      <xdr:nvSpPr>
        <xdr:cNvPr id="45" name="Line 46"/>
        <xdr:cNvSpPr>
          <a:spLocks noChangeShapeType="1"/>
        </xdr:cNvSpPr>
      </xdr:nvSpPr>
      <xdr:spPr bwMode="auto">
        <a:xfrm>
          <a:off x="528637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133350</xdr:colOff>
      <xdr:row>11</xdr:row>
      <xdr:rowOff>0</xdr:rowOff>
    </xdr:from>
    <xdr:to>
      <xdr:col>27</xdr:col>
      <xdr:colOff>133350</xdr:colOff>
      <xdr:row>13</xdr:row>
      <xdr:rowOff>0</xdr:rowOff>
    </xdr:to>
    <xdr:sp macro="" textlink="">
      <xdr:nvSpPr>
        <xdr:cNvPr id="46" name="Line 47"/>
        <xdr:cNvSpPr>
          <a:spLocks noChangeShapeType="1"/>
        </xdr:cNvSpPr>
      </xdr:nvSpPr>
      <xdr:spPr bwMode="auto">
        <a:xfrm>
          <a:off x="616267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123825</xdr:colOff>
      <xdr:row>13</xdr:row>
      <xdr:rowOff>0</xdr:rowOff>
    </xdr:from>
    <xdr:to>
      <xdr:col>27</xdr:col>
      <xdr:colOff>133350</xdr:colOff>
      <xdr:row>13</xdr:row>
      <xdr:rowOff>0</xdr:rowOff>
    </xdr:to>
    <xdr:sp macro="" textlink="">
      <xdr:nvSpPr>
        <xdr:cNvPr id="47" name="Line 74"/>
        <xdr:cNvSpPr>
          <a:spLocks noChangeShapeType="1"/>
        </xdr:cNvSpPr>
      </xdr:nvSpPr>
      <xdr:spPr bwMode="auto">
        <a:xfrm>
          <a:off x="5286375" y="2152650"/>
          <a:ext cx="876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66675</xdr:colOff>
      <xdr:row>3</xdr:row>
      <xdr:rowOff>247650</xdr:rowOff>
    </xdr:from>
    <xdr:to>
      <xdr:col>25</xdr:col>
      <xdr:colOff>66675</xdr:colOff>
      <xdr:row>5</xdr:row>
      <xdr:rowOff>0</xdr:rowOff>
    </xdr:to>
    <xdr:sp macro="" textlink="">
      <xdr:nvSpPr>
        <xdr:cNvPr id="48" name="Line 55"/>
        <xdr:cNvSpPr>
          <a:spLocks noChangeShapeType="1"/>
        </xdr:cNvSpPr>
      </xdr:nvSpPr>
      <xdr:spPr bwMode="auto">
        <a:xfrm>
          <a:off x="6257925" y="752475"/>
          <a:ext cx="0" cy="3619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247649</xdr:colOff>
      <xdr:row>3</xdr:row>
      <xdr:rowOff>133350</xdr:rowOff>
    </xdr:from>
    <xdr:to>
      <xdr:col>1</xdr:col>
      <xdr:colOff>9524</xdr:colOff>
      <xdr:row>17</xdr:row>
      <xdr:rowOff>9525</xdr:rowOff>
    </xdr:to>
    <xdr:sp macro="" textlink="">
      <xdr:nvSpPr>
        <xdr:cNvPr id="49" name="Line 59"/>
        <xdr:cNvSpPr>
          <a:spLocks noChangeShapeType="1"/>
        </xdr:cNvSpPr>
      </xdr:nvSpPr>
      <xdr:spPr bwMode="auto">
        <a:xfrm>
          <a:off x="247649" y="638175"/>
          <a:ext cx="9525" cy="2314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17</xdr:row>
      <xdr:rowOff>9525</xdr:rowOff>
    </xdr:from>
    <xdr:to>
      <xdr:col>6</xdr:col>
      <xdr:colOff>9525</xdr:colOff>
      <xdr:row>17</xdr:row>
      <xdr:rowOff>9525</xdr:rowOff>
    </xdr:to>
    <xdr:sp macro="" textlink="">
      <xdr:nvSpPr>
        <xdr:cNvPr id="50" name="Line 55"/>
        <xdr:cNvSpPr>
          <a:spLocks noChangeShapeType="1"/>
        </xdr:cNvSpPr>
      </xdr:nvSpPr>
      <xdr:spPr bwMode="auto">
        <a:xfrm flipV="1">
          <a:off x="257175" y="2952750"/>
          <a:ext cx="1238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123825</xdr:rowOff>
    </xdr:from>
    <xdr:to>
      <xdr:col>2</xdr:col>
      <xdr:colOff>0</xdr:colOff>
      <xdr:row>3</xdr:row>
      <xdr:rowOff>123825</xdr:rowOff>
    </xdr:to>
    <xdr:sp macro="" textlink="">
      <xdr:nvSpPr>
        <xdr:cNvPr id="51" name="Line 57"/>
        <xdr:cNvSpPr>
          <a:spLocks noChangeShapeType="1"/>
        </xdr:cNvSpPr>
      </xdr:nvSpPr>
      <xdr:spPr bwMode="auto">
        <a:xfrm flipV="1">
          <a:off x="200025" y="638175"/>
          <a:ext cx="2476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13</xdr:row>
      <xdr:rowOff>0</xdr:rowOff>
    </xdr:from>
    <xdr:to>
      <xdr:col>9</xdr:col>
      <xdr:colOff>0</xdr:colOff>
      <xdr:row>15</xdr:row>
      <xdr:rowOff>0</xdr:rowOff>
    </xdr:to>
    <xdr:sp macro="" textlink="">
      <xdr:nvSpPr>
        <xdr:cNvPr id="52" name="Line 59"/>
        <xdr:cNvSpPr>
          <a:spLocks noChangeShapeType="1"/>
        </xdr:cNvSpPr>
      </xdr:nvSpPr>
      <xdr:spPr bwMode="auto">
        <a:xfrm>
          <a:off x="20574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57150</xdr:colOff>
      <xdr:row>13</xdr:row>
      <xdr:rowOff>0</xdr:rowOff>
    </xdr:from>
    <xdr:to>
      <xdr:col>25</xdr:col>
      <xdr:colOff>57150</xdr:colOff>
      <xdr:row>15</xdr:row>
      <xdr:rowOff>0</xdr:rowOff>
    </xdr:to>
    <xdr:sp macro="" textlink="">
      <xdr:nvSpPr>
        <xdr:cNvPr id="53" name="Line 59"/>
        <xdr:cNvSpPr>
          <a:spLocks noChangeShapeType="1"/>
        </xdr:cNvSpPr>
      </xdr:nvSpPr>
      <xdr:spPr bwMode="auto">
        <a:xfrm>
          <a:off x="57150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66675</xdr:colOff>
      <xdr:row>13</xdr:row>
      <xdr:rowOff>0</xdr:rowOff>
    </xdr:from>
    <xdr:to>
      <xdr:col>17</xdr:col>
      <xdr:colOff>66675</xdr:colOff>
      <xdr:row>15</xdr:row>
      <xdr:rowOff>0</xdr:rowOff>
    </xdr:to>
    <xdr:sp macro="" textlink="">
      <xdr:nvSpPr>
        <xdr:cNvPr id="54" name="Line 59"/>
        <xdr:cNvSpPr>
          <a:spLocks noChangeShapeType="1"/>
        </xdr:cNvSpPr>
      </xdr:nvSpPr>
      <xdr:spPr bwMode="auto">
        <a:xfrm>
          <a:off x="39243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0</xdr:colOff>
      <xdr:row>4</xdr:row>
      <xdr:rowOff>9525</xdr:rowOff>
    </xdr:from>
    <xdr:to>
      <xdr:col>32</xdr:col>
      <xdr:colOff>0</xdr:colOff>
      <xdr:row>5</xdr:row>
      <xdr:rowOff>9525</xdr:rowOff>
    </xdr:to>
    <xdr:sp macro="" textlink="">
      <xdr:nvSpPr>
        <xdr:cNvPr id="55" name="Line 55"/>
        <xdr:cNvSpPr>
          <a:spLocks noChangeShapeType="1"/>
        </xdr:cNvSpPr>
      </xdr:nvSpPr>
      <xdr:spPr bwMode="auto">
        <a:xfrm>
          <a:off x="7172325" y="781050"/>
          <a:ext cx="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123825</xdr:colOff>
      <xdr:row>11</xdr:row>
      <xdr:rowOff>0</xdr:rowOff>
    </xdr:from>
    <xdr:to>
      <xdr:col>3</xdr:col>
      <xdr:colOff>123825</xdr:colOff>
      <xdr:row>13</xdr:row>
      <xdr:rowOff>0</xdr:rowOff>
    </xdr:to>
    <xdr:sp macro="" textlink="">
      <xdr:nvSpPr>
        <xdr:cNvPr id="89" name="Line 56"/>
        <xdr:cNvSpPr>
          <a:spLocks noChangeShapeType="1"/>
        </xdr:cNvSpPr>
      </xdr:nvSpPr>
      <xdr:spPr bwMode="auto">
        <a:xfrm>
          <a:off x="819150"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123825</xdr:colOff>
      <xdr:row>13</xdr:row>
      <xdr:rowOff>0</xdr:rowOff>
    </xdr:from>
    <xdr:to>
      <xdr:col>11</xdr:col>
      <xdr:colOff>123825</xdr:colOff>
      <xdr:row>13</xdr:row>
      <xdr:rowOff>0</xdr:rowOff>
    </xdr:to>
    <xdr:sp macro="" textlink="">
      <xdr:nvSpPr>
        <xdr:cNvPr id="90" name="Line 57"/>
        <xdr:cNvSpPr>
          <a:spLocks noChangeShapeType="1"/>
        </xdr:cNvSpPr>
      </xdr:nvSpPr>
      <xdr:spPr bwMode="auto">
        <a:xfrm>
          <a:off x="819150" y="2152650"/>
          <a:ext cx="1733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123825</xdr:colOff>
      <xdr:row>11</xdr:row>
      <xdr:rowOff>9525</xdr:rowOff>
    </xdr:from>
    <xdr:to>
      <xdr:col>11</xdr:col>
      <xdr:colOff>123825</xdr:colOff>
      <xdr:row>13</xdr:row>
      <xdr:rowOff>0</xdr:rowOff>
    </xdr:to>
    <xdr:sp macro="" textlink="">
      <xdr:nvSpPr>
        <xdr:cNvPr id="91" name="Line 59"/>
        <xdr:cNvSpPr>
          <a:spLocks noChangeShapeType="1"/>
        </xdr:cNvSpPr>
      </xdr:nvSpPr>
      <xdr:spPr bwMode="auto">
        <a:xfrm>
          <a:off x="2552700"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123825</xdr:colOff>
      <xdr:row>11</xdr:row>
      <xdr:rowOff>9525</xdr:rowOff>
    </xdr:from>
    <xdr:to>
      <xdr:col>15</xdr:col>
      <xdr:colOff>123825</xdr:colOff>
      <xdr:row>13</xdr:row>
      <xdr:rowOff>0</xdr:rowOff>
    </xdr:to>
    <xdr:sp macro="" textlink="">
      <xdr:nvSpPr>
        <xdr:cNvPr id="92" name="Line 61"/>
        <xdr:cNvSpPr>
          <a:spLocks noChangeShapeType="1"/>
        </xdr:cNvSpPr>
      </xdr:nvSpPr>
      <xdr:spPr bwMode="auto">
        <a:xfrm>
          <a:off x="3486150"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123825</xdr:colOff>
      <xdr:row>11</xdr:row>
      <xdr:rowOff>0</xdr:rowOff>
    </xdr:from>
    <xdr:to>
      <xdr:col>19</xdr:col>
      <xdr:colOff>123825</xdr:colOff>
      <xdr:row>13</xdr:row>
      <xdr:rowOff>0</xdr:rowOff>
    </xdr:to>
    <xdr:sp macro="" textlink="">
      <xdr:nvSpPr>
        <xdr:cNvPr id="93" name="Line 71"/>
        <xdr:cNvSpPr>
          <a:spLocks noChangeShapeType="1"/>
        </xdr:cNvSpPr>
      </xdr:nvSpPr>
      <xdr:spPr bwMode="auto">
        <a:xfrm>
          <a:off x="435292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133350</xdr:colOff>
      <xdr:row>13</xdr:row>
      <xdr:rowOff>0</xdr:rowOff>
    </xdr:from>
    <xdr:to>
      <xdr:col>19</xdr:col>
      <xdr:colOff>123825</xdr:colOff>
      <xdr:row>13</xdr:row>
      <xdr:rowOff>0</xdr:rowOff>
    </xdr:to>
    <xdr:sp macro="" textlink="">
      <xdr:nvSpPr>
        <xdr:cNvPr id="94" name="Line 74"/>
        <xdr:cNvSpPr>
          <a:spLocks noChangeShapeType="1"/>
        </xdr:cNvSpPr>
      </xdr:nvSpPr>
      <xdr:spPr bwMode="auto">
        <a:xfrm>
          <a:off x="3495675" y="2152650"/>
          <a:ext cx="857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123825</xdr:colOff>
      <xdr:row>11</xdr:row>
      <xdr:rowOff>9525</xdr:rowOff>
    </xdr:from>
    <xdr:to>
      <xdr:col>7</xdr:col>
      <xdr:colOff>123825</xdr:colOff>
      <xdr:row>13</xdr:row>
      <xdr:rowOff>0</xdr:rowOff>
    </xdr:to>
    <xdr:sp macro="" textlink="">
      <xdr:nvSpPr>
        <xdr:cNvPr id="95" name="Line 97"/>
        <xdr:cNvSpPr>
          <a:spLocks noChangeShapeType="1"/>
        </xdr:cNvSpPr>
      </xdr:nvSpPr>
      <xdr:spPr bwMode="auto">
        <a:xfrm>
          <a:off x="1685925"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16</xdr:row>
      <xdr:rowOff>123825</xdr:rowOff>
    </xdr:from>
    <xdr:to>
      <xdr:col>18</xdr:col>
      <xdr:colOff>9525</xdr:colOff>
      <xdr:row>16</xdr:row>
      <xdr:rowOff>123825</xdr:rowOff>
    </xdr:to>
    <xdr:sp macro="" textlink="">
      <xdr:nvSpPr>
        <xdr:cNvPr id="96" name="Line 55"/>
        <xdr:cNvSpPr>
          <a:spLocks noChangeShapeType="1"/>
        </xdr:cNvSpPr>
      </xdr:nvSpPr>
      <xdr:spPr bwMode="auto">
        <a:xfrm flipV="1">
          <a:off x="3228975" y="2933700"/>
          <a:ext cx="1238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9525</xdr:colOff>
      <xdr:row>15</xdr:row>
      <xdr:rowOff>0</xdr:rowOff>
    </xdr:from>
    <xdr:to>
      <xdr:col>25</xdr:col>
      <xdr:colOff>47625</xdr:colOff>
      <xdr:row>15</xdr:row>
      <xdr:rowOff>0</xdr:rowOff>
    </xdr:to>
    <xdr:sp macro="" textlink="">
      <xdr:nvSpPr>
        <xdr:cNvPr id="97" name="Line 99"/>
        <xdr:cNvSpPr>
          <a:spLocks noChangeShapeType="1"/>
        </xdr:cNvSpPr>
      </xdr:nvSpPr>
      <xdr:spPr bwMode="auto">
        <a:xfrm flipV="1">
          <a:off x="2066925" y="2343150"/>
          <a:ext cx="3638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247649</xdr:colOff>
      <xdr:row>15</xdr:row>
      <xdr:rowOff>9525</xdr:rowOff>
    </xdr:from>
    <xdr:to>
      <xdr:col>11</xdr:col>
      <xdr:colOff>9524</xdr:colOff>
      <xdr:row>16</xdr:row>
      <xdr:rowOff>19050</xdr:rowOff>
    </xdr:to>
    <xdr:sp macro="" textlink="">
      <xdr:nvSpPr>
        <xdr:cNvPr id="98" name="Line 100"/>
        <xdr:cNvSpPr>
          <a:spLocks noChangeShapeType="1"/>
        </xdr:cNvSpPr>
      </xdr:nvSpPr>
      <xdr:spPr bwMode="auto">
        <a:xfrm>
          <a:off x="2724149" y="2590800"/>
          <a:ext cx="9525" cy="2381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152399</xdr:colOff>
      <xdr:row>15</xdr:row>
      <xdr:rowOff>9525</xdr:rowOff>
    </xdr:from>
    <xdr:to>
      <xdr:col>20</xdr:col>
      <xdr:colOff>161924</xdr:colOff>
      <xdr:row>16</xdr:row>
      <xdr:rowOff>0</xdr:rowOff>
    </xdr:to>
    <xdr:sp macro="" textlink="">
      <xdr:nvSpPr>
        <xdr:cNvPr id="99" name="Line 101"/>
        <xdr:cNvSpPr>
          <a:spLocks noChangeShapeType="1"/>
        </xdr:cNvSpPr>
      </xdr:nvSpPr>
      <xdr:spPr bwMode="auto">
        <a:xfrm flipH="1">
          <a:off x="5105399" y="2590800"/>
          <a:ext cx="9525" cy="2190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123825</xdr:colOff>
      <xdr:row>11</xdr:row>
      <xdr:rowOff>0</xdr:rowOff>
    </xdr:from>
    <xdr:to>
      <xdr:col>23</xdr:col>
      <xdr:colOff>123825</xdr:colOff>
      <xdr:row>13</xdr:row>
      <xdr:rowOff>0</xdr:rowOff>
    </xdr:to>
    <xdr:sp macro="" textlink="">
      <xdr:nvSpPr>
        <xdr:cNvPr id="100" name="Line 102"/>
        <xdr:cNvSpPr>
          <a:spLocks noChangeShapeType="1"/>
        </xdr:cNvSpPr>
      </xdr:nvSpPr>
      <xdr:spPr bwMode="auto">
        <a:xfrm>
          <a:off x="528637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133350</xdr:colOff>
      <xdr:row>11</xdr:row>
      <xdr:rowOff>0</xdr:rowOff>
    </xdr:from>
    <xdr:to>
      <xdr:col>27</xdr:col>
      <xdr:colOff>133350</xdr:colOff>
      <xdr:row>13</xdr:row>
      <xdr:rowOff>0</xdr:rowOff>
    </xdr:to>
    <xdr:sp macro="" textlink="">
      <xdr:nvSpPr>
        <xdr:cNvPr id="101" name="Line 103"/>
        <xdr:cNvSpPr>
          <a:spLocks noChangeShapeType="1"/>
        </xdr:cNvSpPr>
      </xdr:nvSpPr>
      <xdr:spPr bwMode="auto">
        <a:xfrm>
          <a:off x="616267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123825</xdr:colOff>
      <xdr:row>13</xdr:row>
      <xdr:rowOff>0</xdr:rowOff>
    </xdr:from>
    <xdr:to>
      <xdr:col>27</xdr:col>
      <xdr:colOff>133350</xdr:colOff>
      <xdr:row>13</xdr:row>
      <xdr:rowOff>0</xdr:rowOff>
    </xdr:to>
    <xdr:sp macro="" textlink="">
      <xdr:nvSpPr>
        <xdr:cNvPr id="102" name="Line 104"/>
        <xdr:cNvSpPr>
          <a:spLocks noChangeShapeType="1"/>
        </xdr:cNvSpPr>
      </xdr:nvSpPr>
      <xdr:spPr bwMode="auto">
        <a:xfrm>
          <a:off x="5286375" y="2152650"/>
          <a:ext cx="876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66675</xdr:colOff>
      <xdr:row>4</xdr:row>
      <xdr:rowOff>0</xdr:rowOff>
    </xdr:from>
    <xdr:to>
      <xdr:col>25</xdr:col>
      <xdr:colOff>66675</xdr:colOff>
      <xdr:row>5</xdr:row>
      <xdr:rowOff>9525</xdr:rowOff>
    </xdr:to>
    <xdr:sp macro="" textlink="">
      <xdr:nvSpPr>
        <xdr:cNvPr id="103" name="Line 105"/>
        <xdr:cNvSpPr>
          <a:spLocks noChangeShapeType="1"/>
        </xdr:cNvSpPr>
      </xdr:nvSpPr>
      <xdr:spPr bwMode="auto">
        <a:xfrm>
          <a:off x="5724525" y="771525"/>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13</xdr:row>
      <xdr:rowOff>0</xdr:rowOff>
    </xdr:from>
    <xdr:to>
      <xdr:col>9</xdr:col>
      <xdr:colOff>0</xdr:colOff>
      <xdr:row>15</xdr:row>
      <xdr:rowOff>0</xdr:rowOff>
    </xdr:to>
    <xdr:sp macro="" textlink="">
      <xdr:nvSpPr>
        <xdr:cNvPr id="104" name="Line 106"/>
        <xdr:cNvSpPr>
          <a:spLocks noChangeShapeType="1"/>
        </xdr:cNvSpPr>
      </xdr:nvSpPr>
      <xdr:spPr bwMode="auto">
        <a:xfrm>
          <a:off x="20574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57150</xdr:colOff>
      <xdr:row>13</xdr:row>
      <xdr:rowOff>0</xdr:rowOff>
    </xdr:from>
    <xdr:to>
      <xdr:col>25</xdr:col>
      <xdr:colOff>57150</xdr:colOff>
      <xdr:row>15</xdr:row>
      <xdr:rowOff>0</xdr:rowOff>
    </xdr:to>
    <xdr:sp macro="" textlink="">
      <xdr:nvSpPr>
        <xdr:cNvPr id="105" name="Line 107"/>
        <xdr:cNvSpPr>
          <a:spLocks noChangeShapeType="1"/>
        </xdr:cNvSpPr>
      </xdr:nvSpPr>
      <xdr:spPr bwMode="auto">
        <a:xfrm>
          <a:off x="57150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66675</xdr:colOff>
      <xdr:row>13</xdr:row>
      <xdr:rowOff>0</xdr:rowOff>
    </xdr:from>
    <xdr:to>
      <xdr:col>17</xdr:col>
      <xdr:colOff>66675</xdr:colOff>
      <xdr:row>15</xdr:row>
      <xdr:rowOff>0</xdr:rowOff>
    </xdr:to>
    <xdr:sp macro="" textlink="">
      <xdr:nvSpPr>
        <xdr:cNvPr id="106" name="Line 108"/>
        <xdr:cNvSpPr>
          <a:spLocks noChangeShapeType="1"/>
        </xdr:cNvSpPr>
      </xdr:nvSpPr>
      <xdr:spPr bwMode="auto">
        <a:xfrm>
          <a:off x="39243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0</xdr:colOff>
      <xdr:row>4</xdr:row>
      <xdr:rowOff>9525</xdr:rowOff>
    </xdr:from>
    <xdr:to>
      <xdr:col>32</xdr:col>
      <xdr:colOff>0</xdr:colOff>
      <xdr:row>5</xdr:row>
      <xdr:rowOff>9525</xdr:rowOff>
    </xdr:to>
    <xdr:sp macro="" textlink="">
      <xdr:nvSpPr>
        <xdr:cNvPr id="107" name="Line 109"/>
        <xdr:cNvSpPr>
          <a:spLocks noChangeShapeType="1"/>
        </xdr:cNvSpPr>
      </xdr:nvSpPr>
      <xdr:spPr bwMode="auto">
        <a:xfrm>
          <a:off x="7172325" y="781050"/>
          <a:ext cx="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31</xdr:col>
      <xdr:colOff>247649</xdr:colOff>
      <xdr:row>6</xdr:row>
      <xdr:rowOff>28575</xdr:rowOff>
    </xdr:from>
    <xdr:to>
      <xdr:col>32</xdr:col>
      <xdr:colOff>9524</xdr:colOff>
      <xdr:row>17</xdr:row>
      <xdr:rowOff>19050</xdr:rowOff>
    </xdr:to>
    <xdr:sp macro="" textlink="">
      <xdr:nvSpPr>
        <xdr:cNvPr id="108" name="Line 110"/>
        <xdr:cNvSpPr>
          <a:spLocks noChangeShapeType="1"/>
        </xdr:cNvSpPr>
      </xdr:nvSpPr>
      <xdr:spPr bwMode="auto">
        <a:xfrm flipH="1">
          <a:off x="7924799" y="1400175"/>
          <a:ext cx="9525" cy="1562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238125</xdr:colOff>
      <xdr:row>17</xdr:row>
      <xdr:rowOff>0</xdr:rowOff>
    </xdr:from>
    <xdr:to>
      <xdr:col>32</xdr:col>
      <xdr:colOff>0</xdr:colOff>
      <xdr:row>17</xdr:row>
      <xdr:rowOff>0</xdr:rowOff>
    </xdr:to>
    <xdr:sp macro="" textlink="">
      <xdr:nvSpPr>
        <xdr:cNvPr id="109" name="Line 111"/>
        <xdr:cNvSpPr>
          <a:spLocks noChangeShapeType="1"/>
        </xdr:cNvSpPr>
      </xdr:nvSpPr>
      <xdr:spPr bwMode="auto">
        <a:xfrm flipH="1" flipV="1">
          <a:off x="5686425" y="2943225"/>
          <a:ext cx="2238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25</xdr:row>
      <xdr:rowOff>0</xdr:rowOff>
    </xdr:from>
    <xdr:to>
      <xdr:col>3</xdr:col>
      <xdr:colOff>0</xdr:colOff>
      <xdr:row>25</xdr:row>
      <xdr:rowOff>0</xdr:rowOff>
    </xdr:to>
    <xdr:sp macro="" textlink="">
      <xdr:nvSpPr>
        <xdr:cNvPr id="110" name="Line 151"/>
        <xdr:cNvSpPr>
          <a:spLocks noChangeShapeType="1"/>
        </xdr:cNvSpPr>
      </xdr:nvSpPr>
      <xdr:spPr bwMode="auto">
        <a:xfrm>
          <a:off x="695325" y="41719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123825</xdr:colOff>
      <xdr:row>34</xdr:row>
      <xdr:rowOff>0</xdr:rowOff>
    </xdr:from>
    <xdr:to>
      <xdr:col>3</xdr:col>
      <xdr:colOff>123825</xdr:colOff>
      <xdr:row>36</xdr:row>
      <xdr:rowOff>0</xdr:rowOff>
    </xdr:to>
    <xdr:sp macro="" textlink="">
      <xdr:nvSpPr>
        <xdr:cNvPr id="143" name="Line 56"/>
        <xdr:cNvSpPr>
          <a:spLocks noChangeShapeType="1"/>
        </xdr:cNvSpPr>
      </xdr:nvSpPr>
      <xdr:spPr bwMode="auto">
        <a:xfrm>
          <a:off x="819150" y="574357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123825</xdr:colOff>
      <xdr:row>36</xdr:row>
      <xdr:rowOff>0</xdr:rowOff>
    </xdr:from>
    <xdr:to>
      <xdr:col>11</xdr:col>
      <xdr:colOff>123825</xdr:colOff>
      <xdr:row>36</xdr:row>
      <xdr:rowOff>0</xdr:rowOff>
    </xdr:to>
    <xdr:sp macro="" textlink="">
      <xdr:nvSpPr>
        <xdr:cNvPr id="144" name="Line 57"/>
        <xdr:cNvSpPr>
          <a:spLocks noChangeShapeType="1"/>
        </xdr:cNvSpPr>
      </xdr:nvSpPr>
      <xdr:spPr bwMode="auto">
        <a:xfrm>
          <a:off x="819150" y="5981700"/>
          <a:ext cx="1733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123825</xdr:colOff>
      <xdr:row>34</xdr:row>
      <xdr:rowOff>9525</xdr:rowOff>
    </xdr:from>
    <xdr:to>
      <xdr:col>11</xdr:col>
      <xdr:colOff>123825</xdr:colOff>
      <xdr:row>36</xdr:row>
      <xdr:rowOff>0</xdr:rowOff>
    </xdr:to>
    <xdr:sp macro="" textlink="">
      <xdr:nvSpPr>
        <xdr:cNvPr id="145" name="Line 59"/>
        <xdr:cNvSpPr>
          <a:spLocks noChangeShapeType="1"/>
        </xdr:cNvSpPr>
      </xdr:nvSpPr>
      <xdr:spPr bwMode="auto">
        <a:xfrm>
          <a:off x="2552700" y="575310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123825</xdr:colOff>
      <xdr:row>34</xdr:row>
      <xdr:rowOff>9525</xdr:rowOff>
    </xdr:from>
    <xdr:to>
      <xdr:col>15</xdr:col>
      <xdr:colOff>123825</xdr:colOff>
      <xdr:row>36</xdr:row>
      <xdr:rowOff>0</xdr:rowOff>
    </xdr:to>
    <xdr:sp macro="" textlink="">
      <xdr:nvSpPr>
        <xdr:cNvPr id="146" name="Line 61"/>
        <xdr:cNvSpPr>
          <a:spLocks noChangeShapeType="1"/>
        </xdr:cNvSpPr>
      </xdr:nvSpPr>
      <xdr:spPr bwMode="auto">
        <a:xfrm>
          <a:off x="3486150" y="575310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123825</xdr:colOff>
      <xdr:row>34</xdr:row>
      <xdr:rowOff>0</xdr:rowOff>
    </xdr:from>
    <xdr:to>
      <xdr:col>19</xdr:col>
      <xdr:colOff>123825</xdr:colOff>
      <xdr:row>36</xdr:row>
      <xdr:rowOff>0</xdr:rowOff>
    </xdr:to>
    <xdr:sp macro="" textlink="">
      <xdr:nvSpPr>
        <xdr:cNvPr id="147" name="Line 71"/>
        <xdr:cNvSpPr>
          <a:spLocks noChangeShapeType="1"/>
        </xdr:cNvSpPr>
      </xdr:nvSpPr>
      <xdr:spPr bwMode="auto">
        <a:xfrm>
          <a:off x="4352925" y="574357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133350</xdr:colOff>
      <xdr:row>36</xdr:row>
      <xdr:rowOff>0</xdr:rowOff>
    </xdr:from>
    <xdr:to>
      <xdr:col>19</xdr:col>
      <xdr:colOff>123825</xdr:colOff>
      <xdr:row>36</xdr:row>
      <xdr:rowOff>0</xdr:rowOff>
    </xdr:to>
    <xdr:sp macro="" textlink="">
      <xdr:nvSpPr>
        <xdr:cNvPr id="148" name="Line 74"/>
        <xdr:cNvSpPr>
          <a:spLocks noChangeShapeType="1"/>
        </xdr:cNvSpPr>
      </xdr:nvSpPr>
      <xdr:spPr bwMode="auto">
        <a:xfrm>
          <a:off x="3495675" y="5981700"/>
          <a:ext cx="857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123825</xdr:colOff>
      <xdr:row>34</xdr:row>
      <xdr:rowOff>9525</xdr:rowOff>
    </xdr:from>
    <xdr:to>
      <xdr:col>7</xdr:col>
      <xdr:colOff>123825</xdr:colOff>
      <xdr:row>36</xdr:row>
      <xdr:rowOff>0</xdr:rowOff>
    </xdr:to>
    <xdr:sp macro="" textlink="">
      <xdr:nvSpPr>
        <xdr:cNvPr id="149" name="Line 192"/>
        <xdr:cNvSpPr>
          <a:spLocks noChangeShapeType="1"/>
        </xdr:cNvSpPr>
      </xdr:nvSpPr>
      <xdr:spPr bwMode="auto">
        <a:xfrm>
          <a:off x="1685925" y="575310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40</xdr:row>
      <xdr:rowOff>276225</xdr:rowOff>
    </xdr:from>
    <xdr:to>
      <xdr:col>18</xdr:col>
      <xdr:colOff>9525</xdr:colOff>
      <xdr:row>40</xdr:row>
      <xdr:rowOff>276225</xdr:rowOff>
    </xdr:to>
    <xdr:sp macro="" textlink="">
      <xdr:nvSpPr>
        <xdr:cNvPr id="150" name="Line 55"/>
        <xdr:cNvSpPr>
          <a:spLocks noChangeShapeType="1"/>
        </xdr:cNvSpPr>
      </xdr:nvSpPr>
      <xdr:spPr bwMode="auto">
        <a:xfrm flipV="1">
          <a:off x="3228975" y="6896100"/>
          <a:ext cx="1238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9525</xdr:colOff>
      <xdr:row>37</xdr:row>
      <xdr:rowOff>57149</xdr:rowOff>
    </xdr:from>
    <xdr:to>
      <xdr:col>25</xdr:col>
      <xdr:colOff>47625</xdr:colOff>
      <xdr:row>38</xdr:row>
      <xdr:rowOff>9524</xdr:rowOff>
    </xdr:to>
    <xdr:sp macro="" textlink="">
      <xdr:nvSpPr>
        <xdr:cNvPr id="151" name="Line 194"/>
        <xdr:cNvSpPr>
          <a:spLocks noChangeShapeType="1"/>
        </xdr:cNvSpPr>
      </xdr:nvSpPr>
      <xdr:spPr bwMode="auto">
        <a:xfrm>
          <a:off x="2066925" y="6172199"/>
          <a:ext cx="36385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238125</xdr:colOff>
      <xdr:row>38</xdr:row>
      <xdr:rowOff>9526</xdr:rowOff>
    </xdr:from>
    <xdr:to>
      <xdr:col>11</xdr:col>
      <xdr:colOff>0</xdr:colOff>
      <xdr:row>40</xdr:row>
      <xdr:rowOff>9526</xdr:rowOff>
    </xdr:to>
    <xdr:sp macro="" textlink="">
      <xdr:nvSpPr>
        <xdr:cNvPr id="152" name="Line 195"/>
        <xdr:cNvSpPr>
          <a:spLocks noChangeShapeType="1"/>
        </xdr:cNvSpPr>
      </xdr:nvSpPr>
      <xdr:spPr bwMode="auto">
        <a:xfrm flipH="1">
          <a:off x="2714625" y="6362701"/>
          <a:ext cx="9525" cy="266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133350</xdr:colOff>
      <xdr:row>38</xdr:row>
      <xdr:rowOff>9525</xdr:rowOff>
    </xdr:from>
    <xdr:to>
      <xdr:col>20</xdr:col>
      <xdr:colOff>133350</xdr:colOff>
      <xdr:row>40</xdr:row>
      <xdr:rowOff>19050</xdr:rowOff>
    </xdr:to>
    <xdr:sp macro="" textlink="">
      <xdr:nvSpPr>
        <xdr:cNvPr id="153" name="Line 196"/>
        <xdr:cNvSpPr>
          <a:spLocks noChangeShapeType="1"/>
        </xdr:cNvSpPr>
      </xdr:nvSpPr>
      <xdr:spPr bwMode="auto">
        <a:xfrm>
          <a:off x="5086350" y="6362700"/>
          <a:ext cx="0" cy="276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123825</xdr:colOff>
      <xdr:row>34</xdr:row>
      <xdr:rowOff>0</xdr:rowOff>
    </xdr:from>
    <xdr:to>
      <xdr:col>23</xdr:col>
      <xdr:colOff>123825</xdr:colOff>
      <xdr:row>36</xdr:row>
      <xdr:rowOff>0</xdr:rowOff>
    </xdr:to>
    <xdr:sp macro="" textlink="">
      <xdr:nvSpPr>
        <xdr:cNvPr id="154" name="Line 197"/>
        <xdr:cNvSpPr>
          <a:spLocks noChangeShapeType="1"/>
        </xdr:cNvSpPr>
      </xdr:nvSpPr>
      <xdr:spPr bwMode="auto">
        <a:xfrm>
          <a:off x="5286375" y="574357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133350</xdr:colOff>
      <xdr:row>34</xdr:row>
      <xdr:rowOff>0</xdr:rowOff>
    </xdr:from>
    <xdr:to>
      <xdr:col>27</xdr:col>
      <xdr:colOff>133350</xdr:colOff>
      <xdr:row>36</xdr:row>
      <xdr:rowOff>0</xdr:rowOff>
    </xdr:to>
    <xdr:sp macro="" textlink="">
      <xdr:nvSpPr>
        <xdr:cNvPr id="155" name="Line 198"/>
        <xdr:cNvSpPr>
          <a:spLocks noChangeShapeType="1"/>
        </xdr:cNvSpPr>
      </xdr:nvSpPr>
      <xdr:spPr bwMode="auto">
        <a:xfrm>
          <a:off x="6162675" y="574357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123825</xdr:colOff>
      <xdr:row>36</xdr:row>
      <xdr:rowOff>0</xdr:rowOff>
    </xdr:from>
    <xdr:to>
      <xdr:col>27</xdr:col>
      <xdr:colOff>133350</xdr:colOff>
      <xdr:row>36</xdr:row>
      <xdr:rowOff>0</xdr:rowOff>
    </xdr:to>
    <xdr:sp macro="" textlink="">
      <xdr:nvSpPr>
        <xdr:cNvPr id="156" name="Line 199"/>
        <xdr:cNvSpPr>
          <a:spLocks noChangeShapeType="1"/>
        </xdr:cNvSpPr>
      </xdr:nvSpPr>
      <xdr:spPr bwMode="auto">
        <a:xfrm>
          <a:off x="5286375" y="5981700"/>
          <a:ext cx="876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9</xdr:col>
      <xdr:colOff>0</xdr:colOff>
      <xdr:row>38</xdr:row>
      <xdr:rowOff>0</xdr:rowOff>
    </xdr:to>
    <xdr:sp macro="" textlink="">
      <xdr:nvSpPr>
        <xdr:cNvPr id="158" name="Line 201"/>
        <xdr:cNvSpPr>
          <a:spLocks noChangeShapeType="1"/>
        </xdr:cNvSpPr>
      </xdr:nvSpPr>
      <xdr:spPr bwMode="auto">
        <a:xfrm>
          <a:off x="2057400" y="598170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57150</xdr:colOff>
      <xdr:row>36</xdr:row>
      <xdr:rowOff>0</xdr:rowOff>
    </xdr:from>
    <xdr:to>
      <xdr:col>25</xdr:col>
      <xdr:colOff>57150</xdr:colOff>
      <xdr:row>38</xdr:row>
      <xdr:rowOff>0</xdr:rowOff>
    </xdr:to>
    <xdr:sp macro="" textlink="">
      <xdr:nvSpPr>
        <xdr:cNvPr id="159" name="Line 202"/>
        <xdr:cNvSpPr>
          <a:spLocks noChangeShapeType="1"/>
        </xdr:cNvSpPr>
      </xdr:nvSpPr>
      <xdr:spPr bwMode="auto">
        <a:xfrm>
          <a:off x="5715000" y="598170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66675</xdr:colOff>
      <xdr:row>36</xdr:row>
      <xdr:rowOff>0</xdr:rowOff>
    </xdr:from>
    <xdr:to>
      <xdr:col>17</xdr:col>
      <xdr:colOff>66675</xdr:colOff>
      <xdr:row>38</xdr:row>
      <xdr:rowOff>0</xdr:rowOff>
    </xdr:to>
    <xdr:sp macro="" textlink="">
      <xdr:nvSpPr>
        <xdr:cNvPr id="160" name="Line 203"/>
        <xdr:cNvSpPr>
          <a:spLocks noChangeShapeType="1"/>
        </xdr:cNvSpPr>
      </xdr:nvSpPr>
      <xdr:spPr bwMode="auto">
        <a:xfrm>
          <a:off x="3924300" y="598170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247649</xdr:colOff>
      <xdr:row>30</xdr:row>
      <xdr:rowOff>0</xdr:rowOff>
    </xdr:from>
    <xdr:to>
      <xdr:col>32</xdr:col>
      <xdr:colOff>9524</xdr:colOff>
      <xdr:row>41</xdr:row>
      <xdr:rowOff>19050</xdr:rowOff>
    </xdr:to>
    <xdr:sp macro="" textlink="">
      <xdr:nvSpPr>
        <xdr:cNvPr id="162" name="Line 205"/>
        <xdr:cNvSpPr>
          <a:spLocks noChangeShapeType="1"/>
        </xdr:cNvSpPr>
      </xdr:nvSpPr>
      <xdr:spPr bwMode="auto">
        <a:xfrm>
          <a:off x="7924799" y="5248275"/>
          <a:ext cx="9525" cy="1676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0</xdr:colOff>
      <xdr:row>41</xdr:row>
      <xdr:rowOff>9525</xdr:rowOff>
    </xdr:from>
    <xdr:to>
      <xdr:col>32</xdr:col>
      <xdr:colOff>9525</xdr:colOff>
      <xdr:row>41</xdr:row>
      <xdr:rowOff>9525</xdr:rowOff>
    </xdr:to>
    <xdr:sp macro="" textlink="">
      <xdr:nvSpPr>
        <xdr:cNvPr id="163" name="Line 206"/>
        <xdr:cNvSpPr>
          <a:spLocks noChangeShapeType="1"/>
        </xdr:cNvSpPr>
      </xdr:nvSpPr>
      <xdr:spPr bwMode="auto">
        <a:xfrm flipH="1" flipV="1">
          <a:off x="5695950" y="6915150"/>
          <a:ext cx="2238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58</xdr:row>
      <xdr:rowOff>276225</xdr:rowOff>
    </xdr:from>
    <xdr:to>
      <xdr:col>7</xdr:col>
      <xdr:colOff>9525</xdr:colOff>
      <xdr:row>60</xdr:row>
      <xdr:rowOff>161925</xdr:rowOff>
    </xdr:to>
    <xdr:sp macro="" textlink="">
      <xdr:nvSpPr>
        <xdr:cNvPr id="187" name="Line 242"/>
        <xdr:cNvSpPr>
          <a:spLocks noChangeShapeType="1"/>
        </xdr:cNvSpPr>
      </xdr:nvSpPr>
      <xdr:spPr bwMode="auto">
        <a:xfrm>
          <a:off x="1743075" y="10344150"/>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0</xdr:colOff>
      <xdr:row>62</xdr:row>
      <xdr:rowOff>0</xdr:rowOff>
    </xdr:from>
    <xdr:to>
      <xdr:col>11</xdr:col>
      <xdr:colOff>219075</xdr:colOff>
      <xdr:row>62</xdr:row>
      <xdr:rowOff>0</xdr:rowOff>
    </xdr:to>
    <xdr:sp macro="" textlink="">
      <xdr:nvSpPr>
        <xdr:cNvPr id="189" name="Line 244"/>
        <xdr:cNvSpPr>
          <a:spLocks noChangeShapeType="1"/>
        </xdr:cNvSpPr>
      </xdr:nvSpPr>
      <xdr:spPr bwMode="auto">
        <a:xfrm flipV="1">
          <a:off x="2181225" y="10868025"/>
          <a:ext cx="4667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76200</xdr:colOff>
      <xdr:row>59</xdr:row>
      <xdr:rowOff>9525</xdr:rowOff>
    </xdr:from>
    <xdr:to>
      <xdr:col>14</xdr:col>
      <xdr:colOff>76200</xdr:colOff>
      <xdr:row>61</xdr:row>
      <xdr:rowOff>0</xdr:rowOff>
    </xdr:to>
    <xdr:sp macro="" textlink="">
      <xdr:nvSpPr>
        <xdr:cNvPr id="190" name="Line 245"/>
        <xdr:cNvSpPr>
          <a:spLocks noChangeShapeType="1"/>
        </xdr:cNvSpPr>
      </xdr:nvSpPr>
      <xdr:spPr bwMode="auto">
        <a:xfrm>
          <a:off x="3190875" y="103536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247649</xdr:colOff>
      <xdr:row>56</xdr:row>
      <xdr:rowOff>9526</xdr:rowOff>
    </xdr:from>
    <xdr:to>
      <xdr:col>3</xdr:col>
      <xdr:colOff>9524</xdr:colOff>
      <xdr:row>62</xdr:row>
      <xdr:rowOff>1</xdr:rowOff>
    </xdr:to>
    <xdr:sp macro="" textlink="">
      <xdr:nvSpPr>
        <xdr:cNvPr id="191" name="Line 246"/>
        <xdr:cNvSpPr>
          <a:spLocks noChangeShapeType="1"/>
        </xdr:cNvSpPr>
      </xdr:nvSpPr>
      <xdr:spPr bwMode="auto">
        <a:xfrm flipH="1">
          <a:off x="742949" y="9505951"/>
          <a:ext cx="9525" cy="1371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62</xdr:row>
      <xdr:rowOff>0</xdr:rowOff>
    </xdr:from>
    <xdr:to>
      <xdr:col>4</xdr:col>
      <xdr:colOff>238125</xdr:colOff>
      <xdr:row>62</xdr:row>
      <xdr:rowOff>0</xdr:rowOff>
    </xdr:to>
    <xdr:sp macro="" textlink="">
      <xdr:nvSpPr>
        <xdr:cNvPr id="192" name="Line 247"/>
        <xdr:cNvSpPr>
          <a:spLocks noChangeShapeType="1"/>
        </xdr:cNvSpPr>
      </xdr:nvSpPr>
      <xdr:spPr bwMode="auto">
        <a:xfrm flipV="1">
          <a:off x="704850" y="10868025"/>
          <a:ext cx="476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26</xdr:row>
      <xdr:rowOff>104775</xdr:rowOff>
    </xdr:from>
    <xdr:to>
      <xdr:col>2</xdr:col>
      <xdr:colOff>0</xdr:colOff>
      <xdr:row>26</xdr:row>
      <xdr:rowOff>104775</xdr:rowOff>
    </xdr:to>
    <xdr:sp macro="" textlink="">
      <xdr:nvSpPr>
        <xdr:cNvPr id="193" name="Line 57"/>
        <xdr:cNvSpPr>
          <a:spLocks noChangeShapeType="1"/>
        </xdr:cNvSpPr>
      </xdr:nvSpPr>
      <xdr:spPr bwMode="auto">
        <a:xfrm flipV="1">
          <a:off x="247650" y="4724400"/>
          <a:ext cx="2476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238124</xdr:colOff>
      <xdr:row>26</xdr:row>
      <xdr:rowOff>95250</xdr:rowOff>
    </xdr:from>
    <xdr:to>
      <xdr:col>0</xdr:col>
      <xdr:colOff>247649</xdr:colOff>
      <xdr:row>41</xdr:row>
      <xdr:rowOff>0</xdr:rowOff>
    </xdr:to>
    <xdr:sp macro="" textlink="">
      <xdr:nvSpPr>
        <xdr:cNvPr id="194" name="Line 59"/>
        <xdr:cNvSpPr>
          <a:spLocks noChangeShapeType="1"/>
        </xdr:cNvSpPr>
      </xdr:nvSpPr>
      <xdr:spPr bwMode="auto">
        <a:xfrm>
          <a:off x="238124" y="4514850"/>
          <a:ext cx="9525" cy="2390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41</xdr:row>
      <xdr:rowOff>0</xdr:rowOff>
    </xdr:from>
    <xdr:to>
      <xdr:col>6</xdr:col>
      <xdr:colOff>9525</xdr:colOff>
      <xdr:row>41</xdr:row>
      <xdr:rowOff>0</xdr:rowOff>
    </xdr:to>
    <xdr:sp macro="" textlink="">
      <xdr:nvSpPr>
        <xdr:cNvPr id="196" name="Line 55"/>
        <xdr:cNvSpPr>
          <a:spLocks noChangeShapeType="1"/>
        </xdr:cNvSpPr>
      </xdr:nvSpPr>
      <xdr:spPr bwMode="auto">
        <a:xfrm flipV="1">
          <a:off x="257175" y="6905625"/>
          <a:ext cx="1238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xdr:row>
      <xdr:rowOff>0</xdr:rowOff>
    </xdr:from>
    <xdr:to>
      <xdr:col>7</xdr:col>
      <xdr:colOff>0</xdr:colOff>
      <xdr:row>5</xdr:row>
      <xdr:rowOff>0</xdr:rowOff>
    </xdr:to>
    <xdr:sp macro="" textlink="">
      <xdr:nvSpPr>
        <xdr:cNvPr id="197" name="Line 55"/>
        <xdr:cNvSpPr>
          <a:spLocks noChangeShapeType="1"/>
        </xdr:cNvSpPr>
      </xdr:nvSpPr>
      <xdr:spPr bwMode="auto">
        <a:xfrm flipH="1">
          <a:off x="1733550" y="762000"/>
          <a:ext cx="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247649</xdr:colOff>
      <xdr:row>4</xdr:row>
      <xdr:rowOff>0</xdr:rowOff>
    </xdr:from>
    <xdr:to>
      <xdr:col>17</xdr:col>
      <xdr:colOff>9524</xdr:colOff>
      <xdr:row>5</xdr:row>
      <xdr:rowOff>9525</xdr:rowOff>
    </xdr:to>
    <xdr:sp macro="" textlink="">
      <xdr:nvSpPr>
        <xdr:cNvPr id="198" name="Line 55"/>
        <xdr:cNvSpPr>
          <a:spLocks noChangeShapeType="1"/>
        </xdr:cNvSpPr>
      </xdr:nvSpPr>
      <xdr:spPr bwMode="auto">
        <a:xfrm>
          <a:off x="4210049" y="762000"/>
          <a:ext cx="9525" cy="3619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133350</xdr:colOff>
      <xdr:row>56</xdr:row>
      <xdr:rowOff>0</xdr:rowOff>
    </xdr:from>
    <xdr:to>
      <xdr:col>7</xdr:col>
      <xdr:colOff>133350</xdr:colOff>
      <xdr:row>57</xdr:row>
      <xdr:rowOff>9525</xdr:rowOff>
    </xdr:to>
    <xdr:sp macro="" textlink="">
      <xdr:nvSpPr>
        <xdr:cNvPr id="199" name="Line 241"/>
        <xdr:cNvSpPr>
          <a:spLocks noChangeShapeType="1"/>
        </xdr:cNvSpPr>
      </xdr:nvSpPr>
      <xdr:spPr bwMode="auto">
        <a:xfrm>
          <a:off x="1866900" y="1006792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114300</xdr:colOff>
      <xdr:row>56</xdr:row>
      <xdr:rowOff>0</xdr:rowOff>
    </xdr:from>
    <xdr:to>
      <xdr:col>14</xdr:col>
      <xdr:colOff>114300</xdr:colOff>
      <xdr:row>57</xdr:row>
      <xdr:rowOff>9525</xdr:rowOff>
    </xdr:to>
    <xdr:sp macro="" textlink="">
      <xdr:nvSpPr>
        <xdr:cNvPr id="200" name="Line 243"/>
        <xdr:cNvSpPr>
          <a:spLocks noChangeShapeType="1"/>
        </xdr:cNvSpPr>
      </xdr:nvSpPr>
      <xdr:spPr bwMode="auto">
        <a:xfrm>
          <a:off x="3581400" y="103536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133350</xdr:colOff>
      <xdr:row>27</xdr:row>
      <xdr:rowOff>0</xdr:rowOff>
    </xdr:from>
    <xdr:to>
      <xdr:col>7</xdr:col>
      <xdr:colOff>133350</xdr:colOff>
      <xdr:row>28</xdr:row>
      <xdr:rowOff>9525</xdr:rowOff>
    </xdr:to>
    <xdr:sp macro="" textlink="">
      <xdr:nvSpPr>
        <xdr:cNvPr id="201" name="Line 208"/>
        <xdr:cNvSpPr>
          <a:spLocks noChangeShapeType="1"/>
        </xdr:cNvSpPr>
      </xdr:nvSpPr>
      <xdr:spPr bwMode="auto">
        <a:xfrm>
          <a:off x="1866900" y="5191125"/>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66675</xdr:colOff>
      <xdr:row>27</xdr:row>
      <xdr:rowOff>0</xdr:rowOff>
    </xdr:from>
    <xdr:to>
      <xdr:col>17</xdr:col>
      <xdr:colOff>66675</xdr:colOff>
      <xdr:row>28</xdr:row>
      <xdr:rowOff>9525</xdr:rowOff>
    </xdr:to>
    <xdr:sp macro="" textlink="">
      <xdr:nvSpPr>
        <xdr:cNvPr id="202" name="Line 207"/>
        <xdr:cNvSpPr>
          <a:spLocks noChangeShapeType="1"/>
        </xdr:cNvSpPr>
      </xdr:nvSpPr>
      <xdr:spPr bwMode="auto">
        <a:xfrm>
          <a:off x="4276725" y="5191125"/>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28575</xdr:colOff>
      <xdr:row>26</xdr:row>
      <xdr:rowOff>238125</xdr:rowOff>
    </xdr:from>
    <xdr:to>
      <xdr:col>32</xdr:col>
      <xdr:colOff>28575</xdr:colOff>
      <xdr:row>27</xdr:row>
      <xdr:rowOff>247650</xdr:rowOff>
    </xdr:to>
    <xdr:sp macro="" textlink="">
      <xdr:nvSpPr>
        <xdr:cNvPr id="203" name="Line 207"/>
        <xdr:cNvSpPr>
          <a:spLocks noChangeShapeType="1"/>
        </xdr:cNvSpPr>
      </xdr:nvSpPr>
      <xdr:spPr bwMode="auto">
        <a:xfrm>
          <a:off x="7953375" y="4657725"/>
          <a:ext cx="0" cy="266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25</xdr:col>
      <xdr:colOff>0</xdr:colOff>
      <xdr:row>26</xdr:row>
      <xdr:rowOff>247650</xdr:rowOff>
    </xdr:from>
    <xdr:to>
      <xdr:col>25</xdr:col>
      <xdr:colOff>0</xdr:colOff>
      <xdr:row>28</xdr:row>
      <xdr:rowOff>0</xdr:rowOff>
    </xdr:to>
    <xdr:sp macro="" textlink="">
      <xdr:nvSpPr>
        <xdr:cNvPr id="204" name="Line 207"/>
        <xdr:cNvSpPr>
          <a:spLocks noChangeShapeType="1"/>
        </xdr:cNvSpPr>
      </xdr:nvSpPr>
      <xdr:spPr bwMode="auto">
        <a:xfrm>
          <a:off x="6191250" y="4667250"/>
          <a:ext cx="0" cy="266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R1767"/>
  <sheetViews>
    <sheetView zoomScaleNormal="100" workbookViewId="0"/>
  </sheetViews>
  <sheetFormatPr baseColWidth="10" defaultRowHeight="12.75"/>
  <cols>
    <col min="1" max="1" width="36.28515625" style="366" customWidth="1"/>
    <col min="2" max="13" width="10.7109375" style="366" customWidth="1"/>
    <col min="14" max="18" width="10.7109375" customWidth="1"/>
  </cols>
  <sheetData>
    <row r="1" spans="1:24" s="366" customFormat="1" ht="13.5" customHeight="1">
      <c r="A1" s="368"/>
      <c r="B1" s="211"/>
      <c r="C1" s="211"/>
      <c r="D1" s="211"/>
      <c r="E1" s="211"/>
      <c r="F1" s="211"/>
      <c r="G1" s="211"/>
      <c r="H1" s="211"/>
      <c r="I1" s="211"/>
      <c r="J1" s="211"/>
      <c r="K1" s="211"/>
      <c r="L1" s="211"/>
      <c r="M1" s="211"/>
      <c r="N1" s="211"/>
    </row>
    <row r="2" spans="1:24" s="200" customFormat="1">
      <c r="A2" s="369" t="s">
        <v>223</v>
      </c>
      <c r="B2" s="370"/>
      <c r="C2" s="370"/>
      <c r="D2" s="370"/>
      <c r="E2" s="370"/>
      <c r="F2" s="370"/>
      <c r="G2" s="370"/>
      <c r="H2" s="370"/>
      <c r="I2" s="370"/>
      <c r="J2" s="370"/>
      <c r="K2" s="370"/>
      <c r="L2" s="370"/>
      <c r="M2" s="370"/>
      <c r="N2" s="370"/>
      <c r="O2" s="370"/>
      <c r="P2" s="370"/>
      <c r="Q2" s="370"/>
      <c r="R2" s="370"/>
      <c r="S2" s="370"/>
      <c r="T2" s="370"/>
      <c r="U2" s="370"/>
      <c r="V2" s="370"/>
      <c r="W2" s="370"/>
      <c r="X2" s="370"/>
    </row>
    <row r="3" spans="1:24">
      <c r="A3" s="1"/>
      <c r="B3" s="1"/>
      <c r="C3" s="1"/>
      <c r="D3" s="1"/>
      <c r="E3" s="1"/>
      <c r="F3" s="1"/>
      <c r="G3" s="1"/>
      <c r="H3" s="1"/>
      <c r="I3" s="1"/>
      <c r="J3" s="1"/>
      <c r="K3" s="1"/>
      <c r="L3" s="1"/>
      <c r="M3" s="1"/>
      <c r="N3" s="1"/>
      <c r="O3" s="1"/>
    </row>
    <row r="4" spans="1:24" ht="13.5" customHeight="1">
      <c r="A4" s="22" t="s">
        <v>224</v>
      </c>
      <c r="B4" s="7" t="s">
        <v>225</v>
      </c>
      <c r="C4" s="14"/>
      <c r="D4" s="1"/>
      <c r="E4" s="1"/>
      <c r="F4" s="1"/>
      <c r="G4" s="1"/>
      <c r="H4" s="1"/>
      <c r="I4" s="307"/>
      <c r="J4" s="1"/>
      <c r="K4" s="1"/>
      <c r="L4" s="1"/>
      <c r="M4" s="1"/>
      <c r="N4" s="1"/>
      <c r="O4" s="1"/>
    </row>
    <row r="5" spans="1:24" ht="13.5" customHeight="1" thickBot="1">
      <c r="A5" s="1"/>
      <c r="B5" s="1"/>
      <c r="C5" s="1"/>
      <c r="D5" s="1"/>
      <c r="E5" s="1"/>
      <c r="F5" s="1"/>
      <c r="G5" s="1"/>
      <c r="H5" s="1"/>
      <c r="I5" s="1"/>
      <c r="J5" s="1"/>
      <c r="K5" s="1"/>
      <c r="L5" s="1"/>
      <c r="M5" s="1"/>
      <c r="N5" s="1"/>
      <c r="O5" s="1"/>
    </row>
    <row r="6" spans="1:24" s="185" customFormat="1" ht="13.5" customHeight="1" thickBot="1">
      <c r="B6" s="333" t="s">
        <v>226</v>
      </c>
      <c r="C6" s="143" t="s">
        <v>89</v>
      </c>
    </row>
    <row r="7" spans="1:24" s="185" customFormat="1" ht="13.5" customHeight="1">
      <c r="A7" s="109" t="s">
        <v>103</v>
      </c>
      <c r="B7" s="155">
        <f>B8+B9</f>
        <v>28431</v>
      </c>
      <c r="C7" s="156">
        <f>B7/B16</f>
        <v>0.82318026521512533</v>
      </c>
    </row>
    <row r="8" spans="1:24" s="185" customFormat="1" ht="13.5" customHeight="1">
      <c r="A8" s="97" t="s">
        <v>104</v>
      </c>
      <c r="B8" s="76">
        <v>16088</v>
      </c>
      <c r="C8" s="158">
        <f>B8/B7</f>
        <v>0.5658612078365165</v>
      </c>
    </row>
    <row r="9" spans="1:24" s="185" customFormat="1" ht="13.5" customHeight="1">
      <c r="A9" s="97" t="s">
        <v>79</v>
      </c>
      <c r="B9" s="76">
        <v>12343</v>
      </c>
      <c r="C9" s="158">
        <f>B9/B7</f>
        <v>0.4341387921634835</v>
      </c>
    </row>
    <row r="10" spans="1:24" s="185" customFormat="1" ht="13.5" customHeight="1">
      <c r="A10" s="117" t="s">
        <v>105</v>
      </c>
      <c r="B10" s="160">
        <f>B11+B12</f>
        <v>3282</v>
      </c>
      <c r="C10" s="161">
        <f>B10/B16</f>
        <v>9.502576871851294E-2</v>
      </c>
    </row>
    <row r="11" spans="1:24" s="185" customFormat="1" ht="13.5" customHeight="1">
      <c r="A11" s="97" t="s">
        <v>104</v>
      </c>
      <c r="B11" s="76">
        <v>1883</v>
      </c>
      <c r="C11" s="158">
        <f>B11/B10</f>
        <v>0.57373552711761122</v>
      </c>
    </row>
    <row r="12" spans="1:24" s="185" customFormat="1" ht="13.5" customHeight="1">
      <c r="A12" s="97" t="s">
        <v>79</v>
      </c>
      <c r="B12" s="76">
        <v>1399</v>
      </c>
      <c r="C12" s="158">
        <f>B12/B10</f>
        <v>0.42626447288238878</v>
      </c>
    </row>
    <row r="13" spans="1:24" s="185" customFormat="1" ht="13.5" customHeight="1">
      <c r="A13" s="117" t="s">
        <v>106</v>
      </c>
      <c r="B13" s="160">
        <f>B14+B15</f>
        <v>2825</v>
      </c>
      <c r="C13" s="161">
        <f>B13/B16</f>
        <v>8.179396606636169E-2</v>
      </c>
    </row>
    <row r="14" spans="1:24" s="185" customFormat="1" ht="13.5" customHeight="1">
      <c r="A14" s="97" t="s">
        <v>104</v>
      </c>
      <c r="B14" s="76">
        <v>1354</v>
      </c>
      <c r="C14" s="158">
        <f>B14/B13</f>
        <v>0.47929203539823007</v>
      </c>
    </row>
    <row r="15" spans="1:24" s="185" customFormat="1" ht="13.5" customHeight="1">
      <c r="A15" s="97" t="s">
        <v>79</v>
      </c>
      <c r="B15" s="76">
        <v>1471</v>
      </c>
      <c r="C15" s="158">
        <f>B15/B13</f>
        <v>0.52070796460176993</v>
      </c>
    </row>
    <row r="16" spans="1:24" s="185" customFormat="1" ht="13.5" customHeight="1">
      <c r="A16" s="117" t="s">
        <v>80</v>
      </c>
      <c r="B16" s="160">
        <f>B17+B18</f>
        <v>34538</v>
      </c>
      <c r="C16" s="161">
        <f>C17+C18</f>
        <v>1</v>
      </c>
    </row>
    <row r="17" spans="1:20" s="185" customFormat="1" ht="13.5" customHeight="1">
      <c r="A17" s="97" t="s">
        <v>104</v>
      </c>
      <c r="B17" s="76">
        <v>19325</v>
      </c>
      <c r="C17" s="158">
        <f>B17/B16</f>
        <v>0.55952863512652729</v>
      </c>
    </row>
    <row r="18" spans="1:20" s="185" customFormat="1" ht="13.5" customHeight="1" thickBot="1">
      <c r="A18" s="101" t="s">
        <v>79</v>
      </c>
      <c r="B18" s="163">
        <v>15213</v>
      </c>
      <c r="C18" s="164">
        <f>B18/B16</f>
        <v>0.44047136487347271</v>
      </c>
    </row>
    <row r="19" spans="1:20" ht="13.5" customHeight="1">
      <c r="A19" s="13" t="s">
        <v>227</v>
      </c>
      <c r="B19" s="14"/>
      <c r="C19" s="14"/>
      <c r="D19" s="14"/>
      <c r="E19" s="1"/>
      <c r="F19" s="1"/>
      <c r="G19" s="1"/>
      <c r="H19" s="1"/>
      <c r="I19" s="1"/>
      <c r="J19" s="1"/>
      <c r="K19" s="1"/>
      <c r="L19" s="1"/>
      <c r="M19" s="1"/>
      <c r="N19" s="1"/>
      <c r="O19" s="8"/>
    </row>
    <row r="20" spans="1:20" ht="13.5" customHeight="1">
      <c r="A20" s="13" t="s">
        <v>107</v>
      </c>
      <c r="B20" s="203"/>
      <c r="C20" s="203"/>
      <c r="D20" s="203"/>
      <c r="E20" s="1"/>
      <c r="F20" s="1"/>
      <c r="G20" s="1"/>
      <c r="H20" s="1"/>
      <c r="I20" s="1"/>
      <c r="J20" s="1"/>
      <c r="K20" s="1"/>
      <c r="L20" s="1"/>
      <c r="M20" s="1"/>
      <c r="N20" s="1"/>
      <c r="O20" s="8"/>
    </row>
    <row r="21" spans="1:20" ht="13.5" customHeight="1">
      <c r="A21" s="371" t="s">
        <v>228</v>
      </c>
      <c r="B21" s="203"/>
      <c r="C21" s="203"/>
      <c r="D21" s="203"/>
      <c r="E21" s="203"/>
      <c r="F21" s="203"/>
      <c r="G21" s="203"/>
      <c r="H21" s="203"/>
      <c r="I21" s="203"/>
      <c r="J21" s="203"/>
      <c r="K21" s="203"/>
      <c r="L21" s="203"/>
      <c r="M21" s="203"/>
      <c r="N21" s="1"/>
      <c r="O21" s="204"/>
    </row>
    <row r="22" spans="1:20" ht="13.5" customHeight="1">
      <c r="A22" s="13"/>
      <c r="B22" s="203"/>
      <c r="C22" s="203"/>
      <c r="D22" s="203"/>
      <c r="E22" s="203"/>
      <c r="F22" s="203"/>
      <c r="G22" s="203"/>
      <c r="H22" s="203"/>
      <c r="I22" s="203"/>
      <c r="J22" s="203"/>
      <c r="K22" s="203"/>
      <c r="L22" s="203"/>
      <c r="M22" s="203"/>
      <c r="N22" s="1"/>
      <c r="O22" s="1"/>
    </row>
    <row r="23" spans="1:20" ht="14.25" thickBot="1">
      <c r="A23" s="34"/>
      <c r="B23" s="205"/>
      <c r="C23" s="205"/>
      <c r="D23" s="205"/>
      <c r="E23" s="205"/>
      <c r="F23" s="205"/>
      <c r="G23" s="205"/>
      <c r="H23" s="205"/>
      <c r="I23" s="205"/>
      <c r="J23" s="205"/>
      <c r="K23" s="205"/>
      <c r="L23" s="205"/>
      <c r="M23" s="205"/>
      <c r="N23" s="34"/>
      <c r="O23" s="34"/>
      <c r="P23" s="205"/>
      <c r="Q23" s="205"/>
      <c r="R23" s="205"/>
      <c r="S23" s="34"/>
      <c r="T23" s="34"/>
    </row>
    <row r="24" spans="1:20" ht="13.5">
      <c r="A24" s="32"/>
      <c r="B24" s="32"/>
      <c r="C24" s="32"/>
      <c r="D24" s="32"/>
      <c r="E24" s="32"/>
      <c r="F24" s="32"/>
      <c r="G24" s="32"/>
      <c r="H24" s="32"/>
      <c r="I24" s="32"/>
      <c r="J24" s="32"/>
      <c r="K24" s="32"/>
      <c r="L24" s="32"/>
      <c r="M24" s="32"/>
      <c r="N24" s="32"/>
      <c r="O24" s="32"/>
      <c r="P24" s="32"/>
      <c r="Q24" s="32"/>
      <c r="R24" s="32"/>
      <c r="S24" s="32"/>
      <c r="T24" s="32"/>
    </row>
    <row r="25" spans="1:20" ht="13.5">
      <c r="A25" s="22" t="s">
        <v>229</v>
      </c>
      <c r="B25" s="7" t="s">
        <v>230</v>
      </c>
      <c r="C25" s="14"/>
      <c r="D25" s="1"/>
      <c r="E25" s="1"/>
      <c r="F25" s="1"/>
      <c r="G25" s="1"/>
      <c r="H25" s="1"/>
      <c r="I25" s="1"/>
      <c r="J25" s="1"/>
      <c r="K25" s="1"/>
      <c r="L25" s="1"/>
      <c r="M25" s="1"/>
      <c r="N25" s="1"/>
      <c r="O25" s="1"/>
    </row>
    <row r="26" spans="1:20" ht="13.5" thickBot="1">
      <c r="A26" s="210"/>
      <c r="B26" s="1"/>
      <c r="C26" s="1"/>
      <c r="D26" s="1"/>
      <c r="E26" s="1"/>
      <c r="F26" s="1"/>
      <c r="G26" s="1"/>
      <c r="H26" s="1"/>
      <c r="I26" s="211"/>
      <c r="J26" s="307"/>
      <c r="K26" s="1"/>
      <c r="L26" s="1"/>
      <c r="M26" s="1"/>
      <c r="N26" s="1"/>
      <c r="O26" s="1"/>
    </row>
    <row r="27" spans="1:20" ht="29.25" customHeight="1" thickBot="1">
      <c r="A27" s="1"/>
      <c r="B27" s="372" t="s">
        <v>108</v>
      </c>
      <c r="C27" s="373" t="s">
        <v>109</v>
      </c>
      <c r="D27" s="374" t="s">
        <v>110</v>
      </c>
      <c r="E27" s="375"/>
      <c r="F27" s="376" t="s">
        <v>108</v>
      </c>
      <c r="G27" s="377" t="s">
        <v>109</v>
      </c>
      <c r="H27" s="221" t="s">
        <v>110</v>
      </c>
      <c r="I27" s="378"/>
      <c r="J27" s="372" t="s">
        <v>108</v>
      </c>
      <c r="K27" s="373" t="s">
        <v>109</v>
      </c>
      <c r="L27" s="374" t="s">
        <v>110</v>
      </c>
      <c r="M27" s="202"/>
      <c r="N27" s="202"/>
      <c r="O27" s="202"/>
    </row>
    <row r="28" spans="1:20" s="185" customFormat="1" ht="13.5" customHeight="1">
      <c r="A28" s="109" t="s">
        <v>117</v>
      </c>
      <c r="B28" s="110">
        <f>B29+B30</f>
        <v>16912</v>
      </c>
      <c r="C28" s="111">
        <f>C30+C29</f>
        <v>3394</v>
      </c>
      <c r="D28" s="112">
        <f>B28+C28</f>
        <v>20306</v>
      </c>
      <c r="E28" s="379"/>
      <c r="F28" s="380">
        <f>B28/B34</f>
        <v>0.57763508436368605</v>
      </c>
      <c r="G28" s="381">
        <f>C28/C34</f>
        <v>0.29953225664107314</v>
      </c>
      <c r="H28" s="156">
        <f>D28/D34</f>
        <v>0.5000369376246645</v>
      </c>
      <c r="I28" s="359"/>
      <c r="J28" s="380">
        <f>B28/D28</f>
        <v>0.8328572835615089</v>
      </c>
      <c r="K28" s="381">
        <f>C28/D28</f>
        <v>0.16714271643849107</v>
      </c>
      <c r="L28" s="156">
        <f>J28+K28</f>
        <v>1</v>
      </c>
      <c r="M28" s="382"/>
      <c r="N28" s="383"/>
      <c r="O28" s="382"/>
    </row>
    <row r="29" spans="1:20" s="185" customFormat="1" ht="13.5" customHeight="1">
      <c r="A29" s="97" t="s">
        <v>118</v>
      </c>
      <c r="B29" s="384">
        <v>11070</v>
      </c>
      <c r="C29" s="385">
        <v>2115</v>
      </c>
      <c r="D29" s="67">
        <f>B29+C29</f>
        <v>13185</v>
      </c>
      <c r="E29" s="66"/>
      <c r="F29" s="386">
        <f>B29/B34</f>
        <v>0.37809959696700596</v>
      </c>
      <c r="G29" s="180">
        <f>C29/C34</f>
        <v>0.18665607625099284</v>
      </c>
      <c r="H29" s="158">
        <f>D29/D34</f>
        <v>0.3246817208008077</v>
      </c>
      <c r="I29" s="359"/>
      <c r="J29" s="386">
        <f t="shared" ref="J29:J34" si="0">B29/D29</f>
        <v>0.83959044368600677</v>
      </c>
      <c r="K29" s="180">
        <f t="shared" ref="K29:K34" si="1">C29/D29</f>
        <v>0.16040955631399317</v>
      </c>
      <c r="L29" s="158">
        <f t="shared" ref="L29:L34" si="2">J29+K29</f>
        <v>1</v>
      </c>
      <c r="M29" s="382"/>
      <c r="N29" s="383"/>
      <c r="O29" s="382"/>
    </row>
    <row r="30" spans="1:20" s="185" customFormat="1" ht="13.5" customHeight="1">
      <c r="A30" s="97" t="s">
        <v>119</v>
      </c>
      <c r="B30" s="384">
        <v>5842</v>
      </c>
      <c r="C30" s="385">
        <v>1279</v>
      </c>
      <c r="D30" s="67">
        <f>B30+C30</f>
        <v>7121</v>
      </c>
      <c r="E30" s="66"/>
      <c r="F30" s="386">
        <f>B30/B34</f>
        <v>0.19953548739668009</v>
      </c>
      <c r="G30" s="180">
        <f>C30/C34</f>
        <v>0.11287618039008031</v>
      </c>
      <c r="H30" s="158">
        <f>D30/D34</f>
        <v>0.17535521682385677</v>
      </c>
      <c r="I30" s="359"/>
      <c r="J30" s="386">
        <f t="shared" si="0"/>
        <v>0.82039039460749896</v>
      </c>
      <c r="K30" s="180">
        <f t="shared" si="1"/>
        <v>0.17960960539250106</v>
      </c>
      <c r="L30" s="158">
        <f t="shared" si="2"/>
        <v>1</v>
      </c>
      <c r="M30" s="382"/>
      <c r="N30" s="382"/>
      <c r="O30" s="382"/>
    </row>
    <row r="31" spans="1:20" s="185" customFormat="1" ht="13.5" customHeight="1">
      <c r="A31" s="117" t="s">
        <v>120</v>
      </c>
      <c r="B31" s="118">
        <f>B32+B33</f>
        <v>12366</v>
      </c>
      <c r="C31" s="83">
        <f>C32+C33</f>
        <v>7937</v>
      </c>
      <c r="D31" s="119">
        <f>D32+D33</f>
        <v>20303</v>
      </c>
      <c r="E31" s="379"/>
      <c r="F31" s="387">
        <f>B31/B34</f>
        <v>0.42236491563631395</v>
      </c>
      <c r="G31" s="388">
        <f>C31/C34</f>
        <v>0.70046774335892681</v>
      </c>
      <c r="H31" s="161">
        <f>D31/D34</f>
        <v>0.4999630623753355</v>
      </c>
      <c r="I31" s="359"/>
      <c r="J31" s="387">
        <f t="shared" si="0"/>
        <v>0.60907255085455347</v>
      </c>
      <c r="K31" s="388">
        <f t="shared" si="1"/>
        <v>0.39092744914544647</v>
      </c>
      <c r="L31" s="161">
        <f t="shared" si="2"/>
        <v>1</v>
      </c>
      <c r="M31" s="382"/>
      <c r="N31" s="383"/>
      <c r="O31" s="382"/>
    </row>
    <row r="32" spans="1:20" s="185" customFormat="1" ht="13.5" customHeight="1">
      <c r="A32" s="97" t="s">
        <v>231</v>
      </c>
      <c r="B32" s="384">
        <v>7189</v>
      </c>
      <c r="C32" s="385">
        <v>4233</v>
      </c>
      <c r="D32" s="67">
        <v>11422</v>
      </c>
      <c r="E32" s="66"/>
      <c r="F32" s="386">
        <f>B32/B34</f>
        <v>0.24554272832843774</v>
      </c>
      <c r="G32" s="180">
        <f>C32/C34</f>
        <v>0.3735769128938311</v>
      </c>
      <c r="H32" s="158">
        <f>D32/D34</f>
        <v>0.28126769927848505</v>
      </c>
      <c r="I32" s="359"/>
      <c r="J32" s="386">
        <f t="shared" si="0"/>
        <v>0.62939940465767819</v>
      </c>
      <c r="K32" s="180">
        <f t="shared" si="1"/>
        <v>0.37060059534232181</v>
      </c>
      <c r="L32" s="158">
        <f t="shared" si="2"/>
        <v>1</v>
      </c>
      <c r="M32" s="382"/>
      <c r="N32" s="389"/>
      <c r="O32" s="382"/>
    </row>
    <row r="33" spans="1:20" s="185" customFormat="1" ht="13.5" customHeight="1">
      <c r="A33" s="97" t="s">
        <v>232</v>
      </c>
      <c r="B33" s="384">
        <v>5177</v>
      </c>
      <c r="C33" s="385">
        <v>3704</v>
      </c>
      <c r="D33" s="67">
        <v>8881</v>
      </c>
      <c r="E33" s="66"/>
      <c r="F33" s="386">
        <f>B33/B34</f>
        <v>0.17682218730787622</v>
      </c>
      <c r="G33" s="180">
        <f>C33/C34</f>
        <v>0.32689083046509576</v>
      </c>
      <c r="H33" s="158">
        <f>D33/D34</f>
        <v>0.21869536309685045</v>
      </c>
      <c r="I33" s="359"/>
      <c r="J33" s="386">
        <f t="shared" si="0"/>
        <v>0.58292985024208988</v>
      </c>
      <c r="K33" s="180">
        <f t="shared" si="1"/>
        <v>0.41707014975791012</v>
      </c>
      <c r="L33" s="158">
        <f t="shared" si="2"/>
        <v>1</v>
      </c>
      <c r="M33" s="382"/>
      <c r="N33" s="382"/>
      <c r="O33" s="382"/>
    </row>
    <row r="34" spans="1:20" s="185" customFormat="1" ht="13.5" customHeight="1" thickBot="1">
      <c r="A34" s="123" t="s">
        <v>3</v>
      </c>
      <c r="B34" s="390">
        <f>B28+B31</f>
        <v>29278</v>
      </c>
      <c r="C34" s="391">
        <f>C28+C31</f>
        <v>11331</v>
      </c>
      <c r="D34" s="392">
        <f>D28+D31</f>
        <v>40609</v>
      </c>
      <c r="E34" s="66"/>
      <c r="F34" s="393">
        <f>F28+F31</f>
        <v>1</v>
      </c>
      <c r="G34" s="394">
        <f>G28+G31</f>
        <v>1</v>
      </c>
      <c r="H34" s="395">
        <f>H28+H31</f>
        <v>1</v>
      </c>
      <c r="I34" s="359"/>
      <c r="J34" s="147">
        <f t="shared" si="0"/>
        <v>0.72097318328449356</v>
      </c>
      <c r="K34" s="148">
        <f t="shared" si="1"/>
        <v>0.27902681671550639</v>
      </c>
      <c r="L34" s="149">
        <f t="shared" si="2"/>
        <v>1</v>
      </c>
      <c r="M34" s="382"/>
      <c r="N34" s="382"/>
      <c r="O34" s="382"/>
    </row>
    <row r="35" spans="1:20">
      <c r="A35" s="13" t="s">
        <v>233</v>
      </c>
      <c r="B35" s="396"/>
      <c r="C35" s="396"/>
      <c r="D35" s="396"/>
      <c r="E35" s="1"/>
      <c r="F35" s="1"/>
      <c r="G35" s="1"/>
      <c r="H35" s="1"/>
      <c r="I35" s="1"/>
      <c r="J35" s="1"/>
      <c r="K35" s="1"/>
      <c r="L35" s="1"/>
      <c r="M35" s="1"/>
      <c r="N35" s="1"/>
      <c r="O35" s="1"/>
    </row>
    <row r="36" spans="1:20">
      <c r="A36" s="13" t="s">
        <v>234</v>
      </c>
      <c r="B36" s="1"/>
      <c r="C36" s="1"/>
      <c r="D36" s="1"/>
      <c r="E36" s="1"/>
      <c r="F36" s="1"/>
      <c r="G36" s="1"/>
      <c r="H36" s="1"/>
      <c r="I36" s="1"/>
      <c r="J36" s="1"/>
      <c r="K36" s="1"/>
      <c r="L36" s="1"/>
      <c r="M36" s="1"/>
      <c r="N36" s="1"/>
      <c r="O36" s="1"/>
    </row>
    <row r="37" spans="1:20">
      <c r="A37" s="13" t="s">
        <v>235</v>
      </c>
      <c r="B37" s="1"/>
      <c r="C37" s="1"/>
      <c r="D37" s="1"/>
      <c r="E37" s="1"/>
      <c r="F37" s="1"/>
      <c r="G37" s="1"/>
      <c r="H37" s="1"/>
      <c r="I37" s="1"/>
      <c r="J37" s="1"/>
      <c r="K37" s="1"/>
      <c r="L37" s="1"/>
      <c r="M37" s="1"/>
      <c r="N37" s="1"/>
      <c r="O37" s="1"/>
    </row>
    <row r="38" spans="1:20">
      <c r="A38" s="371" t="s">
        <v>236</v>
      </c>
      <c r="B38" s="1"/>
      <c r="C38" s="1"/>
      <c r="D38" s="1"/>
      <c r="E38" s="1"/>
      <c r="F38" s="1"/>
      <c r="G38" s="1"/>
      <c r="H38" s="1"/>
      <c r="I38" s="1"/>
      <c r="J38" s="1"/>
      <c r="K38" s="1"/>
      <c r="L38" s="1"/>
      <c r="M38" s="1"/>
      <c r="N38" s="1"/>
      <c r="O38" s="1"/>
    </row>
    <row r="39" spans="1:20">
      <c r="A39" s="13"/>
      <c r="B39" s="1"/>
      <c r="C39" s="1"/>
      <c r="D39" s="1"/>
      <c r="E39" s="1"/>
      <c r="F39" s="1"/>
      <c r="G39" s="1"/>
      <c r="H39" s="1"/>
      <c r="I39" s="1"/>
      <c r="J39" s="1"/>
      <c r="K39" s="1"/>
      <c r="L39" s="1"/>
      <c r="M39" s="1"/>
      <c r="N39" s="1"/>
      <c r="O39" s="1"/>
    </row>
    <row r="40" spans="1:20" ht="14.25" thickBot="1">
      <c r="A40" s="34"/>
      <c r="B40" s="34"/>
      <c r="C40" s="34"/>
      <c r="D40" s="34"/>
      <c r="E40" s="34"/>
      <c r="F40" s="34"/>
      <c r="G40" s="34"/>
      <c r="H40" s="34"/>
      <c r="I40" s="34"/>
      <c r="J40" s="34"/>
      <c r="K40" s="34"/>
      <c r="L40" s="34"/>
      <c r="M40" s="34"/>
      <c r="N40" s="34"/>
      <c r="O40" s="34"/>
      <c r="P40" s="34"/>
      <c r="Q40" s="34"/>
      <c r="R40" s="34"/>
      <c r="S40" s="34"/>
      <c r="T40" s="34"/>
    </row>
    <row r="41" spans="1:20" ht="13.5">
      <c r="A41" s="32"/>
      <c r="B41" s="32"/>
      <c r="C41" s="32"/>
      <c r="D41" s="32"/>
      <c r="E41" s="32"/>
      <c r="F41" s="32"/>
      <c r="G41" s="32"/>
      <c r="H41" s="32"/>
      <c r="I41" s="32"/>
      <c r="J41" s="32"/>
      <c r="K41" s="32"/>
      <c r="L41" s="32"/>
      <c r="M41" s="32"/>
      <c r="N41" s="32"/>
      <c r="O41" s="32"/>
      <c r="P41" s="32"/>
      <c r="Q41" s="32"/>
      <c r="R41" s="32"/>
      <c r="S41" s="32"/>
      <c r="T41" s="32"/>
    </row>
    <row r="42" spans="1:20" ht="13.5">
      <c r="A42" s="22" t="s">
        <v>237</v>
      </c>
      <c r="B42" s="7" t="s">
        <v>238</v>
      </c>
      <c r="C42" s="1"/>
      <c r="D42" s="210"/>
      <c r="E42" s="210"/>
      <c r="F42" s="15"/>
      <c r="G42" s="307"/>
      <c r="H42" s="14"/>
      <c r="I42" s="14"/>
      <c r="J42" s="14"/>
      <c r="K42" s="14"/>
      <c r="L42" s="14"/>
      <c r="M42" s="14"/>
      <c r="N42" s="14"/>
      <c r="O42" s="14"/>
    </row>
    <row r="43" spans="1:20" ht="13.5">
      <c r="A43" s="1"/>
      <c r="B43" s="1"/>
      <c r="C43" s="1"/>
      <c r="D43" s="1"/>
      <c r="E43" s="1"/>
      <c r="F43" s="14"/>
      <c r="G43" s="14"/>
      <c r="H43" s="14"/>
      <c r="I43" s="14"/>
      <c r="J43" s="14"/>
      <c r="K43" s="14"/>
      <c r="L43" s="14"/>
      <c r="M43" s="14"/>
      <c r="N43" s="14"/>
      <c r="O43" s="14"/>
    </row>
    <row r="44" spans="1:20" ht="13.5">
      <c r="A44" s="217"/>
      <c r="B44" s="397" t="s">
        <v>190</v>
      </c>
      <c r="C44" s="218"/>
      <c r="D44" s="218"/>
      <c r="E44" s="218"/>
      <c r="F44" s="397" t="s">
        <v>191</v>
      </c>
      <c r="G44" s="219"/>
      <c r="H44" s="219"/>
      <c r="I44" s="219"/>
      <c r="J44" s="397" t="s">
        <v>192</v>
      </c>
      <c r="K44" s="14"/>
      <c r="L44" s="14"/>
      <c r="M44" s="14"/>
      <c r="N44" s="14"/>
      <c r="O44" s="14"/>
    </row>
    <row r="45" spans="1:20" ht="14.25" thickBot="1">
      <c r="A45" s="1"/>
      <c r="B45" s="220"/>
      <c r="C45" s="1"/>
      <c r="D45" s="1"/>
      <c r="E45" s="1"/>
      <c r="F45" s="14"/>
      <c r="G45" s="14"/>
      <c r="H45" s="14"/>
      <c r="I45" s="14"/>
      <c r="J45" s="14"/>
      <c r="K45" s="14"/>
      <c r="L45" s="14"/>
      <c r="M45" s="14"/>
      <c r="N45" s="14"/>
      <c r="O45" s="14"/>
    </row>
    <row r="46" spans="1:20" ht="26.25" thickBot="1">
      <c r="A46" s="14"/>
      <c r="B46" s="206" t="s">
        <v>108</v>
      </c>
      <c r="C46" s="207" t="s">
        <v>109</v>
      </c>
      <c r="D46" s="208" t="s">
        <v>110</v>
      </c>
      <c r="E46" s="1"/>
      <c r="F46" s="206" t="s">
        <v>108</v>
      </c>
      <c r="G46" s="207" t="s">
        <v>109</v>
      </c>
      <c r="H46" s="208" t="s">
        <v>110</v>
      </c>
      <c r="I46" s="14"/>
      <c r="J46" s="206" t="s">
        <v>108</v>
      </c>
      <c r="K46" s="207" t="s">
        <v>109</v>
      </c>
      <c r="L46" s="208" t="s">
        <v>110</v>
      </c>
      <c r="M46" s="14"/>
      <c r="N46" s="206" t="s">
        <v>108</v>
      </c>
      <c r="O46" s="207" t="s">
        <v>109</v>
      </c>
      <c r="P46" s="208" t="s">
        <v>110</v>
      </c>
    </row>
    <row r="47" spans="1:20" s="185" customFormat="1" ht="13.5" customHeight="1">
      <c r="A47" s="92" t="s">
        <v>239</v>
      </c>
      <c r="B47" s="94">
        <v>0.32369999999999999</v>
      </c>
      <c r="C47" s="95">
        <v>0.28899999999999998</v>
      </c>
      <c r="D47" s="96">
        <f>AVERAGE(B47:C47)</f>
        <v>0.30635000000000001</v>
      </c>
      <c r="E47" s="398"/>
      <c r="F47" s="94">
        <v>0.34420000000000001</v>
      </c>
      <c r="G47" s="95">
        <v>0.3357</v>
      </c>
      <c r="H47" s="96">
        <f>AVERAGE(F47:G47)</f>
        <v>0.33994999999999997</v>
      </c>
      <c r="I47" s="399"/>
      <c r="J47" s="94">
        <v>0.35249999999999998</v>
      </c>
      <c r="K47" s="95">
        <v>0.315</v>
      </c>
      <c r="L47" s="96">
        <f>AVERAGE(J47:K47)</f>
        <v>0.33374999999999999</v>
      </c>
      <c r="M47" s="400"/>
      <c r="N47" s="94">
        <v>0.249</v>
      </c>
      <c r="O47" s="95">
        <v>0.249</v>
      </c>
      <c r="P47" s="96">
        <f>AVERAGE(N47:O47)</f>
        <v>0.249</v>
      </c>
    </row>
    <row r="48" spans="1:20" s="185" customFormat="1" ht="13.5" customHeight="1">
      <c r="A48" s="97" t="s">
        <v>240</v>
      </c>
      <c r="B48" s="98">
        <v>0.3715</v>
      </c>
      <c r="C48" s="99">
        <v>0.45200000000000001</v>
      </c>
      <c r="D48" s="100">
        <f>AVERAGE(B48:C48)</f>
        <v>0.41175</v>
      </c>
      <c r="E48" s="398"/>
      <c r="F48" s="98">
        <v>0.3669</v>
      </c>
      <c r="G48" s="99">
        <v>0.37340000000000001</v>
      </c>
      <c r="H48" s="100">
        <f t="shared" ref="H48:H49" si="3">AVERAGE(F48:G48)</f>
        <v>0.37014999999999998</v>
      </c>
      <c r="I48" s="399"/>
      <c r="J48" s="98">
        <v>0.36149999999999999</v>
      </c>
      <c r="K48" s="99">
        <v>0.38200000000000001</v>
      </c>
      <c r="L48" s="100">
        <f t="shared" ref="L48:L49" si="4">AVERAGE(J48:K48)</f>
        <v>0.37175000000000002</v>
      </c>
      <c r="M48" s="400"/>
      <c r="N48" s="98">
        <v>0.40200000000000002</v>
      </c>
      <c r="O48" s="99">
        <v>0.40200000000000002</v>
      </c>
      <c r="P48" s="100">
        <f t="shared" ref="P48:P49" si="5">AVERAGE(N48:O48)</f>
        <v>0.40200000000000002</v>
      </c>
    </row>
    <row r="49" spans="1:128" s="185" customFormat="1" ht="13.5" customHeight="1">
      <c r="A49" s="97" t="s">
        <v>241</v>
      </c>
      <c r="B49" s="98">
        <v>0.3049</v>
      </c>
      <c r="C49" s="99">
        <v>0.25900000000000001</v>
      </c>
      <c r="D49" s="100">
        <f>AVERAGE(B49:C49)</f>
        <v>0.28195000000000003</v>
      </c>
      <c r="E49" s="398"/>
      <c r="F49" s="98">
        <v>0.28889999999999999</v>
      </c>
      <c r="G49" s="99">
        <v>0.29089999999999999</v>
      </c>
      <c r="H49" s="100">
        <f t="shared" si="3"/>
        <v>0.28989999999999999</v>
      </c>
      <c r="I49" s="399"/>
      <c r="J49" s="98">
        <v>0.28599999999999998</v>
      </c>
      <c r="K49" s="99">
        <v>0.30299999999999999</v>
      </c>
      <c r="L49" s="100">
        <f t="shared" si="4"/>
        <v>0.29449999999999998</v>
      </c>
      <c r="M49" s="400"/>
      <c r="N49" s="98">
        <v>0.34899999999999998</v>
      </c>
      <c r="O49" s="99">
        <v>0.34899999999999998</v>
      </c>
      <c r="P49" s="100">
        <f t="shared" si="5"/>
        <v>0.34899999999999998</v>
      </c>
    </row>
    <row r="50" spans="1:128" s="185" customFormat="1" ht="13.5" customHeight="1" thickBot="1">
      <c r="A50" s="123" t="s">
        <v>242</v>
      </c>
      <c r="B50" s="147">
        <f>SUM(B47:B49)</f>
        <v>1.0001</v>
      </c>
      <c r="C50" s="148">
        <f t="shared" ref="C50:D50" si="6">SUM(C47:C49)</f>
        <v>1</v>
      </c>
      <c r="D50" s="149">
        <f t="shared" si="6"/>
        <v>1.0000499999999999</v>
      </c>
      <c r="E50" s="398"/>
      <c r="F50" s="147">
        <f>SUM(F47:F49)</f>
        <v>1</v>
      </c>
      <c r="G50" s="148">
        <f t="shared" ref="G50:H50" si="7">SUM(G47:G49)</f>
        <v>1</v>
      </c>
      <c r="H50" s="149">
        <f t="shared" si="7"/>
        <v>1</v>
      </c>
      <c r="I50" s="400"/>
      <c r="J50" s="147">
        <f>SUM(J47:J49)</f>
        <v>1</v>
      </c>
      <c r="K50" s="148">
        <f t="shared" ref="K50:L50" si="8">SUM(K47:K49)</f>
        <v>1</v>
      </c>
      <c r="L50" s="149">
        <f t="shared" si="8"/>
        <v>1</v>
      </c>
      <c r="M50" s="400"/>
      <c r="N50" s="147">
        <f>SUM(N47:N49)</f>
        <v>1</v>
      </c>
      <c r="O50" s="148">
        <f t="shared" ref="O50:P50" si="9">SUM(O47:O49)</f>
        <v>1</v>
      </c>
      <c r="P50" s="149">
        <f t="shared" si="9"/>
        <v>1</v>
      </c>
    </row>
    <row r="51" spans="1:128">
      <c r="A51" s="13" t="s">
        <v>116</v>
      </c>
      <c r="B51" s="337"/>
      <c r="C51" s="401"/>
      <c r="D51" s="401"/>
      <c r="E51" s="337"/>
      <c r="F51" s="337"/>
      <c r="G51" s="337"/>
      <c r="H51" s="337"/>
      <c r="I51" s="337"/>
      <c r="J51" s="337"/>
      <c r="K51" s="401"/>
      <c r="L51" s="401"/>
      <c r="M51" s="337"/>
      <c r="N51" s="401"/>
      <c r="O51" s="401"/>
      <c r="P51" s="401"/>
    </row>
    <row r="52" spans="1:128" ht="13.5">
      <c r="A52" s="13" t="s">
        <v>243</v>
      </c>
      <c r="B52" s="1"/>
      <c r="C52" s="1"/>
      <c r="D52" s="204"/>
      <c r="E52" s="1"/>
      <c r="F52" s="13"/>
      <c r="G52" s="14"/>
      <c r="H52" s="14"/>
      <c r="I52" s="14"/>
      <c r="J52" s="13"/>
      <c r="K52" s="14"/>
      <c r="L52" s="14"/>
      <c r="M52" s="14"/>
      <c r="N52" s="13"/>
      <c r="O52" s="14"/>
    </row>
    <row r="53" spans="1:128" ht="13.5">
      <c r="A53" s="13"/>
      <c r="B53" s="1"/>
      <c r="C53" s="1"/>
      <c r="D53" s="204"/>
      <c r="E53" s="1"/>
      <c r="F53" s="13"/>
      <c r="G53" s="14"/>
      <c r="H53" s="14"/>
      <c r="I53" s="14"/>
      <c r="J53" s="13"/>
      <c r="K53" s="14"/>
      <c r="L53" s="14"/>
      <c r="M53" s="14"/>
      <c r="N53" s="13"/>
      <c r="O53" s="14"/>
    </row>
    <row r="54" spans="1:128" s="1" customFormat="1" ht="13.5" customHeight="1" thickBot="1">
      <c r="A54" s="34"/>
      <c r="B54" s="34"/>
      <c r="C54" s="34"/>
      <c r="D54" s="34"/>
      <c r="E54" s="34"/>
      <c r="F54" s="34"/>
      <c r="G54" s="34"/>
      <c r="H54" s="34"/>
      <c r="I54" s="34"/>
      <c r="J54" s="34"/>
      <c r="K54" s="34"/>
      <c r="L54" s="34"/>
      <c r="M54" s="34"/>
      <c r="N54" s="34"/>
      <c r="O54" s="34"/>
      <c r="P54" s="34"/>
      <c r="Q54" s="34"/>
      <c r="R54" s="34"/>
      <c r="S54" s="34"/>
      <c r="T54" s="34"/>
      <c r="U54" s="34"/>
      <c r="V54" s="34"/>
      <c r="W54" s="34"/>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row>
    <row r="55" spans="1:128" s="1" customFormat="1" ht="13.5" customHeight="1">
      <c r="A55" s="32"/>
      <c r="B55" s="32"/>
      <c r="C55" s="32"/>
      <c r="D55" s="32"/>
      <c r="E55" s="32"/>
      <c r="F55" s="32"/>
      <c r="G55" s="32"/>
      <c r="H55" s="32"/>
      <c r="I55" s="32"/>
      <c r="J55" s="32"/>
      <c r="K55" s="32"/>
      <c r="L55" s="32"/>
      <c r="M55" s="32"/>
      <c r="N55" s="32"/>
      <c r="O55" s="32"/>
      <c r="P55" s="32"/>
      <c r="Q55" s="32"/>
      <c r="R55" s="32"/>
      <c r="S55" s="32"/>
      <c r="T55" s="32"/>
      <c r="U55" s="32"/>
      <c r="V55" s="32"/>
      <c r="W55" s="32"/>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row>
    <row r="56" spans="1:128" s="14" customFormat="1" ht="13.5" customHeight="1">
      <c r="A56" s="22" t="s">
        <v>244</v>
      </c>
      <c r="B56" s="7" t="s">
        <v>245</v>
      </c>
      <c r="C56" s="1"/>
      <c r="D56" s="1"/>
      <c r="E56" s="1"/>
      <c r="H56" s="307"/>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row>
    <row r="57" spans="1:128" s="14" customFormat="1" ht="13.5" customHeight="1">
      <c r="A57" s="1"/>
      <c r="B57" s="1"/>
      <c r="C57" s="1"/>
      <c r="D57" s="1"/>
      <c r="E57" s="1"/>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row>
    <row r="58" spans="1:128" s="14" customFormat="1" ht="13.5" customHeight="1">
      <c r="A58" s="217"/>
      <c r="B58" s="397" t="s">
        <v>190</v>
      </c>
      <c r="C58" s="218"/>
      <c r="D58" s="218"/>
      <c r="E58" s="218"/>
      <c r="F58" s="397" t="s">
        <v>191</v>
      </c>
      <c r="G58" s="219"/>
      <c r="H58" s="219"/>
      <c r="I58" s="219"/>
      <c r="J58" s="397" t="s">
        <v>192</v>
      </c>
      <c r="K58" s="219"/>
      <c r="L58" s="219"/>
      <c r="M58" s="219"/>
      <c r="N58" s="397" t="s">
        <v>246</v>
      </c>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row>
    <row r="59" spans="1:128" s="14" customFormat="1" ht="12.75" customHeight="1" thickBot="1">
      <c r="A59" s="1"/>
      <c r="B59" s="220"/>
      <c r="C59" s="1"/>
      <c r="D59" s="1"/>
      <c r="E59" s="1"/>
      <c r="F59" s="220"/>
      <c r="G59" s="1"/>
      <c r="H59" s="1"/>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row>
    <row r="60" spans="1:128" s="14" customFormat="1" ht="32.25" customHeight="1" thickBot="1">
      <c r="B60" s="372" t="s">
        <v>108</v>
      </c>
      <c r="C60" s="373" t="s">
        <v>109</v>
      </c>
      <c r="D60" s="374" t="s">
        <v>110</v>
      </c>
      <c r="E60" s="402"/>
      <c r="F60" s="372" t="s">
        <v>108</v>
      </c>
      <c r="G60" s="373" t="s">
        <v>109</v>
      </c>
      <c r="H60" s="374" t="s">
        <v>110</v>
      </c>
      <c r="I60" s="403"/>
      <c r="J60" s="372" t="s">
        <v>108</v>
      </c>
      <c r="K60" s="373" t="s">
        <v>109</v>
      </c>
      <c r="L60" s="374" t="s">
        <v>110</v>
      </c>
      <c r="M60" s="403"/>
      <c r="N60" s="372" t="s">
        <v>108</v>
      </c>
      <c r="O60" s="373" t="s">
        <v>109</v>
      </c>
      <c r="P60" s="374" t="s">
        <v>110</v>
      </c>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row>
    <row r="61" spans="1:128" s="93" customFormat="1" ht="13.5" customHeight="1">
      <c r="A61" s="176" t="s">
        <v>121</v>
      </c>
      <c r="B61" s="94">
        <v>5.7000000000000002E-2</v>
      </c>
      <c r="C61" s="95">
        <v>0.27</v>
      </c>
      <c r="D61" s="96">
        <v>0.105</v>
      </c>
      <c r="E61" s="398"/>
      <c r="F61" s="94">
        <v>0.15</v>
      </c>
      <c r="G61" s="95">
        <v>0.57499999999999996</v>
      </c>
      <c r="H61" s="96">
        <v>0.44600000000000001</v>
      </c>
      <c r="I61" s="399"/>
      <c r="J61" s="94">
        <v>0.10100000000000001</v>
      </c>
      <c r="K61" s="95">
        <v>0.30099999999999999</v>
      </c>
      <c r="L61" s="96">
        <v>0.27</v>
      </c>
      <c r="M61" s="400"/>
      <c r="N61" s="94">
        <v>0.15</v>
      </c>
      <c r="O61" s="95">
        <v>0.57499999999999996</v>
      </c>
      <c r="P61" s="96">
        <v>0.44600000000000001</v>
      </c>
      <c r="Q61" s="128"/>
      <c r="R61" s="184"/>
      <c r="S61" s="184"/>
      <c r="T61" s="184"/>
      <c r="U61" s="184"/>
      <c r="V61" s="184"/>
      <c r="W61" s="81"/>
      <c r="X61" s="81"/>
      <c r="Y61" s="81"/>
      <c r="Z61" s="81"/>
      <c r="AA61" s="81"/>
      <c r="AB61" s="81"/>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c r="BA61" s="82"/>
      <c r="BB61" s="82"/>
      <c r="BC61" s="82"/>
      <c r="BD61" s="82"/>
      <c r="BE61" s="82"/>
      <c r="BF61" s="82"/>
      <c r="BG61" s="82"/>
      <c r="BH61" s="82"/>
      <c r="BI61" s="82"/>
      <c r="BJ61" s="82"/>
      <c r="BK61" s="82"/>
      <c r="BL61" s="82"/>
      <c r="BM61" s="82"/>
      <c r="BN61" s="82"/>
      <c r="BO61" s="82"/>
      <c r="BP61" s="82"/>
      <c r="BQ61" s="82"/>
      <c r="BR61" s="82"/>
      <c r="BS61" s="82"/>
      <c r="BT61" s="82"/>
      <c r="BU61" s="82"/>
      <c r="BV61" s="82"/>
      <c r="BW61" s="82"/>
      <c r="BX61" s="82"/>
      <c r="BY61" s="82"/>
      <c r="BZ61" s="82"/>
      <c r="CA61" s="82"/>
      <c r="CB61" s="82"/>
      <c r="CC61" s="82"/>
      <c r="CD61" s="82"/>
      <c r="CE61" s="82"/>
      <c r="CF61" s="82"/>
      <c r="CG61" s="82"/>
      <c r="CH61" s="82"/>
      <c r="CI61" s="82"/>
      <c r="CJ61" s="82"/>
      <c r="CK61" s="82"/>
      <c r="CL61" s="82"/>
      <c r="CM61" s="82"/>
      <c r="CN61" s="82"/>
      <c r="CO61" s="82"/>
      <c r="CP61" s="82"/>
      <c r="CQ61" s="82"/>
      <c r="CR61" s="82"/>
      <c r="CS61" s="82"/>
      <c r="CT61" s="82"/>
      <c r="CU61" s="82"/>
      <c r="CV61" s="82"/>
      <c r="CW61" s="82"/>
      <c r="CX61" s="82"/>
      <c r="CY61" s="82"/>
      <c r="CZ61" s="82"/>
      <c r="DA61" s="82"/>
      <c r="DB61" s="82"/>
      <c r="DC61" s="82"/>
      <c r="DD61" s="82"/>
      <c r="DE61" s="82"/>
      <c r="DF61" s="82"/>
      <c r="DG61" s="82"/>
      <c r="DH61" s="82"/>
      <c r="DI61" s="82"/>
      <c r="DJ61" s="82"/>
      <c r="DK61" s="82"/>
      <c r="DL61" s="82"/>
      <c r="DM61" s="82"/>
      <c r="DN61" s="82"/>
      <c r="DO61" s="82"/>
      <c r="DP61" s="82"/>
      <c r="DQ61" s="82"/>
      <c r="DR61" s="82"/>
      <c r="DS61" s="82"/>
      <c r="DT61" s="82"/>
      <c r="DU61" s="82"/>
      <c r="DV61" s="82"/>
      <c r="DW61" s="82"/>
      <c r="DX61" s="82"/>
    </row>
    <row r="62" spans="1:128" s="93" customFormat="1" ht="13.5" customHeight="1">
      <c r="A62" s="157" t="s">
        <v>122</v>
      </c>
      <c r="B62" s="98">
        <v>0.151</v>
      </c>
      <c r="C62" s="99">
        <v>0.33900000000000002</v>
      </c>
      <c r="D62" s="100">
        <v>0.193</v>
      </c>
      <c r="E62" s="398"/>
      <c r="F62" s="98">
        <v>0.27100000000000002</v>
      </c>
      <c r="G62" s="99">
        <v>0.27900000000000003</v>
      </c>
      <c r="H62" s="100">
        <v>0.27700000000000002</v>
      </c>
      <c r="I62" s="400"/>
      <c r="J62" s="98">
        <v>0.25900000000000001</v>
      </c>
      <c r="K62" s="99">
        <v>0.36599999999999999</v>
      </c>
      <c r="L62" s="100">
        <v>0.35</v>
      </c>
      <c r="M62" s="400"/>
      <c r="N62" s="98">
        <v>0.27100000000000002</v>
      </c>
      <c r="O62" s="99">
        <v>0.27900000000000003</v>
      </c>
      <c r="P62" s="100">
        <v>0.27700000000000002</v>
      </c>
      <c r="R62" s="184"/>
      <c r="S62" s="184"/>
      <c r="T62" s="184"/>
      <c r="U62" s="184"/>
      <c r="V62" s="184"/>
      <c r="W62" s="81"/>
      <c r="X62" s="81"/>
      <c r="Y62" s="81"/>
      <c r="Z62" s="81"/>
      <c r="AA62" s="81"/>
      <c r="AB62" s="81"/>
      <c r="AC62" s="82"/>
      <c r="AD62" s="82"/>
      <c r="AE62" s="82"/>
      <c r="AF62" s="82"/>
      <c r="AG62" s="82"/>
      <c r="AH62" s="82"/>
      <c r="AI62" s="82"/>
      <c r="AJ62" s="82"/>
      <c r="AK62" s="82"/>
      <c r="AL62" s="82"/>
      <c r="AM62" s="82"/>
      <c r="AN62" s="82"/>
      <c r="AO62" s="82"/>
      <c r="AP62" s="82"/>
      <c r="AQ62" s="82"/>
      <c r="AR62" s="82"/>
      <c r="AS62" s="82"/>
      <c r="AT62" s="82"/>
      <c r="AU62" s="82"/>
      <c r="AV62" s="82"/>
      <c r="AW62" s="82"/>
      <c r="AX62" s="82"/>
      <c r="AY62" s="82"/>
      <c r="AZ62" s="82"/>
      <c r="BA62" s="82"/>
      <c r="BB62" s="82"/>
      <c r="BC62" s="82"/>
      <c r="BD62" s="82"/>
      <c r="BE62" s="82"/>
      <c r="BF62" s="82"/>
      <c r="BG62" s="82"/>
      <c r="BH62" s="82"/>
      <c r="BI62" s="82"/>
      <c r="BJ62" s="82"/>
      <c r="BK62" s="82"/>
      <c r="BL62" s="82"/>
      <c r="BM62" s="82"/>
      <c r="BN62" s="82"/>
      <c r="BO62" s="82"/>
      <c r="BP62" s="82"/>
      <c r="BQ62" s="82"/>
      <c r="BR62" s="82"/>
      <c r="BS62" s="82"/>
      <c r="BT62" s="82"/>
      <c r="BU62" s="82"/>
      <c r="BV62" s="82"/>
      <c r="BW62" s="82"/>
      <c r="BX62" s="82"/>
      <c r="BY62" s="82"/>
      <c r="BZ62" s="82"/>
      <c r="CA62" s="82"/>
      <c r="CB62" s="82"/>
      <c r="CC62" s="82"/>
      <c r="CD62" s="82"/>
      <c r="CE62" s="82"/>
      <c r="CF62" s="82"/>
      <c r="CG62" s="82"/>
      <c r="CH62" s="82"/>
      <c r="CI62" s="82"/>
      <c r="CJ62" s="82"/>
      <c r="CK62" s="82"/>
      <c r="CL62" s="82"/>
      <c r="CM62" s="82"/>
      <c r="CN62" s="82"/>
      <c r="CO62" s="82"/>
      <c r="CP62" s="82"/>
      <c r="CQ62" s="82"/>
      <c r="CR62" s="82"/>
      <c r="CS62" s="82"/>
      <c r="CT62" s="82"/>
      <c r="CU62" s="82"/>
      <c r="CV62" s="82"/>
      <c r="CW62" s="82"/>
      <c r="CX62" s="82"/>
      <c r="CY62" s="82"/>
      <c r="CZ62" s="82"/>
      <c r="DA62" s="82"/>
      <c r="DB62" s="82"/>
      <c r="DC62" s="82"/>
      <c r="DD62" s="82"/>
      <c r="DE62" s="82"/>
      <c r="DF62" s="82"/>
      <c r="DG62" s="82"/>
      <c r="DH62" s="82"/>
      <c r="DI62" s="82"/>
      <c r="DJ62" s="82"/>
      <c r="DK62" s="82"/>
      <c r="DL62" s="82"/>
      <c r="DM62" s="82"/>
      <c r="DN62" s="82"/>
      <c r="DO62" s="82"/>
      <c r="DP62" s="82"/>
      <c r="DQ62" s="82"/>
      <c r="DR62" s="82"/>
      <c r="DS62" s="82"/>
      <c r="DT62" s="82"/>
      <c r="DU62" s="82"/>
      <c r="DV62" s="82"/>
      <c r="DW62" s="82"/>
      <c r="DX62" s="82"/>
    </row>
    <row r="63" spans="1:128" s="93" customFormat="1" ht="13.5" customHeight="1">
      <c r="A63" s="157" t="s">
        <v>123</v>
      </c>
      <c r="B63" s="98">
        <v>0.33400000000000002</v>
      </c>
      <c r="C63" s="99">
        <v>0.27400000000000002</v>
      </c>
      <c r="D63" s="100">
        <v>0.32</v>
      </c>
      <c r="E63" s="398"/>
      <c r="F63" s="98">
        <v>0.33700000000000002</v>
      </c>
      <c r="G63" s="99">
        <v>0.11600000000000001</v>
      </c>
      <c r="H63" s="100">
        <v>0.183</v>
      </c>
      <c r="I63" s="400"/>
      <c r="J63" s="98">
        <v>0.435</v>
      </c>
      <c r="K63" s="99">
        <v>0.26400000000000001</v>
      </c>
      <c r="L63" s="100">
        <v>0.28999999999999998</v>
      </c>
      <c r="M63" s="400"/>
      <c r="N63" s="98">
        <v>0.33700000000000002</v>
      </c>
      <c r="O63" s="99">
        <v>0.11600000000000001</v>
      </c>
      <c r="P63" s="100">
        <v>0.183</v>
      </c>
      <c r="Q63" s="128"/>
      <c r="R63" s="184"/>
      <c r="S63" s="184"/>
      <c r="T63" s="184"/>
      <c r="U63" s="184"/>
      <c r="V63" s="184"/>
      <c r="W63" s="81"/>
      <c r="X63" s="81"/>
      <c r="Y63" s="81"/>
      <c r="Z63" s="81"/>
      <c r="AA63" s="81"/>
      <c r="AB63" s="81"/>
      <c r="AC63" s="8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82"/>
      <c r="CJ63" s="82"/>
      <c r="CK63" s="82"/>
      <c r="CL63" s="82"/>
      <c r="CM63" s="82"/>
      <c r="CN63" s="82"/>
      <c r="CO63" s="82"/>
      <c r="CP63" s="82"/>
      <c r="CQ63" s="82"/>
      <c r="CR63" s="82"/>
      <c r="CS63" s="82"/>
      <c r="CT63" s="82"/>
      <c r="CU63" s="82"/>
      <c r="CV63" s="82"/>
      <c r="CW63" s="82"/>
      <c r="CX63" s="82"/>
      <c r="CY63" s="82"/>
      <c r="CZ63" s="82"/>
      <c r="DA63" s="82"/>
      <c r="DB63" s="82"/>
      <c r="DC63" s="82"/>
      <c r="DD63" s="82"/>
      <c r="DE63" s="82"/>
      <c r="DF63" s="82"/>
      <c r="DG63" s="82"/>
      <c r="DH63" s="82"/>
      <c r="DI63" s="82"/>
      <c r="DJ63" s="82"/>
      <c r="DK63" s="82"/>
      <c r="DL63" s="82"/>
      <c r="DM63" s="82"/>
      <c r="DN63" s="82"/>
      <c r="DO63" s="82"/>
      <c r="DP63" s="82"/>
      <c r="DQ63" s="82"/>
      <c r="DR63" s="82"/>
      <c r="DS63" s="82"/>
      <c r="DT63" s="82"/>
      <c r="DU63" s="82"/>
      <c r="DV63" s="82"/>
      <c r="DW63" s="82"/>
      <c r="DX63" s="82"/>
    </row>
    <row r="64" spans="1:128" s="93" customFormat="1" ht="13.5" customHeight="1">
      <c r="A64" s="157" t="s">
        <v>124</v>
      </c>
      <c r="B64" s="98">
        <v>0.28199999999999997</v>
      </c>
      <c r="C64" s="99">
        <v>9.1999999999999998E-2</v>
      </c>
      <c r="D64" s="100">
        <v>0.23899999999999999</v>
      </c>
      <c r="E64" s="398"/>
      <c r="F64" s="98">
        <v>0.16500000000000001</v>
      </c>
      <c r="G64" s="99">
        <v>2.5000000000000001E-2</v>
      </c>
      <c r="H64" s="100">
        <v>6.7000000000000004E-2</v>
      </c>
      <c r="I64" s="400"/>
      <c r="J64" s="98">
        <v>0.17</v>
      </c>
      <c r="K64" s="99">
        <v>6.2E-2</v>
      </c>
      <c r="L64" s="100">
        <v>7.9000000000000001E-2</v>
      </c>
      <c r="M64" s="400"/>
      <c r="N64" s="98">
        <v>0.16500000000000001</v>
      </c>
      <c r="O64" s="99">
        <v>2.5000000000000001E-2</v>
      </c>
      <c r="P64" s="100">
        <v>6.7000000000000004E-2</v>
      </c>
      <c r="R64" s="184"/>
      <c r="S64" s="184"/>
      <c r="T64" s="184"/>
      <c r="U64" s="184"/>
      <c r="V64" s="184"/>
      <c r="W64" s="81"/>
      <c r="X64" s="81"/>
      <c r="Y64" s="81"/>
      <c r="Z64" s="81"/>
      <c r="AA64" s="81"/>
      <c r="AB64" s="81"/>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2"/>
      <c r="BU64" s="82"/>
      <c r="BV64" s="82"/>
      <c r="BW64" s="82"/>
      <c r="BX64" s="82"/>
      <c r="BY64" s="82"/>
      <c r="BZ64" s="82"/>
      <c r="CA64" s="82"/>
      <c r="CB64" s="82"/>
      <c r="CC64" s="82"/>
      <c r="CD64" s="82"/>
      <c r="CE64" s="82"/>
      <c r="CF64" s="82"/>
      <c r="CG64" s="82"/>
      <c r="CH64" s="82"/>
      <c r="CI64" s="82"/>
      <c r="CJ64" s="82"/>
      <c r="CK64" s="82"/>
      <c r="CL64" s="82"/>
      <c r="CM64" s="82"/>
      <c r="CN64" s="82"/>
      <c r="CO64" s="82"/>
      <c r="CP64" s="82"/>
      <c r="CQ64" s="82"/>
      <c r="CR64" s="82"/>
      <c r="CS64" s="82"/>
      <c r="CT64" s="82"/>
      <c r="CU64" s="82"/>
      <c r="CV64" s="82"/>
      <c r="CW64" s="82"/>
      <c r="CX64" s="82"/>
      <c r="CY64" s="82"/>
      <c r="CZ64" s="82"/>
      <c r="DA64" s="82"/>
      <c r="DB64" s="82"/>
      <c r="DC64" s="82"/>
      <c r="DD64" s="82"/>
      <c r="DE64" s="82"/>
      <c r="DF64" s="82"/>
      <c r="DG64" s="82"/>
      <c r="DH64" s="82"/>
      <c r="DI64" s="82"/>
      <c r="DJ64" s="82"/>
      <c r="DK64" s="82"/>
      <c r="DL64" s="82"/>
      <c r="DM64" s="82"/>
      <c r="DN64" s="82"/>
      <c r="DO64" s="82"/>
      <c r="DP64" s="82"/>
      <c r="DQ64" s="82"/>
      <c r="DR64" s="82"/>
      <c r="DS64" s="82"/>
      <c r="DT64" s="82"/>
      <c r="DU64" s="82"/>
      <c r="DV64" s="82"/>
      <c r="DW64" s="82"/>
      <c r="DX64" s="82"/>
    </row>
    <row r="65" spans="1:128" s="93" customFormat="1" ht="13.5" customHeight="1">
      <c r="A65" s="157" t="s">
        <v>125</v>
      </c>
      <c r="B65" s="98">
        <v>0.17599999999999999</v>
      </c>
      <c r="C65" s="99">
        <v>2.5999999999999999E-2</v>
      </c>
      <c r="D65" s="100">
        <v>0.14199999999999999</v>
      </c>
      <c r="E65" s="398"/>
      <c r="F65" s="98">
        <v>7.5999999999999998E-2</v>
      </c>
      <c r="G65" s="99">
        <v>6.0000000000000001E-3</v>
      </c>
      <c r="H65" s="100">
        <v>2.7E-2</v>
      </c>
      <c r="I65" s="400"/>
      <c r="J65" s="98">
        <v>3.4000000000000002E-2</v>
      </c>
      <c r="K65" s="99">
        <v>7.0000000000000001E-3</v>
      </c>
      <c r="L65" s="100">
        <v>1.0999999999999999E-2</v>
      </c>
      <c r="M65" s="400"/>
      <c r="N65" s="98">
        <v>7.5999999999999998E-2</v>
      </c>
      <c r="O65" s="99">
        <v>6.0000000000000001E-3</v>
      </c>
      <c r="P65" s="100">
        <v>2.7E-2</v>
      </c>
      <c r="R65" s="184"/>
      <c r="S65" s="184"/>
      <c r="T65" s="184"/>
      <c r="U65" s="184"/>
      <c r="V65" s="184"/>
      <c r="W65" s="81"/>
      <c r="X65" s="81"/>
      <c r="Y65" s="81"/>
      <c r="Z65" s="81"/>
      <c r="AA65" s="81"/>
      <c r="AB65" s="81"/>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2"/>
      <c r="CA65" s="82"/>
      <c r="CB65" s="82"/>
      <c r="CC65" s="82"/>
      <c r="CD65" s="82"/>
      <c r="CE65" s="82"/>
      <c r="CF65" s="82"/>
      <c r="CG65" s="82"/>
      <c r="CH65" s="82"/>
      <c r="CI65" s="82"/>
      <c r="CJ65" s="82"/>
      <c r="CK65" s="82"/>
      <c r="CL65" s="82"/>
      <c r="CM65" s="82"/>
      <c r="CN65" s="82"/>
      <c r="CO65" s="82"/>
      <c r="CP65" s="82"/>
      <c r="CQ65" s="82"/>
      <c r="CR65" s="82"/>
      <c r="CS65" s="82"/>
      <c r="CT65" s="82"/>
      <c r="CU65" s="82"/>
      <c r="CV65" s="82"/>
      <c r="CW65" s="82"/>
      <c r="CX65" s="82"/>
      <c r="CY65" s="82"/>
      <c r="CZ65" s="82"/>
      <c r="DA65" s="82"/>
      <c r="DB65" s="82"/>
      <c r="DC65" s="82"/>
      <c r="DD65" s="82"/>
      <c r="DE65" s="82"/>
      <c r="DF65" s="82"/>
      <c r="DG65" s="82"/>
      <c r="DH65" s="82"/>
      <c r="DI65" s="82"/>
      <c r="DJ65" s="82"/>
      <c r="DK65" s="82"/>
      <c r="DL65" s="82"/>
      <c r="DM65" s="82"/>
      <c r="DN65" s="82"/>
      <c r="DO65" s="82"/>
      <c r="DP65" s="82"/>
      <c r="DQ65" s="82"/>
      <c r="DR65" s="82"/>
      <c r="DS65" s="82"/>
      <c r="DT65" s="82"/>
      <c r="DU65" s="82"/>
      <c r="DV65" s="82"/>
      <c r="DW65" s="82"/>
      <c r="DX65" s="82"/>
    </row>
    <row r="66" spans="1:128" s="93" customFormat="1" ht="13.5" customHeight="1" thickBot="1">
      <c r="A66" s="181" t="s">
        <v>3</v>
      </c>
      <c r="B66" s="147">
        <f>SUM(B61:B65)</f>
        <v>1</v>
      </c>
      <c r="C66" s="148">
        <f>SUM(C61:C65)</f>
        <v>1.0009999999999999</v>
      </c>
      <c r="D66" s="149">
        <f>SUM(D61:D65)</f>
        <v>0.999</v>
      </c>
      <c r="E66" s="398"/>
      <c r="F66" s="147">
        <f>SUM(F61:F65)</f>
        <v>0.999</v>
      </c>
      <c r="G66" s="148">
        <f>SUM(G61:G65)</f>
        <v>1.0009999999999999</v>
      </c>
      <c r="H66" s="149">
        <f>SUM(H61:H65)</f>
        <v>1</v>
      </c>
      <c r="I66" s="400"/>
      <c r="J66" s="147">
        <f>SUM(J61:J65)</f>
        <v>0.999</v>
      </c>
      <c r="K66" s="148">
        <f>SUM(K61:K65)</f>
        <v>1</v>
      </c>
      <c r="L66" s="149">
        <f>SUM(L61:L65)</f>
        <v>0.99999999999999989</v>
      </c>
      <c r="M66" s="400"/>
      <c r="N66" s="147">
        <f>SUM(N61:N65)</f>
        <v>0.999</v>
      </c>
      <c r="O66" s="148">
        <f>SUM(O61:O65)</f>
        <v>1.0009999999999999</v>
      </c>
      <c r="P66" s="149">
        <f>SUM(P61:P65)</f>
        <v>1</v>
      </c>
      <c r="R66" s="128"/>
      <c r="S66" s="128"/>
      <c r="T66" s="128"/>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2"/>
      <c r="BU66" s="82"/>
      <c r="BV66" s="82"/>
      <c r="BW66" s="82"/>
      <c r="BX66" s="82"/>
      <c r="BY66" s="82"/>
      <c r="BZ66" s="82"/>
      <c r="CA66" s="82"/>
      <c r="CB66" s="82"/>
      <c r="CC66" s="82"/>
      <c r="CD66" s="82"/>
      <c r="CE66" s="82"/>
      <c r="CF66" s="82"/>
      <c r="CG66" s="82"/>
      <c r="CH66" s="82"/>
      <c r="CI66" s="82"/>
      <c r="CJ66" s="82"/>
      <c r="CK66" s="82"/>
      <c r="CL66" s="82"/>
      <c r="CM66" s="82"/>
      <c r="CN66" s="82"/>
      <c r="CO66" s="82"/>
      <c r="CP66" s="82"/>
      <c r="CQ66" s="82"/>
      <c r="CR66" s="82"/>
      <c r="CS66" s="82"/>
      <c r="CT66" s="82"/>
      <c r="CU66" s="82"/>
      <c r="CV66" s="82"/>
      <c r="CW66" s="82"/>
      <c r="CX66" s="82"/>
      <c r="CY66" s="82"/>
      <c r="CZ66" s="82"/>
      <c r="DA66" s="82"/>
      <c r="DB66" s="82"/>
      <c r="DC66" s="82"/>
      <c r="DD66" s="82"/>
      <c r="DE66" s="82"/>
      <c r="DF66" s="82"/>
      <c r="DG66" s="82"/>
      <c r="DH66" s="82"/>
      <c r="DI66" s="82"/>
      <c r="DJ66" s="82"/>
      <c r="DK66" s="82"/>
      <c r="DL66" s="82"/>
      <c r="DM66" s="82"/>
      <c r="DN66" s="82"/>
      <c r="DO66" s="82"/>
      <c r="DP66" s="82"/>
      <c r="DQ66" s="82"/>
      <c r="DR66" s="82"/>
      <c r="DS66" s="82"/>
      <c r="DT66" s="82"/>
      <c r="DU66" s="82"/>
      <c r="DV66" s="82"/>
      <c r="DW66" s="82"/>
      <c r="DX66" s="82"/>
    </row>
    <row r="67" spans="1:128" s="14" customFormat="1" ht="13.5" customHeight="1">
      <c r="A67" s="13" t="s">
        <v>116</v>
      </c>
      <c r="B67" s="1"/>
      <c r="C67" s="1"/>
      <c r="D67" s="1"/>
      <c r="E67" s="1"/>
      <c r="F67" s="13"/>
      <c r="J67" s="13"/>
      <c r="N67" s="13"/>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row>
    <row r="68" spans="1:128" s="14" customFormat="1" ht="13.5" customHeight="1">
      <c r="A68" s="13" t="s">
        <v>247</v>
      </c>
      <c r="B68" s="1"/>
      <c r="C68" s="1"/>
      <c r="D68" s="204"/>
      <c r="E68" s="1"/>
      <c r="F68" s="13"/>
      <c r="J68" s="13"/>
      <c r="K68" s="26"/>
      <c r="N68" s="13"/>
      <c r="O68" s="26"/>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row>
    <row r="69" spans="1:128" ht="13.5">
      <c r="A69" s="13"/>
      <c r="B69" s="1"/>
      <c r="C69" s="1"/>
      <c r="D69" s="204"/>
      <c r="E69" s="1"/>
      <c r="F69" s="13"/>
      <c r="G69" s="14"/>
      <c r="H69" s="14"/>
      <c r="I69" s="14"/>
      <c r="J69" s="13"/>
      <c r="K69" s="14"/>
      <c r="L69" s="14"/>
      <c r="M69" s="14"/>
      <c r="N69" s="13"/>
      <c r="O69" s="14"/>
    </row>
    <row r="70" spans="1:128" ht="14.25" thickBot="1">
      <c r="A70" s="34"/>
      <c r="B70" s="34"/>
      <c r="C70" s="34"/>
      <c r="D70" s="34"/>
      <c r="E70" s="34"/>
      <c r="F70" s="34"/>
      <c r="G70" s="34"/>
      <c r="H70" s="34"/>
      <c r="I70" s="34"/>
      <c r="J70" s="34"/>
      <c r="K70" s="34"/>
      <c r="L70" s="34"/>
      <c r="M70" s="34"/>
      <c r="N70" s="34"/>
      <c r="O70" s="34"/>
      <c r="P70" s="34"/>
      <c r="Q70" s="34"/>
      <c r="R70" s="34"/>
      <c r="S70" s="34"/>
      <c r="T70" s="34"/>
    </row>
    <row r="71" spans="1:128" ht="13.5">
      <c r="A71" s="32"/>
      <c r="B71" s="32"/>
      <c r="C71" s="32"/>
      <c r="D71" s="32"/>
      <c r="E71" s="32"/>
      <c r="F71" s="32"/>
      <c r="G71" s="32"/>
      <c r="H71" s="32"/>
      <c r="I71" s="32"/>
      <c r="J71" s="32"/>
      <c r="K71" s="32"/>
      <c r="L71" s="32"/>
      <c r="M71" s="32"/>
      <c r="N71" s="32"/>
      <c r="O71" s="32"/>
      <c r="P71" s="32"/>
      <c r="Q71" s="32"/>
      <c r="R71" s="32"/>
      <c r="S71" s="32"/>
      <c r="T71" s="32"/>
    </row>
    <row r="72" spans="1:128" ht="13.5">
      <c r="A72" s="22" t="s">
        <v>176</v>
      </c>
      <c r="B72" s="7" t="s">
        <v>207</v>
      </c>
      <c r="C72" s="210"/>
      <c r="D72" s="210"/>
      <c r="E72" s="210"/>
      <c r="F72" s="336"/>
      <c r="G72" s="210"/>
      <c r="H72" s="210"/>
      <c r="I72" s="210"/>
      <c r="J72" s="210"/>
      <c r="K72" s="210"/>
      <c r="L72" s="210"/>
      <c r="M72" s="210"/>
      <c r="N72" s="210"/>
      <c r="O72" s="210"/>
    </row>
    <row r="73" spans="1:128" ht="13.5" thickBot="1">
      <c r="A73" s="210"/>
      <c r="B73" s="210"/>
      <c r="C73" s="210"/>
      <c r="D73" s="210"/>
      <c r="E73" s="210"/>
      <c r="F73" s="210"/>
      <c r="G73" s="210"/>
      <c r="H73" s="210"/>
      <c r="I73" s="210"/>
      <c r="J73" s="210"/>
      <c r="K73" s="210"/>
      <c r="L73" s="210"/>
      <c r="M73" s="210"/>
      <c r="N73" s="210"/>
      <c r="O73" s="210"/>
    </row>
    <row r="74" spans="1:128" ht="27" customHeight="1" thickBot="1">
      <c r="A74" s="15"/>
      <c r="B74" s="376" t="s">
        <v>108</v>
      </c>
      <c r="C74" s="377" t="s">
        <v>109</v>
      </c>
      <c r="D74" s="221" t="s">
        <v>110</v>
      </c>
      <c r="E74" s="210"/>
      <c r="F74" s="210"/>
      <c r="G74" s="210"/>
      <c r="H74" s="210"/>
      <c r="I74" s="210"/>
      <c r="J74" s="210"/>
      <c r="K74" s="210"/>
      <c r="L74" s="210"/>
      <c r="M74" s="210"/>
      <c r="N74" s="210"/>
      <c r="O74" s="210"/>
    </row>
    <row r="75" spans="1:128" s="185" customFormat="1" ht="13.5" customHeight="1">
      <c r="A75" s="176" t="s">
        <v>111</v>
      </c>
      <c r="B75" s="404" t="s">
        <v>193</v>
      </c>
      <c r="C75" s="405" t="s">
        <v>194</v>
      </c>
      <c r="D75" s="406" t="s">
        <v>195</v>
      </c>
      <c r="E75" s="274"/>
      <c r="F75" s="274"/>
      <c r="G75" s="274"/>
      <c r="H75" s="274"/>
      <c r="I75" s="274"/>
      <c r="J75" s="274"/>
      <c r="K75" s="274"/>
      <c r="L75" s="274"/>
      <c r="M75" s="274"/>
      <c r="N75" s="274"/>
      <c r="O75" s="274"/>
    </row>
    <row r="76" spans="1:128" s="185" customFormat="1" ht="13.5" customHeight="1">
      <c r="A76" s="157" t="s">
        <v>112</v>
      </c>
      <c r="B76" s="404" t="s">
        <v>196</v>
      </c>
      <c r="C76" s="405" t="s">
        <v>197</v>
      </c>
      <c r="D76" s="406" t="s">
        <v>198</v>
      </c>
      <c r="E76" s="274"/>
      <c r="F76" s="274"/>
      <c r="G76" s="274"/>
      <c r="H76" s="274"/>
      <c r="I76" s="274"/>
      <c r="J76" s="274"/>
      <c r="K76" s="274"/>
      <c r="L76" s="274"/>
      <c r="M76" s="274"/>
      <c r="N76" s="274"/>
      <c r="O76" s="274"/>
    </row>
    <row r="77" spans="1:128" s="185" customFormat="1" ht="13.5" customHeight="1">
      <c r="A77" s="157" t="s">
        <v>113</v>
      </c>
      <c r="B77" s="404" t="s">
        <v>199</v>
      </c>
      <c r="C77" s="405" t="s">
        <v>200</v>
      </c>
      <c r="D77" s="406" t="s">
        <v>201</v>
      </c>
      <c r="E77" s="274"/>
      <c r="F77" s="274"/>
      <c r="G77" s="274"/>
      <c r="H77" s="274"/>
      <c r="I77" s="274"/>
      <c r="J77" s="274"/>
      <c r="K77" s="274"/>
      <c r="L77" s="274"/>
      <c r="M77" s="274"/>
      <c r="N77" s="274"/>
      <c r="O77" s="274"/>
    </row>
    <row r="78" spans="1:128" s="185" customFormat="1" ht="13.5" customHeight="1">
      <c r="A78" s="157" t="s">
        <v>114</v>
      </c>
      <c r="B78" s="404" t="s">
        <v>202</v>
      </c>
      <c r="C78" s="405" t="s">
        <v>201</v>
      </c>
      <c r="D78" s="406" t="s">
        <v>203</v>
      </c>
      <c r="E78" s="274"/>
      <c r="F78" s="274"/>
      <c r="G78" s="274"/>
      <c r="H78" s="274"/>
      <c r="I78" s="274"/>
      <c r="J78" s="274"/>
      <c r="K78" s="274"/>
      <c r="L78" s="274"/>
      <c r="M78" s="274"/>
      <c r="N78" s="274"/>
      <c r="O78" s="274"/>
    </row>
    <row r="79" spans="1:128" s="185" customFormat="1" ht="13.5" customHeight="1" thickBot="1">
      <c r="A79" s="162" t="s">
        <v>115</v>
      </c>
      <c r="B79" s="407" t="s">
        <v>204</v>
      </c>
      <c r="C79" s="408" t="s">
        <v>205</v>
      </c>
      <c r="D79" s="409" t="s">
        <v>196</v>
      </c>
      <c r="E79" s="274"/>
      <c r="F79" s="274"/>
      <c r="G79" s="274"/>
      <c r="H79" s="274"/>
      <c r="I79" s="274"/>
      <c r="J79" s="274"/>
      <c r="K79" s="274"/>
      <c r="L79" s="274"/>
      <c r="M79" s="274"/>
      <c r="N79" s="274"/>
      <c r="O79" s="274"/>
    </row>
    <row r="80" spans="1:128">
      <c r="A80" s="13" t="s">
        <v>126</v>
      </c>
      <c r="B80" s="1"/>
      <c r="C80" s="1"/>
      <c r="D80" s="1"/>
      <c r="E80" s="1"/>
      <c r="F80" s="1"/>
      <c r="G80" s="1"/>
      <c r="H80" s="1"/>
      <c r="I80" s="1"/>
      <c r="J80" s="1"/>
      <c r="K80" s="1"/>
      <c r="L80" s="1"/>
      <c r="M80" s="1"/>
      <c r="N80" s="1"/>
      <c r="O80" s="1"/>
    </row>
    <row r="81" spans="1:24">
      <c r="A81" s="13" t="s">
        <v>248</v>
      </c>
      <c r="B81" s="1"/>
      <c r="C81" s="1"/>
      <c r="D81" s="204"/>
      <c r="E81" s="1"/>
      <c r="F81" s="1"/>
      <c r="G81" s="1"/>
      <c r="H81" s="1"/>
      <c r="I81" s="1"/>
      <c r="J81" s="1"/>
      <c r="K81" s="1"/>
      <c r="L81" s="1"/>
      <c r="M81" s="1"/>
      <c r="N81" s="1"/>
      <c r="O81" s="1"/>
    </row>
    <row r="82" spans="1:24">
      <c r="A82" s="13"/>
      <c r="B82" s="1"/>
      <c r="C82" s="1"/>
      <c r="D82" s="204"/>
      <c r="E82" s="1"/>
      <c r="F82" s="1"/>
      <c r="G82" s="1"/>
      <c r="H82" s="1"/>
      <c r="I82" s="1"/>
      <c r="J82" s="1"/>
      <c r="K82" s="1"/>
      <c r="L82" s="1"/>
      <c r="M82" s="1"/>
      <c r="N82" s="1"/>
      <c r="O82" s="1"/>
    </row>
    <row r="83" spans="1:24" ht="13.5">
      <c r="A83" s="32"/>
      <c r="B83" s="32"/>
      <c r="C83" s="32"/>
      <c r="D83" s="32"/>
      <c r="E83" s="32"/>
      <c r="F83" s="32"/>
      <c r="G83" s="32"/>
      <c r="H83" s="32"/>
      <c r="I83" s="32"/>
      <c r="J83" s="32"/>
      <c r="K83" s="32"/>
      <c r="L83" s="32"/>
      <c r="M83" s="32"/>
      <c r="N83" s="32"/>
      <c r="O83" s="32"/>
    </row>
    <row r="84" spans="1:24" s="200" customFormat="1">
      <c r="A84" s="369" t="s">
        <v>249</v>
      </c>
      <c r="B84" s="370"/>
      <c r="C84" s="370"/>
      <c r="D84" s="370"/>
      <c r="E84" s="370"/>
      <c r="F84" s="370"/>
      <c r="G84" s="370"/>
      <c r="H84" s="370"/>
      <c r="I84" s="370"/>
      <c r="J84" s="370"/>
      <c r="K84" s="370"/>
      <c r="L84" s="370"/>
      <c r="M84" s="370"/>
      <c r="N84" s="370"/>
      <c r="O84" s="370"/>
      <c r="P84" s="370"/>
      <c r="Q84" s="370"/>
      <c r="R84" s="370"/>
      <c r="S84" s="370"/>
      <c r="T84" s="370"/>
      <c r="U84" s="370"/>
      <c r="V84" s="370"/>
      <c r="W84" s="370"/>
      <c r="X84" s="370"/>
    </row>
    <row r="85" spans="1:24" ht="13.5">
      <c r="A85" s="32"/>
      <c r="B85" s="32"/>
      <c r="C85" s="32"/>
      <c r="D85" s="32"/>
      <c r="E85" s="32"/>
      <c r="F85" s="32"/>
      <c r="G85" s="32"/>
      <c r="H85" s="32"/>
      <c r="I85" s="32"/>
      <c r="J85" s="32"/>
      <c r="K85" s="32"/>
      <c r="L85" s="32"/>
      <c r="M85" s="32"/>
      <c r="N85" s="32"/>
      <c r="O85" s="32"/>
    </row>
    <row r="86" spans="1:24" ht="13.5">
      <c r="A86" s="15" t="s">
        <v>250</v>
      </c>
      <c r="B86" s="7" t="s">
        <v>251</v>
      </c>
      <c r="C86" s="15"/>
      <c r="D86" s="15"/>
      <c r="E86" s="15"/>
      <c r="F86" s="15"/>
      <c r="G86" s="15"/>
      <c r="H86" s="15"/>
      <c r="I86" s="15"/>
      <c r="J86" s="410"/>
      <c r="K86" s="15"/>
      <c r="L86" s="15"/>
      <c r="M86" s="15"/>
      <c r="N86" s="15"/>
      <c r="O86" s="15"/>
    </row>
    <row r="87" spans="1:24" ht="14.25" thickBot="1">
      <c r="A87" s="222"/>
      <c r="B87" s="211"/>
      <c r="C87" s="211"/>
      <c r="D87" s="211"/>
      <c r="E87" s="211"/>
      <c r="F87" s="211"/>
      <c r="G87" s="211"/>
      <c r="H87" s="211"/>
      <c r="I87" s="211"/>
      <c r="J87" s="211"/>
      <c r="K87" s="211"/>
      <c r="L87" s="211"/>
      <c r="M87" s="211"/>
      <c r="N87" s="15"/>
      <c r="O87" s="15"/>
    </row>
    <row r="88" spans="1:24" s="361" customFormat="1" ht="13.5" customHeight="1" thickBot="1">
      <c r="A88" s="411"/>
      <c r="B88" s="265">
        <v>40179</v>
      </c>
      <c r="C88" s="267">
        <v>40210</v>
      </c>
      <c r="D88" s="267">
        <v>40238</v>
      </c>
      <c r="E88" s="267">
        <v>40269</v>
      </c>
      <c r="F88" s="267">
        <v>40299</v>
      </c>
      <c r="G88" s="267">
        <v>40330</v>
      </c>
      <c r="H88" s="267">
        <v>40360</v>
      </c>
      <c r="I88" s="267">
        <v>40391</v>
      </c>
      <c r="J88" s="267">
        <v>40422</v>
      </c>
      <c r="K88" s="267">
        <v>40452</v>
      </c>
      <c r="L88" s="267">
        <v>40483</v>
      </c>
      <c r="M88" s="268">
        <v>40513</v>
      </c>
      <c r="N88" s="153"/>
      <c r="O88" s="153"/>
    </row>
    <row r="89" spans="1:24" s="361" customFormat="1" ht="13.5" customHeight="1">
      <c r="A89" s="92" t="s">
        <v>127</v>
      </c>
      <c r="B89" s="64">
        <f t="shared" ref="B89:M89" si="10">B90+B91</f>
        <v>207412</v>
      </c>
      <c r="C89" s="39">
        <f t="shared" si="10"/>
        <v>208504</v>
      </c>
      <c r="D89" s="39">
        <f t="shared" si="10"/>
        <v>215885</v>
      </c>
      <c r="E89" s="39">
        <f t="shared" si="10"/>
        <v>219708</v>
      </c>
      <c r="F89" s="39">
        <f t="shared" si="10"/>
        <v>223077</v>
      </c>
      <c r="G89" s="39">
        <f t="shared" si="10"/>
        <v>226951</v>
      </c>
      <c r="H89" s="39">
        <f t="shared" si="10"/>
        <v>234277</v>
      </c>
      <c r="I89" s="39">
        <f t="shared" si="10"/>
        <v>237101</v>
      </c>
      <c r="J89" s="39">
        <f t="shared" si="10"/>
        <v>240276</v>
      </c>
      <c r="K89" s="39">
        <f t="shared" si="10"/>
        <v>237789</v>
      </c>
      <c r="L89" s="39">
        <f t="shared" si="10"/>
        <v>238851</v>
      </c>
      <c r="M89" s="41">
        <f t="shared" si="10"/>
        <v>240460</v>
      </c>
      <c r="N89" s="153"/>
      <c r="O89" s="153"/>
    </row>
    <row r="90" spans="1:24" s="361" customFormat="1" ht="13.5" customHeight="1">
      <c r="A90" s="412" t="s">
        <v>128</v>
      </c>
      <c r="B90" s="64">
        <v>138493</v>
      </c>
      <c r="C90" s="39">
        <v>140068</v>
      </c>
      <c r="D90" s="39">
        <v>144881</v>
      </c>
      <c r="E90" s="39">
        <v>148040</v>
      </c>
      <c r="F90" s="270">
        <v>150373</v>
      </c>
      <c r="G90" s="270">
        <v>154486</v>
      </c>
      <c r="H90" s="270">
        <v>159413</v>
      </c>
      <c r="I90" s="270">
        <v>162610</v>
      </c>
      <c r="J90" s="270">
        <v>165223</v>
      </c>
      <c r="K90" s="270">
        <v>163792</v>
      </c>
      <c r="L90" s="270">
        <v>164698</v>
      </c>
      <c r="M90" s="344">
        <v>167410</v>
      </c>
      <c r="N90" s="153"/>
      <c r="O90" s="153"/>
    </row>
    <row r="91" spans="1:24" s="361" customFormat="1" ht="13.5" customHeight="1">
      <c r="A91" s="412" t="s">
        <v>129</v>
      </c>
      <c r="B91" s="64">
        <v>68919</v>
      </c>
      <c r="C91" s="39">
        <v>68436</v>
      </c>
      <c r="D91" s="39">
        <v>71004</v>
      </c>
      <c r="E91" s="39">
        <v>71668</v>
      </c>
      <c r="F91" s="270">
        <v>72704</v>
      </c>
      <c r="G91" s="270">
        <v>72465</v>
      </c>
      <c r="H91" s="270">
        <v>74864</v>
      </c>
      <c r="I91" s="270">
        <v>74491</v>
      </c>
      <c r="J91" s="270">
        <v>75053</v>
      </c>
      <c r="K91" s="270">
        <v>73997</v>
      </c>
      <c r="L91" s="270">
        <v>74153</v>
      </c>
      <c r="M91" s="344">
        <v>73050</v>
      </c>
      <c r="N91" s="153"/>
      <c r="O91" s="153"/>
    </row>
    <row r="92" spans="1:24" s="361" customFormat="1" ht="13.5" customHeight="1">
      <c r="A92" s="412" t="s">
        <v>109</v>
      </c>
      <c r="B92" s="64">
        <v>148543</v>
      </c>
      <c r="C92" s="39">
        <v>146217</v>
      </c>
      <c r="D92" s="39">
        <v>155528</v>
      </c>
      <c r="E92" s="39">
        <v>158185</v>
      </c>
      <c r="F92" s="270">
        <v>161100</v>
      </c>
      <c r="G92" s="270">
        <v>163482</v>
      </c>
      <c r="H92" s="270">
        <v>170603</v>
      </c>
      <c r="I92" s="270">
        <v>172657</v>
      </c>
      <c r="J92" s="270">
        <v>175557</v>
      </c>
      <c r="K92" s="270">
        <v>176657</v>
      </c>
      <c r="L92" s="270">
        <v>176372</v>
      </c>
      <c r="M92" s="344">
        <v>180372</v>
      </c>
      <c r="N92" s="153"/>
      <c r="O92" s="153"/>
    </row>
    <row r="93" spans="1:24" s="361" customFormat="1" ht="13.5" customHeight="1">
      <c r="A93" s="412" t="s">
        <v>130</v>
      </c>
      <c r="B93" s="64">
        <v>33476</v>
      </c>
      <c r="C93" s="39">
        <v>31970</v>
      </c>
      <c r="D93" s="39">
        <v>33239</v>
      </c>
      <c r="E93" s="39">
        <v>33566</v>
      </c>
      <c r="F93" s="270">
        <v>33656</v>
      </c>
      <c r="G93" s="270">
        <v>33542</v>
      </c>
      <c r="H93" s="270">
        <v>34020</v>
      </c>
      <c r="I93" s="270">
        <v>34248</v>
      </c>
      <c r="J93" s="270">
        <v>33741</v>
      </c>
      <c r="K93" s="270">
        <v>34020</v>
      </c>
      <c r="L93" s="270">
        <v>32847</v>
      </c>
      <c r="M93" s="344">
        <v>32710</v>
      </c>
      <c r="N93" s="153"/>
      <c r="O93" s="153"/>
    </row>
    <row r="94" spans="1:24" s="361" customFormat="1" ht="13.5" customHeight="1" thickBot="1">
      <c r="A94" s="413" t="s">
        <v>3</v>
      </c>
      <c r="B94" s="72">
        <f t="shared" ref="B94:M94" si="11">SUM(B90:B93)</f>
        <v>389431</v>
      </c>
      <c r="C94" s="73">
        <f t="shared" si="11"/>
        <v>386691</v>
      </c>
      <c r="D94" s="73">
        <f t="shared" si="11"/>
        <v>404652</v>
      </c>
      <c r="E94" s="73">
        <f t="shared" si="11"/>
        <v>411459</v>
      </c>
      <c r="F94" s="73">
        <f t="shared" si="11"/>
        <v>417833</v>
      </c>
      <c r="G94" s="73">
        <f t="shared" si="11"/>
        <v>423975</v>
      </c>
      <c r="H94" s="73">
        <f t="shared" si="11"/>
        <v>438900</v>
      </c>
      <c r="I94" s="73">
        <f t="shared" si="11"/>
        <v>444006</v>
      </c>
      <c r="J94" s="73">
        <f t="shared" si="11"/>
        <v>449574</v>
      </c>
      <c r="K94" s="73">
        <f t="shared" si="11"/>
        <v>448466</v>
      </c>
      <c r="L94" s="73">
        <f t="shared" si="11"/>
        <v>448070</v>
      </c>
      <c r="M94" s="74">
        <f t="shared" si="11"/>
        <v>453542</v>
      </c>
      <c r="N94" s="153"/>
      <c r="O94" s="153"/>
    </row>
    <row r="95" spans="1:24" s="361" customFormat="1" ht="13.5" customHeight="1" thickBot="1">
      <c r="A95" s="411"/>
      <c r="B95" s="264"/>
      <c r="C95" s="264"/>
      <c r="D95" s="264"/>
      <c r="E95" s="264"/>
      <c r="F95" s="264"/>
      <c r="G95" s="264"/>
      <c r="H95" s="264"/>
      <c r="I95" s="264"/>
      <c r="J95" s="264"/>
      <c r="K95" s="264"/>
      <c r="L95" s="264"/>
      <c r="M95" s="264"/>
      <c r="N95" s="153"/>
      <c r="O95" s="153"/>
    </row>
    <row r="96" spans="1:24" s="361" customFormat="1" ht="13.5" customHeight="1" thickBot="1">
      <c r="A96" s="411"/>
      <c r="B96" s="265">
        <v>40544</v>
      </c>
      <c r="C96" s="266">
        <v>40575</v>
      </c>
      <c r="D96" s="266">
        <v>40603</v>
      </c>
      <c r="E96" s="414">
        <v>40634</v>
      </c>
      <c r="F96" s="266">
        <v>40664</v>
      </c>
      <c r="G96" s="266">
        <v>40695</v>
      </c>
      <c r="H96" s="266">
        <v>40725</v>
      </c>
      <c r="I96" s="266">
        <v>40756</v>
      </c>
      <c r="J96" s="266">
        <v>40787</v>
      </c>
      <c r="K96" s="266">
        <v>40817</v>
      </c>
      <c r="L96" s="266">
        <v>40848</v>
      </c>
      <c r="M96" s="271">
        <v>40878</v>
      </c>
      <c r="N96" s="153"/>
      <c r="O96" s="153"/>
    </row>
    <row r="97" spans="1:15" s="361" customFormat="1" ht="13.5" customHeight="1">
      <c r="A97" s="92" t="s">
        <v>127</v>
      </c>
      <c r="B97" s="64">
        <f t="shared" ref="B97:M97" si="12">B98+B99</f>
        <v>245193</v>
      </c>
      <c r="C97" s="39">
        <f t="shared" si="12"/>
        <v>247770</v>
      </c>
      <c r="D97" s="39">
        <f t="shared" si="12"/>
        <v>248802</v>
      </c>
      <c r="E97" s="39">
        <f t="shared" si="12"/>
        <v>250887</v>
      </c>
      <c r="F97" s="39">
        <f t="shared" si="12"/>
        <v>253821</v>
      </c>
      <c r="G97" s="39">
        <f t="shared" si="12"/>
        <v>253364</v>
      </c>
      <c r="H97" s="39">
        <f t="shared" si="12"/>
        <v>251289</v>
      </c>
      <c r="I97" s="39">
        <f t="shared" si="12"/>
        <v>250966</v>
      </c>
      <c r="J97" s="39">
        <f t="shared" si="12"/>
        <v>251235</v>
      </c>
      <c r="K97" s="39">
        <f t="shared" si="12"/>
        <v>253389</v>
      </c>
      <c r="L97" s="39">
        <f t="shared" si="12"/>
        <v>253441</v>
      </c>
      <c r="M97" s="41">
        <f t="shared" si="12"/>
        <v>253518</v>
      </c>
      <c r="N97" s="153"/>
      <c r="O97" s="153"/>
    </row>
    <row r="98" spans="1:15" s="361" customFormat="1" ht="13.5" customHeight="1">
      <c r="A98" s="412" t="s">
        <v>128</v>
      </c>
      <c r="B98" s="64">
        <v>170608</v>
      </c>
      <c r="C98" s="39">
        <v>173108</v>
      </c>
      <c r="D98" s="39">
        <v>173847</v>
      </c>
      <c r="E98" s="39">
        <v>175517</v>
      </c>
      <c r="F98" s="39">
        <v>178511</v>
      </c>
      <c r="G98" s="39">
        <v>177419</v>
      </c>
      <c r="H98" s="39">
        <v>175887</v>
      </c>
      <c r="I98" s="39">
        <v>174935</v>
      </c>
      <c r="J98" s="39">
        <v>174703</v>
      </c>
      <c r="K98" s="39">
        <v>174649</v>
      </c>
      <c r="L98" s="39">
        <v>174392</v>
      </c>
      <c r="M98" s="41">
        <v>173403</v>
      </c>
      <c r="N98" s="153"/>
      <c r="O98" s="153"/>
    </row>
    <row r="99" spans="1:15" s="361" customFormat="1" ht="13.5" customHeight="1">
      <c r="A99" s="412" t="s">
        <v>129</v>
      </c>
      <c r="B99" s="64">
        <v>74585</v>
      </c>
      <c r="C99" s="39">
        <v>74662</v>
      </c>
      <c r="D99" s="39">
        <v>74955</v>
      </c>
      <c r="E99" s="39">
        <v>75370</v>
      </c>
      <c r="F99" s="39">
        <v>75310</v>
      </c>
      <c r="G99" s="39">
        <v>75945</v>
      </c>
      <c r="H99" s="39">
        <v>75402</v>
      </c>
      <c r="I99" s="39">
        <v>76031</v>
      </c>
      <c r="J99" s="39">
        <v>76532</v>
      </c>
      <c r="K99" s="39">
        <v>78740</v>
      </c>
      <c r="L99" s="39">
        <v>79049</v>
      </c>
      <c r="M99" s="41">
        <v>80115</v>
      </c>
      <c r="N99" s="153"/>
      <c r="O99" s="153"/>
    </row>
    <row r="100" spans="1:15" s="361" customFormat="1" ht="13.5" customHeight="1">
      <c r="A100" s="412" t="s">
        <v>109</v>
      </c>
      <c r="B100" s="64">
        <v>184560</v>
      </c>
      <c r="C100" s="39">
        <v>190980</v>
      </c>
      <c r="D100" s="39">
        <v>188194</v>
      </c>
      <c r="E100" s="39">
        <v>190377</v>
      </c>
      <c r="F100" s="39">
        <v>192396</v>
      </c>
      <c r="G100" s="39">
        <v>197277</v>
      </c>
      <c r="H100" s="39">
        <v>202605</v>
      </c>
      <c r="I100" s="39">
        <v>208490</v>
      </c>
      <c r="J100" s="39">
        <v>213202</v>
      </c>
      <c r="K100" s="39">
        <v>224858</v>
      </c>
      <c r="L100" s="39">
        <v>234420</v>
      </c>
      <c r="M100" s="41">
        <v>247648</v>
      </c>
      <c r="N100" s="153"/>
      <c r="O100" s="153"/>
    </row>
    <row r="101" spans="1:15" s="361" customFormat="1" ht="13.5" customHeight="1">
      <c r="A101" s="412" t="s">
        <v>130</v>
      </c>
      <c r="B101" s="64">
        <v>32372</v>
      </c>
      <c r="C101" s="39">
        <v>32197</v>
      </c>
      <c r="D101" s="39">
        <v>32004</v>
      </c>
      <c r="E101" s="39">
        <v>31591</v>
      </c>
      <c r="F101" s="39">
        <v>31636</v>
      </c>
      <c r="G101" s="39">
        <v>31250</v>
      </c>
      <c r="H101" s="39">
        <v>31246</v>
      </c>
      <c r="I101" s="39">
        <v>31164</v>
      </c>
      <c r="J101" s="39">
        <v>31409</v>
      </c>
      <c r="K101" s="39">
        <v>32081</v>
      </c>
      <c r="L101" s="39">
        <v>33477</v>
      </c>
      <c r="M101" s="41">
        <v>33634</v>
      </c>
      <c r="N101" s="153"/>
      <c r="O101" s="153"/>
    </row>
    <row r="102" spans="1:15" s="361" customFormat="1" ht="13.5" customHeight="1" thickBot="1">
      <c r="A102" s="413" t="s">
        <v>3</v>
      </c>
      <c r="B102" s="72">
        <f t="shared" ref="B102:M102" si="13">SUM(B98:B101)</f>
        <v>462125</v>
      </c>
      <c r="C102" s="73">
        <f t="shared" si="13"/>
        <v>470947</v>
      </c>
      <c r="D102" s="73">
        <f t="shared" si="13"/>
        <v>469000</v>
      </c>
      <c r="E102" s="73">
        <f t="shared" si="13"/>
        <v>472855</v>
      </c>
      <c r="F102" s="73">
        <f t="shared" si="13"/>
        <v>477853</v>
      </c>
      <c r="G102" s="73">
        <f t="shared" si="13"/>
        <v>481891</v>
      </c>
      <c r="H102" s="73">
        <f t="shared" si="13"/>
        <v>485140</v>
      </c>
      <c r="I102" s="73">
        <f t="shared" si="13"/>
        <v>490620</v>
      </c>
      <c r="J102" s="73">
        <f t="shared" si="13"/>
        <v>495846</v>
      </c>
      <c r="K102" s="73">
        <f t="shared" si="13"/>
        <v>510328</v>
      </c>
      <c r="L102" s="73">
        <f t="shared" si="13"/>
        <v>521338</v>
      </c>
      <c r="M102" s="74">
        <f t="shared" si="13"/>
        <v>534800</v>
      </c>
      <c r="N102" s="153"/>
      <c r="O102" s="153"/>
    </row>
    <row r="103" spans="1:15" s="361" customFormat="1" ht="13.5" customHeight="1" thickBot="1">
      <c r="A103" s="411"/>
      <c r="B103" s="264"/>
      <c r="C103" s="264"/>
      <c r="D103" s="264"/>
      <c r="E103" s="264"/>
      <c r="F103" s="264"/>
      <c r="G103" s="264"/>
      <c r="H103" s="264"/>
      <c r="I103" s="264"/>
      <c r="J103" s="264"/>
      <c r="K103" s="264"/>
      <c r="L103" s="264"/>
      <c r="M103" s="264"/>
      <c r="N103" s="153"/>
      <c r="O103" s="153"/>
    </row>
    <row r="104" spans="1:15" s="361" customFormat="1" ht="13.5" customHeight="1" thickBot="1">
      <c r="A104" s="411"/>
      <c r="B104" s="265">
        <v>40909</v>
      </c>
      <c r="C104" s="266">
        <v>40940</v>
      </c>
      <c r="D104" s="266">
        <v>40969</v>
      </c>
      <c r="E104" s="266">
        <v>41000</v>
      </c>
      <c r="F104" s="266">
        <v>41030</v>
      </c>
      <c r="G104" s="266">
        <v>41061</v>
      </c>
      <c r="H104" s="266">
        <v>41091</v>
      </c>
      <c r="I104" s="266">
        <v>41122</v>
      </c>
      <c r="J104" s="266">
        <v>41153</v>
      </c>
      <c r="K104" s="266">
        <v>41183</v>
      </c>
      <c r="L104" s="266">
        <v>41214</v>
      </c>
      <c r="M104" s="271">
        <v>41244</v>
      </c>
      <c r="N104" s="153"/>
      <c r="O104" s="153"/>
    </row>
    <row r="105" spans="1:15" s="361" customFormat="1" ht="13.5" customHeight="1">
      <c r="A105" s="92" t="s">
        <v>127</v>
      </c>
      <c r="B105" s="64">
        <f t="shared" ref="B105:M105" si="14">B106+B107</f>
        <v>251953</v>
      </c>
      <c r="C105" s="39">
        <f t="shared" si="14"/>
        <v>250720</v>
      </c>
      <c r="D105" s="39">
        <f t="shared" si="14"/>
        <v>247670</v>
      </c>
      <c r="E105" s="39">
        <f t="shared" si="14"/>
        <v>243566</v>
      </c>
      <c r="F105" s="39">
        <f t="shared" si="14"/>
        <v>238855</v>
      </c>
      <c r="G105" s="39">
        <f t="shared" si="14"/>
        <v>236661</v>
      </c>
      <c r="H105" s="39">
        <f t="shared" si="14"/>
        <v>233979</v>
      </c>
      <c r="I105" s="39">
        <f t="shared" si="14"/>
        <v>233520</v>
      </c>
      <c r="J105" s="39">
        <f t="shared" si="14"/>
        <v>232416</v>
      </c>
      <c r="K105" s="39">
        <f t="shared" si="14"/>
        <v>230070</v>
      </c>
      <c r="L105" s="39">
        <f t="shared" si="14"/>
        <v>228183</v>
      </c>
      <c r="M105" s="344">
        <f t="shared" si="14"/>
        <v>225465</v>
      </c>
      <c r="N105" s="153"/>
      <c r="O105" s="153"/>
    </row>
    <row r="106" spans="1:15" s="361" customFormat="1" ht="13.5" customHeight="1">
      <c r="A106" s="412" t="s">
        <v>128</v>
      </c>
      <c r="B106" s="64">
        <v>172329</v>
      </c>
      <c r="C106" s="39">
        <v>171110</v>
      </c>
      <c r="D106" s="39">
        <v>169323</v>
      </c>
      <c r="E106" s="39">
        <v>166553</v>
      </c>
      <c r="F106" s="39">
        <v>162018</v>
      </c>
      <c r="G106" s="39">
        <v>160193</v>
      </c>
      <c r="H106" s="39">
        <v>158415</v>
      </c>
      <c r="I106" s="39">
        <v>157128</v>
      </c>
      <c r="J106" s="39">
        <v>156080</v>
      </c>
      <c r="K106" s="39">
        <v>155773</v>
      </c>
      <c r="L106" s="39">
        <v>155205</v>
      </c>
      <c r="M106" s="344">
        <v>153736</v>
      </c>
      <c r="N106" s="153"/>
      <c r="O106" s="153"/>
    </row>
    <row r="107" spans="1:15" s="361" customFormat="1" ht="13.5" customHeight="1">
      <c r="A107" s="412" t="s">
        <v>129</v>
      </c>
      <c r="B107" s="64">
        <v>79624</v>
      </c>
      <c r="C107" s="39">
        <v>79610</v>
      </c>
      <c r="D107" s="39">
        <v>78347</v>
      </c>
      <c r="E107" s="39">
        <v>77013</v>
      </c>
      <c r="F107" s="39">
        <v>76837</v>
      </c>
      <c r="G107" s="39">
        <v>76468</v>
      </c>
      <c r="H107" s="39">
        <v>75564</v>
      </c>
      <c r="I107" s="39">
        <v>76392</v>
      </c>
      <c r="J107" s="39">
        <v>76336</v>
      </c>
      <c r="K107" s="39">
        <v>74297</v>
      </c>
      <c r="L107" s="39">
        <v>72978</v>
      </c>
      <c r="M107" s="344">
        <v>71729</v>
      </c>
      <c r="N107" s="153"/>
      <c r="O107" s="153"/>
    </row>
    <row r="108" spans="1:15" s="361" customFormat="1" ht="13.5" customHeight="1">
      <c r="A108" s="412" t="s">
        <v>109</v>
      </c>
      <c r="B108" s="64">
        <v>249633</v>
      </c>
      <c r="C108" s="39">
        <v>248816</v>
      </c>
      <c r="D108" s="39">
        <v>251964</v>
      </c>
      <c r="E108" s="39">
        <v>253376</v>
      </c>
      <c r="F108" s="39">
        <v>256585</v>
      </c>
      <c r="G108" s="39">
        <v>258077</v>
      </c>
      <c r="H108" s="39">
        <v>259401</v>
      </c>
      <c r="I108" s="39">
        <v>258228</v>
      </c>
      <c r="J108" s="39">
        <v>261509</v>
      </c>
      <c r="K108" s="39">
        <v>253554</v>
      </c>
      <c r="L108" s="39">
        <v>247837</v>
      </c>
      <c r="M108" s="344">
        <v>234569</v>
      </c>
      <c r="N108" s="153"/>
      <c r="O108" s="153"/>
    </row>
    <row r="109" spans="1:15" s="361" customFormat="1" ht="13.5" customHeight="1">
      <c r="A109" s="412" t="s">
        <v>130</v>
      </c>
      <c r="B109" s="64">
        <v>33884</v>
      </c>
      <c r="C109" s="39">
        <v>34528</v>
      </c>
      <c r="D109" s="39">
        <v>35586</v>
      </c>
      <c r="E109" s="39">
        <v>35915</v>
      </c>
      <c r="F109" s="39">
        <v>34757</v>
      </c>
      <c r="G109" s="39">
        <v>35629</v>
      </c>
      <c r="H109" s="39">
        <v>35507</v>
      </c>
      <c r="I109" s="39">
        <v>37372</v>
      </c>
      <c r="J109" s="39">
        <v>38261</v>
      </c>
      <c r="K109" s="39">
        <v>37613</v>
      </c>
      <c r="L109" s="39">
        <v>38247</v>
      </c>
      <c r="M109" s="344">
        <v>35462</v>
      </c>
      <c r="N109" s="153"/>
      <c r="O109" s="153"/>
    </row>
    <row r="110" spans="1:15" s="361" customFormat="1" ht="13.5" customHeight="1" thickBot="1">
      <c r="A110" s="413" t="s">
        <v>3</v>
      </c>
      <c r="B110" s="72">
        <f t="shared" ref="B110:M110" si="15">SUM(B106:B109)</f>
        <v>535470</v>
      </c>
      <c r="C110" s="73">
        <f t="shared" si="15"/>
        <v>534064</v>
      </c>
      <c r="D110" s="73">
        <f t="shared" si="15"/>
        <v>535220</v>
      </c>
      <c r="E110" s="73">
        <f t="shared" si="15"/>
        <v>532857</v>
      </c>
      <c r="F110" s="73">
        <f t="shared" si="15"/>
        <v>530197</v>
      </c>
      <c r="G110" s="73">
        <f t="shared" si="15"/>
        <v>530367</v>
      </c>
      <c r="H110" s="73">
        <f t="shared" si="15"/>
        <v>528887</v>
      </c>
      <c r="I110" s="73">
        <f t="shared" si="15"/>
        <v>529120</v>
      </c>
      <c r="J110" s="73">
        <f t="shared" si="15"/>
        <v>532186</v>
      </c>
      <c r="K110" s="73">
        <f t="shared" si="15"/>
        <v>521237</v>
      </c>
      <c r="L110" s="73">
        <f t="shared" si="15"/>
        <v>514267</v>
      </c>
      <c r="M110" s="351">
        <f t="shared" si="15"/>
        <v>495496</v>
      </c>
      <c r="N110" s="153"/>
      <c r="O110" s="153"/>
    </row>
    <row r="111" spans="1:15" s="361" customFormat="1" ht="13.5" customHeight="1" thickBot="1">
      <c r="A111" s="411"/>
      <c r="B111" s="264"/>
      <c r="C111" s="264"/>
      <c r="D111" s="264"/>
      <c r="E111" s="264"/>
      <c r="F111" s="264"/>
      <c r="G111" s="264"/>
      <c r="H111" s="264"/>
      <c r="I111" s="264"/>
      <c r="J111" s="264"/>
      <c r="K111" s="264"/>
      <c r="L111" s="264"/>
      <c r="M111" s="75"/>
      <c r="N111" s="153"/>
      <c r="O111" s="153"/>
    </row>
    <row r="112" spans="1:15" s="361" customFormat="1" ht="13.5" customHeight="1" thickBot="1">
      <c r="A112" s="411"/>
      <c r="B112" s="265">
        <v>41275</v>
      </c>
      <c r="C112" s="266">
        <v>41306</v>
      </c>
      <c r="D112" s="266">
        <v>41334</v>
      </c>
      <c r="E112" s="266">
        <v>41365</v>
      </c>
      <c r="F112" s="266">
        <v>41395</v>
      </c>
      <c r="G112" s="266">
        <v>41426</v>
      </c>
      <c r="H112" s="266">
        <v>41456</v>
      </c>
      <c r="I112" s="266">
        <v>41487</v>
      </c>
      <c r="J112" s="266">
        <v>41518</v>
      </c>
      <c r="K112" s="266">
        <v>41548</v>
      </c>
      <c r="L112" s="266">
        <v>41579</v>
      </c>
      <c r="M112" s="271">
        <v>41609</v>
      </c>
      <c r="N112" s="153"/>
      <c r="O112" s="153"/>
    </row>
    <row r="113" spans="1:15" s="361" customFormat="1" ht="13.5" customHeight="1">
      <c r="A113" s="176" t="s">
        <v>127</v>
      </c>
      <c r="B113" s="346">
        <f t="shared" ref="B113:M113" si="16">B114+B115</f>
        <v>229215</v>
      </c>
      <c r="C113" s="269">
        <f t="shared" si="16"/>
        <v>233453</v>
      </c>
      <c r="D113" s="269">
        <f t="shared" si="16"/>
        <v>238228</v>
      </c>
      <c r="E113" s="269">
        <f t="shared" si="16"/>
        <v>237529</v>
      </c>
      <c r="F113" s="269">
        <f t="shared" si="16"/>
        <v>233924</v>
      </c>
      <c r="G113" s="269">
        <f t="shared" si="16"/>
        <v>229584</v>
      </c>
      <c r="H113" s="269">
        <f t="shared" si="16"/>
        <v>224280</v>
      </c>
      <c r="I113" s="269">
        <f t="shared" si="16"/>
        <v>217102</v>
      </c>
      <c r="J113" s="269">
        <f t="shared" si="16"/>
        <v>212840</v>
      </c>
      <c r="K113" s="269">
        <f t="shared" si="16"/>
        <v>208804</v>
      </c>
      <c r="L113" s="269">
        <f t="shared" si="16"/>
        <v>204147</v>
      </c>
      <c r="M113" s="343">
        <f t="shared" si="16"/>
        <v>200085</v>
      </c>
      <c r="N113" s="153"/>
      <c r="O113" s="153"/>
    </row>
    <row r="114" spans="1:15" s="361" customFormat="1" ht="13.5" customHeight="1">
      <c r="A114" s="415" t="s">
        <v>128</v>
      </c>
      <c r="B114" s="347">
        <v>157484</v>
      </c>
      <c r="C114" s="270">
        <v>161437</v>
      </c>
      <c r="D114" s="270">
        <v>162993</v>
      </c>
      <c r="E114" s="270">
        <v>160896</v>
      </c>
      <c r="F114" s="270">
        <v>157832</v>
      </c>
      <c r="G114" s="270">
        <v>154432</v>
      </c>
      <c r="H114" s="39">
        <v>150856</v>
      </c>
      <c r="I114" s="39">
        <v>147221</v>
      </c>
      <c r="J114" s="39">
        <v>144983</v>
      </c>
      <c r="K114" s="39">
        <v>142386</v>
      </c>
      <c r="L114" s="39">
        <v>139461</v>
      </c>
      <c r="M114" s="344">
        <v>136892</v>
      </c>
      <c r="N114" s="175"/>
      <c r="O114" s="175"/>
    </row>
    <row r="115" spans="1:15" s="361" customFormat="1" ht="13.5" customHeight="1">
      <c r="A115" s="415" t="s">
        <v>129</v>
      </c>
      <c r="B115" s="347">
        <v>71731</v>
      </c>
      <c r="C115" s="270">
        <v>72016</v>
      </c>
      <c r="D115" s="270">
        <v>75235</v>
      </c>
      <c r="E115" s="270">
        <v>76633</v>
      </c>
      <c r="F115" s="270">
        <v>76092</v>
      </c>
      <c r="G115" s="270">
        <v>75152</v>
      </c>
      <c r="H115" s="39">
        <v>73424</v>
      </c>
      <c r="I115" s="39">
        <v>69881</v>
      </c>
      <c r="J115" s="39">
        <v>67857</v>
      </c>
      <c r="K115" s="39">
        <v>66418</v>
      </c>
      <c r="L115" s="39">
        <v>64686</v>
      </c>
      <c r="M115" s="344">
        <v>63193</v>
      </c>
      <c r="N115" s="153"/>
      <c r="O115" s="153"/>
    </row>
    <row r="116" spans="1:15" s="361" customFormat="1" ht="13.5" customHeight="1">
      <c r="A116" s="415" t="s">
        <v>109</v>
      </c>
      <c r="B116" s="347">
        <v>231605</v>
      </c>
      <c r="C116" s="270">
        <v>229225</v>
      </c>
      <c r="D116" s="270">
        <v>231787</v>
      </c>
      <c r="E116" s="270">
        <v>230860</v>
      </c>
      <c r="F116" s="270">
        <v>225486</v>
      </c>
      <c r="G116" s="270">
        <v>223720</v>
      </c>
      <c r="H116" s="39">
        <v>216251</v>
      </c>
      <c r="I116" s="39">
        <v>211665</v>
      </c>
      <c r="J116" s="39">
        <v>206226</v>
      </c>
      <c r="K116" s="39">
        <v>205796</v>
      </c>
      <c r="L116" s="39">
        <v>203326</v>
      </c>
      <c r="M116" s="344">
        <v>205942</v>
      </c>
      <c r="N116" s="153"/>
      <c r="O116" s="153"/>
    </row>
    <row r="117" spans="1:15" s="361" customFormat="1" ht="13.5" customHeight="1">
      <c r="A117" s="415" t="s">
        <v>130</v>
      </c>
      <c r="B117" s="347">
        <v>34753</v>
      </c>
      <c r="C117" s="270">
        <v>33756</v>
      </c>
      <c r="D117" s="270">
        <v>32281</v>
      </c>
      <c r="E117" s="270">
        <v>31626</v>
      </c>
      <c r="F117" s="270">
        <v>31556</v>
      </c>
      <c r="G117" s="270">
        <v>32373</v>
      </c>
      <c r="H117" s="39">
        <v>30989</v>
      </c>
      <c r="I117" s="39">
        <v>28902</v>
      </c>
      <c r="J117" s="39">
        <v>27923</v>
      </c>
      <c r="K117" s="39">
        <v>26471</v>
      </c>
      <c r="L117" s="39">
        <v>25809</v>
      </c>
      <c r="M117" s="344">
        <v>26858</v>
      </c>
      <c r="N117" s="153"/>
      <c r="O117" s="153"/>
    </row>
    <row r="118" spans="1:15" s="361" customFormat="1" ht="13.5" customHeight="1" thickBot="1">
      <c r="A118" s="416" t="s">
        <v>3</v>
      </c>
      <c r="B118" s="349">
        <f t="shared" ref="B118:M118" si="17">SUM(B114:B117)</f>
        <v>495573</v>
      </c>
      <c r="C118" s="350">
        <f t="shared" si="17"/>
        <v>496434</v>
      </c>
      <c r="D118" s="350">
        <f t="shared" si="17"/>
        <v>502296</v>
      </c>
      <c r="E118" s="350">
        <f t="shared" si="17"/>
        <v>500015</v>
      </c>
      <c r="F118" s="350">
        <f t="shared" si="17"/>
        <v>490966</v>
      </c>
      <c r="G118" s="350">
        <f t="shared" si="17"/>
        <v>485677</v>
      </c>
      <c r="H118" s="350">
        <f t="shared" si="17"/>
        <v>471520</v>
      </c>
      <c r="I118" s="350">
        <f t="shared" si="17"/>
        <v>457669</v>
      </c>
      <c r="J118" s="350">
        <f t="shared" si="17"/>
        <v>446989</v>
      </c>
      <c r="K118" s="350">
        <f t="shared" si="17"/>
        <v>441071</v>
      </c>
      <c r="L118" s="350">
        <f t="shared" si="17"/>
        <v>433282</v>
      </c>
      <c r="M118" s="351">
        <f t="shared" si="17"/>
        <v>432885</v>
      </c>
      <c r="N118" s="153"/>
      <c r="O118" s="153"/>
    </row>
    <row r="119" spans="1:15" s="361" customFormat="1" ht="13.5" customHeight="1" thickBot="1">
      <c r="A119" s="411"/>
      <c r="B119" s="75"/>
      <c r="C119" s="75"/>
      <c r="D119" s="75"/>
      <c r="E119" s="75"/>
      <c r="F119" s="75"/>
      <c r="G119" s="75"/>
      <c r="H119" s="75"/>
      <c r="I119" s="75"/>
      <c r="J119" s="172"/>
      <c r="K119" s="172"/>
      <c r="L119" s="172"/>
      <c r="M119" s="172"/>
      <c r="N119" s="153"/>
      <c r="O119" s="153"/>
    </row>
    <row r="120" spans="1:15" s="361" customFormat="1" ht="13.5" customHeight="1" thickBot="1">
      <c r="A120" s="411"/>
      <c r="B120" s="417">
        <v>41640</v>
      </c>
      <c r="C120" s="418">
        <v>41671</v>
      </c>
      <c r="D120" s="418">
        <v>41699</v>
      </c>
      <c r="E120" s="418">
        <v>41730</v>
      </c>
      <c r="F120" s="418">
        <v>41760</v>
      </c>
      <c r="G120" s="418">
        <v>41791</v>
      </c>
      <c r="H120" s="418">
        <v>41821</v>
      </c>
      <c r="I120" s="418">
        <v>41852</v>
      </c>
      <c r="J120" s="418">
        <v>41883</v>
      </c>
      <c r="K120" s="418">
        <v>41913</v>
      </c>
      <c r="L120" s="418">
        <v>41944</v>
      </c>
      <c r="M120" s="419">
        <v>41974</v>
      </c>
      <c r="N120" s="153"/>
      <c r="O120" s="153"/>
    </row>
    <row r="121" spans="1:15" s="361" customFormat="1" ht="13.5" customHeight="1">
      <c r="A121" s="92" t="s">
        <v>127</v>
      </c>
      <c r="B121" s="63">
        <f>B122+B123</f>
        <v>188923</v>
      </c>
      <c r="C121" s="37">
        <f t="shared" ref="C121:M121" si="18">C122+C123</f>
        <v>178339</v>
      </c>
      <c r="D121" s="37">
        <f t="shared" si="18"/>
        <v>169961</v>
      </c>
      <c r="E121" s="37">
        <f t="shared" si="18"/>
        <v>166952</v>
      </c>
      <c r="F121" s="37">
        <f t="shared" si="18"/>
        <v>164669</v>
      </c>
      <c r="G121" s="37">
        <f t="shared" si="18"/>
        <v>164213</v>
      </c>
      <c r="H121" s="37">
        <f t="shared" si="18"/>
        <v>164882</v>
      </c>
      <c r="I121" s="37">
        <f t="shared" si="18"/>
        <v>166234</v>
      </c>
      <c r="J121" s="37">
        <f t="shared" si="18"/>
        <v>165362</v>
      </c>
      <c r="K121" s="37">
        <f t="shared" si="18"/>
        <v>163446</v>
      </c>
      <c r="L121" s="37">
        <f t="shared" si="18"/>
        <v>161694</v>
      </c>
      <c r="M121" s="38">
        <f t="shared" si="18"/>
        <v>161146</v>
      </c>
      <c r="N121" s="153"/>
      <c r="O121" s="153"/>
    </row>
    <row r="122" spans="1:15" s="361" customFormat="1" ht="13.5" customHeight="1">
      <c r="A122" s="412" t="s">
        <v>128</v>
      </c>
      <c r="B122" s="64">
        <v>128505</v>
      </c>
      <c r="C122" s="39">
        <v>120321</v>
      </c>
      <c r="D122" s="39">
        <v>116130</v>
      </c>
      <c r="E122" s="39">
        <v>115836</v>
      </c>
      <c r="F122" s="39">
        <v>115713</v>
      </c>
      <c r="G122" s="39">
        <v>116127</v>
      </c>
      <c r="H122" s="39">
        <v>116996</v>
      </c>
      <c r="I122" s="39">
        <v>117587</v>
      </c>
      <c r="J122" s="39">
        <v>117234</v>
      </c>
      <c r="K122" s="39">
        <v>116151</v>
      </c>
      <c r="L122" s="39">
        <v>115028</v>
      </c>
      <c r="M122" s="41">
        <v>114589</v>
      </c>
      <c r="N122" s="175"/>
      <c r="O122" s="175"/>
    </row>
    <row r="123" spans="1:15" s="361" customFormat="1" ht="13.5" customHeight="1">
      <c r="A123" s="412" t="s">
        <v>129</v>
      </c>
      <c r="B123" s="64">
        <v>60418</v>
      </c>
      <c r="C123" s="39">
        <v>58018</v>
      </c>
      <c r="D123" s="39">
        <v>53831</v>
      </c>
      <c r="E123" s="39">
        <v>51116</v>
      </c>
      <c r="F123" s="39">
        <v>48956</v>
      </c>
      <c r="G123" s="39">
        <v>48086</v>
      </c>
      <c r="H123" s="39">
        <v>47886</v>
      </c>
      <c r="I123" s="39">
        <v>48647</v>
      </c>
      <c r="J123" s="39">
        <v>48128</v>
      </c>
      <c r="K123" s="39">
        <v>47295</v>
      </c>
      <c r="L123" s="39">
        <v>46666</v>
      </c>
      <c r="M123" s="41">
        <v>46557</v>
      </c>
      <c r="N123" s="153"/>
      <c r="O123" s="153"/>
    </row>
    <row r="124" spans="1:15" s="361" customFormat="1" ht="13.5" customHeight="1">
      <c r="A124" s="412" t="s">
        <v>109</v>
      </c>
      <c r="B124" s="64">
        <v>204607</v>
      </c>
      <c r="C124" s="39">
        <v>201925</v>
      </c>
      <c r="D124" s="39">
        <v>201072</v>
      </c>
      <c r="E124" s="39">
        <v>196686</v>
      </c>
      <c r="F124" s="39">
        <v>195720</v>
      </c>
      <c r="G124" s="39">
        <v>195847</v>
      </c>
      <c r="H124" s="39">
        <v>197005</v>
      </c>
      <c r="I124" s="39">
        <v>197683</v>
      </c>
      <c r="J124" s="39">
        <v>194912</v>
      </c>
      <c r="K124" s="39">
        <v>191286</v>
      </c>
      <c r="L124" s="39">
        <v>188738</v>
      </c>
      <c r="M124" s="41">
        <v>187904</v>
      </c>
      <c r="N124" s="153"/>
      <c r="O124" s="153"/>
    </row>
    <row r="125" spans="1:15" s="361" customFormat="1" ht="13.5" customHeight="1">
      <c r="A125" s="412" t="s">
        <v>130</v>
      </c>
      <c r="B125" s="64">
        <v>26922</v>
      </c>
      <c r="C125" s="39">
        <v>27259</v>
      </c>
      <c r="D125" s="39">
        <v>29456</v>
      </c>
      <c r="E125" s="39">
        <v>29021</v>
      </c>
      <c r="F125" s="39">
        <v>29055</v>
      </c>
      <c r="G125" s="39">
        <v>27688</v>
      </c>
      <c r="H125" s="39">
        <v>29587</v>
      </c>
      <c r="I125" s="39">
        <v>30237</v>
      </c>
      <c r="J125" s="39">
        <v>30727</v>
      </c>
      <c r="K125" s="39">
        <v>32770</v>
      </c>
      <c r="L125" s="39">
        <v>31269</v>
      </c>
      <c r="M125" s="41">
        <v>32025</v>
      </c>
      <c r="N125" s="153"/>
      <c r="O125" s="153"/>
    </row>
    <row r="126" spans="1:15" s="361" customFormat="1" ht="13.5" customHeight="1" thickBot="1">
      <c r="A126" s="413" t="s">
        <v>3</v>
      </c>
      <c r="B126" s="72">
        <f t="shared" ref="B126:M126" si="19">SUM(B122:B125)</f>
        <v>420452</v>
      </c>
      <c r="C126" s="73">
        <f t="shared" si="19"/>
        <v>407523</v>
      </c>
      <c r="D126" s="73">
        <f t="shared" si="19"/>
        <v>400489</v>
      </c>
      <c r="E126" s="73">
        <f t="shared" si="19"/>
        <v>392659</v>
      </c>
      <c r="F126" s="73">
        <f t="shared" si="19"/>
        <v>389444</v>
      </c>
      <c r="G126" s="73">
        <f t="shared" si="19"/>
        <v>387748</v>
      </c>
      <c r="H126" s="73">
        <f t="shared" si="19"/>
        <v>391474</v>
      </c>
      <c r="I126" s="73">
        <f t="shared" si="19"/>
        <v>394154</v>
      </c>
      <c r="J126" s="73">
        <f t="shared" si="19"/>
        <v>391001</v>
      </c>
      <c r="K126" s="73">
        <f t="shared" si="19"/>
        <v>387502</v>
      </c>
      <c r="L126" s="73">
        <f t="shared" si="19"/>
        <v>381701</v>
      </c>
      <c r="M126" s="74">
        <f t="shared" si="19"/>
        <v>381075</v>
      </c>
      <c r="N126" s="153"/>
      <c r="O126" s="153"/>
    </row>
    <row r="127" spans="1:15" s="361" customFormat="1" ht="13.5" customHeight="1" thickBot="1">
      <c r="A127" s="411"/>
      <c r="B127" s="172"/>
      <c r="C127" s="172"/>
      <c r="D127" s="172"/>
      <c r="E127" s="172"/>
      <c r="F127" s="172"/>
      <c r="G127" s="172"/>
      <c r="H127" s="172"/>
      <c r="I127" s="172"/>
      <c r="J127" s="172"/>
      <c r="K127" s="172"/>
      <c r="L127" s="172"/>
      <c r="M127" s="172"/>
      <c r="N127" s="153"/>
      <c r="O127" s="153"/>
    </row>
    <row r="128" spans="1:15" s="361" customFormat="1" ht="13.5" customHeight="1" thickBot="1">
      <c r="A128" s="411"/>
      <c r="B128" s="417">
        <v>42005</v>
      </c>
      <c r="C128" s="418">
        <v>42036</v>
      </c>
      <c r="D128" s="418">
        <v>42064</v>
      </c>
      <c r="E128" s="418">
        <v>42095</v>
      </c>
      <c r="F128" s="418">
        <v>42125</v>
      </c>
      <c r="G128" s="418">
        <v>42156</v>
      </c>
      <c r="H128" s="418">
        <v>42186</v>
      </c>
      <c r="I128" s="418">
        <v>42217</v>
      </c>
      <c r="J128" s="418">
        <v>42248</v>
      </c>
      <c r="K128" s="418">
        <v>42278</v>
      </c>
      <c r="L128" s="418">
        <v>42309</v>
      </c>
      <c r="M128" s="419">
        <v>42339</v>
      </c>
      <c r="N128" s="153"/>
      <c r="O128" s="153"/>
    </row>
    <row r="129" spans="1:15" s="361" customFormat="1" ht="13.5" customHeight="1">
      <c r="A129" s="92" t="s">
        <v>127</v>
      </c>
      <c r="B129" s="63">
        <f>B130+B131</f>
        <v>160524</v>
      </c>
      <c r="C129" s="37">
        <f t="shared" ref="C129:M129" si="20">C130+C131</f>
        <v>159732</v>
      </c>
      <c r="D129" s="37">
        <f t="shared" si="20"/>
        <v>159023</v>
      </c>
      <c r="E129" s="37">
        <f t="shared" si="20"/>
        <v>158449</v>
      </c>
      <c r="F129" s="37">
        <f t="shared" si="20"/>
        <v>157814</v>
      </c>
      <c r="G129" s="37">
        <f t="shared" si="20"/>
        <v>159303</v>
      </c>
      <c r="H129" s="37">
        <f t="shared" si="20"/>
        <v>158262</v>
      </c>
      <c r="I129" s="37">
        <f t="shared" si="20"/>
        <v>157745</v>
      </c>
      <c r="J129" s="37">
        <f t="shared" si="20"/>
        <v>158478</v>
      </c>
      <c r="K129" s="37">
        <f t="shared" si="20"/>
        <v>158985</v>
      </c>
      <c r="L129" s="37">
        <f t="shared" si="20"/>
        <v>160232</v>
      </c>
      <c r="M129" s="38">
        <f t="shared" si="20"/>
        <v>160079</v>
      </c>
      <c r="N129" s="153"/>
      <c r="O129" s="153"/>
    </row>
    <row r="130" spans="1:15" s="361" customFormat="1" ht="13.5" customHeight="1">
      <c r="A130" s="412" t="s">
        <v>128</v>
      </c>
      <c r="B130" s="64">
        <v>113994</v>
      </c>
      <c r="C130" s="39">
        <v>112985</v>
      </c>
      <c r="D130" s="39">
        <v>112568</v>
      </c>
      <c r="E130" s="39">
        <v>112332</v>
      </c>
      <c r="F130" s="39">
        <v>112155</v>
      </c>
      <c r="G130" s="270">
        <v>112894</v>
      </c>
      <c r="H130" s="270">
        <v>111928</v>
      </c>
      <c r="I130" s="39">
        <v>111959</v>
      </c>
      <c r="J130" s="39">
        <v>111958</v>
      </c>
      <c r="K130" s="39">
        <v>111636</v>
      </c>
      <c r="L130" s="39">
        <v>112548</v>
      </c>
      <c r="M130" s="41">
        <v>112341</v>
      </c>
      <c r="N130" s="175"/>
      <c r="O130" s="175"/>
    </row>
    <row r="131" spans="1:15" s="361" customFormat="1" ht="13.5" customHeight="1">
      <c r="A131" s="412" t="s">
        <v>129</v>
      </c>
      <c r="B131" s="64">
        <v>46530</v>
      </c>
      <c r="C131" s="39">
        <v>46747</v>
      </c>
      <c r="D131" s="39">
        <v>46455</v>
      </c>
      <c r="E131" s="39">
        <v>46117</v>
      </c>
      <c r="F131" s="39">
        <v>45659</v>
      </c>
      <c r="G131" s="270">
        <v>46409</v>
      </c>
      <c r="H131" s="270">
        <v>46334</v>
      </c>
      <c r="I131" s="39">
        <v>45786</v>
      </c>
      <c r="J131" s="39">
        <v>46520</v>
      </c>
      <c r="K131" s="39">
        <v>47349</v>
      </c>
      <c r="L131" s="39">
        <v>47684</v>
      </c>
      <c r="M131" s="41">
        <v>47738</v>
      </c>
      <c r="N131" s="153"/>
      <c r="O131" s="153"/>
    </row>
    <row r="132" spans="1:15" s="361" customFormat="1" ht="13.5" customHeight="1">
      <c r="A132" s="412" t="s">
        <v>109</v>
      </c>
      <c r="B132" s="64">
        <v>188670</v>
      </c>
      <c r="C132" s="39">
        <v>187799</v>
      </c>
      <c r="D132" s="39">
        <v>185273</v>
      </c>
      <c r="E132" s="39">
        <v>187341</v>
      </c>
      <c r="F132" s="39">
        <v>185591</v>
      </c>
      <c r="G132" s="270">
        <v>185611</v>
      </c>
      <c r="H132" s="270">
        <v>182827</v>
      </c>
      <c r="I132" s="39">
        <v>182734</v>
      </c>
      <c r="J132" s="39">
        <v>186352</v>
      </c>
      <c r="K132" s="39">
        <v>189071</v>
      </c>
      <c r="L132" s="39">
        <v>193557</v>
      </c>
      <c r="M132" s="41">
        <v>197809</v>
      </c>
      <c r="N132" s="153"/>
      <c r="O132" s="153"/>
    </row>
    <row r="133" spans="1:15" s="361" customFormat="1" ht="13.5" customHeight="1">
      <c r="A133" s="412" t="s">
        <v>130</v>
      </c>
      <c r="B133" s="64">
        <v>32700</v>
      </c>
      <c r="C133" s="39">
        <v>31966</v>
      </c>
      <c r="D133" s="39">
        <v>30328</v>
      </c>
      <c r="E133" s="39">
        <v>30438</v>
      </c>
      <c r="F133" s="39">
        <v>30138</v>
      </c>
      <c r="G133" s="270">
        <v>31307</v>
      </c>
      <c r="H133" s="270">
        <v>30029</v>
      </c>
      <c r="I133" s="39">
        <v>29761</v>
      </c>
      <c r="J133" s="39">
        <v>30830</v>
      </c>
      <c r="K133" s="39">
        <v>29558</v>
      </c>
      <c r="L133" s="39">
        <v>31417</v>
      </c>
      <c r="M133" s="41">
        <v>32737</v>
      </c>
      <c r="N133" s="153"/>
      <c r="O133" s="153"/>
    </row>
    <row r="134" spans="1:15" s="361" customFormat="1" ht="13.5" customHeight="1" thickBot="1">
      <c r="A134" s="413" t="s">
        <v>3</v>
      </c>
      <c r="B134" s="72">
        <f t="shared" ref="B134:M134" si="21">SUM(B130:B133)</f>
        <v>381894</v>
      </c>
      <c r="C134" s="73">
        <f t="shared" si="21"/>
        <v>379497</v>
      </c>
      <c r="D134" s="73">
        <f t="shared" si="21"/>
        <v>374624</v>
      </c>
      <c r="E134" s="73">
        <f t="shared" si="21"/>
        <v>376228</v>
      </c>
      <c r="F134" s="73">
        <f t="shared" si="21"/>
        <v>373543</v>
      </c>
      <c r="G134" s="73">
        <f t="shared" si="21"/>
        <v>376221</v>
      </c>
      <c r="H134" s="73">
        <f t="shared" si="21"/>
        <v>371118</v>
      </c>
      <c r="I134" s="73">
        <f t="shared" si="21"/>
        <v>370240</v>
      </c>
      <c r="J134" s="73">
        <f t="shared" si="21"/>
        <v>375660</v>
      </c>
      <c r="K134" s="73">
        <f t="shared" si="21"/>
        <v>377614</v>
      </c>
      <c r="L134" s="73">
        <f t="shared" si="21"/>
        <v>385206</v>
      </c>
      <c r="M134" s="74">
        <f t="shared" si="21"/>
        <v>390625</v>
      </c>
      <c r="N134" s="153"/>
      <c r="O134" s="153"/>
    </row>
    <row r="135" spans="1:15" s="361" customFormat="1" ht="13.5" customHeight="1" thickBot="1">
      <c r="A135" s="411"/>
      <c r="B135" s="264"/>
      <c r="C135" s="264"/>
      <c r="D135" s="264"/>
      <c r="E135" s="264"/>
      <c r="F135" s="264"/>
      <c r="G135" s="264"/>
      <c r="H135" s="264"/>
      <c r="I135" s="264"/>
      <c r="J135" s="264"/>
      <c r="K135" s="264"/>
      <c r="L135" s="264"/>
      <c r="M135" s="264"/>
      <c r="N135" s="153"/>
      <c r="O135" s="153"/>
    </row>
    <row r="136" spans="1:15" s="361" customFormat="1" ht="13.5" customHeight="1" thickBot="1">
      <c r="A136" s="411"/>
      <c r="B136" s="265">
        <v>42370</v>
      </c>
      <c r="C136" s="266">
        <v>42401</v>
      </c>
      <c r="D136" s="266">
        <v>42430</v>
      </c>
      <c r="E136" s="266">
        <v>42461</v>
      </c>
      <c r="F136" s="266">
        <v>42491</v>
      </c>
      <c r="G136" s="266">
        <v>42522</v>
      </c>
      <c r="H136" s="266">
        <v>42552</v>
      </c>
      <c r="I136" s="266">
        <v>42583</v>
      </c>
      <c r="J136" s="266">
        <v>42614</v>
      </c>
      <c r="K136" s="266">
        <v>42644</v>
      </c>
      <c r="L136" s="266">
        <v>42675</v>
      </c>
      <c r="M136" s="271">
        <v>42705</v>
      </c>
      <c r="N136" s="153"/>
      <c r="O136" s="153"/>
    </row>
    <row r="137" spans="1:15" s="361" customFormat="1" ht="13.5" customHeight="1">
      <c r="A137" s="92" t="s">
        <v>127</v>
      </c>
      <c r="B137" s="64">
        <f>B138+B139</f>
        <v>159807</v>
      </c>
      <c r="C137" s="39">
        <f t="shared" ref="C137:M137" si="22">C138+C139</f>
        <v>160606</v>
      </c>
      <c r="D137" s="39">
        <f t="shared" si="22"/>
        <v>160396</v>
      </c>
      <c r="E137" s="39">
        <f t="shared" si="22"/>
        <v>161129</v>
      </c>
      <c r="F137" s="39">
        <f t="shared" si="22"/>
        <v>163447</v>
      </c>
      <c r="G137" s="39">
        <f t="shared" si="22"/>
        <v>164322</v>
      </c>
      <c r="H137" s="39">
        <f t="shared" si="22"/>
        <v>162986</v>
      </c>
      <c r="I137" s="39">
        <f t="shared" si="22"/>
        <v>166813</v>
      </c>
      <c r="J137" s="39">
        <f t="shared" si="22"/>
        <v>169830</v>
      </c>
      <c r="K137" s="39">
        <f t="shared" si="22"/>
        <v>171274</v>
      </c>
      <c r="L137" s="39">
        <f t="shared" si="22"/>
        <v>174360</v>
      </c>
      <c r="M137" s="41">
        <f t="shared" si="22"/>
        <v>178611</v>
      </c>
      <c r="N137" s="153"/>
      <c r="O137" s="153"/>
    </row>
    <row r="138" spans="1:15" s="361" customFormat="1" ht="13.5" customHeight="1">
      <c r="A138" s="412" t="s">
        <v>128</v>
      </c>
      <c r="B138" s="64">
        <v>112578</v>
      </c>
      <c r="C138" s="39">
        <v>113355</v>
      </c>
      <c r="D138" s="39">
        <v>113438</v>
      </c>
      <c r="E138" s="39">
        <v>113874</v>
      </c>
      <c r="F138" s="39">
        <v>115446</v>
      </c>
      <c r="G138" s="39">
        <v>116208</v>
      </c>
      <c r="H138" s="270">
        <v>116062</v>
      </c>
      <c r="I138" s="270">
        <v>118986</v>
      </c>
      <c r="J138" s="270">
        <v>121728</v>
      </c>
      <c r="K138" s="270">
        <v>123470</v>
      </c>
      <c r="L138" s="270">
        <v>125746</v>
      </c>
      <c r="M138" s="344">
        <v>128787</v>
      </c>
      <c r="N138" s="175"/>
      <c r="O138" s="175"/>
    </row>
    <row r="139" spans="1:15" s="361" customFormat="1" ht="13.5" customHeight="1">
      <c r="A139" s="412" t="s">
        <v>129</v>
      </c>
      <c r="B139" s="64">
        <v>47229</v>
      </c>
      <c r="C139" s="39">
        <v>47251</v>
      </c>
      <c r="D139" s="39">
        <v>46958</v>
      </c>
      <c r="E139" s="39">
        <v>47255</v>
      </c>
      <c r="F139" s="39">
        <v>48001</v>
      </c>
      <c r="G139" s="39">
        <v>48114</v>
      </c>
      <c r="H139" s="270">
        <v>46924</v>
      </c>
      <c r="I139" s="270">
        <v>47827</v>
      </c>
      <c r="J139" s="270">
        <v>48102</v>
      </c>
      <c r="K139" s="270">
        <v>47804</v>
      </c>
      <c r="L139" s="270">
        <v>48614</v>
      </c>
      <c r="M139" s="344">
        <v>49824</v>
      </c>
      <c r="N139" s="153"/>
      <c r="O139" s="153"/>
    </row>
    <row r="140" spans="1:15" s="361" customFormat="1" ht="13.5" customHeight="1">
      <c r="A140" s="412" t="s">
        <v>109</v>
      </c>
      <c r="B140" s="64">
        <v>200650</v>
      </c>
      <c r="C140" s="39">
        <v>207661</v>
      </c>
      <c r="D140" s="39">
        <v>208052</v>
      </c>
      <c r="E140" s="39">
        <v>209732</v>
      </c>
      <c r="F140" s="39">
        <v>214279</v>
      </c>
      <c r="G140" s="39">
        <v>215673</v>
      </c>
      <c r="H140" s="270">
        <v>217602</v>
      </c>
      <c r="I140" s="270">
        <v>223526</v>
      </c>
      <c r="J140" s="270">
        <v>232617</v>
      </c>
      <c r="K140" s="270">
        <v>236020</v>
      </c>
      <c r="L140" s="270">
        <v>240956</v>
      </c>
      <c r="M140" s="344">
        <v>244570</v>
      </c>
      <c r="N140" s="153"/>
      <c r="O140" s="153"/>
    </row>
    <row r="141" spans="1:15" s="361" customFormat="1" ht="13.5" customHeight="1">
      <c r="A141" s="412" t="s">
        <v>130</v>
      </c>
      <c r="B141" s="64">
        <v>32693</v>
      </c>
      <c r="C141" s="39">
        <v>35254</v>
      </c>
      <c r="D141" s="39">
        <v>34815</v>
      </c>
      <c r="E141" s="39">
        <v>36570</v>
      </c>
      <c r="F141" s="39">
        <v>37268</v>
      </c>
      <c r="G141" s="39">
        <v>36391</v>
      </c>
      <c r="H141" s="270">
        <v>37122</v>
      </c>
      <c r="I141" s="270">
        <v>37167</v>
      </c>
      <c r="J141" s="270">
        <v>37253</v>
      </c>
      <c r="K141" s="270">
        <v>37585</v>
      </c>
      <c r="L141" s="270">
        <v>36567</v>
      </c>
      <c r="M141" s="344">
        <v>36060</v>
      </c>
      <c r="N141" s="153"/>
      <c r="O141" s="153"/>
    </row>
    <row r="142" spans="1:15" s="361" customFormat="1" ht="13.5" customHeight="1" thickBot="1">
      <c r="A142" s="413" t="s">
        <v>3</v>
      </c>
      <c r="B142" s="72">
        <f>SUM(B138:B141)</f>
        <v>393150</v>
      </c>
      <c r="C142" s="73">
        <f t="shared" ref="C142:M142" si="23">SUM(C138:C141)</f>
        <v>403521</v>
      </c>
      <c r="D142" s="73">
        <f t="shared" si="23"/>
        <v>403263</v>
      </c>
      <c r="E142" s="73">
        <f t="shared" si="23"/>
        <v>407431</v>
      </c>
      <c r="F142" s="73">
        <f t="shared" si="23"/>
        <v>414994</v>
      </c>
      <c r="G142" s="73">
        <f t="shared" si="23"/>
        <v>416386</v>
      </c>
      <c r="H142" s="73">
        <f t="shared" si="23"/>
        <v>417710</v>
      </c>
      <c r="I142" s="73">
        <f t="shared" si="23"/>
        <v>427506</v>
      </c>
      <c r="J142" s="73">
        <f t="shared" si="23"/>
        <v>439700</v>
      </c>
      <c r="K142" s="73">
        <f t="shared" si="23"/>
        <v>444879</v>
      </c>
      <c r="L142" s="73">
        <f t="shared" si="23"/>
        <v>451883</v>
      </c>
      <c r="M142" s="74">
        <f t="shared" si="23"/>
        <v>459241</v>
      </c>
      <c r="N142" s="153"/>
      <c r="O142" s="153"/>
    </row>
    <row r="143" spans="1:15" s="366" customFormat="1" ht="13.5" customHeight="1" thickBot="1">
      <c r="A143" s="411"/>
      <c r="B143" s="264"/>
      <c r="C143" s="264"/>
      <c r="D143" s="264"/>
      <c r="E143" s="264"/>
      <c r="F143" s="264"/>
      <c r="G143" s="264"/>
      <c r="H143" s="75"/>
      <c r="I143" s="75"/>
      <c r="J143" s="75"/>
      <c r="K143" s="75"/>
      <c r="L143" s="75"/>
      <c r="M143" s="75"/>
      <c r="N143" s="153"/>
      <c r="O143" s="153"/>
    </row>
    <row r="144" spans="1:15" s="366" customFormat="1" ht="13.5" customHeight="1" thickBot="1">
      <c r="A144" s="411"/>
      <c r="B144" s="265">
        <v>42736</v>
      </c>
      <c r="C144" s="266">
        <v>42767</v>
      </c>
      <c r="D144" s="266">
        <v>42795</v>
      </c>
      <c r="E144" s="266">
        <v>42826</v>
      </c>
      <c r="F144" s="266">
        <v>42856</v>
      </c>
      <c r="G144" s="266">
        <v>42887</v>
      </c>
      <c r="H144" s="266">
        <v>42917</v>
      </c>
      <c r="I144" s="266">
        <v>42948</v>
      </c>
      <c r="J144" s="266">
        <v>42979</v>
      </c>
      <c r="K144" s="266">
        <v>43009</v>
      </c>
      <c r="L144" s="266">
        <v>43040</v>
      </c>
      <c r="M144" s="271">
        <v>43070</v>
      </c>
      <c r="N144" s="153"/>
      <c r="O144" s="153"/>
    </row>
    <row r="145" spans="1:20" s="366" customFormat="1" ht="13.5" customHeight="1">
      <c r="A145" s="92" t="s">
        <v>127</v>
      </c>
      <c r="B145" s="64">
        <f>B146+B147</f>
        <v>183562</v>
      </c>
      <c r="C145" s="39">
        <f t="shared" ref="C145:M145" si="24">C146+C147</f>
        <v>185345</v>
      </c>
      <c r="D145" s="39">
        <f t="shared" si="24"/>
        <v>188991</v>
      </c>
      <c r="E145" s="39">
        <f t="shared" si="24"/>
        <v>190255</v>
      </c>
      <c r="F145" s="39">
        <f t="shared" si="24"/>
        <v>192260</v>
      </c>
      <c r="G145" s="39">
        <f t="shared" si="24"/>
        <v>194148</v>
      </c>
      <c r="H145" s="39">
        <f t="shared" si="24"/>
        <v>198565</v>
      </c>
      <c r="I145" s="39">
        <f t="shared" si="24"/>
        <v>199428</v>
      </c>
      <c r="J145" s="39">
        <f t="shared" si="24"/>
        <v>199463</v>
      </c>
      <c r="K145" s="270">
        <f t="shared" si="24"/>
        <v>201370</v>
      </c>
      <c r="L145" s="270">
        <f t="shared" si="24"/>
        <v>202088</v>
      </c>
      <c r="M145" s="344">
        <f t="shared" si="24"/>
        <v>202245</v>
      </c>
      <c r="N145" s="153"/>
      <c r="O145" s="153"/>
    </row>
    <row r="146" spans="1:20" s="366" customFormat="1" ht="13.5" customHeight="1">
      <c r="A146" s="412" t="s">
        <v>128</v>
      </c>
      <c r="B146" s="64">
        <v>132774</v>
      </c>
      <c r="C146" s="39">
        <v>134593</v>
      </c>
      <c r="D146" s="39">
        <v>137745</v>
      </c>
      <c r="E146" s="39">
        <v>138612</v>
      </c>
      <c r="F146" s="39">
        <v>140684</v>
      </c>
      <c r="G146" s="39">
        <v>142399</v>
      </c>
      <c r="H146" s="270">
        <v>145251</v>
      </c>
      <c r="I146" s="270">
        <v>145931</v>
      </c>
      <c r="J146" s="270">
        <v>146197</v>
      </c>
      <c r="K146" s="270">
        <v>147657</v>
      </c>
      <c r="L146" s="270">
        <v>148709</v>
      </c>
      <c r="M146" s="344">
        <v>149023</v>
      </c>
      <c r="N146" s="213"/>
      <c r="O146" s="213"/>
    </row>
    <row r="147" spans="1:20" s="366" customFormat="1" ht="13.5" customHeight="1">
      <c r="A147" s="412" t="s">
        <v>129</v>
      </c>
      <c r="B147" s="64">
        <v>50788</v>
      </c>
      <c r="C147" s="39">
        <v>50752</v>
      </c>
      <c r="D147" s="39">
        <v>51246</v>
      </c>
      <c r="E147" s="39">
        <v>51643</v>
      </c>
      <c r="F147" s="39">
        <v>51576</v>
      </c>
      <c r="G147" s="39">
        <v>51749</v>
      </c>
      <c r="H147" s="270">
        <v>53314</v>
      </c>
      <c r="I147" s="270">
        <v>53497</v>
      </c>
      <c r="J147" s="270">
        <v>53266</v>
      </c>
      <c r="K147" s="270">
        <v>53713</v>
      </c>
      <c r="L147" s="270">
        <v>53379</v>
      </c>
      <c r="M147" s="344">
        <v>53222</v>
      </c>
      <c r="N147" s="213"/>
      <c r="O147" s="213"/>
    </row>
    <row r="148" spans="1:20" s="366" customFormat="1" ht="13.5" customHeight="1">
      <c r="A148" s="412" t="s">
        <v>109</v>
      </c>
      <c r="B148" s="64">
        <v>245183</v>
      </c>
      <c r="C148" s="39">
        <v>244753</v>
      </c>
      <c r="D148" s="39">
        <v>247641</v>
      </c>
      <c r="E148" s="39">
        <v>249136</v>
      </c>
      <c r="F148" s="39">
        <v>253738</v>
      </c>
      <c r="G148" s="39">
        <v>258423</v>
      </c>
      <c r="H148" s="270">
        <v>266556</v>
      </c>
      <c r="I148" s="270">
        <v>271779</v>
      </c>
      <c r="J148" s="270">
        <v>270098</v>
      </c>
      <c r="K148" s="270">
        <v>273618</v>
      </c>
      <c r="L148" s="270">
        <v>271828</v>
      </c>
      <c r="M148" s="344">
        <v>269730</v>
      </c>
      <c r="N148" s="213"/>
      <c r="O148" s="213"/>
    </row>
    <row r="149" spans="1:20" s="366" customFormat="1" ht="13.5" customHeight="1">
      <c r="A149" s="412" t="s">
        <v>130</v>
      </c>
      <c r="B149" s="64">
        <v>35595</v>
      </c>
      <c r="C149" s="39">
        <v>34720</v>
      </c>
      <c r="D149" s="39">
        <v>35842</v>
      </c>
      <c r="E149" s="39">
        <v>35444</v>
      </c>
      <c r="F149" s="39">
        <v>35381</v>
      </c>
      <c r="G149" s="39">
        <v>35790</v>
      </c>
      <c r="H149" s="270">
        <v>35286</v>
      </c>
      <c r="I149" s="270">
        <v>35470</v>
      </c>
      <c r="J149" s="270">
        <v>35436</v>
      </c>
      <c r="K149" s="270">
        <v>35621</v>
      </c>
      <c r="L149" s="270">
        <v>37838</v>
      </c>
      <c r="M149" s="344">
        <v>36618</v>
      </c>
      <c r="N149" s="213"/>
      <c r="O149" s="213"/>
    </row>
    <row r="150" spans="1:20" s="366" customFormat="1" ht="13.5" customHeight="1" thickBot="1">
      <c r="A150" s="413" t="s">
        <v>3</v>
      </c>
      <c r="B150" s="72">
        <f>SUM(B146:B149)</f>
        <v>464340</v>
      </c>
      <c r="C150" s="73">
        <f t="shared" ref="C150:M150" si="25">SUM(C146:C149)</f>
        <v>464818</v>
      </c>
      <c r="D150" s="73">
        <f t="shared" si="25"/>
        <v>472474</v>
      </c>
      <c r="E150" s="73">
        <f t="shared" si="25"/>
        <v>474835</v>
      </c>
      <c r="F150" s="73">
        <f t="shared" si="25"/>
        <v>481379</v>
      </c>
      <c r="G150" s="73">
        <f t="shared" si="25"/>
        <v>488361</v>
      </c>
      <c r="H150" s="73">
        <f t="shared" si="25"/>
        <v>500407</v>
      </c>
      <c r="I150" s="73">
        <f t="shared" si="25"/>
        <v>506677</v>
      </c>
      <c r="J150" s="73">
        <f t="shared" si="25"/>
        <v>504997</v>
      </c>
      <c r="K150" s="350">
        <f t="shared" si="25"/>
        <v>510609</v>
      </c>
      <c r="L150" s="350">
        <f t="shared" si="25"/>
        <v>511754</v>
      </c>
      <c r="M150" s="351">
        <f t="shared" si="25"/>
        <v>508593</v>
      </c>
      <c r="N150" s="213"/>
      <c r="O150" s="213"/>
    </row>
    <row r="151" spans="1:20" s="366" customFormat="1" ht="13.5" customHeight="1">
      <c r="A151" s="13" t="s">
        <v>131</v>
      </c>
      <c r="B151" s="8"/>
      <c r="C151" s="8"/>
      <c r="D151" s="8"/>
      <c r="E151" s="8"/>
      <c r="F151" s="8"/>
      <c r="G151" s="8"/>
      <c r="H151" s="8"/>
      <c r="I151" s="8"/>
      <c r="J151" s="8"/>
      <c r="K151" s="8"/>
      <c r="L151" s="8"/>
      <c r="M151" s="8"/>
      <c r="N151" s="213"/>
      <c r="O151" s="213"/>
    </row>
    <row r="152" spans="1:20" s="366" customFormat="1" ht="13.5" customHeight="1">
      <c r="A152" s="5" t="s">
        <v>132</v>
      </c>
      <c r="B152" s="8"/>
      <c r="C152" s="8"/>
      <c r="D152" s="8"/>
      <c r="E152" s="8"/>
      <c r="F152" s="8"/>
      <c r="G152" s="8"/>
      <c r="H152" s="8"/>
      <c r="I152" s="8"/>
      <c r="J152" s="8"/>
      <c r="K152" s="8"/>
      <c r="L152" s="8"/>
      <c r="M152" s="8"/>
      <c r="N152" s="213"/>
      <c r="O152" s="213"/>
    </row>
    <row r="153" spans="1:20" s="366" customFormat="1" ht="13.5" customHeight="1">
      <c r="A153" s="5" t="s">
        <v>133</v>
      </c>
      <c r="B153" s="8"/>
      <c r="C153" s="8"/>
      <c r="D153" s="8"/>
      <c r="E153" s="8"/>
      <c r="F153" s="8"/>
      <c r="G153" s="8"/>
      <c r="H153" s="8"/>
      <c r="I153" s="8"/>
      <c r="J153" s="8"/>
      <c r="K153" s="8"/>
      <c r="L153" s="8"/>
      <c r="M153" s="8"/>
      <c r="N153" s="213"/>
      <c r="O153" s="213"/>
    </row>
    <row r="154" spans="1:20" s="366" customFormat="1" ht="13.5" customHeight="1">
      <c r="A154" s="5" t="s">
        <v>134</v>
      </c>
      <c r="B154" s="8"/>
      <c r="C154" s="8"/>
      <c r="D154" s="8"/>
      <c r="E154" s="8"/>
      <c r="F154" s="8"/>
      <c r="G154" s="8"/>
      <c r="H154" s="8"/>
      <c r="I154" s="8"/>
      <c r="J154" s="8"/>
      <c r="K154" s="8"/>
      <c r="L154" s="8"/>
      <c r="M154" s="8"/>
      <c r="N154" s="213"/>
      <c r="O154" s="213"/>
    </row>
    <row r="155" spans="1:20" s="366" customFormat="1" ht="13.5" customHeight="1">
      <c r="A155" s="5"/>
      <c r="B155" s="209"/>
      <c r="C155" s="209"/>
      <c r="D155" s="209"/>
      <c r="E155" s="209"/>
      <c r="F155" s="209"/>
      <c r="G155" s="209"/>
      <c r="H155" s="209"/>
      <c r="I155" s="209"/>
      <c r="J155" s="209"/>
      <c r="K155" s="209"/>
      <c r="L155" s="209"/>
      <c r="M155" s="209"/>
      <c r="N155" s="213"/>
      <c r="O155" s="213"/>
    </row>
    <row r="156" spans="1:20" ht="13.5" customHeight="1" thickBot="1">
      <c r="A156" s="34"/>
      <c r="B156" s="34"/>
      <c r="C156" s="34"/>
      <c r="D156" s="34"/>
      <c r="E156" s="34"/>
      <c r="F156" s="34"/>
      <c r="G156" s="34"/>
      <c r="H156" s="34"/>
      <c r="I156" s="34"/>
      <c r="J156" s="34"/>
      <c r="K156" s="34"/>
      <c r="L156" s="34"/>
      <c r="M156" s="34"/>
      <c r="N156" s="34"/>
      <c r="O156" s="34"/>
      <c r="P156" s="34"/>
      <c r="Q156" s="34"/>
      <c r="R156" s="34"/>
      <c r="S156" s="34"/>
      <c r="T156" s="34"/>
    </row>
    <row r="157" spans="1:20" ht="13.5" customHeight="1">
      <c r="A157" s="14"/>
      <c r="B157" s="14"/>
      <c r="C157" s="14"/>
      <c r="D157" s="14"/>
      <c r="E157" s="14"/>
      <c r="F157" s="14"/>
      <c r="G157" s="14"/>
      <c r="H157" s="14"/>
      <c r="I157" s="14"/>
      <c r="J157" s="14"/>
      <c r="K157" s="14"/>
      <c r="L157" s="14"/>
      <c r="M157" s="14"/>
      <c r="N157" s="14"/>
      <c r="O157" s="14"/>
      <c r="P157" s="32"/>
      <c r="Q157" s="32"/>
      <c r="R157" s="32"/>
      <c r="S157" s="32"/>
      <c r="T157" s="32"/>
    </row>
    <row r="158" spans="1:20" ht="13.5" customHeight="1">
      <c r="A158" s="22" t="s">
        <v>177</v>
      </c>
      <c r="B158" s="7" t="s">
        <v>252</v>
      </c>
      <c r="C158" s="354"/>
      <c r="D158" s="354"/>
      <c r="E158" s="354"/>
      <c r="F158" s="354"/>
      <c r="G158" s="354"/>
      <c r="H158" s="354"/>
      <c r="I158" s="354"/>
      <c r="J158" s="354"/>
      <c r="K158" s="345"/>
      <c r="L158" s="354"/>
      <c r="M158" s="354"/>
      <c r="N158" s="354"/>
      <c r="O158" s="354"/>
    </row>
    <row r="159" spans="1:20" ht="13.5" customHeight="1" thickBot="1">
      <c r="A159" s="354"/>
      <c r="B159" s="354"/>
      <c r="C159" s="354"/>
      <c r="D159" s="354"/>
      <c r="E159" s="354"/>
      <c r="F159" s="354"/>
      <c r="G159" s="354"/>
      <c r="H159" s="354"/>
      <c r="I159" s="354"/>
      <c r="J159" s="354"/>
      <c r="K159" s="354"/>
      <c r="L159" s="354"/>
      <c r="M159" s="354"/>
      <c r="N159" s="354"/>
      <c r="O159" s="354"/>
    </row>
    <row r="160" spans="1:20" s="361" customFormat="1" ht="13.5" customHeight="1" thickBot="1">
      <c r="A160" s="411"/>
      <c r="B160" s="420">
        <v>40179</v>
      </c>
      <c r="C160" s="301">
        <v>40210</v>
      </c>
      <c r="D160" s="301">
        <v>40238</v>
      </c>
      <c r="E160" s="301">
        <v>40269</v>
      </c>
      <c r="F160" s="301">
        <v>40299</v>
      </c>
      <c r="G160" s="301">
        <v>40330</v>
      </c>
      <c r="H160" s="301">
        <v>40360</v>
      </c>
      <c r="I160" s="301">
        <v>40391</v>
      </c>
      <c r="J160" s="301">
        <v>40422</v>
      </c>
      <c r="K160" s="301">
        <v>40452</v>
      </c>
      <c r="L160" s="301">
        <v>40483</v>
      </c>
      <c r="M160" s="302">
        <v>40513</v>
      </c>
    </row>
    <row r="161" spans="1:13" s="361" customFormat="1" ht="13.5" customHeight="1">
      <c r="A161" s="92" t="s">
        <v>127</v>
      </c>
      <c r="B161" s="254">
        <f t="shared" ref="B161:M161" si="26">B162+B163</f>
        <v>175872</v>
      </c>
      <c r="C161" s="232">
        <f t="shared" si="26"/>
        <v>171091</v>
      </c>
      <c r="D161" s="232">
        <f t="shared" si="26"/>
        <v>175200</v>
      </c>
      <c r="E161" s="232">
        <f t="shared" si="26"/>
        <v>177518</v>
      </c>
      <c r="F161" s="232">
        <f t="shared" si="26"/>
        <v>179163</v>
      </c>
      <c r="G161" s="232">
        <f t="shared" si="26"/>
        <v>177749</v>
      </c>
      <c r="H161" s="232">
        <f t="shared" si="26"/>
        <v>179791</v>
      </c>
      <c r="I161" s="232">
        <f t="shared" si="26"/>
        <v>178635</v>
      </c>
      <c r="J161" s="232">
        <f t="shared" si="26"/>
        <v>179175</v>
      </c>
      <c r="K161" s="232">
        <f t="shared" si="26"/>
        <v>178647</v>
      </c>
      <c r="L161" s="232">
        <f t="shared" si="26"/>
        <v>178608</v>
      </c>
      <c r="M161" s="421">
        <f t="shared" si="26"/>
        <v>180946</v>
      </c>
    </row>
    <row r="162" spans="1:13" s="361" customFormat="1" ht="13.5" customHeight="1">
      <c r="A162" s="412" t="s">
        <v>128</v>
      </c>
      <c r="B162" s="65">
        <v>131705</v>
      </c>
      <c r="C162" s="40">
        <v>126924</v>
      </c>
      <c r="D162" s="40">
        <v>128583</v>
      </c>
      <c r="E162" s="40">
        <v>129168</v>
      </c>
      <c r="F162" s="40">
        <v>129749</v>
      </c>
      <c r="G162" s="66">
        <v>128087</v>
      </c>
      <c r="H162" s="40">
        <v>129514</v>
      </c>
      <c r="I162" s="40">
        <v>127924</v>
      </c>
      <c r="J162" s="40">
        <v>127826</v>
      </c>
      <c r="K162" s="40">
        <v>126266</v>
      </c>
      <c r="L162" s="40">
        <v>125595</v>
      </c>
      <c r="M162" s="71">
        <v>127661</v>
      </c>
    </row>
    <row r="163" spans="1:13" s="361" customFormat="1" ht="13.5" customHeight="1">
      <c r="A163" s="412" t="s">
        <v>129</v>
      </c>
      <c r="B163" s="65">
        <v>44167</v>
      </c>
      <c r="C163" s="40">
        <v>44167</v>
      </c>
      <c r="D163" s="40">
        <v>46617</v>
      </c>
      <c r="E163" s="40">
        <v>48350</v>
      </c>
      <c r="F163" s="40">
        <v>49414</v>
      </c>
      <c r="G163" s="66">
        <v>49662</v>
      </c>
      <c r="H163" s="40">
        <v>50277</v>
      </c>
      <c r="I163" s="40">
        <v>50711</v>
      </c>
      <c r="J163" s="40">
        <v>51349</v>
      </c>
      <c r="K163" s="40">
        <v>52381</v>
      </c>
      <c r="L163" s="40">
        <v>53013</v>
      </c>
      <c r="M163" s="71">
        <v>53285</v>
      </c>
    </row>
    <row r="164" spans="1:13" s="361" customFormat="1" ht="13.5" customHeight="1">
      <c r="A164" s="412" t="s">
        <v>109</v>
      </c>
      <c r="B164" s="65">
        <v>138374</v>
      </c>
      <c r="C164" s="40">
        <v>133934</v>
      </c>
      <c r="D164" s="40">
        <v>137265</v>
      </c>
      <c r="E164" s="40">
        <v>139662</v>
      </c>
      <c r="F164" s="40">
        <v>137152</v>
      </c>
      <c r="G164" s="66">
        <v>134425</v>
      </c>
      <c r="H164" s="40">
        <v>137270</v>
      </c>
      <c r="I164" s="40">
        <v>132824</v>
      </c>
      <c r="J164" s="40">
        <v>132851</v>
      </c>
      <c r="K164" s="40">
        <v>136979</v>
      </c>
      <c r="L164" s="40">
        <v>138853</v>
      </c>
      <c r="M164" s="71">
        <v>143957</v>
      </c>
    </row>
    <row r="165" spans="1:13" s="361" customFormat="1" ht="13.5" customHeight="1">
      <c r="A165" s="412" t="s">
        <v>130</v>
      </c>
      <c r="B165" s="65">
        <v>19496</v>
      </c>
      <c r="C165" s="40">
        <v>18503</v>
      </c>
      <c r="D165" s="40">
        <v>19293</v>
      </c>
      <c r="E165" s="40">
        <v>19887</v>
      </c>
      <c r="F165" s="40">
        <v>21434</v>
      </c>
      <c r="G165" s="66">
        <v>21530</v>
      </c>
      <c r="H165" s="40">
        <v>21091</v>
      </c>
      <c r="I165" s="40">
        <v>20260</v>
      </c>
      <c r="J165" s="40">
        <v>20333</v>
      </c>
      <c r="K165" s="40">
        <v>18764</v>
      </c>
      <c r="L165" s="40">
        <v>20217</v>
      </c>
      <c r="M165" s="71">
        <v>21115</v>
      </c>
    </row>
    <row r="166" spans="1:13" s="361" customFormat="1" ht="13.5" customHeight="1" thickBot="1">
      <c r="A166" s="413" t="s">
        <v>3</v>
      </c>
      <c r="B166" s="68">
        <f>SUM(B162:B165)</f>
        <v>333742</v>
      </c>
      <c r="C166" s="69">
        <f t="shared" ref="C166:L166" si="27">SUM(C162:C165)</f>
        <v>323528</v>
      </c>
      <c r="D166" s="69">
        <f t="shared" si="27"/>
        <v>331758</v>
      </c>
      <c r="E166" s="69">
        <f t="shared" si="27"/>
        <v>337067</v>
      </c>
      <c r="F166" s="69">
        <f t="shared" si="27"/>
        <v>337749</v>
      </c>
      <c r="G166" s="69">
        <f t="shared" si="27"/>
        <v>333704</v>
      </c>
      <c r="H166" s="69">
        <f t="shared" si="27"/>
        <v>338152</v>
      </c>
      <c r="I166" s="69">
        <f t="shared" si="27"/>
        <v>331719</v>
      </c>
      <c r="J166" s="69">
        <f t="shared" si="27"/>
        <v>332359</v>
      </c>
      <c r="K166" s="69">
        <f t="shared" si="27"/>
        <v>334390</v>
      </c>
      <c r="L166" s="69">
        <f t="shared" si="27"/>
        <v>337678</v>
      </c>
      <c r="M166" s="70">
        <f>SUM(M162:M165)</f>
        <v>346018</v>
      </c>
    </row>
    <row r="167" spans="1:13" s="361" customFormat="1" ht="13.5" customHeight="1" thickBot="1">
      <c r="A167" s="411"/>
      <c r="B167" s="83"/>
      <c r="C167" s="83"/>
      <c r="D167" s="83"/>
      <c r="E167" s="83"/>
      <c r="F167" s="83"/>
      <c r="G167" s="83"/>
      <c r="H167" s="83"/>
      <c r="I167" s="83"/>
      <c r="J167" s="83"/>
      <c r="K167" s="83"/>
      <c r="L167" s="83"/>
      <c r="M167" s="83"/>
    </row>
    <row r="168" spans="1:13" s="361" customFormat="1" ht="13.5" customHeight="1" thickBot="1">
      <c r="A168" s="411"/>
      <c r="B168" s="420">
        <v>40544</v>
      </c>
      <c r="C168" s="266">
        <v>40575</v>
      </c>
      <c r="D168" s="414">
        <v>40603</v>
      </c>
      <c r="E168" s="414">
        <v>40634</v>
      </c>
      <c r="F168" s="266">
        <v>40664</v>
      </c>
      <c r="G168" s="266">
        <v>40695</v>
      </c>
      <c r="H168" s="266">
        <v>40725</v>
      </c>
      <c r="I168" s="266">
        <v>40756</v>
      </c>
      <c r="J168" s="266">
        <v>40787</v>
      </c>
      <c r="K168" s="266">
        <v>40817</v>
      </c>
      <c r="L168" s="266">
        <v>40848</v>
      </c>
      <c r="M168" s="271">
        <v>40878</v>
      </c>
    </row>
    <row r="169" spans="1:13" s="361" customFormat="1" ht="13.5" customHeight="1">
      <c r="A169" s="92" t="s">
        <v>127</v>
      </c>
      <c r="B169" s="63">
        <f t="shared" ref="B169:M169" si="28">B170+B171</f>
        <v>184620</v>
      </c>
      <c r="C169" s="37">
        <f t="shared" si="28"/>
        <v>193753</v>
      </c>
      <c r="D169" s="37">
        <f t="shared" si="28"/>
        <v>193296</v>
      </c>
      <c r="E169" s="37">
        <f t="shared" si="28"/>
        <v>195294</v>
      </c>
      <c r="F169" s="37">
        <f t="shared" si="28"/>
        <v>198687</v>
      </c>
      <c r="G169" s="37">
        <f t="shared" si="28"/>
        <v>198551</v>
      </c>
      <c r="H169" s="37">
        <f t="shared" si="28"/>
        <v>198834</v>
      </c>
      <c r="I169" s="37">
        <f t="shared" si="28"/>
        <v>200216</v>
      </c>
      <c r="J169" s="37">
        <f t="shared" si="28"/>
        <v>201230</v>
      </c>
      <c r="K169" s="37">
        <f t="shared" si="28"/>
        <v>200180</v>
      </c>
      <c r="L169" s="37">
        <f t="shared" si="28"/>
        <v>200298</v>
      </c>
      <c r="M169" s="38">
        <f t="shared" si="28"/>
        <v>202268</v>
      </c>
    </row>
    <row r="170" spans="1:13" s="361" customFormat="1" ht="13.5" customHeight="1">
      <c r="A170" s="412" t="s">
        <v>128</v>
      </c>
      <c r="B170" s="347">
        <v>131253</v>
      </c>
      <c r="C170" s="270">
        <v>138030</v>
      </c>
      <c r="D170" s="39">
        <v>138182</v>
      </c>
      <c r="E170" s="40">
        <v>139941</v>
      </c>
      <c r="F170" s="40">
        <v>142424</v>
      </c>
      <c r="G170" s="39">
        <v>142650</v>
      </c>
      <c r="H170" s="39">
        <v>142643</v>
      </c>
      <c r="I170" s="39">
        <v>144161</v>
      </c>
      <c r="J170" s="66">
        <v>144742</v>
      </c>
      <c r="K170" s="66">
        <v>144413</v>
      </c>
      <c r="L170" s="66">
        <v>144613</v>
      </c>
      <c r="M170" s="71">
        <v>145213</v>
      </c>
    </row>
    <row r="171" spans="1:13" s="361" customFormat="1" ht="13.5" customHeight="1">
      <c r="A171" s="412" t="s">
        <v>129</v>
      </c>
      <c r="B171" s="347">
        <v>53367</v>
      </c>
      <c r="C171" s="270">
        <v>55723</v>
      </c>
      <c r="D171" s="39">
        <v>55114</v>
      </c>
      <c r="E171" s="40">
        <v>55353</v>
      </c>
      <c r="F171" s="40">
        <v>56263</v>
      </c>
      <c r="G171" s="39">
        <v>55901</v>
      </c>
      <c r="H171" s="39">
        <v>56191</v>
      </c>
      <c r="I171" s="39">
        <v>56055</v>
      </c>
      <c r="J171" s="66">
        <v>56488</v>
      </c>
      <c r="K171" s="66">
        <v>55767</v>
      </c>
      <c r="L171" s="66">
        <v>55685</v>
      </c>
      <c r="M171" s="71">
        <v>57055</v>
      </c>
    </row>
    <row r="172" spans="1:13" s="361" customFormat="1" ht="13.5" customHeight="1">
      <c r="A172" s="412" t="s">
        <v>109</v>
      </c>
      <c r="B172" s="347">
        <v>148324</v>
      </c>
      <c r="C172" s="270">
        <v>158112</v>
      </c>
      <c r="D172" s="39">
        <v>156095</v>
      </c>
      <c r="E172" s="40">
        <v>159642</v>
      </c>
      <c r="F172" s="40">
        <v>161524</v>
      </c>
      <c r="G172" s="39">
        <v>162089</v>
      </c>
      <c r="H172" s="39">
        <v>162623</v>
      </c>
      <c r="I172" s="39">
        <v>165715</v>
      </c>
      <c r="J172" s="66">
        <v>167562</v>
      </c>
      <c r="K172" s="66">
        <v>172062</v>
      </c>
      <c r="L172" s="66">
        <v>181033</v>
      </c>
      <c r="M172" s="71">
        <v>192741</v>
      </c>
    </row>
    <row r="173" spans="1:13" s="361" customFormat="1" ht="13.5" customHeight="1">
      <c r="A173" s="412" t="s">
        <v>130</v>
      </c>
      <c r="B173" s="347">
        <v>22210</v>
      </c>
      <c r="C173" s="270">
        <v>23278</v>
      </c>
      <c r="D173" s="39">
        <v>23365</v>
      </c>
      <c r="E173" s="40">
        <v>23918</v>
      </c>
      <c r="F173" s="40">
        <v>23532</v>
      </c>
      <c r="G173" s="39">
        <v>22776</v>
      </c>
      <c r="H173" s="39">
        <v>23903</v>
      </c>
      <c r="I173" s="39">
        <v>23518</v>
      </c>
      <c r="J173" s="66">
        <v>23634</v>
      </c>
      <c r="K173" s="66">
        <v>24094</v>
      </c>
      <c r="L173" s="66">
        <v>24529</v>
      </c>
      <c r="M173" s="71">
        <v>26297</v>
      </c>
    </row>
    <row r="174" spans="1:13" s="361" customFormat="1" ht="13.5" customHeight="1" thickBot="1">
      <c r="A174" s="413" t="s">
        <v>3</v>
      </c>
      <c r="B174" s="72">
        <f t="shared" ref="B174:M174" si="29">SUM(B170:B173)</f>
        <v>355154</v>
      </c>
      <c r="C174" s="73">
        <f t="shared" si="29"/>
        <v>375143</v>
      </c>
      <c r="D174" s="73">
        <f t="shared" si="29"/>
        <v>372756</v>
      </c>
      <c r="E174" s="73">
        <f t="shared" si="29"/>
        <v>378854</v>
      </c>
      <c r="F174" s="73">
        <f t="shared" si="29"/>
        <v>383743</v>
      </c>
      <c r="G174" s="73">
        <f t="shared" si="29"/>
        <v>383416</v>
      </c>
      <c r="H174" s="73">
        <f t="shared" si="29"/>
        <v>385360</v>
      </c>
      <c r="I174" s="73">
        <f t="shared" si="29"/>
        <v>389449</v>
      </c>
      <c r="J174" s="73">
        <f t="shared" si="29"/>
        <v>392426</v>
      </c>
      <c r="K174" s="73">
        <f t="shared" si="29"/>
        <v>396336</v>
      </c>
      <c r="L174" s="73">
        <f t="shared" si="29"/>
        <v>405860</v>
      </c>
      <c r="M174" s="74">
        <f t="shared" si="29"/>
        <v>421306</v>
      </c>
    </row>
    <row r="175" spans="1:13" s="361" customFormat="1" ht="13.5" customHeight="1" thickBot="1">
      <c r="A175" s="411"/>
      <c r="B175" s="83"/>
      <c r="C175" s="83"/>
      <c r="D175" s="83"/>
      <c r="E175" s="83"/>
      <c r="F175" s="83"/>
      <c r="G175" s="83"/>
      <c r="H175" s="83"/>
      <c r="I175" s="83"/>
      <c r="J175" s="83"/>
      <c r="K175" s="83"/>
      <c r="L175" s="83"/>
      <c r="M175" s="83"/>
    </row>
    <row r="176" spans="1:13" s="361" customFormat="1" ht="13.5" customHeight="1" thickBot="1">
      <c r="A176" s="411"/>
      <c r="B176" s="417">
        <v>40909</v>
      </c>
      <c r="C176" s="418">
        <v>40940</v>
      </c>
      <c r="D176" s="418">
        <v>40969</v>
      </c>
      <c r="E176" s="418">
        <v>41000</v>
      </c>
      <c r="F176" s="418">
        <v>41030</v>
      </c>
      <c r="G176" s="418">
        <v>41061</v>
      </c>
      <c r="H176" s="418">
        <v>41091</v>
      </c>
      <c r="I176" s="418">
        <v>41122</v>
      </c>
      <c r="J176" s="418">
        <v>41153</v>
      </c>
      <c r="K176" s="418">
        <v>41183</v>
      </c>
      <c r="L176" s="418">
        <v>41214</v>
      </c>
      <c r="M176" s="419">
        <v>41244</v>
      </c>
    </row>
    <row r="177" spans="1:13" s="361" customFormat="1" ht="13.5" customHeight="1">
      <c r="A177" s="92" t="s">
        <v>127</v>
      </c>
      <c r="B177" s="63">
        <f t="shared" ref="B177:M177" si="30">B178+B179</f>
        <v>201939</v>
      </c>
      <c r="C177" s="37">
        <f t="shared" si="30"/>
        <v>195162</v>
      </c>
      <c r="D177" s="37">
        <f t="shared" si="30"/>
        <v>192101</v>
      </c>
      <c r="E177" s="37">
        <f t="shared" si="30"/>
        <v>189113</v>
      </c>
      <c r="F177" s="37">
        <f t="shared" si="30"/>
        <v>184745</v>
      </c>
      <c r="G177" s="37">
        <f t="shared" si="30"/>
        <v>186605</v>
      </c>
      <c r="H177" s="37">
        <f t="shared" si="30"/>
        <v>184165</v>
      </c>
      <c r="I177" s="37">
        <f t="shared" si="30"/>
        <v>180765</v>
      </c>
      <c r="J177" s="37">
        <f t="shared" si="30"/>
        <v>178678</v>
      </c>
      <c r="K177" s="37">
        <f t="shared" si="30"/>
        <v>177011</v>
      </c>
      <c r="L177" s="37">
        <f t="shared" si="30"/>
        <v>173776</v>
      </c>
      <c r="M177" s="38">
        <f t="shared" si="30"/>
        <v>168637</v>
      </c>
    </row>
    <row r="178" spans="1:13" s="361" customFormat="1" ht="13.5" customHeight="1">
      <c r="A178" s="412" t="s">
        <v>128</v>
      </c>
      <c r="B178" s="76">
        <v>144605</v>
      </c>
      <c r="C178" s="66">
        <v>140104</v>
      </c>
      <c r="D178" s="66">
        <v>138028</v>
      </c>
      <c r="E178" s="39">
        <v>136315</v>
      </c>
      <c r="F178" s="39">
        <v>133251</v>
      </c>
      <c r="G178" s="39">
        <v>134587</v>
      </c>
      <c r="H178" s="39">
        <v>133280</v>
      </c>
      <c r="I178" s="39">
        <v>130723</v>
      </c>
      <c r="J178" s="39">
        <v>129322</v>
      </c>
      <c r="K178" s="39">
        <v>128527</v>
      </c>
      <c r="L178" s="39">
        <v>126622</v>
      </c>
      <c r="M178" s="71">
        <v>123145</v>
      </c>
    </row>
    <row r="179" spans="1:13" s="361" customFormat="1" ht="13.5" customHeight="1">
      <c r="A179" s="412" t="s">
        <v>129</v>
      </c>
      <c r="B179" s="76">
        <v>57334</v>
      </c>
      <c r="C179" s="66">
        <v>55058</v>
      </c>
      <c r="D179" s="66">
        <v>54073</v>
      </c>
      <c r="E179" s="39">
        <v>52798</v>
      </c>
      <c r="F179" s="39">
        <v>51494</v>
      </c>
      <c r="G179" s="39">
        <v>52018</v>
      </c>
      <c r="H179" s="39">
        <v>50885</v>
      </c>
      <c r="I179" s="39">
        <v>50042</v>
      </c>
      <c r="J179" s="39">
        <v>49356</v>
      </c>
      <c r="K179" s="39">
        <v>48484</v>
      </c>
      <c r="L179" s="39">
        <v>47154</v>
      </c>
      <c r="M179" s="71">
        <v>45492</v>
      </c>
    </row>
    <row r="180" spans="1:13" s="361" customFormat="1" ht="13.5" customHeight="1">
      <c r="A180" s="412" t="s">
        <v>109</v>
      </c>
      <c r="B180" s="76">
        <v>197179</v>
      </c>
      <c r="C180" s="66">
        <v>190996</v>
      </c>
      <c r="D180" s="66">
        <v>192093</v>
      </c>
      <c r="E180" s="39">
        <v>187617</v>
      </c>
      <c r="F180" s="39">
        <v>184349</v>
      </c>
      <c r="G180" s="39">
        <v>188455</v>
      </c>
      <c r="H180" s="39">
        <v>184499</v>
      </c>
      <c r="I180" s="39">
        <v>180793</v>
      </c>
      <c r="J180" s="39">
        <v>181569</v>
      </c>
      <c r="K180" s="39">
        <v>173708</v>
      </c>
      <c r="L180" s="39">
        <v>164174</v>
      </c>
      <c r="M180" s="71">
        <v>156587</v>
      </c>
    </row>
    <row r="181" spans="1:13" s="361" customFormat="1" ht="13.5" customHeight="1">
      <c r="A181" s="412" t="s">
        <v>130</v>
      </c>
      <c r="B181" s="76">
        <v>25656</v>
      </c>
      <c r="C181" s="66">
        <v>24844</v>
      </c>
      <c r="D181" s="66">
        <v>25425</v>
      </c>
      <c r="E181" s="39">
        <v>24234</v>
      </c>
      <c r="F181" s="39">
        <v>23194</v>
      </c>
      <c r="G181" s="39">
        <v>23924</v>
      </c>
      <c r="H181" s="39">
        <v>23925</v>
      </c>
      <c r="I181" s="39">
        <v>24035</v>
      </c>
      <c r="J181" s="39">
        <v>24143</v>
      </c>
      <c r="K181" s="39">
        <v>23051</v>
      </c>
      <c r="L181" s="39">
        <v>22090</v>
      </c>
      <c r="M181" s="71">
        <v>21238</v>
      </c>
    </row>
    <row r="182" spans="1:13" s="361" customFormat="1" ht="13.5" customHeight="1" thickBot="1">
      <c r="A182" s="413" t="s">
        <v>3</v>
      </c>
      <c r="B182" s="72">
        <f t="shared" ref="B182:M182" si="31">SUM(B178:B181)</f>
        <v>424774</v>
      </c>
      <c r="C182" s="73">
        <f t="shared" si="31"/>
        <v>411002</v>
      </c>
      <c r="D182" s="73">
        <f t="shared" si="31"/>
        <v>409619</v>
      </c>
      <c r="E182" s="73">
        <f t="shared" si="31"/>
        <v>400964</v>
      </c>
      <c r="F182" s="73">
        <f t="shared" si="31"/>
        <v>392288</v>
      </c>
      <c r="G182" s="73">
        <f t="shared" si="31"/>
        <v>398984</v>
      </c>
      <c r="H182" s="73">
        <f t="shared" si="31"/>
        <v>392589</v>
      </c>
      <c r="I182" s="73">
        <f t="shared" si="31"/>
        <v>385593</v>
      </c>
      <c r="J182" s="73">
        <f t="shared" si="31"/>
        <v>384390</v>
      </c>
      <c r="K182" s="73">
        <f t="shared" si="31"/>
        <v>373770</v>
      </c>
      <c r="L182" s="73">
        <f t="shared" si="31"/>
        <v>360040</v>
      </c>
      <c r="M182" s="74">
        <f t="shared" si="31"/>
        <v>346462</v>
      </c>
    </row>
    <row r="183" spans="1:13" s="361" customFormat="1" ht="13.5" customHeight="1" thickBot="1">
      <c r="A183" s="411"/>
      <c r="B183" s="83"/>
      <c r="C183" s="83"/>
      <c r="D183" s="83"/>
      <c r="E183" s="83"/>
      <c r="F183" s="83"/>
      <c r="G183" s="83"/>
      <c r="H183" s="83"/>
      <c r="I183" s="83"/>
      <c r="J183" s="83"/>
      <c r="K183" s="83"/>
      <c r="L183" s="83"/>
      <c r="M183" s="83"/>
    </row>
    <row r="184" spans="1:13" s="361" customFormat="1" ht="13.5" customHeight="1" thickBot="1">
      <c r="A184" s="411"/>
      <c r="B184" s="417">
        <v>41275</v>
      </c>
      <c r="C184" s="418">
        <v>41306</v>
      </c>
      <c r="D184" s="418">
        <v>41334</v>
      </c>
      <c r="E184" s="418">
        <v>41365</v>
      </c>
      <c r="F184" s="418">
        <v>41395</v>
      </c>
      <c r="G184" s="418">
        <v>41426</v>
      </c>
      <c r="H184" s="418">
        <v>41456</v>
      </c>
      <c r="I184" s="418">
        <v>41487</v>
      </c>
      <c r="J184" s="418">
        <v>41518</v>
      </c>
      <c r="K184" s="418">
        <v>41548</v>
      </c>
      <c r="L184" s="418">
        <v>41579</v>
      </c>
      <c r="M184" s="419">
        <v>41609</v>
      </c>
    </row>
    <row r="185" spans="1:13" s="361" customFormat="1" ht="13.5" customHeight="1">
      <c r="A185" s="92" t="s">
        <v>127</v>
      </c>
      <c r="B185" s="254">
        <f>B186+B187</f>
        <v>165481</v>
      </c>
      <c r="C185" s="232">
        <f t="shared" ref="C185:L185" si="32">C186+C187</f>
        <v>162683</v>
      </c>
      <c r="D185" s="232">
        <f t="shared" si="32"/>
        <v>162123</v>
      </c>
      <c r="E185" s="232">
        <f t="shared" si="32"/>
        <v>162536</v>
      </c>
      <c r="F185" s="232">
        <f t="shared" si="32"/>
        <v>162613</v>
      </c>
      <c r="G185" s="232">
        <f t="shared" si="32"/>
        <v>161916</v>
      </c>
      <c r="H185" s="232">
        <f t="shared" si="32"/>
        <v>161949</v>
      </c>
      <c r="I185" s="232">
        <f t="shared" si="32"/>
        <v>162545</v>
      </c>
      <c r="J185" s="232">
        <f t="shared" si="32"/>
        <v>161909</v>
      </c>
      <c r="K185" s="232">
        <f t="shared" si="32"/>
        <v>160570</v>
      </c>
      <c r="L185" s="232">
        <f t="shared" si="32"/>
        <v>158374</v>
      </c>
      <c r="M185" s="421">
        <v>156713</v>
      </c>
    </row>
    <row r="186" spans="1:13" s="361" customFormat="1" ht="13.5" customHeight="1">
      <c r="A186" s="412" t="s">
        <v>128</v>
      </c>
      <c r="B186" s="64">
        <v>120794</v>
      </c>
      <c r="C186" s="39">
        <v>118540</v>
      </c>
      <c r="D186" s="39">
        <v>118097</v>
      </c>
      <c r="E186" s="39">
        <v>118712</v>
      </c>
      <c r="F186" s="39">
        <v>118959</v>
      </c>
      <c r="G186" s="39">
        <v>118082</v>
      </c>
      <c r="H186" s="39">
        <v>117734</v>
      </c>
      <c r="I186" s="39">
        <v>118199</v>
      </c>
      <c r="J186" s="39">
        <v>117416</v>
      </c>
      <c r="K186" s="39">
        <v>115710</v>
      </c>
      <c r="L186" s="39">
        <v>113973</v>
      </c>
      <c r="M186" s="41">
        <v>113206</v>
      </c>
    </row>
    <row r="187" spans="1:13" s="361" customFormat="1" ht="13.5" customHeight="1">
      <c r="A187" s="412" t="s">
        <v>129</v>
      </c>
      <c r="B187" s="64">
        <v>44687</v>
      </c>
      <c r="C187" s="39">
        <v>44143</v>
      </c>
      <c r="D187" s="39">
        <v>44026</v>
      </c>
      <c r="E187" s="39">
        <v>43824</v>
      </c>
      <c r="F187" s="39">
        <v>43654</v>
      </c>
      <c r="G187" s="39">
        <v>43834</v>
      </c>
      <c r="H187" s="39">
        <v>44215</v>
      </c>
      <c r="I187" s="39">
        <v>44346</v>
      </c>
      <c r="J187" s="39">
        <v>44493</v>
      </c>
      <c r="K187" s="39">
        <v>44860</v>
      </c>
      <c r="L187" s="39">
        <v>44401</v>
      </c>
      <c r="M187" s="41">
        <v>43507</v>
      </c>
    </row>
    <row r="188" spans="1:13" s="361" customFormat="1" ht="13.5" customHeight="1">
      <c r="A188" s="412" t="s">
        <v>109</v>
      </c>
      <c r="B188" s="64">
        <v>153400</v>
      </c>
      <c r="C188" s="39">
        <v>152746</v>
      </c>
      <c r="D188" s="39">
        <v>154125</v>
      </c>
      <c r="E188" s="39">
        <v>155640</v>
      </c>
      <c r="F188" s="39">
        <v>157992</v>
      </c>
      <c r="G188" s="39">
        <v>159600</v>
      </c>
      <c r="H188" s="39">
        <v>160775</v>
      </c>
      <c r="I188" s="39">
        <v>161399</v>
      </c>
      <c r="J188" s="39">
        <v>160531</v>
      </c>
      <c r="K188" s="39">
        <v>159114</v>
      </c>
      <c r="L188" s="39">
        <v>159090</v>
      </c>
      <c r="M188" s="41">
        <v>156363</v>
      </c>
    </row>
    <row r="189" spans="1:13" s="361" customFormat="1" ht="13.5" customHeight="1">
      <c r="A189" s="412" t="s">
        <v>130</v>
      </c>
      <c r="B189" s="64">
        <v>20434</v>
      </c>
      <c r="C189" s="39">
        <v>20385</v>
      </c>
      <c r="D189" s="39">
        <v>19704</v>
      </c>
      <c r="E189" s="39">
        <v>20220</v>
      </c>
      <c r="F189" s="39">
        <v>20623</v>
      </c>
      <c r="G189" s="39">
        <v>20808</v>
      </c>
      <c r="H189" s="39">
        <v>19458</v>
      </c>
      <c r="I189" s="39">
        <v>18901</v>
      </c>
      <c r="J189" s="39">
        <v>19398</v>
      </c>
      <c r="K189" s="39">
        <v>20303</v>
      </c>
      <c r="L189" s="39">
        <v>20438</v>
      </c>
      <c r="M189" s="41">
        <v>18791</v>
      </c>
    </row>
    <row r="190" spans="1:13" s="361" customFormat="1" ht="13.5" customHeight="1" thickBot="1">
      <c r="A190" s="413" t="s">
        <v>3</v>
      </c>
      <c r="B190" s="68">
        <f t="shared" ref="B190:M190" si="33">SUM(B186:B189)</f>
        <v>339315</v>
      </c>
      <c r="C190" s="69">
        <f t="shared" si="33"/>
        <v>335814</v>
      </c>
      <c r="D190" s="69">
        <f t="shared" si="33"/>
        <v>335952</v>
      </c>
      <c r="E190" s="69">
        <f t="shared" si="33"/>
        <v>338396</v>
      </c>
      <c r="F190" s="69">
        <f t="shared" si="33"/>
        <v>341228</v>
      </c>
      <c r="G190" s="69">
        <f t="shared" si="33"/>
        <v>342324</v>
      </c>
      <c r="H190" s="69">
        <f t="shared" si="33"/>
        <v>342182</v>
      </c>
      <c r="I190" s="69">
        <f t="shared" si="33"/>
        <v>342845</v>
      </c>
      <c r="J190" s="69">
        <f t="shared" si="33"/>
        <v>341838</v>
      </c>
      <c r="K190" s="69">
        <f t="shared" si="33"/>
        <v>339987</v>
      </c>
      <c r="L190" s="69">
        <f t="shared" si="33"/>
        <v>337902</v>
      </c>
      <c r="M190" s="70">
        <f t="shared" si="33"/>
        <v>331867</v>
      </c>
    </row>
    <row r="191" spans="1:13" s="361" customFormat="1" ht="13.5" customHeight="1" thickBot="1">
      <c r="A191" s="411"/>
      <c r="B191" s="75"/>
      <c r="C191" s="75"/>
      <c r="D191" s="75"/>
      <c r="E191" s="75"/>
      <c r="F191" s="75"/>
      <c r="G191" s="75"/>
      <c r="H191" s="172"/>
      <c r="I191" s="172"/>
      <c r="J191" s="172"/>
      <c r="K191" s="172"/>
      <c r="L191" s="172"/>
      <c r="M191" s="172"/>
    </row>
    <row r="192" spans="1:13" s="361" customFormat="1" ht="13.5" customHeight="1" thickBot="1">
      <c r="A192" s="411"/>
      <c r="B192" s="417">
        <v>41640</v>
      </c>
      <c r="C192" s="418">
        <v>41671</v>
      </c>
      <c r="D192" s="418">
        <v>41699</v>
      </c>
      <c r="E192" s="418">
        <v>41730</v>
      </c>
      <c r="F192" s="418">
        <v>41760</v>
      </c>
      <c r="G192" s="418">
        <v>41791</v>
      </c>
      <c r="H192" s="418">
        <v>41821</v>
      </c>
      <c r="I192" s="418">
        <v>41852</v>
      </c>
      <c r="J192" s="418">
        <v>41883</v>
      </c>
      <c r="K192" s="418">
        <v>41913</v>
      </c>
      <c r="L192" s="418">
        <v>41944</v>
      </c>
      <c r="M192" s="419">
        <v>41974</v>
      </c>
    </row>
    <row r="193" spans="1:13" s="361" customFormat="1" ht="13.5" customHeight="1">
      <c r="A193" s="92" t="s">
        <v>127</v>
      </c>
      <c r="B193" s="63">
        <f>B194+B195</f>
        <v>156079</v>
      </c>
      <c r="C193" s="37">
        <f t="shared" ref="C193:M193" si="34">C194+C195</f>
        <v>154860</v>
      </c>
      <c r="D193" s="37">
        <f t="shared" si="34"/>
        <v>151772</v>
      </c>
      <c r="E193" s="37">
        <f t="shared" si="34"/>
        <v>147470</v>
      </c>
      <c r="F193" s="37">
        <f t="shared" si="34"/>
        <v>143191</v>
      </c>
      <c r="G193" s="37">
        <f t="shared" si="34"/>
        <v>139334</v>
      </c>
      <c r="H193" s="37">
        <f t="shared" si="34"/>
        <v>136946</v>
      </c>
      <c r="I193" s="37">
        <f t="shared" si="34"/>
        <v>134743</v>
      </c>
      <c r="J193" s="37">
        <f t="shared" si="34"/>
        <v>131319</v>
      </c>
      <c r="K193" s="37">
        <f t="shared" si="34"/>
        <v>128994</v>
      </c>
      <c r="L193" s="37">
        <f t="shared" si="34"/>
        <v>128093</v>
      </c>
      <c r="M193" s="38">
        <f t="shared" si="34"/>
        <v>126803</v>
      </c>
    </row>
    <row r="194" spans="1:13" s="361" customFormat="1" ht="13.5" customHeight="1">
      <c r="A194" s="412" t="s">
        <v>128</v>
      </c>
      <c r="B194" s="64">
        <v>112875</v>
      </c>
      <c r="C194" s="39">
        <v>112034</v>
      </c>
      <c r="D194" s="39">
        <v>109979</v>
      </c>
      <c r="E194" s="39">
        <v>106461</v>
      </c>
      <c r="F194" s="39">
        <v>102690</v>
      </c>
      <c r="G194" s="39">
        <v>100186</v>
      </c>
      <c r="H194" s="39">
        <v>98220</v>
      </c>
      <c r="I194" s="39">
        <v>96602</v>
      </c>
      <c r="J194" s="39">
        <v>94184</v>
      </c>
      <c r="K194" s="39">
        <v>92999</v>
      </c>
      <c r="L194" s="39">
        <v>92779</v>
      </c>
      <c r="M194" s="41">
        <v>91818</v>
      </c>
    </row>
    <row r="195" spans="1:13" s="361" customFormat="1" ht="13.5" customHeight="1">
      <c r="A195" s="412" t="s">
        <v>129</v>
      </c>
      <c r="B195" s="64">
        <v>43204</v>
      </c>
      <c r="C195" s="39">
        <v>42826</v>
      </c>
      <c r="D195" s="39">
        <v>41793</v>
      </c>
      <c r="E195" s="39">
        <v>41009</v>
      </c>
      <c r="F195" s="39">
        <v>40501</v>
      </c>
      <c r="G195" s="39">
        <v>39148</v>
      </c>
      <c r="H195" s="39">
        <v>38726</v>
      </c>
      <c r="I195" s="39">
        <v>38141</v>
      </c>
      <c r="J195" s="39">
        <v>37135</v>
      </c>
      <c r="K195" s="39">
        <v>35995</v>
      </c>
      <c r="L195" s="39">
        <v>35314</v>
      </c>
      <c r="M195" s="41">
        <v>34985</v>
      </c>
    </row>
    <row r="196" spans="1:13" s="361" customFormat="1" ht="13.5" customHeight="1">
      <c r="A196" s="412" t="s">
        <v>109</v>
      </c>
      <c r="B196" s="64">
        <v>156172</v>
      </c>
      <c r="C196" s="39">
        <v>154589</v>
      </c>
      <c r="D196" s="39">
        <v>150139</v>
      </c>
      <c r="E196" s="39">
        <v>148303</v>
      </c>
      <c r="F196" s="39">
        <v>148696</v>
      </c>
      <c r="G196" s="39">
        <v>144840</v>
      </c>
      <c r="H196" s="39">
        <v>145998</v>
      </c>
      <c r="I196" s="39">
        <v>145900</v>
      </c>
      <c r="J196" s="39">
        <v>147534</v>
      </c>
      <c r="K196" s="39">
        <v>149336</v>
      </c>
      <c r="L196" s="39">
        <v>148438</v>
      </c>
      <c r="M196" s="41">
        <v>147057</v>
      </c>
    </row>
    <row r="197" spans="1:13" s="361" customFormat="1" ht="13.5" customHeight="1">
      <c r="A197" s="412" t="s">
        <v>130</v>
      </c>
      <c r="B197" s="64">
        <v>19052</v>
      </c>
      <c r="C197" s="39">
        <v>19725</v>
      </c>
      <c r="D197" s="39">
        <v>20410</v>
      </c>
      <c r="E197" s="39">
        <v>20597</v>
      </c>
      <c r="F197" s="39">
        <v>20179</v>
      </c>
      <c r="G197" s="39">
        <v>21480</v>
      </c>
      <c r="H197" s="39">
        <v>22135</v>
      </c>
      <c r="I197" s="39">
        <v>22575</v>
      </c>
      <c r="J197" s="39">
        <v>22905</v>
      </c>
      <c r="K197" s="39">
        <v>22910</v>
      </c>
      <c r="L197" s="39">
        <v>22708</v>
      </c>
      <c r="M197" s="41">
        <v>23672</v>
      </c>
    </row>
    <row r="198" spans="1:13" s="361" customFormat="1" ht="13.5" customHeight="1" thickBot="1">
      <c r="A198" s="413" t="s">
        <v>3</v>
      </c>
      <c r="B198" s="72">
        <f t="shared" ref="B198:M198" si="35">SUM(B194:B197)</f>
        <v>331303</v>
      </c>
      <c r="C198" s="73">
        <f t="shared" si="35"/>
        <v>329174</v>
      </c>
      <c r="D198" s="73">
        <f t="shared" si="35"/>
        <v>322321</v>
      </c>
      <c r="E198" s="73">
        <f t="shared" si="35"/>
        <v>316370</v>
      </c>
      <c r="F198" s="73">
        <f t="shared" si="35"/>
        <v>312066</v>
      </c>
      <c r="G198" s="73">
        <f t="shared" si="35"/>
        <v>305654</v>
      </c>
      <c r="H198" s="73">
        <f t="shared" si="35"/>
        <v>305079</v>
      </c>
      <c r="I198" s="73">
        <f t="shared" si="35"/>
        <v>303218</v>
      </c>
      <c r="J198" s="73">
        <f t="shared" si="35"/>
        <v>301758</v>
      </c>
      <c r="K198" s="73">
        <f t="shared" si="35"/>
        <v>301240</v>
      </c>
      <c r="L198" s="73">
        <f t="shared" si="35"/>
        <v>299239</v>
      </c>
      <c r="M198" s="74">
        <f t="shared" si="35"/>
        <v>297532</v>
      </c>
    </row>
    <row r="199" spans="1:13" s="361" customFormat="1" ht="13.5" customHeight="1" thickBot="1">
      <c r="A199" s="411"/>
      <c r="B199" s="172"/>
      <c r="C199" s="172"/>
      <c r="D199" s="172"/>
      <c r="E199" s="172"/>
      <c r="F199" s="172"/>
      <c r="G199" s="172"/>
      <c r="H199" s="172"/>
      <c r="I199" s="172"/>
      <c r="J199" s="172"/>
      <c r="K199" s="172"/>
      <c r="L199" s="172"/>
      <c r="M199" s="172"/>
    </row>
    <row r="200" spans="1:13" s="361" customFormat="1" ht="13.5" customHeight="1" thickBot="1">
      <c r="A200" s="411"/>
      <c r="B200" s="417">
        <v>42005</v>
      </c>
      <c r="C200" s="418">
        <v>42036</v>
      </c>
      <c r="D200" s="418">
        <v>42064</v>
      </c>
      <c r="E200" s="418">
        <v>42095</v>
      </c>
      <c r="F200" s="418">
        <v>42125</v>
      </c>
      <c r="G200" s="418">
        <v>42156</v>
      </c>
      <c r="H200" s="418">
        <v>42186</v>
      </c>
      <c r="I200" s="418">
        <v>42217</v>
      </c>
      <c r="J200" s="418">
        <v>42248</v>
      </c>
      <c r="K200" s="418">
        <v>42278</v>
      </c>
      <c r="L200" s="418">
        <v>42309</v>
      </c>
      <c r="M200" s="419">
        <v>42339</v>
      </c>
    </row>
    <row r="201" spans="1:13" s="361" customFormat="1" ht="13.5" customHeight="1">
      <c r="A201" s="92" t="s">
        <v>127</v>
      </c>
      <c r="B201" s="63">
        <f>B202+B203</f>
        <v>125844</v>
      </c>
      <c r="C201" s="37">
        <f t="shared" ref="C201:M201" si="36">C202+C203</f>
        <v>123879</v>
      </c>
      <c r="D201" s="37">
        <f t="shared" si="36"/>
        <v>123084</v>
      </c>
      <c r="E201" s="37">
        <f t="shared" si="36"/>
        <v>122312</v>
      </c>
      <c r="F201" s="37">
        <f t="shared" si="36"/>
        <v>120689</v>
      </c>
      <c r="G201" s="37">
        <f t="shared" si="36"/>
        <v>121169</v>
      </c>
      <c r="H201" s="37">
        <f t="shared" si="36"/>
        <v>118288</v>
      </c>
      <c r="I201" s="37">
        <f t="shared" si="36"/>
        <v>116737</v>
      </c>
      <c r="J201" s="37">
        <f t="shared" si="36"/>
        <v>116715</v>
      </c>
      <c r="K201" s="37">
        <f t="shared" si="36"/>
        <v>115932</v>
      </c>
      <c r="L201" s="37">
        <f t="shared" si="36"/>
        <v>114706</v>
      </c>
      <c r="M201" s="38">
        <f t="shared" si="36"/>
        <v>113900</v>
      </c>
    </row>
    <row r="202" spans="1:13" s="361" customFormat="1" ht="13.5" customHeight="1">
      <c r="A202" s="412" t="s">
        <v>128</v>
      </c>
      <c r="B202" s="64">
        <v>91208</v>
      </c>
      <c r="C202" s="39">
        <v>89899</v>
      </c>
      <c r="D202" s="39">
        <v>88764</v>
      </c>
      <c r="E202" s="39">
        <v>88169</v>
      </c>
      <c r="F202" s="39">
        <v>87449</v>
      </c>
      <c r="G202" s="39">
        <v>87198</v>
      </c>
      <c r="H202" s="39">
        <v>85094</v>
      </c>
      <c r="I202" s="39">
        <v>83688</v>
      </c>
      <c r="J202" s="39">
        <v>83343</v>
      </c>
      <c r="K202" s="39">
        <v>82543</v>
      </c>
      <c r="L202" s="39">
        <v>81471</v>
      </c>
      <c r="M202" s="41">
        <v>80828</v>
      </c>
    </row>
    <row r="203" spans="1:13" s="361" customFormat="1" ht="13.5" customHeight="1">
      <c r="A203" s="412" t="s">
        <v>129</v>
      </c>
      <c r="B203" s="64">
        <v>34636</v>
      </c>
      <c r="C203" s="39">
        <v>33980</v>
      </c>
      <c r="D203" s="39">
        <v>34320</v>
      </c>
      <c r="E203" s="39">
        <v>34143</v>
      </c>
      <c r="F203" s="39">
        <v>33240</v>
      </c>
      <c r="G203" s="39">
        <v>33971</v>
      </c>
      <c r="H203" s="39">
        <v>33194</v>
      </c>
      <c r="I203" s="39">
        <v>33049</v>
      </c>
      <c r="J203" s="39">
        <v>33372</v>
      </c>
      <c r="K203" s="39">
        <v>33389</v>
      </c>
      <c r="L203" s="39">
        <v>33235</v>
      </c>
      <c r="M203" s="41">
        <v>33072</v>
      </c>
    </row>
    <row r="204" spans="1:13" s="361" customFormat="1" ht="13.5" customHeight="1">
      <c r="A204" s="412" t="s">
        <v>109</v>
      </c>
      <c r="B204" s="64">
        <v>146762</v>
      </c>
      <c r="C204" s="39">
        <v>149219</v>
      </c>
      <c r="D204" s="39">
        <v>150335</v>
      </c>
      <c r="E204" s="39">
        <v>150185</v>
      </c>
      <c r="F204" s="39">
        <v>149037</v>
      </c>
      <c r="G204" s="39">
        <v>153237</v>
      </c>
      <c r="H204" s="39">
        <v>152297</v>
      </c>
      <c r="I204" s="39">
        <v>154982</v>
      </c>
      <c r="J204" s="39">
        <v>158705</v>
      </c>
      <c r="K204" s="39">
        <v>162108</v>
      </c>
      <c r="L204" s="39">
        <v>164100</v>
      </c>
      <c r="M204" s="41">
        <v>167472</v>
      </c>
    </row>
    <row r="205" spans="1:13" s="361" customFormat="1" ht="13.5" customHeight="1">
      <c r="A205" s="412" t="s">
        <v>130</v>
      </c>
      <c r="B205" s="64">
        <v>25152</v>
      </c>
      <c r="C205" s="39">
        <v>25597</v>
      </c>
      <c r="D205" s="39">
        <v>25512</v>
      </c>
      <c r="E205" s="39">
        <v>25449</v>
      </c>
      <c r="F205" s="39">
        <v>26063</v>
      </c>
      <c r="G205" s="39">
        <v>24418</v>
      </c>
      <c r="H205" s="39">
        <v>24962</v>
      </c>
      <c r="I205" s="39">
        <v>25489</v>
      </c>
      <c r="J205" s="39">
        <v>25886</v>
      </c>
      <c r="K205" s="39">
        <v>25511</v>
      </c>
      <c r="L205" s="39">
        <v>26100</v>
      </c>
      <c r="M205" s="41">
        <v>26908</v>
      </c>
    </row>
    <row r="206" spans="1:13" s="361" customFormat="1" ht="13.5" customHeight="1" thickBot="1">
      <c r="A206" s="413" t="s">
        <v>3</v>
      </c>
      <c r="B206" s="72">
        <f>SUM(B202:B205)</f>
        <v>297758</v>
      </c>
      <c r="C206" s="73">
        <f>SUM(C202:C205)</f>
        <v>298695</v>
      </c>
      <c r="D206" s="73">
        <f>SUM(D202:D205)</f>
        <v>298931</v>
      </c>
      <c r="E206" s="73">
        <f t="shared" ref="E206:M206" si="37">SUM(E202:E205)</f>
        <v>297946</v>
      </c>
      <c r="F206" s="73">
        <f t="shared" si="37"/>
        <v>295789</v>
      </c>
      <c r="G206" s="73">
        <f t="shared" si="37"/>
        <v>298824</v>
      </c>
      <c r="H206" s="73">
        <f t="shared" si="37"/>
        <v>295547</v>
      </c>
      <c r="I206" s="73">
        <f t="shared" si="37"/>
        <v>297208</v>
      </c>
      <c r="J206" s="73">
        <f t="shared" si="37"/>
        <v>301306</v>
      </c>
      <c r="K206" s="73">
        <f t="shared" si="37"/>
        <v>303551</v>
      </c>
      <c r="L206" s="73">
        <f t="shared" si="37"/>
        <v>304906</v>
      </c>
      <c r="M206" s="74">
        <f t="shared" si="37"/>
        <v>308280</v>
      </c>
    </row>
    <row r="207" spans="1:13" s="361" customFormat="1" ht="13.5" customHeight="1" thickBot="1">
      <c r="A207" s="411"/>
      <c r="B207" s="422"/>
      <c r="C207" s="422"/>
      <c r="D207" s="422"/>
      <c r="E207" s="422"/>
      <c r="F207" s="422"/>
      <c r="G207" s="422"/>
      <c r="H207" s="422"/>
      <c r="I207" s="422"/>
      <c r="J207" s="422"/>
      <c r="K207" s="422"/>
      <c r="L207" s="422"/>
      <c r="M207" s="422"/>
    </row>
    <row r="208" spans="1:13" s="361" customFormat="1" ht="13.5" customHeight="1" thickBot="1">
      <c r="A208" s="411"/>
      <c r="B208" s="265">
        <v>42370</v>
      </c>
      <c r="C208" s="266">
        <v>42401</v>
      </c>
      <c r="D208" s="266">
        <v>42430</v>
      </c>
      <c r="E208" s="266">
        <v>42461</v>
      </c>
      <c r="F208" s="266">
        <v>42491</v>
      </c>
      <c r="G208" s="266">
        <v>42522</v>
      </c>
      <c r="H208" s="266">
        <v>42552</v>
      </c>
      <c r="I208" s="266">
        <v>42583</v>
      </c>
      <c r="J208" s="266">
        <v>42614</v>
      </c>
      <c r="K208" s="266">
        <v>42644</v>
      </c>
      <c r="L208" s="266">
        <v>42675</v>
      </c>
      <c r="M208" s="271">
        <v>42705</v>
      </c>
    </row>
    <row r="209" spans="1:28" s="361" customFormat="1" ht="13.5" customHeight="1">
      <c r="A209" s="92" t="s">
        <v>127</v>
      </c>
      <c r="B209" s="63">
        <f>B210+B211</f>
        <v>114696</v>
      </c>
      <c r="C209" s="37">
        <f t="shared" ref="C209:M209" si="38">C210+C211</f>
        <v>115156</v>
      </c>
      <c r="D209" s="37">
        <f t="shared" si="38"/>
        <v>115460</v>
      </c>
      <c r="E209" s="37">
        <f t="shared" si="38"/>
        <v>115186</v>
      </c>
      <c r="F209" s="37">
        <f t="shared" si="38"/>
        <v>116211</v>
      </c>
      <c r="G209" s="37">
        <f t="shared" si="38"/>
        <v>115915</v>
      </c>
      <c r="H209" s="37">
        <f t="shared" si="38"/>
        <v>113689</v>
      </c>
      <c r="I209" s="37">
        <f t="shared" si="38"/>
        <v>115779</v>
      </c>
      <c r="J209" s="37">
        <f t="shared" si="38"/>
        <v>115841</v>
      </c>
      <c r="K209" s="37">
        <f t="shared" si="38"/>
        <v>116292</v>
      </c>
      <c r="L209" s="37">
        <f t="shared" si="38"/>
        <v>117557</v>
      </c>
      <c r="M209" s="38">
        <f t="shared" si="38"/>
        <v>120751</v>
      </c>
    </row>
    <row r="210" spans="1:28" s="361" customFormat="1" ht="13.5" customHeight="1">
      <c r="A210" s="412" t="s">
        <v>128</v>
      </c>
      <c r="B210" s="64">
        <v>81337</v>
      </c>
      <c r="C210" s="39">
        <v>82059</v>
      </c>
      <c r="D210" s="39">
        <v>82503</v>
      </c>
      <c r="E210" s="39">
        <v>82462</v>
      </c>
      <c r="F210" s="39">
        <v>83184</v>
      </c>
      <c r="G210" s="39">
        <v>83270</v>
      </c>
      <c r="H210" s="270">
        <v>81721</v>
      </c>
      <c r="I210" s="270">
        <v>83270</v>
      </c>
      <c r="J210" s="270">
        <v>84029</v>
      </c>
      <c r="K210" s="270">
        <v>84816</v>
      </c>
      <c r="L210" s="270">
        <v>85772</v>
      </c>
      <c r="M210" s="344">
        <v>88315</v>
      </c>
    </row>
    <row r="211" spans="1:28" s="361" customFormat="1" ht="13.5" customHeight="1">
      <c r="A211" s="412" t="s">
        <v>129</v>
      </c>
      <c r="B211" s="64">
        <v>33359</v>
      </c>
      <c r="C211" s="39">
        <v>33097</v>
      </c>
      <c r="D211" s="39">
        <v>32957</v>
      </c>
      <c r="E211" s="39">
        <v>32724</v>
      </c>
      <c r="F211" s="39">
        <v>33027</v>
      </c>
      <c r="G211" s="39">
        <v>32645</v>
      </c>
      <c r="H211" s="270">
        <v>31968</v>
      </c>
      <c r="I211" s="270">
        <v>32509</v>
      </c>
      <c r="J211" s="270">
        <v>31812</v>
      </c>
      <c r="K211" s="270">
        <v>31476</v>
      </c>
      <c r="L211" s="270">
        <v>31785</v>
      </c>
      <c r="M211" s="344">
        <v>32436</v>
      </c>
    </row>
    <row r="212" spans="1:28" s="361" customFormat="1" ht="13.5" customHeight="1">
      <c r="A212" s="412" t="s">
        <v>109</v>
      </c>
      <c r="B212" s="64">
        <v>168768</v>
      </c>
      <c r="C212" s="39">
        <v>167892</v>
      </c>
      <c r="D212" s="39">
        <v>170035</v>
      </c>
      <c r="E212" s="39">
        <v>170273</v>
      </c>
      <c r="F212" s="39">
        <v>171515</v>
      </c>
      <c r="G212" s="39">
        <v>172465</v>
      </c>
      <c r="H212" s="270">
        <v>172702</v>
      </c>
      <c r="I212" s="270">
        <v>172239</v>
      </c>
      <c r="J212" s="270">
        <v>166937</v>
      </c>
      <c r="K212" s="270">
        <v>165247</v>
      </c>
      <c r="L212" s="270">
        <v>165300</v>
      </c>
      <c r="M212" s="344">
        <v>168191</v>
      </c>
    </row>
    <row r="213" spans="1:28" s="361" customFormat="1" ht="13.5" customHeight="1">
      <c r="A213" s="412" t="s">
        <v>130</v>
      </c>
      <c r="B213" s="64">
        <v>26670</v>
      </c>
      <c r="C213" s="39">
        <v>27826</v>
      </c>
      <c r="D213" s="39">
        <v>27477</v>
      </c>
      <c r="E213" s="39">
        <v>27175</v>
      </c>
      <c r="F213" s="39">
        <v>27535</v>
      </c>
      <c r="G213" s="39">
        <v>27384</v>
      </c>
      <c r="H213" s="270">
        <v>27151</v>
      </c>
      <c r="I213" s="270">
        <v>27988</v>
      </c>
      <c r="J213" s="270">
        <v>26507</v>
      </c>
      <c r="K213" s="270">
        <v>26313</v>
      </c>
      <c r="L213" s="270">
        <v>27250</v>
      </c>
      <c r="M213" s="344">
        <v>27465</v>
      </c>
    </row>
    <row r="214" spans="1:28" s="361" customFormat="1" ht="13.5" customHeight="1" thickBot="1">
      <c r="A214" s="413" t="s">
        <v>3</v>
      </c>
      <c r="B214" s="72">
        <f>SUM(B210:B213)</f>
        <v>310134</v>
      </c>
      <c r="C214" s="73">
        <f t="shared" ref="C214:M214" si="39">SUM(C210:C213)</f>
        <v>310874</v>
      </c>
      <c r="D214" s="73">
        <f t="shared" si="39"/>
        <v>312972</v>
      </c>
      <c r="E214" s="73">
        <f t="shared" si="39"/>
        <v>312634</v>
      </c>
      <c r="F214" s="73">
        <f t="shared" si="39"/>
        <v>315261</v>
      </c>
      <c r="G214" s="73">
        <f t="shared" si="39"/>
        <v>315764</v>
      </c>
      <c r="H214" s="73">
        <f t="shared" si="39"/>
        <v>313542</v>
      </c>
      <c r="I214" s="73">
        <f t="shared" si="39"/>
        <v>316006</v>
      </c>
      <c r="J214" s="73">
        <f t="shared" si="39"/>
        <v>309285</v>
      </c>
      <c r="K214" s="73">
        <f t="shared" si="39"/>
        <v>307852</v>
      </c>
      <c r="L214" s="73">
        <f t="shared" si="39"/>
        <v>310107</v>
      </c>
      <c r="M214" s="74">
        <f t="shared" si="39"/>
        <v>316407</v>
      </c>
    </row>
    <row r="215" spans="1:28" s="366" customFormat="1" ht="13.5" customHeight="1" thickBot="1">
      <c r="A215" s="411"/>
      <c r="B215" s="422"/>
      <c r="C215" s="422"/>
      <c r="D215" s="422"/>
      <c r="E215" s="422"/>
      <c r="F215" s="422"/>
      <c r="G215" s="422"/>
      <c r="H215" s="422"/>
      <c r="I215" s="422"/>
      <c r="J215" s="422"/>
      <c r="K215" s="422"/>
      <c r="L215" s="422"/>
      <c r="M215" s="422"/>
      <c r="N215" s="361"/>
      <c r="O215" s="361"/>
      <c r="P215" s="361"/>
      <c r="Q215" s="361"/>
      <c r="R215" s="361"/>
      <c r="S215" s="361"/>
      <c r="T215" s="361"/>
      <c r="U215" s="361"/>
      <c r="V215" s="361"/>
      <c r="W215" s="361"/>
      <c r="X215" s="361"/>
      <c r="Y215" s="361"/>
      <c r="Z215" s="361"/>
      <c r="AA215" s="361"/>
      <c r="AB215" s="361"/>
    </row>
    <row r="216" spans="1:28" s="366" customFormat="1" ht="13.5" customHeight="1" thickBot="1">
      <c r="A216" s="411"/>
      <c r="B216" s="265">
        <v>42736</v>
      </c>
      <c r="C216" s="266">
        <v>42767</v>
      </c>
      <c r="D216" s="266">
        <v>42795</v>
      </c>
      <c r="E216" s="266">
        <v>42826</v>
      </c>
      <c r="F216" s="266">
        <v>42856</v>
      </c>
      <c r="G216" s="266">
        <v>42887</v>
      </c>
      <c r="H216" s="266">
        <v>42917</v>
      </c>
      <c r="I216" s="266">
        <v>42948</v>
      </c>
      <c r="J216" s="266">
        <v>42979</v>
      </c>
      <c r="K216" s="266">
        <v>43009</v>
      </c>
      <c r="L216" s="266">
        <v>43040</v>
      </c>
      <c r="M216" s="271">
        <v>43070</v>
      </c>
      <c r="N216" s="361"/>
      <c r="O216" s="361"/>
      <c r="P216" s="361"/>
      <c r="Q216" s="361"/>
      <c r="R216" s="361"/>
      <c r="S216" s="361"/>
      <c r="T216" s="361"/>
      <c r="U216" s="361"/>
      <c r="V216" s="361"/>
      <c r="W216" s="361"/>
      <c r="X216" s="361"/>
      <c r="Y216" s="361"/>
      <c r="Z216" s="361"/>
      <c r="AA216" s="361"/>
      <c r="AB216" s="361"/>
    </row>
    <row r="217" spans="1:28" s="366" customFormat="1" ht="13.5" customHeight="1">
      <c r="A217" s="92" t="s">
        <v>127</v>
      </c>
      <c r="B217" s="64">
        <f>B218+B219</f>
        <v>121346</v>
      </c>
      <c r="C217" s="39">
        <f t="shared" ref="C217:M217" si="40">C218+C219</f>
        <v>122798</v>
      </c>
      <c r="D217" s="39">
        <f t="shared" si="40"/>
        <v>122495</v>
      </c>
      <c r="E217" s="39">
        <f t="shared" si="40"/>
        <v>124323</v>
      </c>
      <c r="F217" s="39">
        <f t="shared" si="40"/>
        <v>126833</v>
      </c>
      <c r="G217" s="39">
        <f t="shared" si="40"/>
        <v>127868</v>
      </c>
      <c r="H217" s="39">
        <f t="shared" si="40"/>
        <v>129914</v>
      </c>
      <c r="I217" s="39">
        <f t="shared" si="40"/>
        <v>131493</v>
      </c>
      <c r="J217" s="39">
        <f t="shared" si="40"/>
        <v>134064</v>
      </c>
      <c r="K217" s="270">
        <f t="shared" si="40"/>
        <v>136743</v>
      </c>
      <c r="L217" s="270">
        <f t="shared" si="40"/>
        <v>140650</v>
      </c>
      <c r="M217" s="344">
        <f t="shared" si="40"/>
        <v>141004</v>
      </c>
      <c r="N217" s="201"/>
      <c r="O217" s="361"/>
      <c r="P217" s="361"/>
      <c r="Q217" s="361"/>
      <c r="R217" s="361"/>
      <c r="S217" s="361"/>
      <c r="T217" s="361"/>
      <c r="U217" s="361"/>
      <c r="V217" s="361"/>
      <c r="W217" s="361"/>
      <c r="X217" s="361"/>
      <c r="Y217" s="361"/>
      <c r="Z217" s="361"/>
      <c r="AA217" s="361"/>
      <c r="AB217" s="361"/>
    </row>
    <row r="218" spans="1:28" s="366" customFormat="1" ht="13.5" customHeight="1">
      <c r="A218" s="412" t="s">
        <v>128</v>
      </c>
      <c r="B218" s="64">
        <v>88751</v>
      </c>
      <c r="C218" s="39">
        <v>89693</v>
      </c>
      <c r="D218" s="39">
        <v>89511</v>
      </c>
      <c r="E218" s="39">
        <v>90651</v>
      </c>
      <c r="F218" s="39">
        <v>92654</v>
      </c>
      <c r="G218" s="39">
        <v>93559</v>
      </c>
      <c r="H218" s="270">
        <v>94702</v>
      </c>
      <c r="I218" s="270">
        <v>96019</v>
      </c>
      <c r="J218" s="270">
        <v>98150</v>
      </c>
      <c r="K218" s="270">
        <v>100192</v>
      </c>
      <c r="L218" s="270">
        <v>102844</v>
      </c>
      <c r="M218" s="344">
        <v>103258</v>
      </c>
      <c r="N218" s="201"/>
      <c r="O218" s="361"/>
      <c r="P218" s="361"/>
      <c r="Q218" s="361"/>
      <c r="R218" s="361"/>
      <c r="S218" s="361"/>
      <c r="T218" s="361"/>
      <c r="U218" s="361"/>
      <c r="V218" s="361"/>
      <c r="W218" s="361"/>
      <c r="X218" s="361"/>
      <c r="Y218" s="361"/>
      <c r="Z218" s="361"/>
      <c r="AA218" s="361"/>
      <c r="AB218" s="361"/>
    </row>
    <row r="219" spans="1:28" s="366" customFormat="1" ht="13.5" customHeight="1">
      <c r="A219" s="412" t="s">
        <v>129</v>
      </c>
      <c r="B219" s="64">
        <v>32595</v>
      </c>
      <c r="C219" s="39">
        <v>33105</v>
      </c>
      <c r="D219" s="39">
        <v>32984</v>
      </c>
      <c r="E219" s="39">
        <v>33672</v>
      </c>
      <c r="F219" s="39">
        <v>34179</v>
      </c>
      <c r="G219" s="39">
        <v>34309</v>
      </c>
      <c r="H219" s="270">
        <v>35212</v>
      </c>
      <c r="I219" s="270">
        <v>35474</v>
      </c>
      <c r="J219" s="270">
        <v>35914</v>
      </c>
      <c r="K219" s="270">
        <v>36551</v>
      </c>
      <c r="L219" s="270">
        <v>37806</v>
      </c>
      <c r="M219" s="344">
        <v>37746</v>
      </c>
      <c r="N219" s="201"/>
      <c r="O219" s="361"/>
      <c r="P219" s="361"/>
      <c r="Q219" s="361"/>
      <c r="R219" s="361"/>
      <c r="S219" s="361"/>
      <c r="T219" s="361"/>
      <c r="U219" s="361"/>
      <c r="V219" s="361"/>
      <c r="W219" s="361"/>
      <c r="X219" s="361"/>
      <c r="Y219" s="361"/>
      <c r="Z219" s="361"/>
      <c r="AA219" s="361"/>
      <c r="AB219" s="361"/>
    </row>
    <row r="220" spans="1:28" s="366" customFormat="1" ht="13.5" customHeight="1">
      <c r="A220" s="412" t="s">
        <v>109</v>
      </c>
      <c r="B220" s="64">
        <v>170135</v>
      </c>
      <c r="C220" s="39">
        <v>171898</v>
      </c>
      <c r="D220" s="39">
        <v>173506</v>
      </c>
      <c r="E220" s="39">
        <v>177764</v>
      </c>
      <c r="F220" s="39">
        <v>180629</v>
      </c>
      <c r="G220" s="39">
        <v>179751</v>
      </c>
      <c r="H220" s="270">
        <v>181984</v>
      </c>
      <c r="I220" s="270">
        <v>186825</v>
      </c>
      <c r="J220" s="270">
        <v>192258</v>
      </c>
      <c r="K220" s="270">
        <v>196307</v>
      </c>
      <c r="L220" s="270">
        <v>205219</v>
      </c>
      <c r="M220" s="344">
        <v>215853</v>
      </c>
      <c r="N220" s="361"/>
      <c r="O220" s="361"/>
      <c r="P220" s="361"/>
      <c r="Q220" s="361"/>
      <c r="R220" s="361"/>
      <c r="S220" s="361"/>
      <c r="T220" s="361"/>
      <c r="U220" s="361"/>
      <c r="V220" s="361"/>
      <c r="W220" s="361"/>
      <c r="X220" s="361"/>
      <c r="Y220" s="361"/>
      <c r="Z220" s="361"/>
      <c r="AA220" s="361"/>
      <c r="AB220" s="361"/>
    </row>
    <row r="221" spans="1:28" s="366" customFormat="1" ht="13.5" customHeight="1">
      <c r="A221" s="412" t="s">
        <v>130</v>
      </c>
      <c r="B221" s="64">
        <v>27116</v>
      </c>
      <c r="C221" s="39">
        <v>24953</v>
      </c>
      <c r="D221" s="39">
        <v>26024</v>
      </c>
      <c r="E221" s="39">
        <v>26787</v>
      </c>
      <c r="F221" s="39">
        <v>25534</v>
      </c>
      <c r="G221" s="39">
        <v>27008</v>
      </c>
      <c r="H221" s="270">
        <v>26366</v>
      </c>
      <c r="I221" s="270">
        <v>25874</v>
      </c>
      <c r="J221" s="270">
        <v>26909</v>
      </c>
      <c r="K221" s="270">
        <v>27700</v>
      </c>
      <c r="L221" s="270">
        <v>26681</v>
      </c>
      <c r="M221" s="344">
        <v>28169</v>
      </c>
      <c r="N221" s="361"/>
      <c r="O221" s="361"/>
      <c r="P221" s="361"/>
      <c r="Q221" s="361"/>
      <c r="R221" s="361"/>
      <c r="S221" s="361"/>
      <c r="T221" s="361"/>
      <c r="U221" s="361"/>
      <c r="V221" s="361"/>
      <c r="W221" s="361"/>
      <c r="X221" s="361"/>
      <c r="Y221" s="361"/>
      <c r="Z221" s="361"/>
      <c r="AA221" s="361"/>
      <c r="AB221" s="361"/>
    </row>
    <row r="222" spans="1:28" s="366" customFormat="1" ht="13.5" customHeight="1" thickBot="1">
      <c r="A222" s="413" t="s">
        <v>3</v>
      </c>
      <c r="B222" s="72">
        <f>SUM(B218:B221)</f>
        <v>318597</v>
      </c>
      <c r="C222" s="73">
        <f t="shared" ref="C222:M222" si="41">SUM(C218:C221)</f>
        <v>319649</v>
      </c>
      <c r="D222" s="73">
        <f t="shared" si="41"/>
        <v>322025</v>
      </c>
      <c r="E222" s="73">
        <f t="shared" si="41"/>
        <v>328874</v>
      </c>
      <c r="F222" s="73">
        <f t="shared" si="41"/>
        <v>332996</v>
      </c>
      <c r="G222" s="73">
        <f t="shared" si="41"/>
        <v>334627</v>
      </c>
      <c r="H222" s="73">
        <f t="shared" si="41"/>
        <v>338264</v>
      </c>
      <c r="I222" s="73">
        <f t="shared" si="41"/>
        <v>344192</v>
      </c>
      <c r="J222" s="73">
        <f t="shared" si="41"/>
        <v>353231</v>
      </c>
      <c r="K222" s="350">
        <f t="shared" si="41"/>
        <v>360750</v>
      </c>
      <c r="L222" s="350">
        <f t="shared" si="41"/>
        <v>372550</v>
      </c>
      <c r="M222" s="351">
        <f t="shared" si="41"/>
        <v>385026</v>
      </c>
      <c r="N222" s="361"/>
      <c r="O222" s="361"/>
      <c r="P222" s="361"/>
      <c r="Q222" s="361"/>
      <c r="R222" s="361"/>
      <c r="S222" s="361"/>
      <c r="T222" s="361"/>
      <c r="U222" s="361"/>
      <c r="V222" s="361"/>
      <c r="W222" s="361"/>
      <c r="X222" s="361"/>
      <c r="Y222" s="361"/>
      <c r="Z222" s="361"/>
      <c r="AA222" s="361"/>
      <c r="AB222" s="361"/>
    </row>
    <row r="223" spans="1:28" s="366" customFormat="1" ht="13.5" customHeight="1">
      <c r="A223" s="13" t="s">
        <v>135</v>
      </c>
      <c r="B223" s="8"/>
      <c r="C223" s="8"/>
      <c r="D223" s="8"/>
      <c r="E223" s="8"/>
      <c r="F223" s="8"/>
      <c r="G223" s="8"/>
      <c r="H223" s="8"/>
      <c r="I223" s="8"/>
      <c r="J223" s="8"/>
      <c r="K223" s="8"/>
      <c r="L223" s="8"/>
      <c r="M223" s="8"/>
      <c r="N223" s="361"/>
      <c r="O223" s="361"/>
      <c r="P223" s="361"/>
      <c r="Q223" s="361"/>
      <c r="R223" s="361"/>
      <c r="S223" s="361"/>
      <c r="T223" s="361"/>
      <c r="U223" s="361"/>
      <c r="V223" s="361"/>
      <c r="W223" s="361"/>
      <c r="X223" s="361"/>
      <c r="Y223" s="361"/>
      <c r="Z223" s="361"/>
      <c r="AA223" s="361"/>
      <c r="AB223" s="361"/>
    </row>
    <row r="224" spans="1:28" s="366" customFormat="1" ht="13.5" customHeight="1">
      <c r="A224" s="5" t="s">
        <v>132</v>
      </c>
      <c r="B224" s="423"/>
      <c r="C224" s="423"/>
      <c r="D224" s="423"/>
      <c r="E224" s="423"/>
      <c r="F224" s="423"/>
      <c r="G224" s="423"/>
      <c r="H224" s="423"/>
      <c r="I224" s="423"/>
      <c r="J224" s="423"/>
      <c r="K224" s="423"/>
      <c r="L224" s="423"/>
      <c r="M224" s="423"/>
      <c r="N224" s="361"/>
      <c r="O224" s="361"/>
      <c r="P224" s="361"/>
      <c r="Q224" s="361"/>
      <c r="R224" s="361"/>
      <c r="S224" s="361"/>
      <c r="T224" s="361"/>
      <c r="U224" s="361"/>
      <c r="V224" s="361"/>
      <c r="W224" s="361"/>
      <c r="X224" s="361"/>
      <c r="Y224" s="361"/>
      <c r="Z224" s="361"/>
      <c r="AA224" s="361"/>
      <c r="AB224" s="361"/>
    </row>
    <row r="225" spans="1:28" s="366" customFormat="1" ht="13.5" customHeight="1">
      <c r="A225" s="5" t="s">
        <v>206</v>
      </c>
      <c r="B225" s="8"/>
      <c r="C225" s="8"/>
      <c r="D225" s="8"/>
      <c r="E225" s="8"/>
      <c r="F225" s="8"/>
      <c r="G225" s="8"/>
      <c r="H225" s="8"/>
      <c r="I225" s="8"/>
      <c r="J225" s="8"/>
      <c r="K225" s="8"/>
      <c r="L225" s="8"/>
      <c r="M225" s="8"/>
      <c r="N225" s="361"/>
      <c r="O225" s="361"/>
      <c r="P225" s="361"/>
      <c r="Q225" s="361"/>
      <c r="R225" s="361"/>
      <c r="S225" s="361"/>
      <c r="T225" s="361"/>
      <c r="U225" s="361"/>
      <c r="V225" s="361"/>
      <c r="W225" s="361"/>
      <c r="X225" s="361"/>
      <c r="Y225" s="361"/>
      <c r="Z225" s="361"/>
      <c r="AA225" s="361"/>
      <c r="AB225" s="361"/>
    </row>
    <row r="226" spans="1:28" s="366" customFormat="1" ht="13.5" customHeight="1">
      <c r="A226" s="5" t="s">
        <v>134</v>
      </c>
      <c r="B226" s="8"/>
      <c r="C226" s="8"/>
      <c r="D226" s="8"/>
      <c r="E226" s="8"/>
      <c r="F226" s="8"/>
      <c r="G226" s="8"/>
      <c r="H226" s="8"/>
      <c r="I226" s="8"/>
      <c r="J226" s="8"/>
      <c r="K226" s="8"/>
      <c r="L226" s="8"/>
      <c r="M226" s="8"/>
      <c r="N226" s="361"/>
      <c r="O226" s="361"/>
      <c r="P226" s="361"/>
      <c r="Q226" s="361"/>
      <c r="R226" s="361"/>
      <c r="S226" s="361"/>
      <c r="T226" s="361"/>
      <c r="U226" s="361"/>
      <c r="V226" s="361"/>
      <c r="W226" s="361"/>
      <c r="X226" s="361"/>
      <c r="Y226" s="361"/>
      <c r="Z226" s="361"/>
      <c r="AA226" s="361"/>
      <c r="AB226" s="361"/>
    </row>
    <row r="227" spans="1:28" s="366" customFormat="1" ht="13.5" customHeight="1">
      <c r="A227" s="5"/>
      <c r="B227"/>
      <c r="C227"/>
      <c r="D227"/>
      <c r="E227"/>
      <c r="F227"/>
      <c r="G227"/>
      <c r="H227"/>
      <c r="I227"/>
      <c r="J227"/>
      <c r="K227"/>
      <c r="L227"/>
      <c r="M227"/>
      <c r="N227" s="361"/>
      <c r="O227" s="361"/>
      <c r="P227" s="361"/>
      <c r="Q227" s="361"/>
      <c r="R227" s="361"/>
      <c r="S227" s="361"/>
      <c r="T227" s="361"/>
      <c r="U227" s="361"/>
      <c r="V227" s="361"/>
      <c r="W227" s="361"/>
      <c r="X227" s="361"/>
      <c r="Y227" s="361"/>
      <c r="Z227" s="361"/>
      <c r="AA227" s="361"/>
      <c r="AB227" s="361"/>
    </row>
    <row r="228" spans="1:28" ht="13.5" customHeight="1" thickBot="1">
      <c r="A228" s="34"/>
      <c r="B228" s="34"/>
      <c r="C228" s="34"/>
      <c r="D228" s="34"/>
      <c r="E228" s="34"/>
      <c r="F228" s="34"/>
      <c r="G228" s="34"/>
      <c r="H228" s="34"/>
      <c r="I228" s="34"/>
      <c r="J228" s="34"/>
      <c r="K228" s="34"/>
      <c r="L228" s="34"/>
      <c r="M228" s="34"/>
      <c r="N228" s="34"/>
      <c r="O228" s="34"/>
      <c r="P228" s="34"/>
      <c r="Q228" s="34"/>
      <c r="R228" s="34"/>
      <c r="S228" s="34"/>
      <c r="T228" s="34"/>
      <c r="U228" s="185"/>
      <c r="V228" s="185"/>
      <c r="W228" s="185"/>
      <c r="X228" s="185"/>
      <c r="Y228" s="185"/>
      <c r="Z228" s="185"/>
      <c r="AA228" s="185"/>
      <c r="AB228" s="185"/>
    </row>
    <row r="229" spans="1:28" ht="13.5" customHeight="1">
      <c r="A229" s="32"/>
      <c r="B229" s="32"/>
      <c r="C229" s="32"/>
      <c r="D229" s="32"/>
      <c r="E229" s="32"/>
      <c r="F229" s="32"/>
      <c r="G229" s="32"/>
      <c r="H229" s="32"/>
      <c r="I229" s="32"/>
      <c r="J229" s="32"/>
      <c r="K229" s="32"/>
      <c r="L229" s="32"/>
      <c r="M229" s="32"/>
      <c r="N229" s="32"/>
      <c r="O229" s="32"/>
      <c r="P229" s="32"/>
      <c r="Q229" s="32"/>
      <c r="R229" s="32"/>
      <c r="S229" s="32"/>
      <c r="T229" s="32"/>
    </row>
    <row r="230" spans="1:28" ht="13.5" customHeight="1">
      <c r="A230" s="15" t="s">
        <v>180</v>
      </c>
      <c r="B230" s="7" t="s">
        <v>253</v>
      </c>
      <c r="C230" s="354"/>
      <c r="D230" s="354"/>
      <c r="E230" s="354"/>
      <c r="F230" s="354"/>
      <c r="G230" s="354"/>
      <c r="H230" s="354"/>
      <c r="I230" s="354"/>
      <c r="J230" s="354"/>
      <c r="K230" s="345"/>
      <c r="L230" s="354"/>
      <c r="M230" s="354"/>
      <c r="N230" s="354"/>
      <c r="O230" s="354"/>
    </row>
    <row r="231" spans="1:28" ht="13.5" customHeight="1" thickBot="1">
      <c r="A231" s="354"/>
      <c r="B231" s="354"/>
      <c r="C231" s="354"/>
      <c r="D231" s="354"/>
      <c r="E231" s="354"/>
      <c r="F231" s="354"/>
      <c r="G231" s="354"/>
      <c r="H231" s="354"/>
      <c r="I231" s="354"/>
      <c r="J231" s="354"/>
      <c r="K231" s="354"/>
      <c r="L231" s="354"/>
      <c r="M231" s="354"/>
      <c r="N231" s="354"/>
      <c r="O231" s="354"/>
    </row>
    <row r="232" spans="1:28" s="361" customFormat="1" ht="13.5" customHeight="1" thickBot="1">
      <c r="A232" s="411"/>
      <c r="B232" s="420">
        <v>40179</v>
      </c>
      <c r="C232" s="301">
        <v>40210</v>
      </c>
      <c r="D232" s="301">
        <v>40238</v>
      </c>
      <c r="E232" s="301">
        <v>40269</v>
      </c>
      <c r="F232" s="301">
        <v>40299</v>
      </c>
      <c r="G232" s="301">
        <v>40330</v>
      </c>
      <c r="H232" s="301">
        <v>40360</v>
      </c>
      <c r="I232" s="301">
        <v>40391</v>
      </c>
      <c r="J232" s="301">
        <v>40422</v>
      </c>
      <c r="K232" s="301">
        <v>40452</v>
      </c>
      <c r="L232" s="301">
        <v>40483</v>
      </c>
      <c r="M232" s="302">
        <v>40513</v>
      </c>
    </row>
    <row r="233" spans="1:28" s="361" customFormat="1" ht="13.5" customHeight="1">
      <c r="A233" s="92" t="s">
        <v>127</v>
      </c>
      <c r="B233" s="63">
        <f t="shared" ref="B233:M233" si="42">B234+B235</f>
        <v>24409907</v>
      </c>
      <c r="C233" s="37">
        <f t="shared" si="42"/>
        <v>23676217</v>
      </c>
      <c r="D233" s="37">
        <f t="shared" si="42"/>
        <v>23721812</v>
      </c>
      <c r="E233" s="37">
        <f t="shared" si="42"/>
        <v>23600381</v>
      </c>
      <c r="F233" s="37">
        <f t="shared" si="42"/>
        <v>23443240</v>
      </c>
      <c r="G233" s="37">
        <f t="shared" si="42"/>
        <v>22719686</v>
      </c>
      <c r="H233" s="37">
        <f t="shared" si="42"/>
        <v>22577293</v>
      </c>
      <c r="I233" s="37">
        <f t="shared" si="42"/>
        <v>22007137</v>
      </c>
      <c r="J233" s="37">
        <f t="shared" si="42"/>
        <v>21641837</v>
      </c>
      <c r="K233" s="37">
        <f t="shared" si="42"/>
        <v>21492145</v>
      </c>
      <c r="L233" s="37">
        <f t="shared" si="42"/>
        <v>21424035</v>
      </c>
      <c r="M233" s="38">
        <f t="shared" si="42"/>
        <v>21706809</v>
      </c>
    </row>
    <row r="234" spans="1:28" s="361" customFormat="1" ht="13.5" customHeight="1">
      <c r="A234" s="412" t="s">
        <v>128</v>
      </c>
      <c r="B234" s="64">
        <v>19947887</v>
      </c>
      <c r="C234" s="39">
        <v>19234229</v>
      </c>
      <c r="D234" s="39">
        <v>19117193</v>
      </c>
      <c r="E234" s="39">
        <v>18876756</v>
      </c>
      <c r="F234" s="270">
        <v>18666870</v>
      </c>
      <c r="G234" s="270">
        <v>17980321</v>
      </c>
      <c r="H234" s="270">
        <v>17798372</v>
      </c>
      <c r="I234" s="270">
        <v>17222633</v>
      </c>
      <c r="J234" s="270">
        <v>16853128</v>
      </c>
      <c r="K234" s="270">
        <v>16591802</v>
      </c>
      <c r="L234" s="270">
        <v>16490946</v>
      </c>
      <c r="M234" s="41">
        <v>16757462</v>
      </c>
    </row>
    <row r="235" spans="1:28" s="361" customFormat="1" ht="13.5" customHeight="1">
      <c r="A235" s="412" t="s">
        <v>129</v>
      </c>
      <c r="B235" s="64">
        <v>4462020</v>
      </c>
      <c r="C235" s="39">
        <v>4441988</v>
      </c>
      <c r="D235" s="39">
        <v>4604619</v>
      </c>
      <c r="E235" s="39">
        <v>4723625</v>
      </c>
      <c r="F235" s="270">
        <v>4776370</v>
      </c>
      <c r="G235" s="270">
        <v>4739365</v>
      </c>
      <c r="H235" s="270">
        <v>4778921</v>
      </c>
      <c r="I235" s="270">
        <v>4784504</v>
      </c>
      <c r="J235" s="270">
        <v>4788709</v>
      </c>
      <c r="K235" s="270">
        <v>4900343</v>
      </c>
      <c r="L235" s="270">
        <v>4933089</v>
      </c>
      <c r="M235" s="41">
        <v>4949347</v>
      </c>
    </row>
    <row r="236" spans="1:28" s="361" customFormat="1" ht="13.5" customHeight="1">
      <c r="A236" s="412" t="s">
        <v>109</v>
      </c>
      <c r="B236" s="64">
        <v>9707132</v>
      </c>
      <c r="C236" s="39">
        <v>9387606</v>
      </c>
      <c r="D236" s="39">
        <v>9623995</v>
      </c>
      <c r="E236" s="39">
        <v>9827190</v>
      </c>
      <c r="F236" s="270">
        <v>9684971</v>
      </c>
      <c r="G236" s="270">
        <v>9509313</v>
      </c>
      <c r="H236" s="270">
        <v>9758817</v>
      </c>
      <c r="I236" s="270">
        <v>9454929</v>
      </c>
      <c r="J236" s="270">
        <v>9493901</v>
      </c>
      <c r="K236" s="270">
        <v>9739509</v>
      </c>
      <c r="L236" s="270">
        <v>9833959</v>
      </c>
      <c r="M236" s="41">
        <v>10194342</v>
      </c>
    </row>
    <row r="237" spans="1:28" s="361" customFormat="1" ht="13.5" customHeight="1">
      <c r="A237" s="412" t="s">
        <v>130</v>
      </c>
      <c r="B237" s="64">
        <v>1076319</v>
      </c>
      <c r="C237" s="39">
        <v>1031638</v>
      </c>
      <c r="D237" s="39">
        <v>1072448</v>
      </c>
      <c r="E237" s="39">
        <v>1103217</v>
      </c>
      <c r="F237" s="270">
        <v>1180585</v>
      </c>
      <c r="G237" s="270">
        <v>1151827</v>
      </c>
      <c r="H237" s="270">
        <v>1140615</v>
      </c>
      <c r="I237" s="270">
        <v>1103569</v>
      </c>
      <c r="J237" s="270">
        <v>1096672</v>
      </c>
      <c r="K237" s="270">
        <v>922953</v>
      </c>
      <c r="L237" s="270">
        <v>1007426</v>
      </c>
      <c r="M237" s="41">
        <v>1016452</v>
      </c>
    </row>
    <row r="238" spans="1:28" s="361" customFormat="1" ht="13.5" customHeight="1" thickBot="1">
      <c r="A238" s="413" t="s">
        <v>3</v>
      </c>
      <c r="B238" s="72">
        <f t="shared" ref="B238:M238" si="43">SUM(B234:B237)</f>
        <v>35193358</v>
      </c>
      <c r="C238" s="73">
        <f t="shared" si="43"/>
        <v>34095461</v>
      </c>
      <c r="D238" s="73">
        <f t="shared" si="43"/>
        <v>34418255</v>
      </c>
      <c r="E238" s="73">
        <f t="shared" si="43"/>
        <v>34530788</v>
      </c>
      <c r="F238" s="73">
        <f t="shared" si="43"/>
        <v>34308796</v>
      </c>
      <c r="G238" s="73">
        <f t="shared" si="43"/>
        <v>33380826</v>
      </c>
      <c r="H238" s="73">
        <f t="shared" si="43"/>
        <v>33476725</v>
      </c>
      <c r="I238" s="73">
        <f t="shared" si="43"/>
        <v>32565635</v>
      </c>
      <c r="J238" s="73">
        <f t="shared" si="43"/>
        <v>32232410</v>
      </c>
      <c r="K238" s="73">
        <f t="shared" si="43"/>
        <v>32154607</v>
      </c>
      <c r="L238" s="73">
        <f t="shared" si="43"/>
        <v>32265420</v>
      </c>
      <c r="M238" s="74">
        <f t="shared" si="43"/>
        <v>32917603</v>
      </c>
    </row>
    <row r="239" spans="1:28" s="361" customFormat="1" ht="13.5" customHeight="1" thickBot="1">
      <c r="A239" s="411"/>
      <c r="B239" s="264"/>
      <c r="C239" s="264"/>
      <c r="D239" s="264"/>
      <c r="E239" s="264"/>
      <c r="F239" s="264"/>
      <c r="G239" s="264"/>
      <c r="H239" s="264"/>
      <c r="I239" s="264"/>
      <c r="J239" s="264"/>
      <c r="K239" s="264"/>
      <c r="L239" s="264"/>
      <c r="M239" s="264"/>
    </row>
    <row r="240" spans="1:28" s="361" customFormat="1" ht="13.5" customHeight="1" thickBot="1">
      <c r="A240" s="411"/>
      <c r="B240" s="420">
        <v>40544</v>
      </c>
      <c r="C240" s="414">
        <v>40575</v>
      </c>
      <c r="D240" s="414">
        <v>40603</v>
      </c>
      <c r="E240" s="414">
        <v>40634</v>
      </c>
      <c r="F240" s="414">
        <v>40664</v>
      </c>
      <c r="G240" s="266">
        <v>40695</v>
      </c>
      <c r="H240" s="266">
        <v>40725</v>
      </c>
      <c r="I240" s="266">
        <v>40756</v>
      </c>
      <c r="J240" s="266">
        <v>40787</v>
      </c>
      <c r="K240" s="266">
        <v>40817</v>
      </c>
      <c r="L240" s="266">
        <v>40848</v>
      </c>
      <c r="M240" s="271">
        <v>40878</v>
      </c>
    </row>
    <row r="241" spans="1:13" s="361" customFormat="1" ht="13.5" customHeight="1">
      <c r="A241" s="92" t="s">
        <v>127</v>
      </c>
      <c r="B241" s="63">
        <f t="shared" ref="B241:M241" si="44">B242+B243</f>
        <v>22184572</v>
      </c>
      <c r="C241" s="37">
        <f t="shared" si="44"/>
        <v>23339739</v>
      </c>
      <c r="D241" s="37">
        <f t="shared" si="44"/>
        <v>23300276</v>
      </c>
      <c r="E241" s="37">
        <f t="shared" si="44"/>
        <v>23522633</v>
      </c>
      <c r="F241" s="37">
        <f t="shared" si="44"/>
        <v>23942011</v>
      </c>
      <c r="G241" s="37">
        <f t="shared" si="44"/>
        <v>23963628</v>
      </c>
      <c r="H241" s="37">
        <f t="shared" si="44"/>
        <v>24001493</v>
      </c>
      <c r="I241" s="37">
        <f t="shared" si="44"/>
        <v>24184190</v>
      </c>
      <c r="J241" s="37">
        <f t="shared" si="44"/>
        <v>24314174</v>
      </c>
      <c r="K241" s="37">
        <f t="shared" si="44"/>
        <v>24235795</v>
      </c>
      <c r="L241" s="37">
        <f t="shared" si="44"/>
        <v>24309843</v>
      </c>
      <c r="M241" s="38">
        <f t="shared" si="44"/>
        <v>24527750</v>
      </c>
    </row>
    <row r="242" spans="1:13" s="361" customFormat="1" ht="13.5" customHeight="1">
      <c r="A242" s="412" t="s">
        <v>128</v>
      </c>
      <c r="B242" s="64">
        <v>17207400</v>
      </c>
      <c r="C242" s="39">
        <v>18079407</v>
      </c>
      <c r="D242" s="39">
        <v>18088680</v>
      </c>
      <c r="E242" s="39">
        <v>18300494</v>
      </c>
      <c r="F242" s="39">
        <v>18620776</v>
      </c>
      <c r="G242" s="39">
        <v>18665500</v>
      </c>
      <c r="H242" s="39">
        <v>18667474</v>
      </c>
      <c r="I242" s="39">
        <v>18868108</v>
      </c>
      <c r="J242" s="66">
        <v>18960837</v>
      </c>
      <c r="K242" s="66">
        <v>18938298</v>
      </c>
      <c r="L242" s="66">
        <v>18992190</v>
      </c>
      <c r="M242" s="71">
        <v>19083642</v>
      </c>
    </row>
    <row r="243" spans="1:13" s="361" customFormat="1" ht="13.5" customHeight="1">
      <c r="A243" s="412" t="s">
        <v>129</v>
      </c>
      <c r="B243" s="64">
        <v>4977172</v>
      </c>
      <c r="C243" s="39">
        <v>5260332</v>
      </c>
      <c r="D243" s="39">
        <v>5211596</v>
      </c>
      <c r="E243" s="39">
        <v>5222139</v>
      </c>
      <c r="F243" s="39">
        <v>5321235</v>
      </c>
      <c r="G243" s="39">
        <v>5298128</v>
      </c>
      <c r="H243" s="39">
        <v>5334019</v>
      </c>
      <c r="I243" s="39">
        <v>5316082</v>
      </c>
      <c r="J243" s="66">
        <v>5353337</v>
      </c>
      <c r="K243" s="66">
        <v>5297497</v>
      </c>
      <c r="L243" s="66">
        <v>5317653</v>
      </c>
      <c r="M243" s="71">
        <v>5444108</v>
      </c>
    </row>
    <row r="244" spans="1:13" s="361" customFormat="1" ht="13.5" customHeight="1">
      <c r="A244" s="412" t="s">
        <v>109</v>
      </c>
      <c r="B244" s="64">
        <v>10473700</v>
      </c>
      <c r="C244" s="39">
        <v>11172874</v>
      </c>
      <c r="D244" s="39">
        <v>11036400</v>
      </c>
      <c r="E244" s="39">
        <v>11290237</v>
      </c>
      <c r="F244" s="39">
        <v>11450631</v>
      </c>
      <c r="G244" s="39">
        <v>11505411</v>
      </c>
      <c r="H244" s="39">
        <v>11527648</v>
      </c>
      <c r="I244" s="39">
        <v>11794905</v>
      </c>
      <c r="J244" s="66">
        <v>11946850</v>
      </c>
      <c r="K244" s="66">
        <v>12240270</v>
      </c>
      <c r="L244" s="66">
        <v>12880772</v>
      </c>
      <c r="M244" s="71">
        <v>13688940</v>
      </c>
    </row>
    <row r="245" spans="1:13" s="361" customFormat="1" ht="13.5" customHeight="1">
      <c r="A245" s="412" t="s">
        <v>130</v>
      </c>
      <c r="B245" s="64">
        <v>1061415</v>
      </c>
      <c r="C245" s="39">
        <v>1111975</v>
      </c>
      <c r="D245" s="39">
        <v>1124146</v>
      </c>
      <c r="E245" s="39">
        <v>1153025</v>
      </c>
      <c r="F245" s="39">
        <v>1157704</v>
      </c>
      <c r="G245" s="39">
        <v>1127679</v>
      </c>
      <c r="H245" s="39">
        <v>1178786</v>
      </c>
      <c r="I245" s="39">
        <v>1168593</v>
      </c>
      <c r="J245" s="66">
        <v>1176364</v>
      </c>
      <c r="K245" s="66">
        <v>1205495</v>
      </c>
      <c r="L245" s="66">
        <v>1211443</v>
      </c>
      <c r="M245" s="71">
        <v>1330170</v>
      </c>
    </row>
    <row r="246" spans="1:13" s="361" customFormat="1" ht="13.5" customHeight="1" thickBot="1">
      <c r="A246" s="413" t="s">
        <v>3</v>
      </c>
      <c r="B246" s="72">
        <f t="shared" ref="B246:M246" si="45">SUM(B242:B245)</f>
        <v>33719687</v>
      </c>
      <c r="C246" s="73">
        <f t="shared" si="45"/>
        <v>35624588</v>
      </c>
      <c r="D246" s="73">
        <f t="shared" si="45"/>
        <v>35460822</v>
      </c>
      <c r="E246" s="73">
        <f t="shared" si="45"/>
        <v>35965895</v>
      </c>
      <c r="F246" s="73">
        <f t="shared" si="45"/>
        <v>36550346</v>
      </c>
      <c r="G246" s="73">
        <f t="shared" si="45"/>
        <v>36596718</v>
      </c>
      <c r="H246" s="73">
        <f t="shared" si="45"/>
        <v>36707927</v>
      </c>
      <c r="I246" s="73">
        <f t="shared" si="45"/>
        <v>37147688</v>
      </c>
      <c r="J246" s="73">
        <f t="shared" si="45"/>
        <v>37437388</v>
      </c>
      <c r="K246" s="73">
        <f t="shared" si="45"/>
        <v>37681560</v>
      </c>
      <c r="L246" s="73">
        <f t="shared" si="45"/>
        <v>38402058</v>
      </c>
      <c r="M246" s="74">
        <f t="shared" si="45"/>
        <v>39546860</v>
      </c>
    </row>
    <row r="247" spans="1:13" s="361" customFormat="1" ht="13.5" customHeight="1" thickBot="1">
      <c r="A247" s="411"/>
      <c r="B247" s="264"/>
      <c r="C247" s="264"/>
      <c r="D247" s="264"/>
      <c r="E247" s="264"/>
      <c r="F247" s="264"/>
      <c r="G247" s="264"/>
      <c r="H247" s="264"/>
      <c r="I247" s="264"/>
      <c r="J247" s="264"/>
      <c r="K247" s="264"/>
      <c r="L247" s="264"/>
      <c r="M247" s="264"/>
    </row>
    <row r="248" spans="1:13" s="361" customFormat="1" ht="13.5" customHeight="1" thickBot="1">
      <c r="A248" s="411"/>
      <c r="B248" s="265">
        <v>40909</v>
      </c>
      <c r="C248" s="266">
        <v>40940</v>
      </c>
      <c r="D248" s="266">
        <v>40969</v>
      </c>
      <c r="E248" s="266">
        <v>41000</v>
      </c>
      <c r="F248" s="266">
        <v>41030</v>
      </c>
      <c r="G248" s="266">
        <v>41061</v>
      </c>
      <c r="H248" s="266">
        <v>41091</v>
      </c>
      <c r="I248" s="266">
        <v>41122</v>
      </c>
      <c r="J248" s="266">
        <v>41153</v>
      </c>
      <c r="K248" s="266">
        <v>41183</v>
      </c>
      <c r="L248" s="266">
        <v>41214</v>
      </c>
      <c r="M248" s="271">
        <v>41244</v>
      </c>
    </row>
    <row r="249" spans="1:13" s="361" customFormat="1" ht="13.5" customHeight="1">
      <c r="A249" s="92" t="s">
        <v>127</v>
      </c>
      <c r="B249" s="63">
        <f t="shared" ref="B249:M249" si="46">B250+B251</f>
        <v>24499808</v>
      </c>
      <c r="C249" s="37">
        <f t="shared" si="46"/>
        <v>23654406</v>
      </c>
      <c r="D249" s="37">
        <f t="shared" si="46"/>
        <v>23348972</v>
      </c>
      <c r="E249" s="37">
        <f t="shared" si="46"/>
        <v>23039628</v>
      </c>
      <c r="F249" s="37">
        <f t="shared" si="46"/>
        <v>22523982</v>
      </c>
      <c r="G249" s="37">
        <f t="shared" si="46"/>
        <v>22765976</v>
      </c>
      <c r="H249" s="37">
        <f t="shared" si="46"/>
        <v>22474983</v>
      </c>
      <c r="I249" s="37">
        <f t="shared" si="46"/>
        <v>22064398</v>
      </c>
      <c r="J249" s="37">
        <f t="shared" si="46"/>
        <v>21797227</v>
      </c>
      <c r="K249" s="37">
        <f t="shared" si="46"/>
        <v>21572271</v>
      </c>
      <c r="L249" s="37">
        <f t="shared" si="46"/>
        <v>21138844</v>
      </c>
      <c r="M249" s="38">
        <f t="shared" si="46"/>
        <v>20483563</v>
      </c>
    </row>
    <row r="250" spans="1:13" s="361" customFormat="1" ht="13.5" customHeight="1">
      <c r="A250" s="412" t="s">
        <v>128</v>
      </c>
      <c r="B250" s="76">
        <v>19032507</v>
      </c>
      <c r="C250" s="66">
        <v>18470392</v>
      </c>
      <c r="D250" s="66">
        <v>18229992</v>
      </c>
      <c r="E250" s="66">
        <v>18013281</v>
      </c>
      <c r="F250" s="66">
        <v>17617912</v>
      </c>
      <c r="G250" s="66">
        <v>17797033</v>
      </c>
      <c r="H250" s="66">
        <v>17616192</v>
      </c>
      <c r="I250" s="66">
        <v>17274087</v>
      </c>
      <c r="J250" s="66">
        <v>17065444</v>
      </c>
      <c r="K250" s="66">
        <v>16919526</v>
      </c>
      <c r="L250" s="66">
        <v>16611536</v>
      </c>
      <c r="M250" s="71">
        <v>16113777</v>
      </c>
    </row>
    <row r="251" spans="1:13" s="361" customFormat="1" ht="13.5" customHeight="1">
      <c r="A251" s="412" t="s">
        <v>129</v>
      </c>
      <c r="B251" s="76">
        <v>5467301</v>
      </c>
      <c r="C251" s="66">
        <v>5184014</v>
      </c>
      <c r="D251" s="66">
        <v>5118980</v>
      </c>
      <c r="E251" s="66">
        <v>5026347</v>
      </c>
      <c r="F251" s="66">
        <v>4906070</v>
      </c>
      <c r="G251" s="66">
        <v>4968943</v>
      </c>
      <c r="H251" s="66">
        <v>4858791</v>
      </c>
      <c r="I251" s="66">
        <v>4790311</v>
      </c>
      <c r="J251" s="66">
        <v>4731783</v>
      </c>
      <c r="K251" s="66">
        <v>4652745</v>
      </c>
      <c r="L251" s="66">
        <v>4527308</v>
      </c>
      <c r="M251" s="71">
        <v>4369786</v>
      </c>
    </row>
    <row r="252" spans="1:13" s="361" customFormat="1" ht="13.5" customHeight="1">
      <c r="A252" s="412" t="s">
        <v>109</v>
      </c>
      <c r="B252" s="76">
        <v>14000136</v>
      </c>
      <c r="C252" s="66">
        <v>13562737</v>
      </c>
      <c r="D252" s="66">
        <v>13627976</v>
      </c>
      <c r="E252" s="66">
        <v>13282490</v>
      </c>
      <c r="F252" s="66">
        <v>13061994</v>
      </c>
      <c r="G252" s="66">
        <v>13338517</v>
      </c>
      <c r="H252" s="66">
        <v>13061609</v>
      </c>
      <c r="I252" s="66">
        <v>12766452</v>
      </c>
      <c r="J252" s="66">
        <v>12822680</v>
      </c>
      <c r="K252" s="66">
        <v>12306057</v>
      </c>
      <c r="L252" s="66">
        <v>11674571</v>
      </c>
      <c r="M252" s="71">
        <v>11080558</v>
      </c>
    </row>
    <row r="253" spans="1:13" s="361" customFormat="1" ht="13.5" customHeight="1">
      <c r="A253" s="412" t="s">
        <v>130</v>
      </c>
      <c r="B253" s="76">
        <v>1295865</v>
      </c>
      <c r="C253" s="66">
        <v>1256218</v>
      </c>
      <c r="D253" s="66">
        <v>1277683</v>
      </c>
      <c r="E253" s="66">
        <v>1210675</v>
      </c>
      <c r="F253" s="66">
        <v>1167429</v>
      </c>
      <c r="G253" s="66">
        <v>1211185</v>
      </c>
      <c r="H253" s="66">
        <v>1198193</v>
      </c>
      <c r="I253" s="66">
        <v>1190904</v>
      </c>
      <c r="J253" s="66">
        <v>1189648</v>
      </c>
      <c r="K253" s="66">
        <v>1146037</v>
      </c>
      <c r="L253" s="66">
        <v>1093947</v>
      </c>
      <c r="M253" s="71">
        <v>1013763</v>
      </c>
    </row>
    <row r="254" spans="1:13" s="361" customFormat="1" ht="13.5" customHeight="1" thickBot="1">
      <c r="A254" s="413" t="s">
        <v>3</v>
      </c>
      <c r="B254" s="72">
        <f t="shared" ref="B254:M254" si="47">SUM(B250:B253)</f>
        <v>39795809</v>
      </c>
      <c r="C254" s="73">
        <f t="shared" si="47"/>
        <v>38473361</v>
      </c>
      <c r="D254" s="73">
        <f t="shared" si="47"/>
        <v>38254631</v>
      </c>
      <c r="E254" s="73">
        <f t="shared" si="47"/>
        <v>37532793</v>
      </c>
      <c r="F254" s="73">
        <f t="shared" si="47"/>
        <v>36753405</v>
      </c>
      <c r="G254" s="73">
        <f t="shared" si="47"/>
        <v>37315678</v>
      </c>
      <c r="H254" s="73">
        <f t="shared" si="47"/>
        <v>36734785</v>
      </c>
      <c r="I254" s="73">
        <f t="shared" si="47"/>
        <v>36021754</v>
      </c>
      <c r="J254" s="73">
        <f t="shared" si="47"/>
        <v>35809555</v>
      </c>
      <c r="K254" s="73">
        <f t="shared" si="47"/>
        <v>35024365</v>
      </c>
      <c r="L254" s="73">
        <f t="shared" si="47"/>
        <v>33907362</v>
      </c>
      <c r="M254" s="74">
        <f t="shared" si="47"/>
        <v>32577884</v>
      </c>
    </row>
    <row r="255" spans="1:13" s="361" customFormat="1" ht="13.5" customHeight="1" thickBot="1">
      <c r="A255" s="411"/>
      <c r="B255" s="264"/>
      <c r="C255" s="264"/>
      <c r="D255" s="264"/>
      <c r="E255" s="264"/>
      <c r="F255" s="264"/>
      <c r="G255" s="264"/>
      <c r="H255" s="264"/>
      <c r="I255" s="264"/>
      <c r="J255" s="264"/>
      <c r="K255" s="264"/>
      <c r="L255" s="264"/>
      <c r="M255" s="264"/>
    </row>
    <row r="256" spans="1:13" s="361" customFormat="1" ht="13.5" customHeight="1" thickBot="1">
      <c r="A256" s="411"/>
      <c r="B256" s="417">
        <v>41275</v>
      </c>
      <c r="C256" s="418">
        <v>41306</v>
      </c>
      <c r="D256" s="418">
        <v>41334</v>
      </c>
      <c r="E256" s="418">
        <v>41365</v>
      </c>
      <c r="F256" s="418">
        <v>41395</v>
      </c>
      <c r="G256" s="418">
        <v>41426</v>
      </c>
      <c r="H256" s="418">
        <v>41456</v>
      </c>
      <c r="I256" s="418">
        <v>41487</v>
      </c>
      <c r="J256" s="418">
        <v>41518</v>
      </c>
      <c r="K256" s="418">
        <v>41548</v>
      </c>
      <c r="L256" s="418">
        <v>41579</v>
      </c>
      <c r="M256" s="419">
        <v>41609</v>
      </c>
    </row>
    <row r="257" spans="1:13" s="361" customFormat="1" ht="13.5" customHeight="1">
      <c r="A257" s="92" t="s">
        <v>127</v>
      </c>
      <c r="B257" s="63">
        <f t="shared" ref="B257:M257" si="48">B258+B259</f>
        <v>20036815</v>
      </c>
      <c r="C257" s="37">
        <f t="shared" si="48"/>
        <v>19607544</v>
      </c>
      <c r="D257" s="37">
        <f t="shared" si="48"/>
        <v>19450096</v>
      </c>
      <c r="E257" s="37">
        <f t="shared" si="48"/>
        <v>19433979</v>
      </c>
      <c r="F257" s="37">
        <f t="shared" si="48"/>
        <v>19394884</v>
      </c>
      <c r="G257" s="37">
        <f t="shared" si="48"/>
        <v>19205387</v>
      </c>
      <c r="H257" s="37">
        <f t="shared" si="48"/>
        <v>19120982</v>
      </c>
      <c r="I257" s="37">
        <f t="shared" si="48"/>
        <v>19151645</v>
      </c>
      <c r="J257" s="37">
        <f t="shared" si="48"/>
        <v>18995514</v>
      </c>
      <c r="K257" s="37">
        <f t="shared" si="48"/>
        <v>18747198</v>
      </c>
      <c r="L257" s="37">
        <f t="shared" si="48"/>
        <v>18449135</v>
      </c>
      <c r="M257" s="38">
        <f t="shared" si="48"/>
        <v>18223520</v>
      </c>
    </row>
    <row r="258" spans="1:13" s="361" customFormat="1" ht="13.5" customHeight="1">
      <c r="A258" s="412" t="s">
        <v>128</v>
      </c>
      <c r="B258" s="64">
        <v>15739713</v>
      </c>
      <c r="C258" s="39">
        <v>15366330</v>
      </c>
      <c r="D258" s="39">
        <v>15218022</v>
      </c>
      <c r="E258" s="39">
        <v>15234234</v>
      </c>
      <c r="F258" s="39">
        <v>15216461</v>
      </c>
      <c r="G258" s="39">
        <v>15018580</v>
      </c>
      <c r="H258" s="39">
        <v>14911476</v>
      </c>
      <c r="I258" s="39">
        <v>14932127</v>
      </c>
      <c r="J258" s="39">
        <v>14781192</v>
      </c>
      <c r="K258" s="39">
        <v>14528620</v>
      </c>
      <c r="L258" s="39">
        <v>14290608</v>
      </c>
      <c r="M258" s="41">
        <v>14162325</v>
      </c>
    </row>
    <row r="259" spans="1:13" s="361" customFormat="1" ht="13.5" customHeight="1">
      <c r="A259" s="412" t="s">
        <v>129</v>
      </c>
      <c r="B259" s="64">
        <v>4297102</v>
      </c>
      <c r="C259" s="39">
        <v>4241214</v>
      </c>
      <c r="D259" s="39">
        <v>4232074</v>
      </c>
      <c r="E259" s="39">
        <v>4199745</v>
      </c>
      <c r="F259" s="39">
        <v>4178423</v>
      </c>
      <c r="G259" s="39">
        <v>4186807</v>
      </c>
      <c r="H259" s="39">
        <v>4209506</v>
      </c>
      <c r="I259" s="39">
        <v>4219518</v>
      </c>
      <c r="J259" s="39">
        <v>4214322</v>
      </c>
      <c r="K259" s="39">
        <v>4218578</v>
      </c>
      <c r="L259" s="39">
        <v>4158527</v>
      </c>
      <c r="M259" s="41">
        <v>4061195</v>
      </c>
    </row>
    <row r="260" spans="1:13" s="361" customFormat="1" ht="13.5" customHeight="1">
      <c r="A260" s="412" t="s">
        <v>109</v>
      </c>
      <c r="B260" s="64">
        <v>10866200</v>
      </c>
      <c r="C260" s="39">
        <v>10781921</v>
      </c>
      <c r="D260" s="39">
        <v>10867774</v>
      </c>
      <c r="E260" s="39">
        <v>10977877</v>
      </c>
      <c r="F260" s="39">
        <v>11094446</v>
      </c>
      <c r="G260" s="39">
        <v>11187083</v>
      </c>
      <c r="H260" s="39">
        <v>11247866</v>
      </c>
      <c r="I260" s="39">
        <v>11277823</v>
      </c>
      <c r="J260" s="39">
        <v>11177743</v>
      </c>
      <c r="K260" s="39">
        <v>11083279</v>
      </c>
      <c r="L260" s="39">
        <v>11038724</v>
      </c>
      <c r="M260" s="41">
        <v>10844116</v>
      </c>
    </row>
    <row r="261" spans="1:13" s="361" customFormat="1" ht="13.5" customHeight="1">
      <c r="A261" s="412" t="s">
        <v>130</v>
      </c>
      <c r="B261" s="64">
        <v>976702</v>
      </c>
      <c r="C261" s="39">
        <v>959383</v>
      </c>
      <c r="D261" s="39">
        <v>914277</v>
      </c>
      <c r="E261" s="39">
        <v>946726</v>
      </c>
      <c r="F261" s="39">
        <v>941582</v>
      </c>
      <c r="G261" s="39">
        <v>960771</v>
      </c>
      <c r="H261" s="39">
        <v>908435</v>
      </c>
      <c r="I261" s="39">
        <v>888527</v>
      </c>
      <c r="J261" s="39">
        <v>927058</v>
      </c>
      <c r="K261" s="39">
        <v>977066</v>
      </c>
      <c r="L261" s="39">
        <v>962449</v>
      </c>
      <c r="M261" s="41">
        <v>911170</v>
      </c>
    </row>
    <row r="262" spans="1:13" s="361" customFormat="1" ht="13.5" customHeight="1" thickBot="1">
      <c r="A262" s="413" t="s">
        <v>3</v>
      </c>
      <c r="B262" s="72">
        <f t="shared" ref="B262:M262" si="49">SUM(B258:B261)</f>
        <v>31879717</v>
      </c>
      <c r="C262" s="73">
        <f t="shared" si="49"/>
        <v>31348848</v>
      </c>
      <c r="D262" s="73">
        <f t="shared" si="49"/>
        <v>31232147</v>
      </c>
      <c r="E262" s="73">
        <f t="shared" si="49"/>
        <v>31358582</v>
      </c>
      <c r="F262" s="73">
        <f t="shared" si="49"/>
        <v>31430912</v>
      </c>
      <c r="G262" s="73">
        <f t="shared" si="49"/>
        <v>31353241</v>
      </c>
      <c r="H262" s="73">
        <f t="shared" si="49"/>
        <v>31277283</v>
      </c>
      <c r="I262" s="73">
        <f t="shared" si="49"/>
        <v>31317995</v>
      </c>
      <c r="J262" s="73">
        <f t="shared" si="49"/>
        <v>31100315</v>
      </c>
      <c r="K262" s="73">
        <f t="shared" si="49"/>
        <v>30807543</v>
      </c>
      <c r="L262" s="73">
        <f t="shared" si="49"/>
        <v>30450308</v>
      </c>
      <c r="M262" s="74">
        <f t="shared" si="49"/>
        <v>29978806</v>
      </c>
    </row>
    <row r="263" spans="1:13" s="361" customFormat="1" ht="13.5" customHeight="1" thickBot="1">
      <c r="A263" s="411"/>
      <c r="B263" s="75"/>
      <c r="C263" s="75"/>
      <c r="D263" s="75"/>
      <c r="E263" s="75"/>
      <c r="F263" s="75"/>
      <c r="G263" s="75"/>
      <c r="H263" s="75"/>
      <c r="I263" s="75"/>
      <c r="J263" s="75"/>
      <c r="K263" s="75"/>
      <c r="L263" s="75"/>
      <c r="M263" s="75"/>
    </row>
    <row r="264" spans="1:13" s="361" customFormat="1" ht="13.5" customHeight="1" thickBot="1">
      <c r="A264" s="411"/>
      <c r="B264" s="417">
        <v>41640</v>
      </c>
      <c r="C264" s="418">
        <v>41671</v>
      </c>
      <c r="D264" s="418">
        <v>41699</v>
      </c>
      <c r="E264" s="418">
        <v>41730</v>
      </c>
      <c r="F264" s="418">
        <v>41760</v>
      </c>
      <c r="G264" s="418">
        <v>41791</v>
      </c>
      <c r="H264" s="418">
        <v>41821</v>
      </c>
      <c r="I264" s="418">
        <v>41852</v>
      </c>
      <c r="J264" s="418">
        <v>41883</v>
      </c>
      <c r="K264" s="418">
        <v>41913</v>
      </c>
      <c r="L264" s="418">
        <v>41944</v>
      </c>
      <c r="M264" s="419">
        <v>41974</v>
      </c>
    </row>
    <row r="265" spans="1:13" s="361" customFormat="1" ht="13.5" customHeight="1">
      <c r="A265" s="92" t="s">
        <v>127</v>
      </c>
      <c r="B265" s="63">
        <f>B266+B267</f>
        <v>18132505</v>
      </c>
      <c r="C265" s="37">
        <f t="shared" ref="C265:M265" si="50">C266+C267</f>
        <v>17981783</v>
      </c>
      <c r="D265" s="37">
        <f t="shared" si="50"/>
        <v>17580586</v>
      </c>
      <c r="E265" s="37">
        <f t="shared" si="50"/>
        <v>17043830</v>
      </c>
      <c r="F265" s="37">
        <f t="shared" si="50"/>
        <v>16490572</v>
      </c>
      <c r="G265" s="37">
        <f t="shared" si="50"/>
        <v>16030229</v>
      </c>
      <c r="H265" s="37">
        <f t="shared" si="50"/>
        <v>15738370</v>
      </c>
      <c r="I265" s="37">
        <f t="shared" si="50"/>
        <v>15459748</v>
      </c>
      <c r="J265" s="37">
        <f t="shared" si="50"/>
        <v>15056257</v>
      </c>
      <c r="K265" s="37">
        <f t="shared" si="50"/>
        <v>14782123</v>
      </c>
      <c r="L265" s="37">
        <f t="shared" si="50"/>
        <v>14672202</v>
      </c>
      <c r="M265" s="38">
        <f t="shared" si="50"/>
        <v>14525573</v>
      </c>
    </row>
    <row r="266" spans="1:13" s="361" customFormat="1" ht="13.5" customHeight="1">
      <c r="A266" s="412" t="s">
        <v>128</v>
      </c>
      <c r="B266" s="64">
        <v>14111094</v>
      </c>
      <c r="C266" s="39">
        <v>13996609</v>
      </c>
      <c r="D266" s="270">
        <v>13729252</v>
      </c>
      <c r="E266" s="270">
        <v>13271041</v>
      </c>
      <c r="F266" s="270">
        <v>12776774</v>
      </c>
      <c r="G266" s="270">
        <v>12453563</v>
      </c>
      <c r="H266" s="270">
        <v>12202953</v>
      </c>
      <c r="I266" s="270">
        <v>11982295</v>
      </c>
      <c r="J266" s="270">
        <v>11673233</v>
      </c>
      <c r="K266" s="270">
        <v>11500093</v>
      </c>
      <c r="L266" s="270">
        <v>11445427</v>
      </c>
      <c r="M266" s="344">
        <v>11328336</v>
      </c>
    </row>
    <row r="267" spans="1:13" s="361" customFormat="1" ht="13.5" customHeight="1">
      <c r="A267" s="412" t="s">
        <v>129</v>
      </c>
      <c r="B267" s="64">
        <v>4021411</v>
      </c>
      <c r="C267" s="39">
        <v>3985174</v>
      </c>
      <c r="D267" s="270">
        <v>3851334</v>
      </c>
      <c r="E267" s="270">
        <v>3772789</v>
      </c>
      <c r="F267" s="270">
        <v>3713798</v>
      </c>
      <c r="G267" s="270">
        <v>3576666</v>
      </c>
      <c r="H267" s="270">
        <v>3535417</v>
      </c>
      <c r="I267" s="270">
        <v>3477453</v>
      </c>
      <c r="J267" s="270">
        <v>3383024</v>
      </c>
      <c r="K267" s="270">
        <v>3282030</v>
      </c>
      <c r="L267" s="270">
        <v>3226775</v>
      </c>
      <c r="M267" s="344">
        <v>3197237</v>
      </c>
    </row>
    <row r="268" spans="1:13" s="361" customFormat="1" ht="13.5" customHeight="1">
      <c r="A268" s="412" t="s">
        <v>109</v>
      </c>
      <c r="B268" s="64">
        <v>10121604</v>
      </c>
      <c r="C268" s="39">
        <v>9999232</v>
      </c>
      <c r="D268" s="270">
        <v>9666033</v>
      </c>
      <c r="E268" s="270">
        <v>9488452</v>
      </c>
      <c r="F268" s="270">
        <v>9515319</v>
      </c>
      <c r="G268" s="270">
        <v>9208642</v>
      </c>
      <c r="H268" s="270">
        <v>9248874</v>
      </c>
      <c r="I268" s="270">
        <v>9226292</v>
      </c>
      <c r="J268" s="270">
        <v>9311045</v>
      </c>
      <c r="K268" s="270">
        <v>9366561</v>
      </c>
      <c r="L268" s="270">
        <v>9262287</v>
      </c>
      <c r="M268" s="344">
        <v>9137513</v>
      </c>
    </row>
    <row r="269" spans="1:13" s="361" customFormat="1" ht="13.5" customHeight="1">
      <c r="A269" s="412" t="s">
        <v>130</v>
      </c>
      <c r="B269" s="64">
        <v>1804160</v>
      </c>
      <c r="C269" s="39">
        <v>1831762</v>
      </c>
      <c r="D269" s="270">
        <v>1863964</v>
      </c>
      <c r="E269" s="270">
        <v>1859475</v>
      </c>
      <c r="F269" s="270">
        <v>1838935</v>
      </c>
      <c r="G269" s="270">
        <v>1887751</v>
      </c>
      <c r="H269" s="270">
        <v>1910896</v>
      </c>
      <c r="I269" s="270">
        <v>1924567</v>
      </c>
      <c r="J269" s="270">
        <v>1931541</v>
      </c>
      <c r="K269" s="270">
        <v>1909750</v>
      </c>
      <c r="L269" s="270">
        <v>1909475</v>
      </c>
      <c r="M269" s="344">
        <v>1967537</v>
      </c>
    </row>
    <row r="270" spans="1:13" s="361" customFormat="1" ht="13.5" customHeight="1" thickBot="1">
      <c r="A270" s="413" t="s">
        <v>3</v>
      </c>
      <c r="B270" s="72">
        <f>SUM(B266:B269)</f>
        <v>30058269</v>
      </c>
      <c r="C270" s="73">
        <f>SUM(C266:C269)</f>
        <v>29812777</v>
      </c>
      <c r="D270" s="350">
        <f>SUM(D266:D269)</f>
        <v>29110583</v>
      </c>
      <c r="E270" s="350">
        <f t="shared" ref="E270:M270" si="51">SUM(E266:E269)</f>
        <v>28391757</v>
      </c>
      <c r="F270" s="350">
        <f t="shared" si="51"/>
        <v>27844826</v>
      </c>
      <c r="G270" s="350">
        <f t="shared" si="51"/>
        <v>27126622</v>
      </c>
      <c r="H270" s="350">
        <f t="shared" si="51"/>
        <v>26898140</v>
      </c>
      <c r="I270" s="350">
        <f t="shared" si="51"/>
        <v>26610607</v>
      </c>
      <c r="J270" s="350">
        <f t="shared" si="51"/>
        <v>26298843</v>
      </c>
      <c r="K270" s="350">
        <f t="shared" si="51"/>
        <v>26058434</v>
      </c>
      <c r="L270" s="350">
        <f t="shared" si="51"/>
        <v>25843964</v>
      </c>
      <c r="M270" s="351">
        <f t="shared" si="51"/>
        <v>25630623</v>
      </c>
    </row>
    <row r="271" spans="1:13" s="361" customFormat="1" ht="13.5" customHeight="1" thickBot="1">
      <c r="A271" s="411"/>
      <c r="B271" s="264"/>
      <c r="C271" s="264"/>
      <c r="D271" s="264"/>
      <c r="E271" s="264"/>
      <c r="F271" s="264"/>
      <c r="G271" s="264"/>
      <c r="H271" s="264"/>
      <c r="I271" s="264"/>
      <c r="J271" s="264"/>
      <c r="K271" s="264"/>
      <c r="L271" s="264"/>
      <c r="M271" s="264"/>
    </row>
    <row r="272" spans="1:13" s="361" customFormat="1" ht="13.5" customHeight="1" thickBot="1">
      <c r="A272" s="411"/>
      <c r="B272" s="265">
        <v>42005</v>
      </c>
      <c r="C272" s="266">
        <v>42036</v>
      </c>
      <c r="D272" s="266">
        <v>42064</v>
      </c>
      <c r="E272" s="266">
        <v>42095</v>
      </c>
      <c r="F272" s="266">
        <v>42125</v>
      </c>
      <c r="G272" s="266">
        <v>42156</v>
      </c>
      <c r="H272" s="266">
        <v>42186</v>
      </c>
      <c r="I272" s="266">
        <v>42217</v>
      </c>
      <c r="J272" s="266">
        <v>42248</v>
      </c>
      <c r="K272" s="266">
        <v>42278</v>
      </c>
      <c r="L272" s="266">
        <v>42309</v>
      </c>
      <c r="M272" s="271">
        <v>42339</v>
      </c>
    </row>
    <row r="273" spans="1:36" s="361" customFormat="1" ht="13.5" customHeight="1">
      <c r="A273" s="176" t="s">
        <v>127</v>
      </c>
      <c r="B273" s="270">
        <f>B274+B275</f>
        <v>14410899</v>
      </c>
      <c r="C273" s="270">
        <f>C274+C275</f>
        <v>14191172</v>
      </c>
      <c r="D273" s="270">
        <f t="shared" ref="D273:M273" si="52">D274+D275</f>
        <v>14075245</v>
      </c>
      <c r="E273" s="270">
        <f t="shared" si="52"/>
        <v>13976293</v>
      </c>
      <c r="F273" s="270">
        <f t="shared" si="52"/>
        <v>13791683</v>
      </c>
      <c r="G273" s="270">
        <f t="shared" si="52"/>
        <v>13816042</v>
      </c>
      <c r="H273" s="270">
        <f t="shared" si="52"/>
        <v>13457293</v>
      </c>
      <c r="I273" s="270">
        <f t="shared" si="52"/>
        <v>13249667</v>
      </c>
      <c r="J273" s="270">
        <f t="shared" si="52"/>
        <v>13224081</v>
      </c>
      <c r="K273" s="270">
        <f t="shared" si="52"/>
        <v>13115917</v>
      </c>
      <c r="L273" s="270">
        <f t="shared" si="52"/>
        <v>12969312</v>
      </c>
      <c r="M273" s="344">
        <f t="shared" si="52"/>
        <v>12868365</v>
      </c>
    </row>
    <row r="274" spans="1:36" s="361" customFormat="1" ht="13.5" customHeight="1">
      <c r="A274" s="415" t="s">
        <v>128</v>
      </c>
      <c r="B274" s="270">
        <v>11242916</v>
      </c>
      <c r="C274" s="270">
        <v>11076376</v>
      </c>
      <c r="D274" s="39">
        <v>10929820</v>
      </c>
      <c r="E274" s="39">
        <v>10847789</v>
      </c>
      <c r="F274" s="39">
        <v>10744114</v>
      </c>
      <c r="G274" s="39">
        <v>10718666</v>
      </c>
      <c r="H274" s="39">
        <v>10434711</v>
      </c>
      <c r="I274" s="270">
        <v>10252332</v>
      </c>
      <c r="J274" s="270">
        <v>10202484</v>
      </c>
      <c r="K274" s="270">
        <v>10100163</v>
      </c>
      <c r="L274" s="270">
        <v>9971477</v>
      </c>
      <c r="M274" s="344">
        <v>9885160</v>
      </c>
    </row>
    <row r="275" spans="1:36" s="361" customFormat="1" ht="13.5" customHeight="1">
      <c r="A275" s="415" t="s">
        <v>129</v>
      </c>
      <c r="B275" s="270">
        <v>3167983</v>
      </c>
      <c r="C275" s="270">
        <v>3114796</v>
      </c>
      <c r="D275" s="39">
        <v>3145425</v>
      </c>
      <c r="E275" s="39">
        <v>3128504</v>
      </c>
      <c r="F275" s="39">
        <v>3047569</v>
      </c>
      <c r="G275" s="39">
        <v>3097376</v>
      </c>
      <c r="H275" s="39">
        <v>3022582</v>
      </c>
      <c r="I275" s="270">
        <v>2997335</v>
      </c>
      <c r="J275" s="270">
        <v>3021597</v>
      </c>
      <c r="K275" s="270">
        <v>3015754</v>
      </c>
      <c r="L275" s="270">
        <v>2997835</v>
      </c>
      <c r="M275" s="344">
        <v>2983205</v>
      </c>
    </row>
    <row r="276" spans="1:36" s="361" customFormat="1" ht="13.5" customHeight="1">
      <c r="A276" s="415" t="s">
        <v>109</v>
      </c>
      <c r="B276" s="270">
        <v>9747574</v>
      </c>
      <c r="C276" s="270">
        <v>9867885</v>
      </c>
      <c r="D276" s="39">
        <v>9908778</v>
      </c>
      <c r="E276" s="39">
        <v>9903228</v>
      </c>
      <c r="F276" s="39">
        <v>9804833</v>
      </c>
      <c r="G276" s="39">
        <v>10084362</v>
      </c>
      <c r="H276" s="39">
        <v>10030600</v>
      </c>
      <c r="I276" s="270">
        <v>10172626</v>
      </c>
      <c r="J276" s="270">
        <v>10389618</v>
      </c>
      <c r="K276" s="270">
        <v>10598453</v>
      </c>
      <c r="L276" s="270">
        <v>10720987</v>
      </c>
      <c r="M276" s="344">
        <v>10948145</v>
      </c>
    </row>
    <row r="277" spans="1:36" s="361" customFormat="1" ht="13.5" customHeight="1">
      <c r="A277" s="415" t="s">
        <v>130</v>
      </c>
      <c r="B277" s="270">
        <v>1118960</v>
      </c>
      <c r="C277" s="270">
        <v>1129512</v>
      </c>
      <c r="D277" s="39">
        <v>1133353</v>
      </c>
      <c r="E277" s="39">
        <v>1127677</v>
      </c>
      <c r="F277" s="39">
        <v>1148241</v>
      </c>
      <c r="G277" s="39">
        <v>1052998</v>
      </c>
      <c r="H277" s="39">
        <v>1081389</v>
      </c>
      <c r="I277" s="270">
        <v>1095879</v>
      </c>
      <c r="J277" s="270">
        <v>1117341</v>
      </c>
      <c r="K277" s="270">
        <v>1099881</v>
      </c>
      <c r="L277" s="270">
        <v>1119658</v>
      </c>
      <c r="M277" s="344">
        <v>1113999</v>
      </c>
    </row>
    <row r="278" spans="1:36" s="361" customFormat="1" ht="13.5" customHeight="1" thickBot="1">
      <c r="A278" s="416" t="s">
        <v>3</v>
      </c>
      <c r="B278" s="350">
        <f>SUM(B274:B277)</f>
        <v>25277433</v>
      </c>
      <c r="C278" s="350">
        <f t="shared" ref="C278:M278" si="53">SUM(C274:C277)</f>
        <v>25188569</v>
      </c>
      <c r="D278" s="350">
        <f t="shared" si="53"/>
        <v>25117376</v>
      </c>
      <c r="E278" s="350">
        <f t="shared" si="53"/>
        <v>25007198</v>
      </c>
      <c r="F278" s="350">
        <f t="shared" si="53"/>
        <v>24744757</v>
      </c>
      <c r="G278" s="350">
        <f t="shared" si="53"/>
        <v>24953402</v>
      </c>
      <c r="H278" s="350">
        <f t="shared" si="53"/>
        <v>24569282</v>
      </c>
      <c r="I278" s="350">
        <f t="shared" si="53"/>
        <v>24518172</v>
      </c>
      <c r="J278" s="350">
        <f t="shared" si="53"/>
        <v>24731040</v>
      </c>
      <c r="K278" s="350">
        <f t="shared" si="53"/>
        <v>24814251</v>
      </c>
      <c r="L278" s="350">
        <f t="shared" si="53"/>
        <v>24809957</v>
      </c>
      <c r="M278" s="351">
        <f t="shared" si="53"/>
        <v>24930509</v>
      </c>
    </row>
    <row r="279" spans="1:36" s="361" customFormat="1" ht="13.5" customHeight="1" thickBot="1">
      <c r="A279" s="411"/>
      <c r="B279" s="75"/>
      <c r="C279" s="75"/>
      <c r="D279" s="264"/>
      <c r="E279" s="264"/>
      <c r="F279" s="264"/>
      <c r="G279" s="264"/>
      <c r="H279" s="264"/>
      <c r="I279" s="264"/>
      <c r="J279" s="264"/>
      <c r="K279" s="264"/>
      <c r="L279" s="264"/>
      <c r="M279" s="264"/>
    </row>
    <row r="280" spans="1:36" s="361" customFormat="1" ht="13.5" customHeight="1" thickBot="1">
      <c r="A280" s="411"/>
      <c r="B280" s="265">
        <v>42370</v>
      </c>
      <c r="C280" s="266">
        <v>42401</v>
      </c>
      <c r="D280" s="266">
        <v>42430</v>
      </c>
      <c r="E280" s="266">
        <v>42461</v>
      </c>
      <c r="F280" s="266">
        <v>42491</v>
      </c>
      <c r="G280" s="266">
        <v>42522</v>
      </c>
      <c r="H280" s="266">
        <v>42552</v>
      </c>
      <c r="I280" s="266">
        <v>42583</v>
      </c>
      <c r="J280" s="266">
        <v>42614</v>
      </c>
      <c r="K280" s="266">
        <v>42644</v>
      </c>
      <c r="L280" s="266">
        <v>42675</v>
      </c>
      <c r="M280" s="271">
        <v>42705</v>
      </c>
    </row>
    <row r="281" spans="1:36" s="361" customFormat="1" ht="13.5" customHeight="1">
      <c r="A281" s="92" t="s">
        <v>127</v>
      </c>
      <c r="B281" s="64">
        <f>B282+B283</f>
        <v>12931968</v>
      </c>
      <c r="C281" s="39">
        <f t="shared" ref="C281:M281" si="54">C282+C283</f>
        <v>12969093</v>
      </c>
      <c r="D281" s="39">
        <f t="shared" si="54"/>
        <v>12977203</v>
      </c>
      <c r="E281" s="39">
        <f t="shared" si="54"/>
        <v>12937212</v>
      </c>
      <c r="F281" s="39">
        <f t="shared" si="54"/>
        <v>13037400</v>
      </c>
      <c r="G281" s="39">
        <f t="shared" si="54"/>
        <v>12981863</v>
      </c>
      <c r="H281" s="39">
        <f t="shared" si="54"/>
        <v>12733251</v>
      </c>
      <c r="I281" s="39">
        <f t="shared" si="54"/>
        <v>12955432</v>
      </c>
      <c r="J281" s="39">
        <f t="shared" si="54"/>
        <v>12975174</v>
      </c>
      <c r="K281" s="39">
        <f t="shared" si="54"/>
        <v>13035854</v>
      </c>
      <c r="L281" s="39">
        <f t="shared" si="54"/>
        <v>13156098</v>
      </c>
      <c r="M281" s="41">
        <f t="shared" si="54"/>
        <v>13499472</v>
      </c>
    </row>
    <row r="282" spans="1:36" s="361" customFormat="1" ht="13.5" customHeight="1">
      <c r="A282" s="412" t="s">
        <v>128</v>
      </c>
      <c r="B282" s="64">
        <v>9928208</v>
      </c>
      <c r="C282" s="39">
        <v>10004410</v>
      </c>
      <c r="D282" s="39">
        <v>10033976</v>
      </c>
      <c r="E282" s="39">
        <v>10014082</v>
      </c>
      <c r="F282" s="39">
        <v>10094579</v>
      </c>
      <c r="G282" s="39">
        <v>10072439</v>
      </c>
      <c r="H282" s="270">
        <v>9886247</v>
      </c>
      <c r="I282" s="270">
        <v>10067912</v>
      </c>
      <c r="J282" s="270">
        <v>10144927</v>
      </c>
      <c r="K282" s="270">
        <v>10232025</v>
      </c>
      <c r="L282" s="270">
        <v>10335642</v>
      </c>
      <c r="M282" s="344">
        <v>10632452</v>
      </c>
    </row>
    <row r="283" spans="1:36" s="361" customFormat="1" ht="13.5" customHeight="1">
      <c r="A283" s="412" t="s">
        <v>129</v>
      </c>
      <c r="B283" s="64">
        <v>3003760</v>
      </c>
      <c r="C283" s="39">
        <v>2964683</v>
      </c>
      <c r="D283" s="39">
        <v>2943227</v>
      </c>
      <c r="E283" s="39">
        <v>2923130</v>
      </c>
      <c r="F283" s="39">
        <v>2942821</v>
      </c>
      <c r="G283" s="39">
        <v>2909424</v>
      </c>
      <c r="H283" s="270">
        <v>2847004</v>
      </c>
      <c r="I283" s="270">
        <v>2887520</v>
      </c>
      <c r="J283" s="270">
        <v>2830247</v>
      </c>
      <c r="K283" s="270">
        <v>2803829</v>
      </c>
      <c r="L283" s="270">
        <v>2820456</v>
      </c>
      <c r="M283" s="344">
        <v>2867020</v>
      </c>
    </row>
    <row r="284" spans="1:36" s="361" customFormat="1" ht="13.5" customHeight="1">
      <c r="A284" s="412" t="s">
        <v>109</v>
      </c>
      <c r="B284" s="64">
        <v>11022618</v>
      </c>
      <c r="C284" s="39">
        <v>10961066</v>
      </c>
      <c r="D284" s="39">
        <v>11100955</v>
      </c>
      <c r="E284" s="39">
        <v>11092939</v>
      </c>
      <c r="F284" s="39">
        <v>11136485</v>
      </c>
      <c r="G284" s="39">
        <v>11164699</v>
      </c>
      <c r="H284" s="270">
        <v>11130574</v>
      </c>
      <c r="I284" s="270">
        <v>11080025</v>
      </c>
      <c r="J284" s="270">
        <v>10721339</v>
      </c>
      <c r="K284" s="270">
        <v>10580318</v>
      </c>
      <c r="L284" s="270">
        <v>10549859</v>
      </c>
      <c r="M284" s="344">
        <v>10694795</v>
      </c>
    </row>
    <row r="285" spans="1:36" s="361" customFormat="1" ht="13.5" customHeight="1">
      <c r="A285" s="412" t="s">
        <v>130</v>
      </c>
      <c r="B285" s="64">
        <v>1138505</v>
      </c>
      <c r="C285" s="39">
        <v>1185718</v>
      </c>
      <c r="D285" s="39">
        <v>1161901</v>
      </c>
      <c r="E285" s="39">
        <v>1150425</v>
      </c>
      <c r="F285" s="39">
        <v>1143861</v>
      </c>
      <c r="G285" s="39">
        <v>1135338</v>
      </c>
      <c r="H285" s="270">
        <v>1129045</v>
      </c>
      <c r="I285" s="270">
        <v>1180451</v>
      </c>
      <c r="J285" s="270">
        <v>1089547</v>
      </c>
      <c r="K285" s="270">
        <v>1071908</v>
      </c>
      <c r="L285" s="270">
        <v>1119302</v>
      </c>
      <c r="M285" s="344">
        <v>1185987</v>
      </c>
    </row>
    <row r="286" spans="1:36" s="361" customFormat="1" ht="13.5" customHeight="1" thickBot="1">
      <c r="A286" s="413" t="s">
        <v>3</v>
      </c>
      <c r="B286" s="72">
        <f>SUM(B282:B285)</f>
        <v>25093091</v>
      </c>
      <c r="C286" s="73">
        <f t="shared" ref="C286:M286" si="55">SUM(C282:C285)</f>
        <v>25115877</v>
      </c>
      <c r="D286" s="73">
        <f t="shared" si="55"/>
        <v>25240059</v>
      </c>
      <c r="E286" s="73">
        <f t="shared" si="55"/>
        <v>25180576</v>
      </c>
      <c r="F286" s="73">
        <f t="shared" si="55"/>
        <v>25317746</v>
      </c>
      <c r="G286" s="73">
        <f t="shared" si="55"/>
        <v>25281900</v>
      </c>
      <c r="H286" s="73">
        <f t="shared" si="55"/>
        <v>24992870</v>
      </c>
      <c r="I286" s="73">
        <f t="shared" si="55"/>
        <v>25215908</v>
      </c>
      <c r="J286" s="73">
        <f t="shared" si="55"/>
        <v>24786060</v>
      </c>
      <c r="K286" s="73">
        <f t="shared" si="55"/>
        <v>24688080</v>
      </c>
      <c r="L286" s="73">
        <f t="shared" si="55"/>
        <v>24825259</v>
      </c>
      <c r="M286" s="74">
        <f t="shared" si="55"/>
        <v>25380254</v>
      </c>
    </row>
    <row r="287" spans="1:36" s="361" customFormat="1" ht="13.5" customHeight="1" thickBot="1">
      <c r="A287" s="411"/>
      <c r="B287" s="264"/>
      <c r="C287" s="264"/>
      <c r="D287" s="264"/>
      <c r="E287" s="264"/>
      <c r="F287" s="264"/>
      <c r="G287" s="264"/>
      <c r="H287" s="75"/>
      <c r="I287" s="75"/>
      <c r="J287" s="75"/>
      <c r="K287" s="75"/>
      <c r="L287" s="75"/>
      <c r="M287" s="75"/>
      <c r="N287" s="66"/>
      <c r="O287" s="66"/>
      <c r="P287" s="66"/>
      <c r="Q287" s="66"/>
      <c r="R287" s="66"/>
      <c r="S287" s="66"/>
      <c r="Y287" s="424"/>
      <c r="AE287" s="270"/>
      <c r="AF287" s="270"/>
      <c r="AG287" s="270"/>
      <c r="AH287" s="270"/>
      <c r="AI287" s="270"/>
      <c r="AJ287" s="270"/>
    </row>
    <row r="288" spans="1:36" s="361" customFormat="1" ht="13.5" customHeight="1" thickBot="1">
      <c r="A288" s="411"/>
      <c r="B288" s="265">
        <v>42736</v>
      </c>
      <c r="C288" s="266">
        <v>42767</v>
      </c>
      <c r="D288" s="266">
        <v>42795</v>
      </c>
      <c r="E288" s="266">
        <v>42826</v>
      </c>
      <c r="F288" s="266">
        <v>42856</v>
      </c>
      <c r="G288" s="266">
        <v>42887</v>
      </c>
      <c r="H288" s="266">
        <v>42917</v>
      </c>
      <c r="I288" s="266">
        <v>42948</v>
      </c>
      <c r="J288" s="266">
        <v>42979</v>
      </c>
      <c r="K288" s="266">
        <v>43009</v>
      </c>
      <c r="L288" s="266">
        <v>43040</v>
      </c>
      <c r="M288" s="271">
        <v>43070</v>
      </c>
      <c r="N288" s="66"/>
      <c r="O288" s="66"/>
      <c r="P288" s="66"/>
      <c r="Q288" s="66"/>
      <c r="R288" s="66"/>
      <c r="S288" s="66"/>
      <c r="Y288" s="424"/>
      <c r="AE288" s="270"/>
      <c r="AF288" s="270"/>
      <c r="AG288" s="270"/>
      <c r="AH288" s="270"/>
      <c r="AI288" s="270"/>
      <c r="AJ288" s="270"/>
    </row>
    <row r="289" spans="1:36" s="361" customFormat="1" ht="13.5" customHeight="1">
      <c r="A289" s="92" t="s">
        <v>127</v>
      </c>
      <c r="B289" s="64">
        <f>B290+B291</f>
        <v>13536323</v>
      </c>
      <c r="C289" s="39">
        <f t="shared" ref="C289:M289" si="56">C290+C291</f>
        <v>13711700</v>
      </c>
      <c r="D289" s="39">
        <f t="shared" si="56"/>
        <v>13669769</v>
      </c>
      <c r="E289" s="39">
        <f t="shared" si="56"/>
        <v>13854878</v>
      </c>
      <c r="F289" s="39">
        <f t="shared" si="56"/>
        <v>14142589</v>
      </c>
      <c r="G289" s="39">
        <f t="shared" si="56"/>
        <v>14269589</v>
      </c>
      <c r="H289" s="39">
        <f t="shared" si="56"/>
        <v>14474036</v>
      </c>
      <c r="I289" s="39">
        <f t="shared" si="56"/>
        <v>14658124</v>
      </c>
      <c r="J289" s="39">
        <f t="shared" si="56"/>
        <v>14946074</v>
      </c>
      <c r="K289" s="270">
        <f t="shared" si="56"/>
        <v>15232289</v>
      </c>
      <c r="L289" s="270">
        <f t="shared" si="56"/>
        <v>15684199</v>
      </c>
      <c r="M289" s="344">
        <f t="shared" si="56"/>
        <v>15736704</v>
      </c>
      <c r="N289" s="66"/>
      <c r="O289" s="66"/>
      <c r="P289" s="66"/>
      <c r="Q289" s="66"/>
      <c r="R289" s="66"/>
      <c r="S289" s="66"/>
      <c r="Y289" s="424"/>
      <c r="AE289" s="270"/>
      <c r="AF289" s="270"/>
      <c r="AG289" s="270"/>
      <c r="AH289" s="270"/>
      <c r="AI289" s="270"/>
      <c r="AJ289" s="270"/>
    </row>
    <row r="290" spans="1:36" s="361" customFormat="1" ht="13.5" customHeight="1">
      <c r="A290" s="412" t="s">
        <v>128</v>
      </c>
      <c r="B290" s="64">
        <v>10670308</v>
      </c>
      <c r="C290" s="39">
        <v>10790270</v>
      </c>
      <c r="D290" s="39">
        <v>10758679</v>
      </c>
      <c r="E290" s="39">
        <v>10890005</v>
      </c>
      <c r="F290" s="39">
        <v>11125497</v>
      </c>
      <c r="G290" s="39">
        <v>11240438</v>
      </c>
      <c r="H290" s="270">
        <v>11374034</v>
      </c>
      <c r="I290" s="270">
        <v>11526729</v>
      </c>
      <c r="J290" s="270">
        <v>11773168</v>
      </c>
      <c r="K290" s="270">
        <v>12005433</v>
      </c>
      <c r="L290" s="270">
        <v>12336128</v>
      </c>
      <c r="M290" s="344">
        <v>12377578</v>
      </c>
      <c r="N290" s="66"/>
      <c r="O290" s="66"/>
      <c r="P290" s="66"/>
      <c r="Q290" s="66"/>
      <c r="R290" s="66"/>
      <c r="S290" s="66"/>
      <c r="Y290" s="424"/>
      <c r="AE290" s="270"/>
      <c r="AF290" s="270"/>
      <c r="AG290" s="270"/>
      <c r="AH290" s="270"/>
      <c r="AI290" s="270"/>
      <c r="AJ290" s="270"/>
    </row>
    <row r="291" spans="1:36" s="361" customFormat="1" ht="13.5" customHeight="1">
      <c r="A291" s="412" t="s">
        <v>129</v>
      </c>
      <c r="B291" s="64">
        <v>2866015</v>
      </c>
      <c r="C291" s="39">
        <v>2921430</v>
      </c>
      <c r="D291" s="39">
        <v>2911090</v>
      </c>
      <c r="E291" s="39">
        <v>2964873</v>
      </c>
      <c r="F291" s="39">
        <v>3017092</v>
      </c>
      <c r="G291" s="39">
        <v>3029151</v>
      </c>
      <c r="H291" s="270">
        <v>3100002</v>
      </c>
      <c r="I291" s="270">
        <v>3131395</v>
      </c>
      <c r="J291" s="270">
        <v>3172906</v>
      </c>
      <c r="K291" s="270">
        <v>3226856</v>
      </c>
      <c r="L291" s="270">
        <v>3348071</v>
      </c>
      <c r="M291" s="344">
        <v>3359126</v>
      </c>
      <c r="N291" s="66"/>
      <c r="O291" s="66"/>
      <c r="P291" s="66"/>
      <c r="Q291" s="66"/>
      <c r="R291" s="66"/>
      <c r="S291" s="66"/>
      <c r="Y291" s="424"/>
      <c r="AE291" s="270"/>
      <c r="AF291" s="270"/>
      <c r="AG291" s="270"/>
      <c r="AH291" s="270"/>
      <c r="AI291" s="270"/>
      <c r="AJ291" s="270"/>
    </row>
    <row r="292" spans="1:36" s="361" customFormat="1" ht="13.5" customHeight="1">
      <c r="A292" s="412" t="s">
        <v>109</v>
      </c>
      <c r="B292" s="64">
        <v>10795526</v>
      </c>
      <c r="C292" s="39">
        <v>10908549</v>
      </c>
      <c r="D292" s="39">
        <v>10966101</v>
      </c>
      <c r="E292" s="39">
        <v>11215459</v>
      </c>
      <c r="F292" s="39">
        <v>11384251</v>
      </c>
      <c r="G292" s="39">
        <v>11341001</v>
      </c>
      <c r="H292" s="270">
        <v>11495106</v>
      </c>
      <c r="I292" s="270">
        <v>11793726</v>
      </c>
      <c r="J292" s="270">
        <v>12111966</v>
      </c>
      <c r="K292" s="270">
        <v>12355737</v>
      </c>
      <c r="L292" s="270">
        <v>12897373</v>
      </c>
      <c r="M292" s="344">
        <v>13504537</v>
      </c>
      <c r="N292" s="66"/>
      <c r="O292" s="66"/>
      <c r="P292" s="66"/>
      <c r="Q292" s="66"/>
      <c r="R292" s="66"/>
      <c r="S292" s="66"/>
      <c r="Y292" s="424"/>
      <c r="AE292" s="270"/>
      <c r="AF292" s="270"/>
      <c r="AG292" s="270"/>
      <c r="AH292" s="270"/>
      <c r="AI292" s="270"/>
      <c r="AJ292" s="270"/>
    </row>
    <row r="293" spans="1:36" s="361" customFormat="1" ht="13.5" customHeight="1">
      <c r="A293" s="412" t="s">
        <v>130</v>
      </c>
      <c r="B293" s="64">
        <v>1159252</v>
      </c>
      <c r="C293" s="39">
        <v>1087001</v>
      </c>
      <c r="D293" s="39">
        <v>1114389</v>
      </c>
      <c r="E293" s="39">
        <v>1157467</v>
      </c>
      <c r="F293" s="39">
        <v>1140173</v>
      </c>
      <c r="G293" s="39">
        <v>1210554</v>
      </c>
      <c r="H293" s="270">
        <v>1162572</v>
      </c>
      <c r="I293" s="270">
        <v>1139706</v>
      </c>
      <c r="J293" s="270">
        <v>1216833</v>
      </c>
      <c r="K293" s="270">
        <v>1260440</v>
      </c>
      <c r="L293" s="270">
        <v>1211366</v>
      </c>
      <c r="M293" s="344">
        <v>1264523</v>
      </c>
      <c r="N293" s="66"/>
      <c r="O293" s="66"/>
      <c r="P293" s="66"/>
      <c r="Q293" s="66"/>
      <c r="R293" s="66"/>
      <c r="S293" s="66"/>
      <c r="Y293" s="424"/>
      <c r="AE293" s="270"/>
      <c r="AF293" s="270"/>
      <c r="AG293" s="270"/>
      <c r="AH293" s="270"/>
      <c r="AI293" s="270"/>
      <c r="AJ293" s="270"/>
    </row>
    <row r="294" spans="1:36" s="361" customFormat="1" ht="13.5" customHeight="1" thickBot="1">
      <c r="A294" s="413" t="s">
        <v>3</v>
      </c>
      <c r="B294" s="72">
        <f>SUM(B290:B293)</f>
        <v>25491101</v>
      </c>
      <c r="C294" s="73">
        <f t="shared" ref="C294:M294" si="57">SUM(C290:C293)</f>
        <v>25707250</v>
      </c>
      <c r="D294" s="73">
        <f t="shared" si="57"/>
        <v>25750259</v>
      </c>
      <c r="E294" s="73">
        <f t="shared" si="57"/>
        <v>26227804</v>
      </c>
      <c r="F294" s="73">
        <f t="shared" si="57"/>
        <v>26667013</v>
      </c>
      <c r="G294" s="73">
        <f t="shared" si="57"/>
        <v>26821144</v>
      </c>
      <c r="H294" s="73">
        <f t="shared" si="57"/>
        <v>27131714</v>
      </c>
      <c r="I294" s="73">
        <f t="shared" si="57"/>
        <v>27591556</v>
      </c>
      <c r="J294" s="73">
        <f t="shared" si="57"/>
        <v>28274873</v>
      </c>
      <c r="K294" s="350">
        <f t="shared" si="57"/>
        <v>28848466</v>
      </c>
      <c r="L294" s="350">
        <f t="shared" si="57"/>
        <v>29792938</v>
      </c>
      <c r="M294" s="351">
        <f t="shared" si="57"/>
        <v>30505764</v>
      </c>
      <c r="N294" s="66"/>
      <c r="O294" s="66"/>
      <c r="P294" s="66"/>
      <c r="Q294" s="66"/>
      <c r="R294" s="66"/>
      <c r="S294" s="66"/>
      <c r="Y294" s="424"/>
      <c r="AE294" s="270"/>
      <c r="AF294" s="270"/>
      <c r="AG294" s="270"/>
      <c r="AH294" s="270"/>
      <c r="AI294" s="270"/>
      <c r="AJ294" s="270"/>
    </row>
    <row r="295" spans="1:36" s="366" customFormat="1" ht="13.5" customHeight="1">
      <c r="A295" s="13" t="s">
        <v>136</v>
      </c>
      <c r="B295" s="311"/>
      <c r="C295" s="311"/>
      <c r="D295" s="311"/>
      <c r="E295" s="311"/>
      <c r="F295" s="311"/>
      <c r="G295" s="311"/>
      <c r="H295" s="311"/>
      <c r="I295" s="311"/>
      <c r="J295" s="311"/>
      <c r="K295" s="311"/>
      <c r="L295" s="311"/>
      <c r="M295"/>
    </row>
    <row r="296" spans="1:36" s="366" customFormat="1" ht="13.5" customHeight="1">
      <c r="A296" s="5" t="s">
        <v>132</v>
      </c>
      <c r="B296" s="311"/>
      <c r="C296" s="311"/>
      <c r="D296" s="311"/>
      <c r="E296" s="311"/>
      <c r="F296" s="311"/>
      <c r="G296" s="311"/>
      <c r="H296" s="311"/>
      <c r="I296" s="311"/>
      <c r="J296" s="311"/>
      <c r="K296" s="311"/>
      <c r="L296" s="311"/>
      <c r="M296"/>
      <c r="N296" s="361"/>
      <c r="O296" s="361"/>
    </row>
    <row r="297" spans="1:36" s="366" customFormat="1" ht="13.5" customHeight="1">
      <c r="A297" s="5" t="s">
        <v>206</v>
      </c>
      <c r="B297" s="311"/>
      <c r="C297" s="311"/>
      <c r="D297" s="311"/>
      <c r="E297" s="311"/>
      <c r="F297" s="311"/>
      <c r="G297" s="311"/>
      <c r="H297" s="311"/>
      <c r="I297" s="311"/>
      <c r="J297" s="311"/>
      <c r="K297" s="311"/>
      <c r="L297" s="311"/>
      <c r="M297"/>
      <c r="N297" s="361"/>
      <c r="O297" s="361"/>
    </row>
    <row r="298" spans="1:36" s="366" customFormat="1" ht="13.5" customHeight="1">
      <c r="A298" s="5" t="s">
        <v>137</v>
      </c>
      <c r="B298" s="311"/>
      <c r="C298" s="311"/>
      <c r="D298" s="311"/>
      <c r="E298" s="311"/>
      <c r="F298" s="311"/>
      <c r="G298" s="311"/>
      <c r="H298" s="311"/>
      <c r="I298" s="311"/>
      <c r="J298" s="311"/>
      <c r="K298" s="311"/>
      <c r="L298" s="311"/>
      <c r="M298"/>
      <c r="N298" s="361"/>
      <c r="O298" s="361"/>
    </row>
    <row r="299" spans="1:36" s="366" customFormat="1" ht="13.5" customHeight="1">
      <c r="A299" s="425"/>
      <c r="B299" s="202"/>
      <c r="C299" s="202"/>
      <c r="D299" s="202"/>
      <c r="E299" s="202"/>
      <c r="F299" s="202"/>
      <c r="G299" s="202"/>
      <c r="H299" s="202"/>
      <c r="I299" s="202"/>
      <c r="J299" s="202"/>
      <c r="K299" s="202"/>
      <c r="L299" s="202"/>
      <c r="M299" s="202"/>
      <c r="N299" s="361"/>
      <c r="O299" s="361"/>
    </row>
    <row r="300" spans="1:36">
      <c r="A300"/>
      <c r="B300"/>
      <c r="C300"/>
      <c r="D300"/>
      <c r="E300"/>
      <c r="F300"/>
      <c r="G300"/>
      <c r="H300"/>
      <c r="I300"/>
      <c r="J300"/>
      <c r="K300"/>
      <c r="L300"/>
      <c r="M300"/>
    </row>
    <row r="301" spans="1:36" s="200" customFormat="1">
      <c r="A301" s="369" t="s">
        <v>254</v>
      </c>
      <c r="B301" s="370"/>
      <c r="C301" s="370"/>
      <c r="D301" s="370"/>
      <c r="E301" s="370"/>
      <c r="F301" s="370"/>
      <c r="G301" s="370"/>
      <c r="H301" s="370"/>
      <c r="I301" s="370"/>
      <c r="J301" s="370"/>
      <c r="K301" s="370"/>
      <c r="L301" s="370"/>
      <c r="M301" s="370"/>
      <c r="N301" s="370"/>
      <c r="O301" s="370"/>
      <c r="P301" s="370"/>
      <c r="Q301" s="370"/>
      <c r="R301" s="370"/>
      <c r="S301" s="370"/>
      <c r="T301" s="370"/>
      <c r="U301" s="370"/>
      <c r="V301" s="370"/>
      <c r="W301" s="370"/>
      <c r="X301" s="370"/>
    </row>
    <row r="302" spans="1:36" ht="13.5">
      <c r="A302" s="32"/>
      <c r="B302" s="32"/>
      <c r="C302" s="32"/>
      <c r="D302" s="32"/>
      <c r="E302" s="32"/>
      <c r="F302" s="32"/>
      <c r="G302" s="32"/>
      <c r="H302" s="32"/>
      <c r="I302" s="32"/>
      <c r="J302" s="32"/>
      <c r="K302" s="32"/>
      <c r="L302" s="32"/>
      <c r="M302" s="32"/>
      <c r="N302" s="32"/>
      <c r="O302" s="32"/>
    </row>
    <row r="303" spans="1:36" s="366" customFormat="1" ht="13.5">
      <c r="A303" s="22" t="s">
        <v>255</v>
      </c>
      <c r="B303" s="426" t="s">
        <v>256</v>
      </c>
      <c r="C303" s="14"/>
      <c r="D303" s="14"/>
      <c r="E303" s="14"/>
      <c r="F303" s="14"/>
      <c r="G303" s="14"/>
      <c r="H303" s="18"/>
      <c r="I303" s="18"/>
      <c r="J303" s="16"/>
      <c r="K303" s="16"/>
      <c r="L303" s="16"/>
      <c r="M303" s="16"/>
      <c r="N303" s="16"/>
      <c r="O303" s="18"/>
      <c r="P303"/>
      <c r="Q303"/>
    </row>
    <row r="304" spans="1:36" s="366" customFormat="1" ht="14.25" thickBot="1">
      <c r="A304" s="18"/>
      <c r="B304" s="18"/>
      <c r="C304" s="18"/>
      <c r="D304" s="18"/>
      <c r="E304" s="18"/>
      <c r="F304" s="18"/>
      <c r="G304" s="18"/>
      <c r="H304" s="18"/>
      <c r="I304" s="18"/>
      <c r="J304" s="18"/>
      <c r="K304" s="18"/>
      <c r="L304" s="18"/>
      <c r="M304" s="18"/>
      <c r="N304" s="18"/>
      <c r="O304" s="18"/>
      <c r="P304"/>
      <c r="Q304"/>
    </row>
    <row r="305" spans="1:28" s="361" customFormat="1" ht="13.5" customHeight="1" thickBot="1">
      <c r="A305" s="82"/>
      <c r="B305" s="150">
        <v>2000</v>
      </c>
      <c r="C305" s="427">
        <v>2001</v>
      </c>
      <c r="D305" s="427">
        <v>2002</v>
      </c>
      <c r="E305" s="427">
        <v>2003</v>
      </c>
      <c r="F305" s="427">
        <v>2004</v>
      </c>
      <c r="G305" s="427">
        <v>2005</v>
      </c>
      <c r="H305" s="427">
        <v>2006</v>
      </c>
      <c r="I305" s="427">
        <v>2007</v>
      </c>
      <c r="J305" s="427">
        <v>2008</v>
      </c>
      <c r="K305" s="427">
        <v>2009</v>
      </c>
      <c r="L305" s="427">
        <v>2010</v>
      </c>
      <c r="M305" s="427">
        <v>2011</v>
      </c>
      <c r="N305" s="427">
        <v>2012</v>
      </c>
      <c r="O305" s="427">
        <v>2013</v>
      </c>
      <c r="P305" s="427">
        <v>2014</v>
      </c>
      <c r="Q305" s="427">
        <v>2015</v>
      </c>
      <c r="R305" s="428">
        <v>2016</v>
      </c>
    </row>
    <row r="306" spans="1:28" s="361" customFormat="1" ht="13.5" customHeight="1">
      <c r="A306" s="109" t="s">
        <v>152</v>
      </c>
      <c r="B306" s="110">
        <v>78400</v>
      </c>
      <c r="C306" s="111">
        <v>79571</v>
      </c>
      <c r="D306" s="111">
        <v>80243</v>
      </c>
      <c r="E306" s="111">
        <v>92542</v>
      </c>
      <c r="F306" s="111">
        <v>113185</v>
      </c>
      <c r="G306" s="111">
        <v>131757</v>
      </c>
      <c r="H306" s="111">
        <v>149514</v>
      </c>
      <c r="I306" s="111">
        <v>147362</v>
      </c>
      <c r="J306" s="111">
        <v>91626</v>
      </c>
      <c r="K306" s="111">
        <v>77280</v>
      </c>
      <c r="L306" s="111">
        <v>110269</v>
      </c>
      <c r="M306" s="111">
        <v>123288</v>
      </c>
      <c r="N306" s="111">
        <v>118711</v>
      </c>
      <c r="O306" s="111">
        <v>103772</v>
      </c>
      <c r="P306" s="111">
        <v>93505</v>
      </c>
      <c r="Q306" s="111">
        <v>100207</v>
      </c>
      <c r="R306" s="112">
        <f t="shared" ref="R306" si="58">R307+R308</f>
        <v>126660</v>
      </c>
    </row>
    <row r="307" spans="1:28" s="361" customFormat="1" ht="13.5" customHeight="1">
      <c r="A307" s="97" t="s">
        <v>79</v>
      </c>
      <c r="B307" s="65">
        <v>65135</v>
      </c>
      <c r="C307" s="40">
        <v>64858</v>
      </c>
      <c r="D307" s="40">
        <v>66254</v>
      </c>
      <c r="E307" s="40">
        <v>78996</v>
      </c>
      <c r="F307" s="40">
        <v>94970</v>
      </c>
      <c r="G307" s="40">
        <v>113197</v>
      </c>
      <c r="H307" s="40">
        <v>129846</v>
      </c>
      <c r="I307" s="40">
        <v>127835</v>
      </c>
      <c r="J307" s="40">
        <v>77641</v>
      </c>
      <c r="K307" s="40">
        <v>66552</v>
      </c>
      <c r="L307" s="40">
        <v>97427</v>
      </c>
      <c r="M307" s="40">
        <v>111135</v>
      </c>
      <c r="N307" s="40">
        <v>106763</v>
      </c>
      <c r="O307" s="40">
        <v>92701</v>
      </c>
      <c r="P307" s="40">
        <v>85113</v>
      </c>
      <c r="Q307" s="40">
        <v>91929</v>
      </c>
      <c r="R307" s="67">
        <v>114934</v>
      </c>
    </row>
    <row r="308" spans="1:28" s="361" customFormat="1" ht="13.5" customHeight="1">
      <c r="A308" s="97" t="s">
        <v>129</v>
      </c>
      <c r="B308" s="65">
        <v>13265</v>
      </c>
      <c r="C308" s="40">
        <v>14713</v>
      </c>
      <c r="D308" s="40">
        <v>13989</v>
      </c>
      <c r="E308" s="40">
        <v>13546</v>
      </c>
      <c r="F308" s="40">
        <v>18215</v>
      </c>
      <c r="G308" s="40">
        <v>18560</v>
      </c>
      <c r="H308" s="40">
        <v>19668</v>
      </c>
      <c r="I308" s="40">
        <v>19527</v>
      </c>
      <c r="J308" s="40">
        <v>13985</v>
      </c>
      <c r="K308" s="40">
        <v>10728</v>
      </c>
      <c r="L308" s="40">
        <v>12842</v>
      </c>
      <c r="M308" s="40">
        <v>12153</v>
      </c>
      <c r="N308" s="40">
        <v>11948</v>
      </c>
      <c r="O308" s="40">
        <v>11071</v>
      </c>
      <c r="P308" s="40">
        <v>8392</v>
      </c>
      <c r="Q308" s="40">
        <v>8278</v>
      </c>
      <c r="R308" s="67">
        <v>11726</v>
      </c>
    </row>
    <row r="309" spans="1:28" s="361" customFormat="1">
      <c r="A309" s="117" t="s">
        <v>153</v>
      </c>
      <c r="B309" s="118">
        <v>75243</v>
      </c>
      <c r="C309" s="83">
        <v>80195</v>
      </c>
      <c r="D309" s="83">
        <v>85488</v>
      </c>
      <c r="E309" s="83">
        <v>103462</v>
      </c>
      <c r="F309" s="83">
        <v>112191</v>
      </c>
      <c r="G309" s="83">
        <v>121423</v>
      </c>
      <c r="H309" s="83">
        <v>125964</v>
      </c>
      <c r="I309" s="83">
        <v>127017</v>
      </c>
      <c r="J309" s="83">
        <v>78507</v>
      </c>
      <c r="K309" s="83">
        <v>105802</v>
      </c>
      <c r="L309" s="83">
        <v>115285</v>
      </c>
      <c r="M309" s="83">
        <v>105000</v>
      </c>
      <c r="N309" s="83">
        <v>88904</v>
      </c>
      <c r="O309" s="83">
        <v>89313</v>
      </c>
      <c r="P309" s="83">
        <v>86950</v>
      </c>
      <c r="Q309" s="83">
        <v>102538</v>
      </c>
      <c r="R309" s="119">
        <f t="shared" ref="R309" si="59">R310+R311</f>
        <v>126950</v>
      </c>
    </row>
    <row r="310" spans="1:28" s="361" customFormat="1" ht="13.5">
      <c r="A310" s="97" t="s">
        <v>79</v>
      </c>
      <c r="B310" s="65">
        <v>62658</v>
      </c>
      <c r="C310" s="40">
        <v>66561</v>
      </c>
      <c r="D310" s="40">
        <v>71209</v>
      </c>
      <c r="E310" s="40">
        <v>87733</v>
      </c>
      <c r="F310" s="40">
        <v>95667</v>
      </c>
      <c r="G310" s="40">
        <v>102991</v>
      </c>
      <c r="H310" s="40">
        <v>109429</v>
      </c>
      <c r="I310" s="40">
        <v>110539</v>
      </c>
      <c r="J310" s="40">
        <v>67780</v>
      </c>
      <c r="K310" s="40">
        <v>93041</v>
      </c>
      <c r="L310" s="40">
        <v>102533</v>
      </c>
      <c r="M310" s="40">
        <v>94728</v>
      </c>
      <c r="N310" s="40">
        <v>80353</v>
      </c>
      <c r="O310" s="40">
        <v>80472</v>
      </c>
      <c r="P310" s="40">
        <v>79531</v>
      </c>
      <c r="Q310" s="40">
        <v>94301</v>
      </c>
      <c r="R310" s="67">
        <v>116010</v>
      </c>
    </row>
    <row r="311" spans="1:28" s="361" customFormat="1" ht="13.5">
      <c r="A311" s="97" t="s">
        <v>129</v>
      </c>
      <c r="B311" s="65">
        <v>12585</v>
      </c>
      <c r="C311" s="40">
        <v>13634</v>
      </c>
      <c r="D311" s="40">
        <v>14279</v>
      </c>
      <c r="E311" s="40">
        <v>15729</v>
      </c>
      <c r="F311" s="40">
        <v>16524</v>
      </c>
      <c r="G311" s="40">
        <v>18432</v>
      </c>
      <c r="H311" s="40">
        <v>16535</v>
      </c>
      <c r="I311" s="40">
        <v>16478</v>
      </c>
      <c r="J311" s="40">
        <v>10727</v>
      </c>
      <c r="K311" s="40">
        <v>12761</v>
      </c>
      <c r="L311" s="40">
        <v>12752</v>
      </c>
      <c r="M311" s="40">
        <v>10272</v>
      </c>
      <c r="N311" s="40">
        <v>8551</v>
      </c>
      <c r="O311" s="40">
        <v>8841</v>
      </c>
      <c r="P311" s="40">
        <v>7419</v>
      </c>
      <c r="Q311" s="40">
        <v>8237</v>
      </c>
      <c r="R311" s="67">
        <v>10940</v>
      </c>
    </row>
    <row r="312" spans="1:28" s="361" customFormat="1">
      <c r="A312" s="117" t="s">
        <v>154</v>
      </c>
      <c r="B312" s="118">
        <v>52332</v>
      </c>
      <c r="C312" s="83">
        <v>52044</v>
      </c>
      <c r="D312" s="83">
        <v>48121</v>
      </c>
      <c r="E312" s="83">
        <v>37504</v>
      </c>
      <c r="F312" s="83">
        <v>39862</v>
      </c>
      <c r="G312" s="83">
        <v>52771</v>
      </c>
      <c r="H312" s="83">
        <v>78640</v>
      </c>
      <c r="I312" s="83">
        <v>102067</v>
      </c>
      <c r="J312" s="83">
        <v>109787</v>
      </c>
      <c r="K312" s="83">
        <v>69221</v>
      </c>
      <c r="L312" s="83">
        <v>59330</v>
      </c>
      <c r="M312" s="83">
        <v>72824</v>
      </c>
      <c r="N312" s="83">
        <v>96062</v>
      </c>
      <c r="O312" s="83">
        <v>104102</v>
      </c>
      <c r="P312" s="83">
        <v>105683</v>
      </c>
      <c r="Q312" s="83">
        <v>99286</v>
      </c>
      <c r="R312" s="119">
        <f t="shared" ref="R312" si="60">R313+R314</f>
        <v>102953</v>
      </c>
    </row>
    <row r="313" spans="1:28" s="361" customFormat="1" ht="13.5">
      <c r="A313" s="97" t="s">
        <v>79</v>
      </c>
      <c r="B313" s="65">
        <v>44171</v>
      </c>
      <c r="C313" s="40">
        <v>43107</v>
      </c>
      <c r="D313" s="40">
        <v>39539</v>
      </c>
      <c r="E313" s="40">
        <v>31101</v>
      </c>
      <c r="F313" s="40">
        <v>31943</v>
      </c>
      <c r="G313" s="40">
        <v>44590</v>
      </c>
      <c r="H313" s="40">
        <v>67506</v>
      </c>
      <c r="I313" s="40">
        <v>87866</v>
      </c>
      <c r="J313" s="40">
        <v>94425</v>
      </c>
      <c r="K313" s="40">
        <v>58880</v>
      </c>
      <c r="L313" s="40">
        <v>50560</v>
      </c>
      <c r="M313" s="40">
        <v>64139</v>
      </c>
      <c r="N313" s="40">
        <v>85505</v>
      </c>
      <c r="O313" s="40">
        <v>93083</v>
      </c>
      <c r="P313" s="40">
        <v>95192</v>
      </c>
      <c r="Q313" s="40">
        <v>90326</v>
      </c>
      <c r="R313" s="67">
        <v>93749</v>
      </c>
    </row>
    <row r="314" spans="1:28" s="361" customFormat="1" ht="14.25" thickBot="1">
      <c r="A314" s="101" t="s">
        <v>129</v>
      </c>
      <c r="B314" s="429">
        <v>8161</v>
      </c>
      <c r="C314" s="430">
        <v>8937</v>
      </c>
      <c r="D314" s="430">
        <v>8582</v>
      </c>
      <c r="E314" s="430">
        <v>6403</v>
      </c>
      <c r="F314" s="430">
        <v>7919</v>
      </c>
      <c r="G314" s="430">
        <v>8181</v>
      </c>
      <c r="H314" s="430">
        <v>11134</v>
      </c>
      <c r="I314" s="430">
        <v>14201</v>
      </c>
      <c r="J314" s="430">
        <v>15362</v>
      </c>
      <c r="K314" s="430">
        <v>10341</v>
      </c>
      <c r="L314" s="430">
        <v>8770</v>
      </c>
      <c r="M314" s="430">
        <v>8685</v>
      </c>
      <c r="N314" s="430">
        <v>10557</v>
      </c>
      <c r="O314" s="430">
        <v>11019</v>
      </c>
      <c r="P314" s="430">
        <v>10491</v>
      </c>
      <c r="Q314" s="430">
        <v>8960</v>
      </c>
      <c r="R314" s="431">
        <v>9204</v>
      </c>
    </row>
    <row r="315" spans="1:28" s="366" customFormat="1" ht="13.5">
      <c r="A315" s="223" t="s">
        <v>155</v>
      </c>
      <c r="B315" s="49"/>
      <c r="C315" s="49"/>
      <c r="D315" s="49"/>
      <c r="E315" s="49"/>
      <c r="F315" s="49"/>
      <c r="G315" s="49"/>
      <c r="H315" s="49"/>
      <c r="I315" s="49"/>
      <c r="J315" s="49"/>
      <c r="K315" s="49"/>
      <c r="L315" s="18"/>
      <c r="M315" s="18"/>
      <c r="N315" s="227"/>
      <c r="O315" s="227"/>
      <c r="P315"/>
      <c r="Q315"/>
    </row>
    <row r="316" spans="1:28" s="366" customFormat="1" ht="13.5">
      <c r="A316" s="223" t="s">
        <v>181</v>
      </c>
      <c r="B316" s="49"/>
      <c r="C316" s="49"/>
      <c r="D316" s="49"/>
      <c r="E316" s="49"/>
      <c r="F316" s="49"/>
      <c r="G316" s="49"/>
      <c r="H316" s="214"/>
      <c r="I316" s="18"/>
      <c r="J316" s="18"/>
      <c r="K316" s="18"/>
      <c r="L316" s="18"/>
      <c r="M316" s="18"/>
      <c r="N316" s="18"/>
      <c r="O316" s="18"/>
      <c r="P316"/>
      <c r="Q316"/>
    </row>
    <row r="317" spans="1:28" s="366" customFormat="1" ht="13.5">
      <c r="A317" s="223" t="s">
        <v>182</v>
      </c>
      <c r="B317" s="49"/>
      <c r="C317" s="49"/>
      <c r="D317" s="49"/>
      <c r="E317" s="49"/>
      <c r="F317" s="49"/>
      <c r="G317" s="49"/>
      <c r="H317" s="214"/>
      <c r="I317" s="18"/>
      <c r="J317" s="18"/>
      <c r="K317" s="18"/>
      <c r="L317" s="18"/>
      <c r="M317" s="18"/>
      <c r="N317" s="18"/>
      <c r="O317" s="18"/>
      <c r="P317"/>
      <c r="Q317"/>
    </row>
    <row r="318" spans="1:28" s="366" customFormat="1" ht="13.5" customHeight="1">
      <c r="A318" s="5" t="s">
        <v>156</v>
      </c>
      <c r="B318" s="49"/>
      <c r="C318" s="49"/>
      <c r="D318" s="49"/>
      <c r="E318" s="49"/>
      <c r="F318" s="49"/>
      <c r="G318" s="49"/>
      <c r="H318" s="214"/>
      <c r="I318" s="18"/>
      <c r="J318" s="18"/>
      <c r="K318" s="18"/>
      <c r="L318" s="18"/>
      <c r="M318" s="18"/>
      <c r="N318" s="18"/>
      <c r="O318" s="18"/>
      <c r="P318"/>
      <c r="Q318"/>
    </row>
    <row r="319" spans="1:28" s="366" customFormat="1" ht="13.5" customHeight="1">
      <c r="A319" s="172"/>
      <c r="B319" s="379"/>
      <c r="C319" s="379"/>
      <c r="D319" s="379"/>
      <c r="E319" s="379"/>
      <c r="F319" s="379"/>
      <c r="G319" s="379"/>
      <c r="H319" s="379"/>
      <c r="I319" s="379"/>
      <c r="J319" s="379"/>
      <c r="K319" s="379"/>
      <c r="L319" s="379"/>
      <c r="M319" s="379"/>
      <c r="N319" s="379"/>
      <c r="O319" s="379"/>
      <c r="P319" s="379"/>
    </row>
    <row r="320" spans="1:28" ht="13.5" customHeight="1" thickBot="1">
      <c r="A320" s="34"/>
      <c r="B320" s="34"/>
      <c r="C320" s="34"/>
      <c r="D320" s="34"/>
      <c r="E320" s="34"/>
      <c r="F320" s="34"/>
      <c r="G320" s="34"/>
      <c r="H320" s="34"/>
      <c r="I320" s="34"/>
      <c r="J320" s="34"/>
      <c r="K320" s="34"/>
      <c r="L320" s="34"/>
      <c r="M320" s="34"/>
      <c r="N320" s="34"/>
      <c r="O320" s="34"/>
      <c r="P320" s="34"/>
      <c r="Q320" s="34"/>
      <c r="R320" s="34"/>
      <c r="S320" s="34"/>
      <c r="T320" s="34"/>
      <c r="U320" s="185"/>
      <c r="V320" s="185"/>
      <c r="W320" s="185"/>
      <c r="X320" s="185"/>
      <c r="Y320" s="185"/>
      <c r="Z320" s="185"/>
      <c r="AA320" s="185"/>
      <c r="AB320" s="185"/>
    </row>
    <row r="321" spans="1:174" ht="13.5" customHeight="1">
      <c r="A321" s="32"/>
      <c r="B321" s="32"/>
      <c r="C321" s="32"/>
      <c r="D321" s="32"/>
      <c r="E321" s="32"/>
      <c r="F321" s="32"/>
      <c r="G321" s="32"/>
      <c r="H321" s="32"/>
      <c r="I321" s="32"/>
      <c r="J321" s="32"/>
      <c r="K321" s="32"/>
      <c r="L321" s="32"/>
      <c r="M321" s="32"/>
      <c r="N321" s="32"/>
      <c r="O321" s="32"/>
      <c r="P321" s="32"/>
      <c r="Q321" s="32"/>
      <c r="R321" s="32"/>
      <c r="S321" s="32"/>
      <c r="T321" s="32"/>
    </row>
    <row r="322" spans="1:174" s="1" customFormat="1" ht="13.5">
      <c r="A322" s="22" t="s">
        <v>178</v>
      </c>
      <c r="B322" s="7" t="s">
        <v>257</v>
      </c>
      <c r="C322" s="14"/>
      <c r="D322" s="14"/>
      <c r="E322" s="14"/>
      <c r="F322" s="14"/>
      <c r="G322" s="14"/>
      <c r="H322" s="18"/>
      <c r="I322" s="18"/>
      <c r="J322" s="18"/>
      <c r="K322" s="18"/>
      <c r="L322" s="18"/>
      <c r="M322" s="18"/>
      <c r="N322" s="18"/>
      <c r="O322" s="18"/>
      <c r="P322" s="225"/>
      <c r="Q322" s="225"/>
      <c r="W322" s="8"/>
      <c r="X322" s="8"/>
      <c r="Y322" s="225"/>
      <c r="Z322" s="225"/>
      <c r="AA322" s="225"/>
      <c r="AB322" s="226"/>
      <c r="AC322" s="225"/>
      <c r="AD322" s="32"/>
      <c r="AE322" s="32"/>
      <c r="AF322" s="32"/>
      <c r="AG322" s="32"/>
      <c r="AH322" s="32"/>
      <c r="AI322" s="32"/>
      <c r="AJ322" s="32"/>
      <c r="AK322" s="216"/>
      <c r="AL322" s="216"/>
      <c r="BZ322" s="215"/>
      <c r="CA322" s="215"/>
      <c r="CB322" s="215"/>
      <c r="CC322" s="215"/>
      <c r="CD322" s="215"/>
      <c r="CE322" s="215"/>
      <c r="CF322" s="215"/>
      <c r="CG322" s="215"/>
      <c r="CH322" s="215"/>
      <c r="CI322" s="215"/>
      <c r="CJ322" s="215"/>
      <c r="CK322" s="215"/>
      <c r="CL322" s="215"/>
      <c r="CM322" s="8"/>
      <c r="CN322" s="8"/>
      <c r="CO322" s="8"/>
      <c r="CP322" s="8"/>
      <c r="DF322" s="8"/>
      <c r="DG322" s="8"/>
      <c r="DH322" s="8"/>
      <c r="DI322" s="8"/>
      <c r="DJ322" s="8"/>
      <c r="DK322" s="8"/>
      <c r="DL322" s="8"/>
      <c r="EC322" s="14"/>
      <c r="ED322" s="14"/>
      <c r="EE322" s="14"/>
      <c r="EF322" s="14"/>
      <c r="EG322" s="14"/>
      <c r="EH322" s="14"/>
      <c r="EJ322" s="29"/>
      <c r="EK322" s="29"/>
      <c r="EL322" s="29"/>
      <c r="EM322" s="29"/>
      <c r="EN322" s="29"/>
      <c r="EO322" s="29"/>
      <c r="EP322" s="29"/>
    </row>
    <row r="323" spans="1:174" s="1" customFormat="1" ht="14.25" thickBot="1">
      <c r="A323" s="18"/>
      <c r="B323" s="18"/>
      <c r="C323" s="18"/>
      <c r="D323" s="18"/>
      <c r="E323" s="18"/>
      <c r="F323" s="18"/>
      <c r="G323" s="18"/>
      <c r="H323" s="18"/>
      <c r="I323" s="18"/>
      <c r="J323" s="18"/>
      <c r="K323" s="18"/>
      <c r="L323" s="18"/>
      <c r="M323" s="18"/>
      <c r="N323" s="18"/>
      <c r="O323" s="18"/>
      <c r="P323" s="22"/>
      <c r="Q323" s="22"/>
      <c r="W323" s="8"/>
      <c r="X323" s="8"/>
      <c r="Y323" s="225"/>
      <c r="Z323" s="32"/>
      <c r="AA323" s="32"/>
      <c r="AB323" s="32"/>
      <c r="AC323" s="32"/>
      <c r="AD323" s="32"/>
      <c r="AE323" s="32"/>
      <c r="AF323" s="32"/>
      <c r="AG323" s="32"/>
      <c r="AH323" s="32"/>
      <c r="AI323" s="32"/>
      <c r="AJ323" s="32"/>
      <c r="AK323" s="216"/>
      <c r="AL323" s="216"/>
      <c r="AM323" s="216"/>
      <c r="AN323" s="216"/>
      <c r="AO323" s="216"/>
      <c r="AP323" s="216"/>
      <c r="AQ323" s="216"/>
      <c r="AR323" s="216"/>
      <c r="AS323" s="216"/>
      <c r="AT323" s="216"/>
      <c r="AU323" s="216"/>
      <c r="AV323" s="216"/>
      <c r="AW323" s="216"/>
      <c r="AX323" s="216"/>
      <c r="AY323" s="216"/>
      <c r="AZ323" s="216"/>
      <c r="BA323" s="216"/>
      <c r="BB323" s="216"/>
      <c r="BC323" s="216"/>
      <c r="BD323" s="216"/>
      <c r="BE323" s="216"/>
      <c r="BF323" s="216"/>
      <c r="BG323" s="216"/>
      <c r="BH323" s="216"/>
      <c r="BI323" s="216"/>
      <c r="BJ323" s="216"/>
      <c r="BK323" s="216"/>
      <c r="BL323" s="216"/>
      <c r="BM323" s="216"/>
      <c r="BN323" s="216"/>
      <c r="BO323" s="216"/>
      <c r="BP323" s="216"/>
      <c r="BQ323" s="216"/>
      <c r="BZ323" s="215"/>
      <c r="CA323" s="215"/>
      <c r="CB323" s="215"/>
      <c r="CC323" s="215"/>
      <c r="CD323" s="215"/>
      <c r="CE323" s="215"/>
      <c r="CF323" s="215"/>
      <c r="CG323" s="215"/>
      <c r="CH323" s="215"/>
      <c r="CI323" s="215"/>
      <c r="CJ323" s="215"/>
      <c r="CK323" s="215"/>
      <c r="CL323" s="215"/>
      <c r="CM323" s="8"/>
      <c r="CN323" s="8"/>
      <c r="CO323" s="8"/>
      <c r="CP323" s="8"/>
      <c r="DF323" s="8"/>
      <c r="DG323" s="8"/>
      <c r="DH323" s="8"/>
      <c r="DI323" s="8"/>
      <c r="DJ323" s="8"/>
      <c r="DK323" s="8"/>
      <c r="DL323" s="8"/>
      <c r="EC323" s="14"/>
      <c r="ED323" s="14"/>
      <c r="EE323" s="14"/>
      <c r="EF323" s="14"/>
      <c r="EG323" s="14"/>
      <c r="EH323" s="14"/>
      <c r="EJ323" s="29"/>
      <c r="EK323" s="29"/>
      <c r="EL323" s="29"/>
      <c r="EM323" s="29"/>
      <c r="EN323" s="29"/>
      <c r="EO323" s="29"/>
      <c r="EP323" s="29"/>
    </row>
    <row r="324" spans="1:174" s="1" customFormat="1" ht="13.5" customHeight="1" thickBot="1">
      <c r="A324" s="32"/>
      <c r="B324" s="318">
        <v>2001</v>
      </c>
      <c r="C324" s="319">
        <v>2002</v>
      </c>
      <c r="D324" s="319">
        <v>2003</v>
      </c>
      <c r="E324" s="319">
        <v>2004</v>
      </c>
      <c r="F324" s="319">
        <v>2005</v>
      </c>
      <c r="G324" s="319">
        <v>2006</v>
      </c>
      <c r="H324" s="319">
        <v>2007</v>
      </c>
      <c r="I324" s="319">
        <v>2008</v>
      </c>
      <c r="J324" s="319">
        <v>2009</v>
      </c>
      <c r="K324" s="319">
        <v>2010</v>
      </c>
      <c r="L324" s="319">
        <v>2011</v>
      </c>
      <c r="M324" s="319">
        <v>2012</v>
      </c>
      <c r="N324" s="319">
        <v>2013</v>
      </c>
      <c r="O324" s="319">
        <v>2014</v>
      </c>
      <c r="P324" s="319">
        <v>2015</v>
      </c>
      <c r="Q324" s="320">
        <v>2016</v>
      </c>
      <c r="R324" s="324"/>
      <c r="X324" s="8"/>
      <c r="Y324" s="225"/>
      <c r="Z324" s="32"/>
      <c r="AA324" s="32"/>
      <c r="AB324" s="32"/>
      <c r="AC324" s="32"/>
      <c r="AD324" s="32"/>
      <c r="AE324" s="32"/>
      <c r="AF324" s="32"/>
      <c r="AG324" s="32"/>
      <c r="AH324" s="32"/>
      <c r="AI324" s="32"/>
      <c r="AJ324" s="32"/>
      <c r="AK324" s="216"/>
      <c r="AL324" s="216"/>
      <c r="BZ324" s="215"/>
      <c r="CA324" s="215"/>
      <c r="CB324" s="215"/>
      <c r="CC324" s="215"/>
      <c r="CD324" s="215"/>
      <c r="CE324" s="215"/>
      <c r="CF324" s="215"/>
      <c r="CG324" s="215"/>
      <c r="CH324" s="215"/>
      <c r="CI324" s="215"/>
      <c r="CJ324" s="215"/>
      <c r="CK324" s="215"/>
      <c r="CL324" s="215"/>
      <c r="CM324" s="8"/>
      <c r="CN324" s="8"/>
      <c r="CO324" s="8"/>
      <c r="CP324" s="8"/>
      <c r="DF324" s="8"/>
      <c r="DG324" s="8"/>
      <c r="DH324" s="8"/>
      <c r="DI324" s="8"/>
      <c r="DJ324" s="8"/>
      <c r="DK324" s="8"/>
      <c r="DL324" s="8"/>
      <c r="EC324" s="14"/>
      <c r="ED324" s="14"/>
      <c r="EE324" s="14"/>
      <c r="EF324" s="14"/>
      <c r="EG324" s="14"/>
      <c r="EH324" s="14"/>
      <c r="EJ324" s="29"/>
      <c r="EK324" s="29"/>
      <c r="EL324" s="29"/>
      <c r="EM324" s="29"/>
      <c r="EN324" s="29"/>
      <c r="EO324" s="29"/>
      <c r="EP324" s="29"/>
    </row>
    <row r="325" spans="1:174" s="218" customFormat="1" ht="13.5" customHeight="1">
      <c r="A325" s="314" t="s">
        <v>258</v>
      </c>
      <c r="B325" s="325">
        <v>29668</v>
      </c>
      <c r="C325" s="326">
        <v>35045</v>
      </c>
      <c r="D325" s="326">
        <v>53800</v>
      </c>
      <c r="E325" s="326">
        <v>61705</v>
      </c>
      <c r="F325" s="326">
        <v>69214</v>
      </c>
      <c r="G325" s="326">
        <v>66761</v>
      </c>
      <c r="H325" s="326">
        <v>62238</v>
      </c>
      <c r="I325" s="326">
        <v>34543</v>
      </c>
      <c r="J325" s="326">
        <v>67711</v>
      </c>
      <c r="K325" s="326">
        <v>72631</v>
      </c>
      <c r="L325" s="326">
        <v>59846</v>
      </c>
      <c r="M325" s="326">
        <v>37868</v>
      </c>
      <c r="N325" s="326">
        <v>35913</v>
      </c>
      <c r="O325" s="326">
        <v>38144</v>
      </c>
      <c r="P325" s="326">
        <v>54345</v>
      </c>
      <c r="Q325" s="432">
        <v>65720</v>
      </c>
      <c r="R325" s="201"/>
      <c r="AB325" s="356"/>
      <c r="AC325" s="356"/>
      <c r="AD325" s="356"/>
      <c r="AE325" s="356"/>
      <c r="AF325" s="356"/>
      <c r="AG325" s="356"/>
      <c r="AH325" s="356"/>
      <c r="AI325" s="356"/>
      <c r="AJ325" s="356"/>
      <c r="AK325" s="356"/>
      <c r="AL325" s="356"/>
      <c r="BZ325" s="215"/>
      <c r="CA325" s="215"/>
      <c r="CB325" s="215"/>
      <c r="CC325" s="215"/>
      <c r="CD325" s="215"/>
      <c r="CE325" s="215"/>
      <c r="CF325" s="215"/>
      <c r="CG325" s="215"/>
      <c r="CH325" s="215"/>
      <c r="CI325" s="215"/>
      <c r="CJ325" s="215"/>
      <c r="CK325" s="215"/>
      <c r="CL325" s="215"/>
      <c r="CM325" s="317"/>
      <c r="CN325" s="317"/>
      <c r="CO325" s="317"/>
      <c r="CP325" s="317"/>
      <c r="DF325" s="317"/>
      <c r="DG325" s="317"/>
      <c r="DH325" s="317"/>
      <c r="DI325" s="317"/>
      <c r="DJ325" s="317"/>
      <c r="DK325" s="317"/>
      <c r="DL325" s="317"/>
      <c r="EC325" s="14"/>
      <c r="ED325" s="14"/>
      <c r="EE325" s="14"/>
      <c r="EF325" s="14"/>
      <c r="EG325" s="14"/>
      <c r="EH325" s="14"/>
      <c r="EJ325" s="29"/>
      <c r="EK325" s="29"/>
      <c r="EL325" s="29"/>
      <c r="EM325" s="29"/>
      <c r="EN325" s="29"/>
      <c r="EO325" s="29"/>
      <c r="EP325" s="29"/>
    </row>
    <row r="326" spans="1:174" s="218" customFormat="1" ht="13.5" customHeight="1">
      <c r="A326" s="308" t="s">
        <v>259</v>
      </c>
      <c r="B326" s="321">
        <v>50527</v>
      </c>
      <c r="C326" s="12">
        <v>50443</v>
      </c>
      <c r="D326" s="12">
        <v>49662</v>
      </c>
      <c r="E326" s="12">
        <v>50486</v>
      </c>
      <c r="F326" s="12">
        <v>52209</v>
      </c>
      <c r="G326" s="12">
        <v>59203</v>
      </c>
      <c r="H326" s="12">
        <v>64779</v>
      </c>
      <c r="I326" s="12">
        <v>43964</v>
      </c>
      <c r="J326" s="12">
        <v>38091</v>
      </c>
      <c r="K326" s="12">
        <v>42654</v>
      </c>
      <c r="L326" s="12">
        <v>45154</v>
      </c>
      <c r="M326" s="12">
        <v>51036</v>
      </c>
      <c r="N326" s="12">
        <v>53400</v>
      </c>
      <c r="O326" s="12">
        <v>48806</v>
      </c>
      <c r="P326" s="12">
        <v>48193</v>
      </c>
      <c r="Q326" s="322">
        <v>58280</v>
      </c>
      <c r="R326" s="201"/>
      <c r="AB326" s="356"/>
      <c r="AC326" s="356"/>
      <c r="AD326" s="356"/>
      <c r="AE326" s="356"/>
      <c r="AF326" s="356"/>
      <c r="AG326" s="356"/>
      <c r="AH326" s="356"/>
      <c r="AI326" s="356"/>
      <c r="AJ326" s="356"/>
      <c r="AK326" s="356"/>
      <c r="AL326" s="356"/>
      <c r="BZ326" s="215"/>
      <c r="CA326" s="215"/>
      <c r="CB326" s="215"/>
      <c r="CC326" s="215"/>
      <c r="CD326" s="215"/>
      <c r="CE326" s="215"/>
      <c r="CF326" s="215"/>
      <c r="CG326" s="215"/>
      <c r="CH326" s="215"/>
      <c r="CI326" s="215"/>
      <c r="CJ326" s="215"/>
      <c r="CK326" s="215"/>
      <c r="CL326" s="215"/>
      <c r="CM326" s="317"/>
      <c r="CN326" s="317"/>
      <c r="CO326" s="317"/>
      <c r="CP326" s="317"/>
      <c r="DF326" s="317"/>
      <c r="DG326" s="317"/>
      <c r="DH326" s="317"/>
      <c r="DI326" s="317"/>
      <c r="DJ326" s="317"/>
      <c r="DK326" s="317"/>
      <c r="DL326" s="317"/>
      <c r="EC326" s="14"/>
      <c r="ED326" s="14"/>
      <c r="EE326" s="14"/>
      <c r="EF326" s="14"/>
      <c r="EG326" s="14"/>
      <c r="EH326" s="14"/>
      <c r="EJ326" s="29"/>
      <c r="EK326" s="29"/>
      <c r="EL326" s="29"/>
      <c r="EM326" s="29"/>
      <c r="EN326" s="29"/>
      <c r="EO326" s="29"/>
      <c r="EP326" s="29"/>
    </row>
    <row r="327" spans="1:174" s="433" customFormat="1" ht="13.5" customHeight="1" thickBot="1">
      <c r="A327" s="315" t="s">
        <v>3</v>
      </c>
      <c r="B327" s="327">
        <v>80195</v>
      </c>
      <c r="C327" s="328">
        <v>85488</v>
      </c>
      <c r="D327" s="328">
        <v>103462</v>
      </c>
      <c r="E327" s="328">
        <v>112191</v>
      </c>
      <c r="F327" s="328">
        <v>121423</v>
      </c>
      <c r="G327" s="328">
        <v>125964</v>
      </c>
      <c r="H327" s="328">
        <v>127017</v>
      </c>
      <c r="I327" s="328">
        <v>78507</v>
      </c>
      <c r="J327" s="328">
        <v>105802</v>
      </c>
      <c r="K327" s="328">
        <v>115285</v>
      </c>
      <c r="L327" s="328">
        <v>105000</v>
      </c>
      <c r="M327" s="328">
        <v>88904</v>
      </c>
      <c r="N327" s="328">
        <v>89313</v>
      </c>
      <c r="O327" s="328">
        <v>86950</v>
      </c>
      <c r="P327" s="328">
        <v>102538</v>
      </c>
      <c r="Q327" s="329">
        <v>124000</v>
      </c>
      <c r="R327" s="309"/>
      <c r="AB327" s="434"/>
      <c r="AC327" s="434"/>
      <c r="AD327" s="434"/>
      <c r="AE327" s="434"/>
      <c r="AF327" s="434"/>
      <c r="AG327" s="434"/>
      <c r="AH327" s="434"/>
      <c r="AI327" s="434"/>
      <c r="AJ327" s="434"/>
      <c r="AK327" s="434"/>
      <c r="AL327" s="434"/>
      <c r="BZ327" s="311"/>
      <c r="CA327" s="311"/>
      <c r="CB327" s="311"/>
      <c r="CC327" s="311"/>
      <c r="CD327" s="311"/>
      <c r="CE327" s="311"/>
      <c r="CF327" s="311"/>
      <c r="CG327" s="311"/>
      <c r="CH327" s="311"/>
      <c r="CI327" s="311"/>
      <c r="CJ327" s="311"/>
      <c r="CK327" s="311"/>
      <c r="CL327" s="311"/>
      <c r="CM327" s="435"/>
      <c r="CN327" s="435"/>
      <c r="CO327" s="435"/>
      <c r="CP327" s="435"/>
      <c r="DF327" s="435"/>
      <c r="DG327" s="435"/>
      <c r="DH327" s="435"/>
      <c r="DI327" s="435"/>
      <c r="DJ327" s="435"/>
      <c r="DK327" s="435"/>
      <c r="DL327" s="435"/>
      <c r="EC327" s="28"/>
      <c r="ED327" s="28"/>
      <c r="EE327" s="28"/>
      <c r="EF327" s="28"/>
      <c r="EG327" s="28"/>
      <c r="EH327" s="28"/>
      <c r="EJ327" s="436"/>
      <c r="EK327" s="436"/>
      <c r="EL327" s="436"/>
      <c r="EM327" s="436"/>
      <c r="EN327" s="436"/>
      <c r="EO327" s="436"/>
      <c r="EP327" s="436"/>
    </row>
    <row r="328" spans="1:174" s="1" customFormat="1" ht="13.5" customHeight="1">
      <c r="A328" s="223" t="s">
        <v>260</v>
      </c>
      <c r="B328" s="49"/>
      <c r="C328" s="49"/>
      <c r="D328" s="49"/>
      <c r="E328" s="49"/>
      <c r="F328" s="49"/>
      <c r="G328" s="49"/>
      <c r="H328" s="49"/>
      <c r="I328" s="49"/>
      <c r="J328" s="49"/>
      <c r="K328" s="49"/>
      <c r="L328" s="18"/>
      <c r="M328" s="18"/>
      <c r="N328" s="323"/>
      <c r="O328" s="323"/>
      <c r="P328" s="45"/>
      <c r="Q328" s="45"/>
      <c r="AB328" s="211"/>
      <c r="AC328" s="211"/>
      <c r="AD328" s="211"/>
      <c r="AE328" s="211"/>
      <c r="AF328" s="211"/>
      <c r="AG328" s="211"/>
      <c r="AH328" s="211"/>
      <c r="AI328" s="211"/>
      <c r="AJ328" s="211"/>
      <c r="AK328" s="211"/>
      <c r="AL328" s="211"/>
      <c r="AQ328" s="216"/>
      <c r="AR328" s="216"/>
      <c r="AS328" s="216"/>
      <c r="AT328" s="216"/>
      <c r="AU328" s="216"/>
      <c r="AV328" s="216"/>
      <c r="AW328" s="216"/>
      <c r="AX328" s="216"/>
      <c r="AY328" s="216"/>
      <c r="AZ328" s="216"/>
      <c r="BA328" s="216"/>
    </row>
    <row r="329" spans="1:174" s="1" customFormat="1" ht="13.5" customHeight="1">
      <c r="A329" s="223" t="s">
        <v>261</v>
      </c>
      <c r="B329" s="49"/>
      <c r="C329" s="49"/>
      <c r="D329" s="49"/>
      <c r="E329" s="49"/>
      <c r="F329" s="49"/>
      <c r="G329" s="49"/>
      <c r="H329" s="214"/>
      <c r="I329" s="18"/>
      <c r="J329" s="18"/>
      <c r="K329" s="18"/>
      <c r="L329" s="18"/>
      <c r="M329" s="18"/>
      <c r="N329" s="18"/>
      <c r="O329" s="18"/>
      <c r="P329" s="45"/>
      <c r="Q329" s="45"/>
      <c r="AB329" s="211"/>
      <c r="AC329" s="211"/>
      <c r="AD329" s="211"/>
      <c r="AE329" s="211"/>
      <c r="AF329" s="211"/>
      <c r="AG329" s="211"/>
      <c r="AH329" s="211"/>
      <c r="AI329" s="211"/>
      <c r="AJ329" s="211"/>
      <c r="AK329" s="211"/>
      <c r="AL329" s="211"/>
      <c r="AQ329" s="216"/>
      <c r="AR329" s="216"/>
      <c r="AS329" s="216"/>
      <c r="AT329" s="216"/>
      <c r="AU329" s="216"/>
      <c r="AV329" s="216"/>
      <c r="AW329" s="216"/>
      <c r="AX329" s="216"/>
      <c r="AY329" s="216"/>
      <c r="AZ329" s="216"/>
      <c r="BA329" s="216"/>
    </row>
    <row r="330" spans="1:174" s="211" customFormat="1" ht="13.5" customHeight="1">
      <c r="A330" s="5" t="s">
        <v>262</v>
      </c>
      <c r="B330" s="54"/>
      <c r="C330" s="54"/>
      <c r="D330" s="54"/>
      <c r="E330" s="54"/>
      <c r="F330" s="20"/>
      <c r="G330" s="20"/>
      <c r="H330" s="20"/>
      <c r="I330" s="20"/>
      <c r="J330" s="20"/>
      <c r="K330" s="20"/>
      <c r="L330" s="20"/>
      <c r="M330" s="20"/>
      <c r="N330" s="20"/>
      <c r="O330" s="20"/>
      <c r="P330" s="20"/>
      <c r="Q330" s="18"/>
      <c r="AB330" s="1"/>
      <c r="AC330" s="1"/>
      <c r="AD330" s="1"/>
      <c r="AE330" s="1"/>
      <c r="AF330" s="1"/>
      <c r="AG330" s="1"/>
      <c r="AH330" s="1"/>
      <c r="AI330" s="1"/>
      <c r="AJ330" s="1"/>
      <c r="AK330" s="1"/>
      <c r="AL330" s="1"/>
      <c r="AQ330" s="216"/>
      <c r="AR330" s="216"/>
      <c r="AS330" s="216"/>
      <c r="AT330" s="216"/>
      <c r="AU330" s="216"/>
      <c r="AV330" s="216"/>
      <c r="AW330" s="216"/>
      <c r="AX330" s="216"/>
      <c r="AY330" s="216"/>
      <c r="AZ330" s="216"/>
      <c r="BA330" s="216"/>
      <c r="FK330" s="1"/>
      <c r="FL330" s="1"/>
      <c r="FM330" s="1"/>
      <c r="FN330" s="1"/>
      <c r="FO330" s="1"/>
      <c r="FP330" s="1"/>
      <c r="FQ330" s="1"/>
      <c r="FR330" s="1"/>
    </row>
    <row r="331" spans="1:174" s="211" customFormat="1" ht="13.5" customHeight="1">
      <c r="A331" s="5"/>
      <c r="B331" s="57"/>
      <c r="C331" s="57"/>
      <c r="D331" s="57"/>
      <c r="E331" s="57"/>
      <c r="F331" s="57"/>
      <c r="G331" s="57"/>
      <c r="H331" s="57"/>
      <c r="I331" s="57"/>
      <c r="J331" s="57"/>
      <c r="K331" s="57"/>
      <c r="L331" s="57"/>
      <c r="M331" s="57"/>
      <c r="N331" s="57"/>
      <c r="O331" s="57"/>
      <c r="P331" s="57"/>
      <c r="Q331" s="57"/>
      <c r="R331" s="57"/>
      <c r="S331" s="57"/>
      <c r="CK331" s="228"/>
      <c r="EC331" s="1"/>
      <c r="ED331" s="1"/>
      <c r="EE331" s="1"/>
      <c r="EF331" s="1"/>
      <c r="EG331" s="1"/>
      <c r="EH331" s="1"/>
      <c r="EI331" s="1"/>
      <c r="FK331" s="1"/>
      <c r="FL331" s="1"/>
      <c r="FM331" s="1"/>
      <c r="FN331" s="1"/>
      <c r="FO331" s="1"/>
      <c r="FP331" s="1"/>
      <c r="FQ331" s="1"/>
      <c r="FR331" s="1"/>
    </row>
    <row r="332" spans="1:174" s="211" customFormat="1" ht="13.5" customHeight="1">
      <c r="A332" s="5"/>
      <c r="B332" s="57"/>
      <c r="C332" s="57"/>
      <c r="D332" s="57"/>
      <c r="E332" s="57"/>
      <c r="F332" s="57"/>
      <c r="G332" s="57"/>
      <c r="H332" s="57"/>
      <c r="I332" s="57"/>
      <c r="J332" s="57"/>
      <c r="K332" s="57"/>
      <c r="L332" s="57"/>
      <c r="M332" s="57"/>
      <c r="N332" s="57"/>
      <c r="O332" s="57"/>
      <c r="P332" s="57"/>
      <c r="Q332" s="57"/>
      <c r="R332" s="57"/>
      <c r="S332" s="57"/>
      <c r="CK332" s="228"/>
      <c r="EC332" s="1"/>
      <c r="ED332" s="1"/>
      <c r="EE332" s="1"/>
      <c r="EF332" s="1"/>
      <c r="EG332" s="1"/>
      <c r="EH332" s="1"/>
      <c r="EI332" s="1"/>
      <c r="FK332" s="1"/>
      <c r="FL332" s="1"/>
      <c r="FM332" s="1"/>
      <c r="FN332" s="1"/>
      <c r="FO332" s="1"/>
      <c r="FP332" s="1"/>
      <c r="FQ332" s="1"/>
      <c r="FR332" s="1"/>
    </row>
    <row r="333" spans="1:174" s="211" customFormat="1" ht="13.5" customHeight="1">
      <c r="A333" s="5"/>
      <c r="B333" s="57"/>
      <c r="C333" s="57"/>
      <c r="D333" s="57"/>
      <c r="E333" s="57"/>
      <c r="F333" s="57"/>
      <c r="G333" s="57"/>
      <c r="H333" s="57"/>
      <c r="I333" s="57"/>
      <c r="J333" s="57"/>
      <c r="K333" s="57"/>
      <c r="L333" s="57"/>
      <c r="M333" s="57"/>
      <c r="N333" s="57"/>
      <c r="O333" s="57"/>
      <c r="P333" s="57"/>
      <c r="Q333" s="57"/>
      <c r="R333" s="57"/>
      <c r="S333" s="57"/>
      <c r="CK333" s="228"/>
      <c r="EC333" s="1"/>
      <c r="ED333" s="1"/>
      <c r="EE333" s="1"/>
      <c r="EF333" s="1"/>
      <c r="EG333" s="1"/>
      <c r="EH333" s="1"/>
      <c r="EI333" s="1"/>
      <c r="FK333" s="1"/>
      <c r="FL333" s="1"/>
      <c r="FM333" s="1"/>
      <c r="FN333" s="1"/>
      <c r="FO333" s="1"/>
      <c r="FP333" s="1"/>
      <c r="FQ333" s="1"/>
      <c r="FR333" s="1"/>
    </row>
    <row r="334" spans="1:174" s="211" customFormat="1" ht="13.5" customHeight="1">
      <c r="A334" s="22" t="s">
        <v>263</v>
      </c>
      <c r="B334" s="7" t="s">
        <v>264</v>
      </c>
      <c r="C334" s="57"/>
      <c r="D334" s="57"/>
      <c r="E334" s="57"/>
      <c r="F334" s="57"/>
      <c r="G334" s="57"/>
      <c r="H334" s="57"/>
      <c r="I334" s="57"/>
      <c r="J334" s="57"/>
      <c r="K334" s="57"/>
      <c r="L334" s="57"/>
      <c r="M334" s="57"/>
      <c r="N334" s="57"/>
      <c r="O334" s="57"/>
      <c r="P334" s="57"/>
      <c r="Q334" s="57"/>
      <c r="R334" s="57"/>
      <c r="S334" s="57"/>
      <c r="CK334" s="228"/>
      <c r="EC334" s="1"/>
      <c r="ED334" s="1"/>
      <c r="EE334" s="1"/>
      <c r="EF334" s="1"/>
      <c r="EG334" s="1"/>
      <c r="EH334" s="1"/>
      <c r="EI334" s="1"/>
      <c r="FK334" s="1"/>
      <c r="FL334" s="1"/>
      <c r="FM334" s="1"/>
      <c r="FN334" s="1"/>
      <c r="FO334" s="1"/>
      <c r="FP334" s="1"/>
      <c r="FQ334" s="1"/>
      <c r="FR334" s="1"/>
    </row>
    <row r="335" spans="1:174" s="211" customFormat="1" ht="13.5" customHeight="1" thickBot="1">
      <c r="A335" s="18"/>
      <c r="B335" s="18"/>
      <c r="C335" s="57"/>
      <c r="D335" s="57"/>
      <c r="E335" s="57"/>
      <c r="F335" s="57"/>
      <c r="G335" s="57"/>
      <c r="H335" s="57"/>
      <c r="I335" s="57"/>
      <c r="J335" s="57"/>
      <c r="K335" s="57"/>
      <c r="L335" s="57"/>
      <c r="M335" s="57"/>
      <c r="N335" s="57"/>
      <c r="O335" s="57"/>
      <c r="P335" s="57"/>
      <c r="Q335" s="57"/>
      <c r="R335" s="57"/>
      <c r="S335" s="57"/>
      <c r="CK335" s="228"/>
      <c r="EC335" s="1"/>
      <c r="ED335" s="1"/>
      <c r="EE335" s="1"/>
      <c r="EF335" s="1"/>
      <c r="EG335" s="1"/>
      <c r="EH335" s="1"/>
      <c r="EI335" s="1"/>
      <c r="FK335" s="1"/>
      <c r="FL335" s="1"/>
      <c r="FM335" s="1"/>
      <c r="FN335" s="1"/>
      <c r="FO335" s="1"/>
      <c r="FP335" s="1"/>
      <c r="FQ335" s="1"/>
      <c r="FR335" s="1"/>
    </row>
    <row r="336" spans="1:174" s="211" customFormat="1" ht="13.5" customHeight="1" thickBot="1">
      <c r="A336" s="32"/>
      <c r="B336" s="318">
        <v>2015</v>
      </c>
      <c r="C336" s="320">
        <v>2016</v>
      </c>
      <c r="D336" s="57"/>
      <c r="E336" s="57"/>
      <c r="F336" s="57"/>
      <c r="G336" s="57"/>
      <c r="H336" s="57"/>
      <c r="I336" s="57"/>
      <c r="J336" s="57"/>
      <c r="K336" s="57"/>
      <c r="L336" s="57"/>
      <c r="M336" s="57"/>
      <c r="N336" s="57"/>
      <c r="O336" s="57"/>
      <c r="P336" s="57"/>
      <c r="Q336" s="57"/>
      <c r="R336" s="57"/>
      <c r="S336" s="57"/>
      <c r="CK336" s="228"/>
      <c r="EC336" s="1"/>
      <c r="ED336" s="1"/>
      <c r="EE336" s="1"/>
      <c r="EF336" s="1"/>
      <c r="EG336" s="1"/>
      <c r="EH336" s="1"/>
      <c r="EI336" s="1"/>
      <c r="FK336" s="1"/>
      <c r="FL336" s="1"/>
      <c r="FM336" s="1"/>
      <c r="FN336" s="1"/>
      <c r="FO336" s="1"/>
      <c r="FP336" s="1"/>
      <c r="FQ336" s="1"/>
      <c r="FR336" s="1"/>
    </row>
    <row r="337" spans="1:174" s="211" customFormat="1" ht="13.5" customHeight="1">
      <c r="A337" s="314" t="s">
        <v>265</v>
      </c>
      <c r="B337" s="325">
        <v>93188</v>
      </c>
      <c r="C337" s="432">
        <v>116681</v>
      </c>
      <c r="D337" s="57"/>
      <c r="E337" s="57"/>
      <c r="F337" s="57"/>
      <c r="G337" s="57"/>
      <c r="H337" s="57"/>
      <c r="I337" s="57"/>
      <c r="J337" s="57"/>
      <c r="K337" s="57"/>
      <c r="L337" s="57"/>
      <c r="M337" s="57"/>
      <c r="N337" s="57"/>
      <c r="O337" s="57"/>
      <c r="P337" s="57"/>
      <c r="Q337" s="57"/>
      <c r="R337" s="57"/>
      <c r="S337" s="57"/>
      <c r="CK337" s="228"/>
      <c r="EC337" s="1"/>
      <c r="ED337" s="1"/>
      <c r="EE337" s="1"/>
      <c r="EF337" s="1"/>
      <c r="EG337" s="1"/>
      <c r="EH337" s="1"/>
      <c r="EI337" s="1"/>
      <c r="FK337" s="1"/>
      <c r="FL337" s="1"/>
      <c r="FM337" s="1"/>
      <c r="FN337" s="1"/>
      <c r="FO337" s="1"/>
      <c r="FP337" s="1"/>
      <c r="FQ337" s="1"/>
      <c r="FR337" s="1"/>
    </row>
    <row r="338" spans="1:174" s="211" customFormat="1" ht="13.5" customHeight="1">
      <c r="A338" s="308" t="s">
        <v>266</v>
      </c>
      <c r="B338" s="321">
        <v>49564</v>
      </c>
      <c r="C338" s="322">
        <v>61325</v>
      </c>
      <c r="D338" s="57"/>
      <c r="E338" s="57"/>
      <c r="F338" s="57"/>
      <c r="G338" s="57"/>
      <c r="H338" s="57"/>
      <c r="I338" s="57"/>
      <c r="J338" s="57"/>
      <c r="K338" s="57"/>
      <c r="L338" s="57"/>
      <c r="M338" s="57"/>
      <c r="N338" s="57"/>
      <c r="O338" s="57"/>
      <c r="P338" s="57"/>
      <c r="Q338" s="57"/>
      <c r="R338" s="57"/>
      <c r="S338" s="57"/>
      <c r="CK338" s="228"/>
      <c r="EC338" s="1"/>
      <c r="ED338" s="1"/>
      <c r="EE338" s="1"/>
      <c r="EF338" s="1"/>
      <c r="EG338" s="1"/>
      <c r="EH338" s="1"/>
      <c r="EI338" s="1"/>
      <c r="FK338" s="1"/>
      <c r="FL338" s="1"/>
      <c r="FM338" s="1"/>
      <c r="FN338" s="1"/>
      <c r="FO338" s="1"/>
      <c r="FP338" s="1"/>
      <c r="FQ338" s="1"/>
      <c r="FR338" s="1"/>
    </row>
    <row r="339" spans="1:174" s="211" customFormat="1" ht="13.5" customHeight="1">
      <c r="A339" s="308" t="s">
        <v>267</v>
      </c>
      <c r="B339" s="321">
        <v>43624</v>
      </c>
      <c r="C339" s="322">
        <v>55356</v>
      </c>
      <c r="D339" s="57"/>
      <c r="E339" s="57"/>
      <c r="F339" s="57"/>
      <c r="G339" s="57"/>
      <c r="H339" s="57"/>
      <c r="I339" s="57"/>
      <c r="J339" s="57"/>
      <c r="K339" s="57"/>
      <c r="L339" s="57"/>
      <c r="M339" s="57"/>
      <c r="N339" s="57"/>
      <c r="O339" s="57"/>
      <c r="P339" s="57"/>
      <c r="Q339" s="57"/>
      <c r="R339" s="57"/>
      <c r="S339" s="57"/>
      <c r="CK339" s="228"/>
      <c r="EC339" s="1"/>
      <c r="ED339" s="1"/>
      <c r="EE339" s="1"/>
      <c r="EF339" s="1"/>
      <c r="EG339" s="1"/>
      <c r="EH339" s="1"/>
      <c r="EI339" s="1"/>
      <c r="FK339" s="1"/>
      <c r="FL339" s="1"/>
      <c r="FM339" s="1"/>
      <c r="FN339" s="1"/>
      <c r="FO339" s="1"/>
      <c r="FP339" s="1"/>
      <c r="FQ339" s="1"/>
      <c r="FR339" s="1"/>
    </row>
    <row r="340" spans="1:174" s="211" customFormat="1" ht="13.5" customHeight="1">
      <c r="A340" s="308" t="s">
        <v>268</v>
      </c>
      <c r="B340" s="321">
        <v>25263</v>
      </c>
      <c r="C340" s="322">
        <v>26287</v>
      </c>
      <c r="D340" s="57"/>
      <c r="E340" s="57"/>
      <c r="F340" s="57"/>
      <c r="G340" s="57"/>
      <c r="H340" s="57"/>
      <c r="I340" s="57"/>
      <c r="J340" s="57"/>
      <c r="K340" s="57"/>
      <c r="L340" s="57"/>
      <c r="M340" s="57"/>
      <c r="N340" s="57"/>
      <c r="O340" s="57"/>
      <c r="P340" s="57"/>
      <c r="Q340" s="57"/>
      <c r="R340" s="57"/>
      <c r="S340" s="57"/>
      <c r="CK340" s="228"/>
      <c r="EC340" s="1"/>
      <c r="ED340" s="1"/>
      <c r="EE340" s="1"/>
      <c r="EF340" s="1"/>
      <c r="EG340" s="1"/>
      <c r="EH340" s="1"/>
      <c r="EI340" s="1"/>
      <c r="FK340" s="1"/>
      <c r="FL340" s="1"/>
      <c r="FM340" s="1"/>
      <c r="FN340" s="1"/>
      <c r="FO340" s="1"/>
      <c r="FP340" s="1"/>
      <c r="FQ340" s="1"/>
      <c r="FR340" s="1"/>
    </row>
    <row r="341" spans="1:174" s="211" customFormat="1" ht="13.5" customHeight="1">
      <c r="A341" s="308" t="s">
        <v>269</v>
      </c>
      <c r="B341" s="321">
        <v>4330</v>
      </c>
      <c r="C341" s="322">
        <v>5650</v>
      </c>
      <c r="D341" s="57"/>
      <c r="E341" s="57"/>
      <c r="F341" s="57"/>
      <c r="G341" s="57"/>
      <c r="H341" s="57"/>
      <c r="I341" s="57"/>
      <c r="J341" s="57"/>
      <c r="K341" s="57"/>
      <c r="L341" s="57"/>
      <c r="M341" s="57"/>
      <c r="N341" s="57"/>
      <c r="O341" s="57"/>
      <c r="P341" s="57"/>
      <c r="Q341" s="57"/>
      <c r="R341" s="57"/>
      <c r="S341" s="57"/>
      <c r="CK341" s="228"/>
      <c r="EC341" s="1"/>
      <c r="ED341" s="1"/>
      <c r="EE341" s="1"/>
      <c r="EF341" s="1"/>
      <c r="EG341" s="1"/>
      <c r="EH341" s="1"/>
      <c r="EI341" s="1"/>
      <c r="FK341" s="1"/>
      <c r="FL341" s="1"/>
      <c r="FM341" s="1"/>
      <c r="FN341" s="1"/>
      <c r="FO341" s="1"/>
      <c r="FP341" s="1"/>
      <c r="FQ341" s="1"/>
      <c r="FR341" s="1"/>
    </row>
    <row r="342" spans="1:174" s="211" customFormat="1" ht="13.5" customHeight="1" thickBot="1">
      <c r="A342" s="315" t="s">
        <v>3</v>
      </c>
      <c r="B342" s="327">
        <v>122781</v>
      </c>
      <c r="C342" s="329">
        <v>148618</v>
      </c>
      <c r="D342" s="57"/>
      <c r="E342" s="57"/>
      <c r="F342" s="57"/>
      <c r="G342" s="57"/>
      <c r="H342" s="57"/>
      <c r="I342" s="57"/>
      <c r="J342" s="57"/>
      <c r="K342" s="57"/>
      <c r="L342" s="57"/>
      <c r="M342" s="57"/>
      <c r="N342" s="57"/>
      <c r="O342" s="57"/>
      <c r="P342" s="57"/>
      <c r="Q342" s="57"/>
      <c r="R342" s="57"/>
      <c r="S342" s="57"/>
      <c r="CK342" s="228"/>
      <c r="EC342" s="1"/>
      <c r="ED342" s="1"/>
      <c r="EE342" s="1"/>
      <c r="EF342" s="1"/>
      <c r="EG342" s="1"/>
      <c r="EH342" s="1"/>
      <c r="EI342" s="1"/>
      <c r="FK342" s="1"/>
      <c r="FL342" s="1"/>
      <c r="FM342" s="1"/>
      <c r="FN342" s="1"/>
      <c r="FO342" s="1"/>
      <c r="FP342" s="1"/>
      <c r="FQ342" s="1"/>
      <c r="FR342" s="1"/>
    </row>
    <row r="343" spans="1:174" s="211" customFormat="1" ht="13.5" customHeight="1">
      <c r="A343" s="223" t="s">
        <v>270</v>
      </c>
      <c r="B343" s="49"/>
      <c r="C343" s="57"/>
      <c r="D343" s="57"/>
      <c r="E343" s="57"/>
      <c r="F343" s="57"/>
      <c r="G343" s="57"/>
      <c r="H343" s="57"/>
      <c r="I343" s="57"/>
      <c r="J343" s="57"/>
      <c r="K343" s="57"/>
      <c r="L343" s="57"/>
      <c r="M343" s="57"/>
      <c r="N343" s="57"/>
      <c r="O343" s="57"/>
      <c r="P343" s="57"/>
      <c r="Q343" s="57"/>
      <c r="R343" s="57"/>
      <c r="S343" s="57"/>
      <c r="CK343" s="228"/>
      <c r="EC343" s="1"/>
      <c r="ED343" s="1"/>
      <c r="EE343" s="1"/>
      <c r="EF343" s="1"/>
      <c r="EG343" s="1"/>
      <c r="EH343" s="1"/>
      <c r="EI343" s="1"/>
      <c r="FK343" s="1"/>
      <c r="FL343" s="1"/>
      <c r="FM343" s="1"/>
      <c r="FN343" s="1"/>
      <c r="FO343" s="1"/>
      <c r="FP343" s="1"/>
      <c r="FQ343" s="1"/>
      <c r="FR343" s="1"/>
    </row>
    <row r="344" spans="1:174" s="211" customFormat="1" ht="13.5" customHeight="1">
      <c r="A344" s="223" t="s">
        <v>271</v>
      </c>
      <c r="B344" s="49"/>
      <c r="C344" s="57"/>
      <c r="D344" s="57"/>
      <c r="E344" s="57"/>
      <c r="F344" s="57"/>
      <c r="G344" s="57"/>
      <c r="H344" s="57"/>
      <c r="I344" s="57"/>
      <c r="J344" s="57"/>
      <c r="K344" s="57"/>
      <c r="L344" s="57"/>
      <c r="M344" s="57"/>
      <c r="N344" s="57"/>
      <c r="O344" s="57"/>
      <c r="P344" s="57"/>
      <c r="Q344" s="57"/>
      <c r="R344" s="57"/>
      <c r="S344" s="57"/>
      <c r="CK344" s="228"/>
      <c r="EC344" s="1"/>
      <c r="ED344" s="1"/>
      <c r="EE344" s="1"/>
      <c r="EF344" s="1"/>
      <c r="EG344" s="1"/>
      <c r="EH344" s="1"/>
      <c r="EI344" s="1"/>
      <c r="FK344" s="1"/>
      <c r="FL344" s="1"/>
      <c r="FM344" s="1"/>
      <c r="FN344" s="1"/>
      <c r="FO344" s="1"/>
      <c r="FP344" s="1"/>
      <c r="FQ344" s="1"/>
      <c r="FR344" s="1"/>
    </row>
    <row r="345" spans="1:174" s="211" customFormat="1" ht="13.5" customHeight="1">
      <c r="A345" s="223" t="s">
        <v>272</v>
      </c>
      <c r="B345" s="49"/>
      <c r="C345" s="57"/>
      <c r="D345" s="57"/>
      <c r="E345" s="57"/>
      <c r="F345" s="57"/>
      <c r="G345" s="57"/>
      <c r="H345" s="57"/>
      <c r="I345" s="57"/>
      <c r="J345" s="57"/>
      <c r="K345" s="57"/>
      <c r="L345" s="57"/>
      <c r="M345" s="57"/>
      <c r="N345" s="57"/>
      <c r="O345" s="57"/>
      <c r="P345" s="57"/>
      <c r="Q345" s="57"/>
      <c r="R345" s="57"/>
      <c r="S345" s="57"/>
      <c r="CK345" s="228"/>
      <c r="EC345" s="1"/>
      <c r="ED345" s="1"/>
      <c r="EE345" s="1"/>
      <c r="EF345" s="1"/>
      <c r="EG345" s="1"/>
      <c r="EH345" s="1"/>
      <c r="EI345" s="1"/>
      <c r="FK345" s="1"/>
      <c r="FL345" s="1"/>
      <c r="FM345" s="1"/>
      <c r="FN345" s="1"/>
      <c r="FO345" s="1"/>
      <c r="FP345" s="1"/>
      <c r="FQ345" s="1"/>
      <c r="FR345" s="1"/>
    </row>
    <row r="346" spans="1:174" s="211" customFormat="1" ht="13.5" customHeight="1">
      <c r="A346" s="5" t="s">
        <v>262</v>
      </c>
      <c r="B346" s="54"/>
      <c r="C346" s="57"/>
      <c r="D346" s="57"/>
      <c r="E346" s="57"/>
      <c r="F346" s="57"/>
      <c r="G346" s="57"/>
      <c r="H346" s="57"/>
      <c r="I346" s="57"/>
      <c r="J346" s="57"/>
      <c r="K346" s="57"/>
      <c r="L346" s="57"/>
      <c r="M346" s="57"/>
      <c r="N346" s="57"/>
      <c r="O346" s="57"/>
      <c r="P346" s="57"/>
      <c r="Q346" s="57"/>
      <c r="R346" s="57"/>
      <c r="S346" s="57"/>
      <c r="CK346" s="228"/>
      <c r="EC346" s="1"/>
      <c r="ED346" s="1"/>
      <c r="EE346" s="1"/>
      <c r="EF346" s="1"/>
      <c r="EG346" s="1"/>
      <c r="EH346" s="1"/>
      <c r="EI346" s="1"/>
      <c r="FK346" s="1"/>
      <c r="FL346" s="1"/>
      <c r="FM346" s="1"/>
      <c r="FN346" s="1"/>
      <c r="FO346" s="1"/>
      <c r="FP346" s="1"/>
      <c r="FQ346" s="1"/>
      <c r="FR346" s="1"/>
    </row>
    <row r="347" spans="1:174" s="211" customFormat="1" ht="13.5" customHeight="1">
      <c r="A347" s="5"/>
      <c r="B347" s="57"/>
      <c r="C347" s="57"/>
      <c r="D347" s="57"/>
      <c r="E347" s="57"/>
      <c r="F347" s="57"/>
      <c r="G347" s="57"/>
      <c r="H347" s="57"/>
      <c r="I347" s="57"/>
      <c r="J347" s="57"/>
      <c r="K347" s="57"/>
      <c r="L347" s="57"/>
      <c r="M347" s="57"/>
      <c r="N347" s="57"/>
      <c r="O347" s="57"/>
      <c r="P347" s="57"/>
      <c r="Q347" s="57"/>
      <c r="R347" s="57"/>
      <c r="S347" s="57"/>
      <c r="CK347" s="228"/>
      <c r="EC347" s="1"/>
      <c r="ED347" s="1"/>
      <c r="EE347" s="1"/>
      <c r="EF347" s="1"/>
      <c r="EG347" s="1"/>
      <c r="EH347" s="1"/>
      <c r="EI347" s="1"/>
      <c r="FK347" s="1"/>
      <c r="FL347" s="1"/>
      <c r="FM347" s="1"/>
      <c r="FN347" s="1"/>
      <c r="FO347" s="1"/>
      <c r="FP347" s="1"/>
      <c r="FQ347" s="1"/>
      <c r="FR347" s="1"/>
    </row>
    <row r="348" spans="1:174" s="211" customFormat="1" ht="13.5" customHeight="1">
      <c r="A348" s="5"/>
      <c r="B348" s="57"/>
      <c r="C348" s="57"/>
      <c r="D348" s="57"/>
      <c r="E348" s="57"/>
      <c r="F348" s="57"/>
      <c r="G348" s="57"/>
      <c r="H348" s="57"/>
      <c r="I348" s="57"/>
      <c r="J348" s="57"/>
      <c r="K348" s="57"/>
      <c r="L348" s="57"/>
      <c r="M348" s="57"/>
      <c r="N348" s="57"/>
      <c r="O348" s="57"/>
      <c r="P348" s="57"/>
      <c r="Q348" s="57"/>
      <c r="R348" s="57"/>
      <c r="S348" s="57"/>
      <c r="CK348" s="228"/>
      <c r="EC348" s="1"/>
      <c r="ED348" s="1"/>
      <c r="EE348" s="1"/>
      <c r="EF348" s="1"/>
      <c r="EG348" s="1"/>
      <c r="EH348" s="1"/>
      <c r="EI348" s="1"/>
      <c r="FK348" s="1"/>
      <c r="FL348" s="1"/>
      <c r="FM348" s="1"/>
      <c r="FN348" s="1"/>
      <c r="FO348" s="1"/>
      <c r="FP348" s="1"/>
      <c r="FQ348" s="1"/>
      <c r="FR348" s="1"/>
    </row>
    <row r="349" spans="1:174" s="211" customFormat="1" ht="13.5" customHeight="1">
      <c r="A349" s="22" t="s">
        <v>183</v>
      </c>
      <c r="B349" s="7" t="s">
        <v>273</v>
      </c>
      <c r="C349" s="57"/>
      <c r="D349" s="57"/>
      <c r="E349" s="57"/>
      <c r="F349" s="57"/>
      <c r="G349" s="57"/>
      <c r="H349" s="57"/>
      <c r="I349" s="57"/>
      <c r="J349" s="57"/>
      <c r="K349" s="57"/>
      <c r="L349" s="57"/>
      <c r="M349" s="57"/>
      <c r="N349" s="57"/>
      <c r="O349" s="57"/>
      <c r="P349" s="57"/>
      <c r="Q349" s="57"/>
      <c r="R349" s="57"/>
      <c r="S349" s="57"/>
      <c r="CK349" s="228"/>
      <c r="EC349" s="1"/>
      <c r="ED349" s="1"/>
      <c r="EE349" s="1"/>
      <c r="EF349" s="1"/>
      <c r="EG349" s="1"/>
      <c r="EH349" s="1"/>
      <c r="EI349" s="1"/>
      <c r="FK349" s="1"/>
      <c r="FL349" s="1"/>
      <c r="FM349" s="1"/>
      <c r="FN349" s="1"/>
      <c r="FO349" s="1"/>
      <c r="FP349" s="1"/>
      <c r="FQ349" s="1"/>
      <c r="FR349" s="1"/>
    </row>
    <row r="350" spans="1:174" s="211" customFormat="1" ht="13.5" customHeight="1" thickBot="1">
      <c r="A350" s="18"/>
      <c r="B350" s="18"/>
      <c r="C350" s="57"/>
      <c r="D350" s="57"/>
      <c r="E350" s="57"/>
      <c r="F350" s="57"/>
      <c r="G350" s="57"/>
      <c r="H350" s="57"/>
      <c r="I350" s="57"/>
      <c r="J350" s="57"/>
      <c r="K350" s="57"/>
      <c r="L350" s="57"/>
      <c r="M350" s="57"/>
      <c r="N350" s="57"/>
      <c r="O350" s="57"/>
      <c r="P350" s="57"/>
      <c r="Q350" s="57"/>
      <c r="R350" s="57"/>
      <c r="S350" s="57"/>
      <c r="CK350" s="228"/>
      <c r="EC350" s="1"/>
      <c r="ED350" s="1"/>
      <c r="EE350" s="1"/>
      <c r="EF350" s="1"/>
      <c r="EG350" s="1"/>
      <c r="EH350" s="1"/>
      <c r="EI350" s="1"/>
      <c r="FK350" s="1"/>
      <c r="FL350" s="1"/>
      <c r="FM350" s="1"/>
      <c r="FN350" s="1"/>
      <c r="FO350" s="1"/>
      <c r="FP350" s="1"/>
      <c r="FQ350" s="1"/>
      <c r="FR350" s="1"/>
    </row>
    <row r="351" spans="1:174" s="211" customFormat="1" ht="13.5" customHeight="1" thickBot="1">
      <c r="A351" s="32"/>
      <c r="B351" s="318" t="s">
        <v>274</v>
      </c>
      <c r="C351" s="437" t="s">
        <v>275</v>
      </c>
      <c r="D351" s="437" t="s">
        <v>122</v>
      </c>
      <c r="E351" s="437" t="s">
        <v>123</v>
      </c>
      <c r="F351" s="438" t="s">
        <v>124</v>
      </c>
      <c r="G351" s="57"/>
      <c r="H351" s="57"/>
      <c r="I351" s="57"/>
      <c r="J351" s="57"/>
      <c r="K351" s="57"/>
      <c r="L351" s="57"/>
      <c r="M351" s="57"/>
      <c r="N351" s="57"/>
      <c r="O351" s="57"/>
      <c r="P351" s="57"/>
      <c r="Q351" s="57"/>
      <c r="R351" s="57"/>
      <c r="S351" s="57"/>
      <c r="CK351" s="228"/>
      <c r="EC351" s="1"/>
      <c r="ED351" s="1"/>
      <c r="EE351" s="1"/>
      <c r="EF351" s="1"/>
      <c r="EG351" s="1"/>
      <c r="EH351" s="1"/>
      <c r="EI351" s="1"/>
      <c r="FK351" s="1"/>
      <c r="FL351" s="1"/>
      <c r="FM351" s="1"/>
      <c r="FN351" s="1"/>
      <c r="FO351" s="1"/>
      <c r="FP351" s="1"/>
      <c r="FQ351" s="1"/>
      <c r="FR351" s="1"/>
    </row>
    <row r="352" spans="1:174" s="211" customFormat="1" ht="13.5" customHeight="1">
      <c r="A352" s="310" t="s">
        <v>276</v>
      </c>
      <c r="B352" s="325" t="s">
        <v>277</v>
      </c>
      <c r="C352" s="439" t="s">
        <v>278</v>
      </c>
      <c r="D352" s="440" t="s">
        <v>279</v>
      </c>
      <c r="E352" s="440" t="s">
        <v>280</v>
      </c>
      <c r="F352" s="441" t="s">
        <v>281</v>
      </c>
      <c r="G352" s="57"/>
      <c r="H352" s="57"/>
      <c r="I352" s="57"/>
      <c r="J352" s="57"/>
      <c r="K352" s="57"/>
      <c r="L352" s="57"/>
      <c r="M352" s="57"/>
      <c r="N352" s="57"/>
      <c r="O352" s="57"/>
      <c r="P352" s="57"/>
      <c r="Q352" s="57"/>
      <c r="R352" s="57"/>
      <c r="S352" s="57"/>
      <c r="CK352" s="228"/>
      <c r="EC352" s="1"/>
      <c r="ED352" s="1"/>
      <c r="EE352" s="1"/>
      <c r="EF352" s="1"/>
      <c r="EG352" s="1"/>
      <c r="EH352" s="1"/>
      <c r="EI352" s="1"/>
      <c r="FK352" s="1"/>
      <c r="FL352" s="1"/>
      <c r="FM352" s="1"/>
      <c r="FN352" s="1"/>
      <c r="FO352" s="1"/>
      <c r="FP352" s="1"/>
      <c r="FQ352" s="1"/>
      <c r="FR352" s="1"/>
    </row>
    <row r="353" spans="1:174" s="211" customFormat="1" ht="13.5" customHeight="1" thickBot="1">
      <c r="A353" s="442" t="s">
        <v>282</v>
      </c>
      <c r="B353" s="443">
        <v>143593</v>
      </c>
      <c r="C353" s="444">
        <v>178479</v>
      </c>
      <c r="D353" s="444">
        <v>250621</v>
      </c>
      <c r="E353" s="444">
        <v>363446</v>
      </c>
      <c r="F353" s="445">
        <v>517678</v>
      </c>
      <c r="G353" s="57"/>
      <c r="H353" s="57"/>
      <c r="I353" s="57"/>
      <c r="J353" s="57"/>
      <c r="K353" s="57"/>
      <c r="L353" s="57"/>
      <c r="M353" s="57"/>
      <c r="N353" s="57"/>
      <c r="O353" s="57"/>
      <c r="P353" s="57"/>
      <c r="Q353" s="57"/>
      <c r="R353" s="57"/>
      <c r="S353" s="57"/>
      <c r="CK353" s="228"/>
      <c r="EC353" s="1"/>
      <c r="ED353" s="1"/>
      <c r="EE353" s="1"/>
      <c r="EF353" s="1"/>
      <c r="EG353" s="1"/>
      <c r="EH353" s="1"/>
      <c r="EI353" s="1"/>
      <c r="FK353" s="1"/>
      <c r="FL353" s="1"/>
      <c r="FM353" s="1"/>
      <c r="FN353" s="1"/>
      <c r="FO353" s="1"/>
      <c r="FP353" s="1"/>
      <c r="FQ353" s="1"/>
      <c r="FR353" s="1"/>
    </row>
    <row r="354" spans="1:174" s="211" customFormat="1" ht="13.5" customHeight="1">
      <c r="A354" s="223" t="s">
        <v>283</v>
      </c>
      <c r="B354" s="49"/>
      <c r="C354" s="57"/>
      <c r="D354" s="57"/>
      <c r="E354" s="57"/>
      <c r="F354" s="57"/>
      <c r="G354" s="57"/>
      <c r="H354" s="57"/>
      <c r="I354" s="57"/>
      <c r="J354" s="57"/>
      <c r="K354" s="57"/>
      <c r="L354" s="57"/>
      <c r="M354" s="57"/>
      <c r="N354" s="57"/>
      <c r="O354" s="57"/>
      <c r="P354" s="57"/>
      <c r="Q354" s="57"/>
      <c r="R354" s="57"/>
      <c r="S354" s="57"/>
      <c r="CK354" s="228"/>
      <c r="EC354" s="1"/>
      <c r="ED354" s="1"/>
      <c r="EE354" s="1"/>
      <c r="EF354" s="1"/>
      <c r="EG354" s="1"/>
      <c r="EH354" s="1"/>
      <c r="EI354" s="1"/>
      <c r="FK354" s="1"/>
      <c r="FL354" s="1"/>
      <c r="FM354" s="1"/>
      <c r="FN354" s="1"/>
      <c r="FO354" s="1"/>
      <c r="FP354" s="1"/>
      <c r="FQ354" s="1"/>
      <c r="FR354" s="1"/>
    </row>
    <row r="355" spans="1:174" s="211" customFormat="1" ht="13.5" customHeight="1">
      <c r="A355" s="223" t="s">
        <v>284</v>
      </c>
      <c r="B355" s="49"/>
      <c r="C355" s="57"/>
      <c r="D355" s="57"/>
      <c r="E355" s="57"/>
      <c r="F355" s="57"/>
      <c r="G355" s="57"/>
      <c r="H355" s="57"/>
      <c r="I355" s="57"/>
      <c r="J355" s="57"/>
      <c r="K355" s="57"/>
      <c r="L355" s="57"/>
      <c r="M355" s="57"/>
      <c r="N355" s="57"/>
      <c r="O355" s="57"/>
      <c r="P355" s="57"/>
      <c r="Q355" s="57"/>
      <c r="R355" s="57"/>
      <c r="S355" s="57"/>
      <c r="CK355" s="228"/>
      <c r="EC355" s="1"/>
      <c r="ED355" s="1"/>
      <c r="EE355" s="1"/>
      <c r="EF355" s="1"/>
      <c r="EG355" s="1"/>
      <c r="EH355" s="1"/>
      <c r="EI355" s="1"/>
      <c r="FK355" s="1"/>
      <c r="FL355" s="1"/>
      <c r="FM355" s="1"/>
      <c r="FN355" s="1"/>
      <c r="FO355" s="1"/>
      <c r="FP355" s="1"/>
      <c r="FQ355" s="1"/>
      <c r="FR355" s="1"/>
    </row>
    <row r="356" spans="1:174" s="211" customFormat="1" ht="13.5" customHeight="1">
      <c r="A356" s="5" t="s">
        <v>262</v>
      </c>
      <c r="B356" s="54"/>
      <c r="C356" s="57"/>
      <c r="D356" s="57"/>
      <c r="E356" s="57"/>
      <c r="F356" s="57"/>
      <c r="G356" s="57"/>
      <c r="H356" s="57"/>
      <c r="I356" s="57"/>
      <c r="J356" s="57"/>
      <c r="K356" s="57"/>
      <c r="L356" s="57"/>
      <c r="M356" s="57"/>
      <c r="N356" s="57"/>
      <c r="O356" s="57"/>
      <c r="P356" s="57"/>
      <c r="Q356" s="57"/>
      <c r="R356" s="57"/>
      <c r="S356" s="57"/>
      <c r="CK356" s="228"/>
      <c r="EC356" s="1"/>
      <c r="ED356" s="1"/>
      <c r="EE356" s="1"/>
      <c r="EF356" s="1"/>
      <c r="EG356" s="1"/>
      <c r="EH356" s="1"/>
      <c r="EI356" s="1"/>
      <c r="FK356" s="1"/>
      <c r="FL356" s="1"/>
      <c r="FM356" s="1"/>
      <c r="FN356" s="1"/>
      <c r="FO356" s="1"/>
      <c r="FP356" s="1"/>
      <c r="FQ356" s="1"/>
      <c r="FR356" s="1"/>
    </row>
    <row r="357" spans="1:174" s="366" customFormat="1" ht="13.5" customHeight="1">
      <c r="A357" s="172"/>
      <c r="B357" s="379"/>
      <c r="C357" s="379"/>
      <c r="D357" s="379"/>
      <c r="E357" s="379"/>
      <c r="F357" s="379"/>
      <c r="G357" s="379"/>
      <c r="H357" s="379"/>
      <c r="I357" s="379"/>
      <c r="J357" s="379"/>
      <c r="K357" s="379"/>
      <c r="L357" s="379"/>
      <c r="M357" s="379"/>
      <c r="N357" s="379"/>
      <c r="O357" s="379"/>
      <c r="P357" s="379"/>
    </row>
    <row r="358" spans="1:174" s="366" customFormat="1" ht="13.5" customHeight="1">
      <c r="A358" s="172"/>
      <c r="B358" s="379"/>
      <c r="C358" s="379"/>
      <c r="D358" s="379"/>
      <c r="E358" s="379"/>
      <c r="F358" s="379"/>
      <c r="G358" s="379"/>
      <c r="H358" s="379"/>
      <c r="I358" s="379"/>
      <c r="J358" s="379"/>
      <c r="K358" s="379"/>
      <c r="L358" s="379"/>
      <c r="M358" s="379"/>
      <c r="N358" s="379"/>
      <c r="O358" s="379"/>
      <c r="P358" s="379"/>
    </row>
    <row r="359" spans="1:174" s="200" customFormat="1">
      <c r="A359" s="369" t="s">
        <v>285</v>
      </c>
      <c r="B359" s="370"/>
      <c r="C359" s="370"/>
      <c r="D359" s="370"/>
      <c r="E359" s="370"/>
      <c r="F359" s="370"/>
      <c r="G359" s="370"/>
      <c r="H359" s="370"/>
      <c r="I359" s="370"/>
      <c r="J359" s="370"/>
      <c r="K359" s="370"/>
      <c r="L359" s="370"/>
      <c r="M359" s="370"/>
      <c r="N359" s="370"/>
      <c r="O359" s="370"/>
      <c r="P359" s="370"/>
      <c r="Q359" s="370"/>
      <c r="R359" s="370"/>
      <c r="S359" s="370"/>
      <c r="T359" s="370"/>
      <c r="U359" s="370"/>
      <c r="V359" s="370"/>
      <c r="W359" s="370"/>
      <c r="X359" s="370"/>
    </row>
    <row r="360" spans="1:174" s="366" customFormat="1" ht="13.5" customHeight="1">
      <c r="A360" s="172"/>
      <c r="B360" s="379"/>
      <c r="C360" s="379"/>
      <c r="D360" s="379"/>
      <c r="E360" s="379"/>
      <c r="F360" s="379"/>
      <c r="G360" s="379"/>
      <c r="H360" s="379"/>
      <c r="I360" s="379"/>
      <c r="J360" s="379"/>
      <c r="K360" s="379"/>
      <c r="L360" s="379"/>
      <c r="M360" s="379"/>
      <c r="N360" s="379"/>
      <c r="O360" s="379"/>
      <c r="P360" s="379"/>
    </row>
    <row r="361" spans="1:174" s="366" customFormat="1" ht="13.5" customHeight="1">
      <c r="A361" s="22" t="s">
        <v>189</v>
      </c>
      <c r="B361" s="446" t="s">
        <v>286</v>
      </c>
      <c r="C361" s="341"/>
      <c r="D361" s="341"/>
      <c r="E361" s="341"/>
      <c r="F361" s="341"/>
      <c r="G361" s="341"/>
      <c r="H361" s="341"/>
      <c r="I361" s="341"/>
      <c r="J361" s="447"/>
      <c r="K361" s="341"/>
      <c r="L361" s="341"/>
      <c r="M361" s="341"/>
      <c r="N361" s="66"/>
      <c r="O361" s="66"/>
      <c r="P361" s="66"/>
    </row>
    <row r="362" spans="1:174" s="366" customFormat="1" ht="13.5" customHeight="1" thickBot="1">
      <c r="A362" s="229"/>
      <c r="B362" s="230"/>
      <c r="C362" s="341"/>
      <c r="D362" s="341"/>
      <c r="E362" s="341"/>
      <c r="F362" s="341"/>
      <c r="G362" s="341"/>
      <c r="H362" s="341"/>
      <c r="I362" s="341"/>
      <c r="J362" s="341"/>
      <c r="K362" s="341"/>
      <c r="L362" s="341"/>
      <c r="M362" s="341"/>
      <c r="N362" s="379"/>
      <c r="O362" s="379"/>
      <c r="P362" s="379"/>
    </row>
    <row r="363" spans="1:174" s="361" customFormat="1" ht="13.5" customHeight="1" thickBot="1">
      <c r="A363" s="153"/>
      <c r="B363" s="448">
        <v>40179</v>
      </c>
      <c r="C363" s="449">
        <v>40210</v>
      </c>
      <c r="D363" s="450">
        <v>40238</v>
      </c>
      <c r="E363" s="449">
        <v>40269</v>
      </c>
      <c r="F363" s="450">
        <v>40299</v>
      </c>
      <c r="G363" s="449">
        <v>40330</v>
      </c>
      <c r="H363" s="450">
        <v>40360</v>
      </c>
      <c r="I363" s="449">
        <v>40391</v>
      </c>
      <c r="J363" s="450">
        <v>40422</v>
      </c>
      <c r="K363" s="449">
        <v>40452</v>
      </c>
      <c r="L363" s="450">
        <v>40483</v>
      </c>
      <c r="M363" s="451">
        <v>40513</v>
      </c>
      <c r="N363" s="66"/>
      <c r="O363" s="66"/>
      <c r="P363" s="66"/>
    </row>
    <row r="364" spans="1:174" s="361" customFormat="1" ht="13.5" customHeight="1">
      <c r="A364" s="452" t="s">
        <v>157</v>
      </c>
      <c r="B364" s="287" t="s">
        <v>4</v>
      </c>
      <c r="C364" s="288" t="s">
        <v>4</v>
      </c>
      <c r="D364" s="288" t="s">
        <v>4</v>
      </c>
      <c r="E364" s="288" t="s">
        <v>4</v>
      </c>
      <c r="F364" s="288" t="s">
        <v>4</v>
      </c>
      <c r="G364" s="288" t="s">
        <v>4</v>
      </c>
      <c r="H364" s="288" t="s">
        <v>4</v>
      </c>
      <c r="I364" s="288" t="s">
        <v>4</v>
      </c>
      <c r="J364" s="288" t="s">
        <v>4</v>
      </c>
      <c r="K364" s="288" t="s">
        <v>4</v>
      </c>
      <c r="L364" s="288" t="s">
        <v>4</v>
      </c>
      <c r="M364" s="289" t="s">
        <v>4</v>
      </c>
      <c r="N364" s="66"/>
      <c r="O364" s="66"/>
      <c r="P364" s="66"/>
    </row>
    <row r="365" spans="1:174" s="361" customFormat="1" ht="13.5" customHeight="1">
      <c r="A365" s="453" t="s">
        <v>158</v>
      </c>
      <c r="B365" s="290" t="s">
        <v>4</v>
      </c>
      <c r="C365" s="291" t="s">
        <v>4</v>
      </c>
      <c r="D365" s="291" t="s">
        <v>4</v>
      </c>
      <c r="E365" s="291" t="s">
        <v>4</v>
      </c>
      <c r="F365" s="291" t="s">
        <v>4</v>
      </c>
      <c r="G365" s="291" t="s">
        <v>4</v>
      </c>
      <c r="H365" s="291" t="s">
        <v>4</v>
      </c>
      <c r="I365" s="291" t="s">
        <v>4</v>
      </c>
      <c r="J365" s="291" t="s">
        <v>4</v>
      </c>
      <c r="K365" s="291" t="s">
        <v>4</v>
      </c>
      <c r="L365" s="291" t="s">
        <v>4</v>
      </c>
      <c r="M365" s="292" t="s">
        <v>4</v>
      </c>
      <c r="N365" s="379"/>
      <c r="O365" s="379"/>
      <c r="P365" s="379"/>
    </row>
    <row r="366" spans="1:174" s="361" customFormat="1" ht="26.25" customHeight="1" thickBot="1">
      <c r="A366" s="454" t="s">
        <v>184</v>
      </c>
      <c r="B366" s="293">
        <v>0.13</v>
      </c>
      <c r="C366" s="298">
        <v>0.18</v>
      </c>
      <c r="D366" s="294">
        <v>0.21</v>
      </c>
      <c r="E366" s="298">
        <v>0.25</v>
      </c>
      <c r="F366" s="294">
        <v>0.27</v>
      </c>
      <c r="G366" s="298">
        <v>0.27</v>
      </c>
      <c r="H366" s="294">
        <v>0.28000000000000003</v>
      </c>
      <c r="I366" s="294">
        <v>0.27</v>
      </c>
      <c r="J366" s="294">
        <v>0.25</v>
      </c>
      <c r="K366" s="294">
        <v>0.22</v>
      </c>
      <c r="L366" s="294">
        <v>0.17</v>
      </c>
      <c r="M366" s="295">
        <v>0.15</v>
      </c>
      <c r="N366" s="66"/>
      <c r="O366" s="66"/>
      <c r="P366" s="66"/>
    </row>
    <row r="367" spans="1:174" s="361" customFormat="1" ht="13.5" customHeight="1" thickBot="1">
      <c r="A367" s="153"/>
      <c r="B367" s="153"/>
      <c r="C367" s="153"/>
      <c r="D367" s="153"/>
      <c r="E367" s="153"/>
      <c r="F367" s="153"/>
      <c r="G367" s="153"/>
      <c r="H367" s="153"/>
      <c r="I367" s="153"/>
      <c r="J367" s="153"/>
      <c r="K367" s="153"/>
      <c r="L367" s="153"/>
      <c r="M367" s="153"/>
      <c r="N367" s="66"/>
      <c r="O367" s="66"/>
      <c r="P367" s="66"/>
    </row>
    <row r="368" spans="1:174" s="361" customFormat="1" ht="13.5" customHeight="1" thickBot="1">
      <c r="A368" s="153"/>
      <c r="B368" s="448">
        <v>40544</v>
      </c>
      <c r="C368" s="449">
        <v>40575</v>
      </c>
      <c r="D368" s="450">
        <v>40603</v>
      </c>
      <c r="E368" s="450">
        <v>40634</v>
      </c>
      <c r="F368" s="449">
        <v>40664</v>
      </c>
      <c r="G368" s="450">
        <v>40695</v>
      </c>
      <c r="H368" s="450">
        <v>40725</v>
      </c>
      <c r="I368" s="449">
        <v>40756</v>
      </c>
      <c r="J368" s="449">
        <v>40787</v>
      </c>
      <c r="K368" s="449">
        <v>40817</v>
      </c>
      <c r="L368" s="449">
        <v>40848</v>
      </c>
      <c r="M368" s="455">
        <v>40878</v>
      </c>
      <c r="N368" s="379"/>
      <c r="O368" s="379"/>
    </row>
    <row r="369" spans="1:15" s="361" customFormat="1" ht="13.5" customHeight="1">
      <c r="A369" s="456" t="s">
        <v>157</v>
      </c>
      <c r="B369" s="287" t="s">
        <v>4</v>
      </c>
      <c r="C369" s="288" t="s">
        <v>4</v>
      </c>
      <c r="D369" s="288" t="s">
        <v>4</v>
      </c>
      <c r="E369" s="288" t="s">
        <v>4</v>
      </c>
      <c r="F369" s="288" t="s">
        <v>4</v>
      </c>
      <c r="G369" s="288" t="s">
        <v>4</v>
      </c>
      <c r="H369" s="288" t="s">
        <v>4</v>
      </c>
      <c r="I369" s="288" t="s">
        <v>4</v>
      </c>
      <c r="J369" s="288" t="s">
        <v>4</v>
      </c>
      <c r="K369" s="288" t="s">
        <v>4</v>
      </c>
      <c r="L369" s="288" t="s">
        <v>4</v>
      </c>
      <c r="M369" s="289" t="s">
        <v>4</v>
      </c>
      <c r="N369" s="457"/>
      <c r="O369" s="457"/>
    </row>
    <row r="370" spans="1:15" s="361" customFormat="1" ht="13.5" customHeight="1">
      <c r="A370" s="458" t="s">
        <v>158</v>
      </c>
      <c r="B370" s="290" t="s">
        <v>4</v>
      </c>
      <c r="C370" s="291" t="s">
        <v>4</v>
      </c>
      <c r="D370" s="291" t="s">
        <v>4</v>
      </c>
      <c r="E370" s="291" t="s">
        <v>4</v>
      </c>
      <c r="F370" s="291" t="s">
        <v>4</v>
      </c>
      <c r="G370" s="291" t="s">
        <v>4</v>
      </c>
      <c r="H370" s="291" t="s">
        <v>4</v>
      </c>
      <c r="I370" s="291" t="s">
        <v>4</v>
      </c>
      <c r="J370" s="291" t="s">
        <v>4</v>
      </c>
      <c r="K370" s="291" t="s">
        <v>4</v>
      </c>
      <c r="L370" s="291" t="s">
        <v>4</v>
      </c>
      <c r="M370" s="292" t="s">
        <v>4</v>
      </c>
      <c r="N370" s="457"/>
      <c r="O370" s="457"/>
    </row>
    <row r="371" spans="1:15" s="361" customFormat="1" ht="27.75" customHeight="1" thickBot="1">
      <c r="A371" s="459" t="s">
        <v>184</v>
      </c>
      <c r="B371" s="293">
        <v>0.11</v>
      </c>
      <c r="C371" s="294">
        <v>0.08</v>
      </c>
      <c r="D371" s="294">
        <v>0.06</v>
      </c>
      <c r="E371" s="294">
        <v>0.03</v>
      </c>
      <c r="F371" s="294">
        <v>0</v>
      </c>
      <c r="G371" s="294">
        <v>-0.02</v>
      </c>
      <c r="H371" s="294">
        <v>-0.04</v>
      </c>
      <c r="I371" s="294">
        <v>-5.5E-2</v>
      </c>
      <c r="J371" s="294">
        <v>-7.0000000000000007E-2</v>
      </c>
      <c r="K371" s="294">
        <v>-0.09</v>
      </c>
      <c r="L371" s="294">
        <v>-0.1</v>
      </c>
      <c r="M371" s="295">
        <v>-0.1</v>
      </c>
      <c r="N371" s="460"/>
      <c r="O371" s="460"/>
    </row>
    <row r="372" spans="1:15" s="185" customFormat="1" ht="13.5" customHeight="1" thickBot="1">
      <c r="A372" s="153"/>
      <c r="B372" s="342"/>
      <c r="C372" s="342"/>
      <c r="D372" s="342"/>
      <c r="E372" s="342"/>
      <c r="F372" s="342"/>
      <c r="G372" s="342"/>
      <c r="H372" s="342"/>
      <c r="I372" s="342"/>
      <c r="J372" s="342"/>
      <c r="K372" s="342"/>
      <c r="L372" s="342"/>
      <c r="M372" s="342"/>
      <c r="N372" s="127"/>
      <c r="O372" s="127"/>
    </row>
    <row r="373" spans="1:15" s="185" customFormat="1" ht="13.5" customHeight="1" thickBot="1">
      <c r="A373" s="153"/>
      <c r="B373" s="461">
        <v>40909</v>
      </c>
      <c r="C373" s="462">
        <v>40940</v>
      </c>
      <c r="D373" s="462">
        <v>40969</v>
      </c>
      <c r="E373" s="462">
        <v>41000</v>
      </c>
      <c r="F373" s="462">
        <v>41030</v>
      </c>
      <c r="G373" s="462">
        <v>41061</v>
      </c>
      <c r="H373" s="462">
        <v>41091</v>
      </c>
      <c r="I373" s="462">
        <v>41122</v>
      </c>
      <c r="J373" s="462">
        <v>41153</v>
      </c>
      <c r="K373" s="462">
        <v>41183</v>
      </c>
      <c r="L373" s="462">
        <v>41214</v>
      </c>
      <c r="M373" s="463">
        <v>41244</v>
      </c>
    </row>
    <row r="374" spans="1:15" s="361" customFormat="1" ht="13.5" customHeight="1">
      <c r="A374" s="456" t="s">
        <v>157</v>
      </c>
      <c r="B374" s="346">
        <v>9237</v>
      </c>
      <c r="C374" s="269">
        <v>10438</v>
      </c>
      <c r="D374" s="269">
        <v>12159</v>
      </c>
      <c r="E374" s="269">
        <v>10838</v>
      </c>
      <c r="F374" s="269">
        <v>10716</v>
      </c>
      <c r="G374" s="269">
        <v>11498</v>
      </c>
      <c r="H374" s="269">
        <v>10703</v>
      </c>
      <c r="I374" s="269">
        <v>5407</v>
      </c>
      <c r="J374" s="269">
        <v>10202</v>
      </c>
      <c r="K374" s="269">
        <v>12767</v>
      </c>
      <c r="L374" s="269">
        <v>13348</v>
      </c>
      <c r="M374" s="343">
        <v>9859</v>
      </c>
    </row>
    <row r="375" spans="1:15" s="361" customFormat="1" ht="13.5" customHeight="1">
      <c r="A375" s="458" t="s">
        <v>158</v>
      </c>
      <c r="B375" s="290" t="s">
        <v>4</v>
      </c>
      <c r="C375" s="291" t="s">
        <v>4</v>
      </c>
      <c r="D375" s="291" t="s">
        <v>4</v>
      </c>
      <c r="E375" s="291" t="s">
        <v>4</v>
      </c>
      <c r="F375" s="291" t="s">
        <v>4</v>
      </c>
      <c r="G375" s="291" t="s">
        <v>4</v>
      </c>
      <c r="H375" s="291" t="s">
        <v>4</v>
      </c>
      <c r="I375" s="291" t="s">
        <v>4</v>
      </c>
      <c r="J375" s="291" t="s">
        <v>4</v>
      </c>
      <c r="K375" s="291" t="s">
        <v>4</v>
      </c>
      <c r="L375" s="291" t="s">
        <v>4</v>
      </c>
      <c r="M375" s="344">
        <f>SUM(B374:M374)</f>
        <v>127172</v>
      </c>
    </row>
    <row r="376" spans="1:15" s="361" customFormat="1" ht="27.75" customHeight="1" thickBot="1">
      <c r="A376" s="459" t="s">
        <v>184</v>
      </c>
      <c r="B376" s="293">
        <v>-0.11</v>
      </c>
      <c r="C376" s="294">
        <v>-0.12</v>
      </c>
      <c r="D376" s="294">
        <v>-0.14000000000000001</v>
      </c>
      <c r="E376" s="294">
        <v>-0.17</v>
      </c>
      <c r="F376" s="294">
        <v>-0.19</v>
      </c>
      <c r="G376" s="294">
        <v>-0.19</v>
      </c>
      <c r="H376" s="294">
        <v>-0.18</v>
      </c>
      <c r="I376" s="294">
        <v>-0.18</v>
      </c>
      <c r="J376" s="294">
        <v>-0.18</v>
      </c>
      <c r="K376" s="294">
        <v>-0.17</v>
      </c>
      <c r="L376" s="294">
        <v>-0.155</v>
      </c>
      <c r="M376" s="295">
        <v>-0.16</v>
      </c>
    </row>
    <row r="377" spans="1:15" s="361" customFormat="1" ht="13.5" customHeight="1" thickBot="1">
      <c r="A377" s="82"/>
      <c r="B377" s="299"/>
      <c r="C377" s="299"/>
      <c r="D377" s="299"/>
      <c r="E377" s="299"/>
      <c r="F377" s="299"/>
      <c r="G377" s="299"/>
      <c r="H377" s="299"/>
      <c r="I377" s="299"/>
      <c r="J377" s="299"/>
      <c r="K377" s="299"/>
      <c r="L377" s="299"/>
      <c r="M377" s="299"/>
    </row>
    <row r="378" spans="1:15" s="361" customFormat="1" ht="13.5" customHeight="1" thickBot="1">
      <c r="A378" s="82"/>
      <c r="B378" s="300">
        <v>41275</v>
      </c>
      <c r="C378" s="301">
        <v>41306</v>
      </c>
      <c r="D378" s="301">
        <v>41334</v>
      </c>
      <c r="E378" s="301">
        <v>41365</v>
      </c>
      <c r="F378" s="301">
        <v>41395</v>
      </c>
      <c r="G378" s="301">
        <v>41426</v>
      </c>
      <c r="H378" s="301">
        <v>41456</v>
      </c>
      <c r="I378" s="301">
        <v>41487</v>
      </c>
      <c r="J378" s="301">
        <v>41518</v>
      </c>
      <c r="K378" s="301">
        <v>41548</v>
      </c>
      <c r="L378" s="301">
        <v>41579</v>
      </c>
      <c r="M378" s="302">
        <v>41609</v>
      </c>
    </row>
    <row r="379" spans="1:15" s="361" customFormat="1" ht="13.5" customHeight="1">
      <c r="A379" s="272" t="s">
        <v>157</v>
      </c>
      <c r="B379" s="76">
        <v>5422</v>
      </c>
      <c r="C379" s="40">
        <v>7981</v>
      </c>
      <c r="D379" s="40">
        <v>9544</v>
      </c>
      <c r="E379" s="40">
        <v>9929</v>
      </c>
      <c r="F379" s="40">
        <v>9292</v>
      </c>
      <c r="G379" s="232">
        <v>10898</v>
      </c>
      <c r="H379" s="40">
        <v>10237</v>
      </c>
      <c r="I379" s="40">
        <v>4655</v>
      </c>
      <c r="J379" s="40">
        <v>9230</v>
      </c>
      <c r="K379" s="40">
        <v>10912</v>
      </c>
      <c r="L379" s="40">
        <v>9488</v>
      </c>
      <c r="M379" s="67">
        <v>9162</v>
      </c>
    </row>
    <row r="380" spans="1:15" s="361" customFormat="1" ht="13.5" customHeight="1">
      <c r="A380" s="273" t="s">
        <v>158</v>
      </c>
      <c r="B380" s="76">
        <v>123357</v>
      </c>
      <c r="C380" s="66">
        <v>120900</v>
      </c>
      <c r="D380" s="40">
        <v>118285</v>
      </c>
      <c r="E380" s="40">
        <v>117376</v>
      </c>
      <c r="F380" s="40">
        <v>115952</v>
      </c>
      <c r="G380" s="40">
        <v>115352</v>
      </c>
      <c r="H380" s="40">
        <v>114886</v>
      </c>
      <c r="I380" s="40">
        <v>114134</v>
      </c>
      <c r="J380" s="40">
        <v>113162</v>
      </c>
      <c r="K380" s="40">
        <v>111307</v>
      </c>
      <c r="L380" s="40">
        <v>107447</v>
      </c>
      <c r="M380" s="67">
        <v>106750</v>
      </c>
    </row>
    <row r="381" spans="1:15" s="361" customFormat="1" ht="27" customHeight="1" thickBot="1">
      <c r="A381" s="296" t="s">
        <v>184</v>
      </c>
      <c r="B381" s="297">
        <v>-0.18</v>
      </c>
      <c r="C381" s="106">
        <v>-0.185</v>
      </c>
      <c r="D381" s="298">
        <v>-0.19</v>
      </c>
      <c r="E381" s="298">
        <v>-0.17</v>
      </c>
      <c r="F381" s="298">
        <v>-0.16</v>
      </c>
      <c r="G381" s="298">
        <v>-0.15</v>
      </c>
      <c r="H381" s="298">
        <v>-0.16</v>
      </c>
      <c r="I381" s="298">
        <v>-0.16</v>
      </c>
      <c r="J381" s="298">
        <v>-0.16</v>
      </c>
      <c r="K381" s="298">
        <v>-0.17</v>
      </c>
      <c r="L381" s="298">
        <v>-0.19</v>
      </c>
      <c r="M381" s="164">
        <v>-0.19</v>
      </c>
    </row>
    <row r="382" spans="1:15" s="361" customFormat="1" ht="13.5" customHeight="1" thickBot="1">
      <c r="A382" s="82"/>
      <c r="B382" s="299"/>
      <c r="C382" s="299"/>
      <c r="D382" s="299"/>
      <c r="E382" s="299"/>
      <c r="F382" s="299"/>
      <c r="G382" s="299"/>
      <c r="H382" s="299"/>
      <c r="I382" s="299"/>
      <c r="J382" s="299"/>
      <c r="K382" s="299"/>
      <c r="L382" s="299"/>
      <c r="M382" s="299"/>
    </row>
    <row r="383" spans="1:15" s="361" customFormat="1" ht="13.5" customHeight="1" thickBot="1">
      <c r="A383" s="82"/>
      <c r="B383" s="300">
        <v>41640</v>
      </c>
      <c r="C383" s="301">
        <v>41671</v>
      </c>
      <c r="D383" s="301">
        <v>41699</v>
      </c>
      <c r="E383" s="301">
        <v>41730</v>
      </c>
      <c r="F383" s="301">
        <v>41760</v>
      </c>
      <c r="G383" s="301">
        <v>41791</v>
      </c>
      <c r="H383" s="301">
        <v>41821</v>
      </c>
      <c r="I383" s="301">
        <v>41852</v>
      </c>
      <c r="J383" s="301">
        <v>41883</v>
      </c>
      <c r="K383" s="301">
        <v>41913</v>
      </c>
      <c r="L383" s="301">
        <v>41944</v>
      </c>
      <c r="M383" s="302">
        <v>41974</v>
      </c>
    </row>
    <row r="384" spans="1:15" s="361" customFormat="1" ht="13.5" customHeight="1">
      <c r="A384" s="272" t="s">
        <v>157</v>
      </c>
      <c r="B384" s="65">
        <v>6801</v>
      </c>
      <c r="C384" s="40">
        <v>8348</v>
      </c>
      <c r="D384" s="40">
        <v>9592</v>
      </c>
      <c r="E384" s="40">
        <v>11188</v>
      </c>
      <c r="F384" s="40">
        <v>9019</v>
      </c>
      <c r="G384" s="40">
        <v>9926</v>
      </c>
      <c r="H384" s="40">
        <v>9001</v>
      </c>
      <c r="I384" s="40">
        <v>3974</v>
      </c>
      <c r="J384" s="40">
        <v>8588</v>
      </c>
      <c r="K384" s="40">
        <v>10226</v>
      </c>
      <c r="L384" s="40">
        <v>9351</v>
      </c>
      <c r="M384" s="67">
        <v>8851</v>
      </c>
    </row>
    <row r="385" spans="1:15" s="361" customFormat="1" ht="13.5" customHeight="1">
      <c r="A385" s="273" t="s">
        <v>158</v>
      </c>
      <c r="B385" s="65">
        <v>108129</v>
      </c>
      <c r="C385" s="40">
        <v>108496</v>
      </c>
      <c r="D385" s="40">
        <v>108544</v>
      </c>
      <c r="E385" s="40">
        <v>109803</v>
      </c>
      <c r="F385" s="40">
        <v>109530</v>
      </c>
      <c r="G385" s="40">
        <v>108558</v>
      </c>
      <c r="H385" s="40">
        <v>107322</v>
      </c>
      <c r="I385" s="40">
        <v>106641</v>
      </c>
      <c r="J385" s="40">
        <v>105999</v>
      </c>
      <c r="K385" s="40">
        <v>105313</v>
      </c>
      <c r="L385" s="40">
        <v>105176</v>
      </c>
      <c r="M385" s="67">
        <v>104865</v>
      </c>
    </row>
    <row r="386" spans="1:15" s="361" customFormat="1" ht="25.5" customHeight="1" thickBot="1">
      <c r="A386" s="296" t="s">
        <v>184</v>
      </c>
      <c r="B386" s="293">
        <v>-0.14000000000000001</v>
      </c>
      <c r="C386" s="294">
        <v>-0.11</v>
      </c>
      <c r="D386" s="294">
        <v>-0.09</v>
      </c>
      <c r="E386" s="294">
        <v>-0.09</v>
      </c>
      <c r="F386" s="294">
        <v>-0.08</v>
      </c>
      <c r="G386" s="294">
        <v>-0.08</v>
      </c>
      <c r="H386" s="294">
        <v>-0.08</v>
      </c>
      <c r="I386" s="294">
        <v>-0.08</v>
      </c>
      <c r="J386" s="294">
        <v>-7.0000000000000007E-2</v>
      </c>
      <c r="K386" s="294">
        <v>-0.06</v>
      </c>
      <c r="L386" s="294">
        <v>-0.04</v>
      </c>
      <c r="M386" s="295">
        <v>-0.04</v>
      </c>
    </row>
    <row r="387" spans="1:15" s="361" customFormat="1" ht="13.5" customHeight="1" thickBot="1">
      <c r="A387" s="275"/>
      <c r="B387" s="81"/>
      <c r="C387" s="81"/>
      <c r="D387" s="81"/>
      <c r="E387" s="81"/>
      <c r="F387" s="81"/>
      <c r="G387" s="81"/>
      <c r="H387" s="81"/>
      <c r="I387" s="81"/>
      <c r="J387" s="81"/>
      <c r="K387" s="81"/>
      <c r="L387" s="81"/>
      <c r="M387" s="81"/>
    </row>
    <row r="388" spans="1:15" s="361" customFormat="1" ht="13.5" customHeight="1" thickBot="1">
      <c r="A388" s="82"/>
      <c r="B388" s="276">
        <v>42005</v>
      </c>
      <c r="C388" s="267">
        <v>42036</v>
      </c>
      <c r="D388" s="267">
        <v>42064</v>
      </c>
      <c r="E388" s="267">
        <v>42095</v>
      </c>
      <c r="F388" s="267">
        <v>42125</v>
      </c>
      <c r="G388" s="267">
        <v>42156</v>
      </c>
      <c r="H388" s="267">
        <v>42186</v>
      </c>
      <c r="I388" s="267">
        <v>42217</v>
      </c>
      <c r="J388" s="267">
        <v>42248</v>
      </c>
      <c r="K388" s="267">
        <v>42278</v>
      </c>
      <c r="L388" s="267">
        <v>42309</v>
      </c>
      <c r="M388" s="268">
        <v>42339</v>
      </c>
    </row>
    <row r="389" spans="1:15" s="361" customFormat="1" ht="13.5" customHeight="1">
      <c r="A389" s="272" t="s">
        <v>157</v>
      </c>
      <c r="B389" s="64">
        <v>7528</v>
      </c>
      <c r="C389" s="39">
        <v>8388</v>
      </c>
      <c r="D389" s="39">
        <v>10851</v>
      </c>
      <c r="E389" s="39">
        <v>10741</v>
      </c>
      <c r="F389" s="39">
        <v>9862</v>
      </c>
      <c r="G389" s="39">
        <v>11436</v>
      </c>
      <c r="H389" s="39">
        <v>11387</v>
      </c>
      <c r="I389" s="39">
        <v>4378</v>
      </c>
      <c r="J389" s="39">
        <v>9326</v>
      </c>
      <c r="K389" s="39">
        <v>10055</v>
      </c>
      <c r="L389" s="39">
        <v>9908</v>
      </c>
      <c r="M389" s="41">
        <v>8848</v>
      </c>
    </row>
    <row r="390" spans="1:15" s="361" customFormat="1" ht="13.5" customHeight="1">
      <c r="A390" s="273" t="s">
        <v>158</v>
      </c>
      <c r="B390" s="64">
        <v>105592</v>
      </c>
      <c r="C390" s="39">
        <v>105632</v>
      </c>
      <c r="D390" s="39">
        <v>106891</v>
      </c>
      <c r="E390" s="39">
        <v>106444</v>
      </c>
      <c r="F390" s="39">
        <v>107287</v>
      </c>
      <c r="G390" s="39">
        <v>108797</v>
      </c>
      <c r="H390" s="39">
        <v>111183</v>
      </c>
      <c r="I390" s="39">
        <v>111587</v>
      </c>
      <c r="J390" s="39">
        <v>112325</v>
      </c>
      <c r="K390" s="39">
        <v>112154</v>
      </c>
      <c r="L390" s="39">
        <v>112711</v>
      </c>
      <c r="M390" s="41">
        <v>112708</v>
      </c>
    </row>
    <row r="391" spans="1:15" s="361" customFormat="1" ht="25.5" customHeight="1" thickBot="1">
      <c r="A391" s="296" t="s">
        <v>184</v>
      </c>
      <c r="B391" s="293">
        <v>-0.05</v>
      </c>
      <c r="C391" s="294">
        <v>-0.05</v>
      </c>
      <c r="D391" s="294">
        <v>-0.03</v>
      </c>
      <c r="E391" s="294">
        <v>-0.02</v>
      </c>
      <c r="F391" s="294">
        <v>0</v>
      </c>
      <c r="G391" s="294">
        <v>0.03</v>
      </c>
      <c r="H391" s="294">
        <v>0.06</v>
      </c>
      <c r="I391" s="294">
        <v>0.09</v>
      </c>
      <c r="J391" s="294">
        <v>0.1</v>
      </c>
      <c r="K391" s="294">
        <v>0.1</v>
      </c>
      <c r="L391" s="294">
        <v>0.1</v>
      </c>
      <c r="M391" s="295">
        <v>0.11</v>
      </c>
    </row>
    <row r="392" spans="1:15" s="361" customFormat="1" ht="13.5" customHeight="1" thickBot="1">
      <c r="A392" s="275"/>
      <c r="B392" s="81"/>
      <c r="C392" s="81"/>
      <c r="D392" s="81"/>
      <c r="E392" s="81"/>
      <c r="F392" s="81"/>
      <c r="G392" s="81"/>
      <c r="H392" s="81"/>
      <c r="I392" s="81"/>
      <c r="J392" s="81"/>
      <c r="K392" s="81"/>
      <c r="L392" s="81"/>
      <c r="M392" s="81"/>
    </row>
    <row r="393" spans="1:15" s="361" customFormat="1" ht="13.5" customHeight="1" thickBot="1">
      <c r="A393" s="82"/>
      <c r="B393" s="276">
        <v>42370</v>
      </c>
      <c r="C393" s="267">
        <v>42401</v>
      </c>
      <c r="D393" s="267">
        <v>42430</v>
      </c>
      <c r="E393" s="267">
        <v>42461</v>
      </c>
      <c r="F393" s="267">
        <v>42491</v>
      </c>
      <c r="G393" s="267">
        <v>42522</v>
      </c>
      <c r="H393" s="267">
        <v>42552</v>
      </c>
      <c r="I393" s="267">
        <v>42583</v>
      </c>
      <c r="J393" s="267">
        <v>42614</v>
      </c>
      <c r="K393" s="267">
        <v>42644</v>
      </c>
      <c r="L393" s="268">
        <v>42675</v>
      </c>
    </row>
    <row r="394" spans="1:15" s="361" customFormat="1" ht="13.5" customHeight="1">
      <c r="A394" s="272" t="s">
        <v>157</v>
      </c>
      <c r="B394" s="64">
        <v>9892</v>
      </c>
      <c r="C394" s="39">
        <v>11514</v>
      </c>
      <c r="D394" s="39">
        <v>12620</v>
      </c>
      <c r="E394" s="39">
        <v>14033</v>
      </c>
      <c r="F394" s="39">
        <v>18748</v>
      </c>
      <c r="G394" s="39">
        <v>21111</v>
      </c>
      <c r="H394" s="39">
        <v>21617</v>
      </c>
      <c r="I394" s="39">
        <v>29486</v>
      </c>
      <c r="J394" s="39">
        <v>34469</v>
      </c>
      <c r="K394" s="39">
        <v>43362</v>
      </c>
      <c r="L394" s="41">
        <v>58929</v>
      </c>
    </row>
    <row r="395" spans="1:15" s="361" customFormat="1" ht="13.5" customHeight="1">
      <c r="A395" s="273" t="s">
        <v>158</v>
      </c>
      <c r="B395" s="64">
        <v>112600</v>
      </c>
      <c r="C395" s="39">
        <v>124114</v>
      </c>
      <c r="D395" s="39">
        <v>118252</v>
      </c>
      <c r="E395" s="39">
        <v>120924</v>
      </c>
      <c r="F395" s="39">
        <v>125192</v>
      </c>
      <c r="G395" s="39">
        <v>128398</v>
      </c>
      <c r="H395" s="39">
        <v>130414</v>
      </c>
      <c r="I395" s="39">
        <v>140669</v>
      </c>
      <c r="J395" s="39">
        <v>146056</v>
      </c>
      <c r="K395" s="39">
        <v>155687</v>
      </c>
      <c r="L395" s="41">
        <v>171083</v>
      </c>
    </row>
    <row r="396" spans="1:15" s="361" customFormat="1" ht="25.5" customHeight="1" thickBot="1">
      <c r="A396" s="296" t="s">
        <v>184</v>
      </c>
      <c r="B396" s="293">
        <v>0.11799999999999999</v>
      </c>
      <c r="C396" s="294">
        <v>0.16400000000000001</v>
      </c>
      <c r="D396" s="294">
        <v>9.6000000000000002E-2</v>
      </c>
      <c r="E396" s="294">
        <v>0.112</v>
      </c>
      <c r="F396" s="294">
        <v>0.33600000000000002</v>
      </c>
      <c r="G396" s="294">
        <v>0.126</v>
      </c>
      <c r="H396" s="294">
        <v>2.4E-2</v>
      </c>
      <c r="I396" s="294">
        <v>0.36399999999999999</v>
      </c>
      <c r="J396" s="294">
        <v>0.16900000000000001</v>
      </c>
      <c r="K396" s="294">
        <v>0.25800000000000001</v>
      </c>
      <c r="L396" s="295">
        <v>0.35899999999999999</v>
      </c>
    </row>
    <row r="397" spans="1:15" s="366" customFormat="1" ht="13.5" customHeight="1">
      <c r="A397" s="231" t="s">
        <v>159</v>
      </c>
      <c r="B397" s="209"/>
      <c r="C397" s="209"/>
      <c r="D397" s="209"/>
      <c r="E397" s="209"/>
      <c r="F397" s="209"/>
      <c r="G397" s="209"/>
      <c r="H397" s="32"/>
      <c r="I397" s="32"/>
      <c r="J397" s="32"/>
      <c r="K397" s="32"/>
      <c r="L397" s="32"/>
      <c r="M397" s="32"/>
      <c r="N397" s="361"/>
      <c r="O397" s="361"/>
    </row>
    <row r="398" spans="1:15" s="366" customFormat="1" ht="13.5" customHeight="1">
      <c r="A398" s="231" t="s">
        <v>160</v>
      </c>
      <c r="B398" s="209"/>
      <c r="C398" s="209"/>
      <c r="D398" s="209"/>
      <c r="E398" s="209"/>
      <c r="F398" s="209"/>
      <c r="G398" s="209"/>
      <c r="H398" s="32"/>
      <c r="I398" s="32"/>
      <c r="J398" s="32"/>
      <c r="K398" s="32"/>
      <c r="L398" s="32"/>
      <c r="M398" s="32"/>
      <c r="N398" s="361"/>
      <c r="O398" s="361"/>
    </row>
    <row r="399" spans="1:15" s="366" customFormat="1" ht="13.5" customHeight="1">
      <c r="A399" s="231" t="s">
        <v>161</v>
      </c>
      <c r="B399" s="209"/>
      <c r="C399" s="209"/>
      <c r="D399" s="209"/>
      <c r="E399" s="209"/>
      <c r="F399" s="209"/>
      <c r="G399" s="209"/>
      <c r="H399" s="32"/>
      <c r="I399" s="32"/>
      <c r="J399" s="32"/>
      <c r="K399" s="32"/>
      <c r="L399" s="32"/>
      <c r="M399" s="32"/>
    </row>
    <row r="400" spans="1:15" s="366" customFormat="1" ht="13.5" customHeight="1">
      <c r="A400" s="153"/>
      <c r="B400" s="66"/>
      <c r="C400" s="66"/>
      <c r="D400" s="66"/>
      <c r="E400" s="66"/>
      <c r="F400" s="66"/>
      <c r="G400" s="66"/>
      <c r="H400" s="66"/>
      <c r="I400" s="66"/>
      <c r="J400" s="66"/>
      <c r="K400" s="66"/>
      <c r="L400" s="342"/>
      <c r="M400" s="342"/>
    </row>
    <row r="401" spans="1:20" ht="13.5" customHeight="1" thickBot="1">
      <c r="A401" s="34"/>
      <c r="B401" s="34"/>
      <c r="C401" s="34"/>
      <c r="D401" s="34"/>
      <c r="E401" s="34"/>
      <c r="F401" s="34"/>
      <c r="G401" s="34"/>
      <c r="H401" s="34"/>
      <c r="I401" s="34"/>
      <c r="J401" s="34"/>
      <c r="K401" s="34"/>
      <c r="L401" s="34"/>
      <c r="M401" s="34"/>
      <c r="N401" s="34"/>
      <c r="O401" s="34"/>
      <c r="P401" s="34"/>
      <c r="Q401" s="34"/>
      <c r="R401" s="34"/>
      <c r="S401" s="34"/>
      <c r="T401" s="34"/>
    </row>
    <row r="402" spans="1:20" ht="13.5" customHeight="1">
      <c r="A402" s="32"/>
      <c r="B402" s="32"/>
      <c r="C402" s="32"/>
      <c r="D402" s="32"/>
      <c r="E402" s="32"/>
      <c r="F402" s="32"/>
      <c r="G402" s="32"/>
      <c r="H402" s="32"/>
      <c r="I402" s="32"/>
      <c r="J402" s="32"/>
      <c r="K402" s="32"/>
      <c r="L402" s="32"/>
      <c r="M402" s="32"/>
      <c r="N402" s="32"/>
      <c r="O402" s="32"/>
      <c r="P402" s="32"/>
      <c r="Q402" s="32"/>
      <c r="R402" s="32"/>
      <c r="S402" s="32"/>
      <c r="T402" s="32"/>
    </row>
    <row r="403" spans="1:20" ht="13.5" customHeight="1">
      <c r="A403" s="22" t="s">
        <v>179</v>
      </c>
      <c r="B403" s="464" t="s">
        <v>287</v>
      </c>
      <c r="C403"/>
      <c r="D403"/>
      <c r="E403"/>
      <c r="F403" s="465"/>
      <c r="G403" s="354"/>
      <c r="H403" s="354"/>
      <c r="I403" s="354"/>
      <c r="J403"/>
      <c r="K403"/>
      <c r="L403"/>
      <c r="M403"/>
    </row>
    <row r="404" spans="1:20" ht="13.5" customHeight="1" thickBot="1">
      <c r="A404"/>
      <c r="B404"/>
      <c r="C404"/>
      <c r="D404"/>
      <c r="E404"/>
      <c r="F404"/>
      <c r="G404"/>
      <c r="H404"/>
      <c r="I404"/>
      <c r="J404"/>
      <c r="K404"/>
      <c r="L404"/>
      <c r="M404"/>
    </row>
    <row r="405" spans="1:20" s="185" customFormat="1" ht="13.5" customHeight="1" thickBot="1">
      <c r="A405" s="275"/>
      <c r="B405" s="276">
        <v>40179</v>
      </c>
      <c r="C405" s="267">
        <v>40210</v>
      </c>
      <c r="D405" s="267">
        <v>40238</v>
      </c>
      <c r="E405" s="267">
        <v>40269</v>
      </c>
      <c r="F405" s="267">
        <v>40299</v>
      </c>
      <c r="G405" s="267">
        <v>40330</v>
      </c>
      <c r="H405" s="267">
        <v>40360</v>
      </c>
      <c r="I405" s="267">
        <v>40391</v>
      </c>
      <c r="J405" s="267">
        <v>40422</v>
      </c>
      <c r="K405" s="267">
        <v>40452</v>
      </c>
      <c r="L405" s="267">
        <v>40483</v>
      </c>
      <c r="M405" s="268">
        <v>40513</v>
      </c>
    </row>
    <row r="406" spans="1:20" s="185" customFormat="1" ht="13.5" customHeight="1" thickBot="1">
      <c r="A406" s="277" t="s">
        <v>162</v>
      </c>
      <c r="B406" s="279">
        <v>621000</v>
      </c>
      <c r="C406" s="280">
        <v>638000</v>
      </c>
      <c r="D406" s="280">
        <v>656000</v>
      </c>
      <c r="E406" s="280">
        <v>665000</v>
      </c>
      <c r="F406" s="280">
        <v>683000</v>
      </c>
      <c r="G406" s="280">
        <v>699000</v>
      </c>
      <c r="H406" s="280">
        <v>715000</v>
      </c>
      <c r="I406" s="280">
        <v>724000</v>
      </c>
      <c r="J406" s="280">
        <v>737000</v>
      </c>
      <c r="K406" s="280">
        <v>747000</v>
      </c>
      <c r="L406" s="280">
        <v>760000</v>
      </c>
      <c r="M406" s="281">
        <v>776000</v>
      </c>
    </row>
    <row r="407" spans="1:20" s="185" customFormat="1" ht="13.5" customHeight="1" thickBot="1">
      <c r="A407" s="275"/>
      <c r="B407" s="37"/>
      <c r="C407" s="37"/>
      <c r="D407" s="37"/>
      <c r="E407" s="37"/>
      <c r="F407" s="37"/>
      <c r="G407" s="37"/>
      <c r="H407" s="37"/>
      <c r="I407" s="37"/>
      <c r="J407" s="37"/>
      <c r="K407" s="37"/>
      <c r="L407" s="37"/>
      <c r="M407" s="37"/>
    </row>
    <row r="408" spans="1:20" s="185" customFormat="1" ht="13.5" customHeight="1" thickBot="1">
      <c r="A408" s="275"/>
      <c r="B408" s="276">
        <v>40544</v>
      </c>
      <c r="C408" s="267">
        <v>40575</v>
      </c>
      <c r="D408" s="267">
        <v>40603</v>
      </c>
      <c r="E408" s="267">
        <v>40634</v>
      </c>
      <c r="F408" s="267">
        <v>40664</v>
      </c>
      <c r="G408" s="267">
        <v>40695</v>
      </c>
      <c r="H408" s="267">
        <v>40725</v>
      </c>
      <c r="I408" s="267">
        <v>40756</v>
      </c>
      <c r="J408" s="267">
        <v>40787</v>
      </c>
      <c r="K408" s="267">
        <v>40817</v>
      </c>
      <c r="L408" s="267">
        <v>40848</v>
      </c>
      <c r="M408" s="268">
        <v>40878</v>
      </c>
    </row>
    <row r="409" spans="1:20" s="185" customFormat="1" ht="13.5" customHeight="1" thickBot="1">
      <c r="A409" s="282" t="s">
        <v>162</v>
      </c>
      <c r="B409" s="279">
        <v>779000</v>
      </c>
      <c r="C409" s="280">
        <v>785000</v>
      </c>
      <c r="D409" s="280">
        <v>796000</v>
      </c>
      <c r="E409" s="280">
        <v>800000</v>
      </c>
      <c r="F409" s="280">
        <v>799000</v>
      </c>
      <c r="G409" s="280">
        <v>807000</v>
      </c>
      <c r="H409" s="280">
        <v>814000</v>
      </c>
      <c r="I409" s="280">
        <v>818000</v>
      </c>
      <c r="J409" s="280">
        <v>821000</v>
      </c>
      <c r="K409" s="280">
        <v>810000</v>
      </c>
      <c r="L409" s="280">
        <v>804000</v>
      </c>
      <c r="M409" s="281">
        <v>801000</v>
      </c>
    </row>
    <row r="410" spans="1:20" s="185" customFormat="1" ht="13.5" customHeight="1" thickBot="1">
      <c r="A410" s="275"/>
      <c r="B410" s="37"/>
      <c r="C410" s="37"/>
      <c r="D410" s="37"/>
      <c r="E410" s="37"/>
      <c r="F410" s="37"/>
      <c r="G410" s="37"/>
      <c r="H410" s="37"/>
      <c r="I410" s="37"/>
      <c r="J410" s="37"/>
      <c r="K410" s="37"/>
      <c r="L410" s="37"/>
      <c r="M410" s="37"/>
    </row>
    <row r="411" spans="1:20" s="185" customFormat="1" ht="13.5" customHeight="1" thickBot="1">
      <c r="A411" s="275"/>
      <c r="B411" s="276">
        <v>40909</v>
      </c>
      <c r="C411" s="267">
        <v>40940</v>
      </c>
      <c r="D411" s="267">
        <v>40969</v>
      </c>
      <c r="E411" s="267">
        <v>41000</v>
      </c>
      <c r="F411" s="267">
        <v>41030</v>
      </c>
      <c r="G411" s="267">
        <v>41061</v>
      </c>
      <c r="H411" s="267">
        <v>41091</v>
      </c>
      <c r="I411" s="267">
        <v>41122</v>
      </c>
      <c r="J411" s="267">
        <v>41153</v>
      </c>
      <c r="K411" s="267">
        <v>41183</v>
      </c>
      <c r="L411" s="267">
        <v>41214</v>
      </c>
      <c r="M411" s="268">
        <v>41244</v>
      </c>
    </row>
    <row r="412" spans="1:20" s="185" customFormat="1" ht="13.5" customHeight="1" thickBot="1">
      <c r="A412" s="282" t="s">
        <v>162</v>
      </c>
      <c r="B412" s="466">
        <v>833000</v>
      </c>
      <c r="C412" s="467">
        <v>834000</v>
      </c>
      <c r="D412" s="467">
        <v>816000</v>
      </c>
      <c r="E412" s="467">
        <v>802000</v>
      </c>
      <c r="F412" s="467">
        <v>783000</v>
      </c>
      <c r="G412" s="467">
        <v>781000</v>
      </c>
      <c r="H412" s="467">
        <v>757000</v>
      </c>
      <c r="I412" s="467">
        <v>737000</v>
      </c>
      <c r="J412" s="467">
        <v>734000</v>
      </c>
      <c r="K412" s="467">
        <v>728000</v>
      </c>
      <c r="L412" s="467">
        <v>717000</v>
      </c>
      <c r="M412" s="468">
        <v>708000</v>
      </c>
    </row>
    <row r="413" spans="1:20" s="185" customFormat="1" ht="13.5" customHeight="1" thickBot="1">
      <c r="A413" s="275"/>
      <c r="B413" s="278"/>
      <c r="C413" s="278"/>
      <c r="D413" s="278"/>
      <c r="E413" s="278"/>
      <c r="F413" s="278"/>
      <c r="G413" s="278"/>
      <c r="H413" s="278"/>
      <c r="I413" s="278"/>
      <c r="J413" s="278"/>
      <c r="K413" s="278"/>
      <c r="L413" s="278"/>
      <c r="M413" s="278"/>
    </row>
    <row r="414" spans="1:20" s="185" customFormat="1" ht="13.5" customHeight="1" thickBot="1">
      <c r="A414" s="275"/>
      <c r="B414" s="276">
        <v>41275</v>
      </c>
      <c r="C414" s="267">
        <v>41306</v>
      </c>
      <c r="D414" s="267">
        <v>41334</v>
      </c>
      <c r="E414" s="267">
        <v>41365</v>
      </c>
      <c r="F414" s="267">
        <v>41395</v>
      </c>
      <c r="G414" s="267">
        <v>41426</v>
      </c>
      <c r="H414" s="267">
        <v>41456</v>
      </c>
      <c r="I414" s="267">
        <v>41487</v>
      </c>
      <c r="J414" s="267">
        <v>41518</v>
      </c>
      <c r="K414" s="267">
        <v>41548</v>
      </c>
      <c r="L414" s="267">
        <v>41579</v>
      </c>
      <c r="M414" s="268">
        <v>41609</v>
      </c>
    </row>
    <row r="415" spans="1:20" s="185" customFormat="1" ht="13.5" customHeight="1" thickBot="1">
      <c r="A415" s="282" t="s">
        <v>162</v>
      </c>
      <c r="B415" s="469">
        <v>659000</v>
      </c>
      <c r="C415" s="470">
        <v>652000</v>
      </c>
      <c r="D415" s="470">
        <v>661000</v>
      </c>
      <c r="E415" s="470">
        <v>664000</v>
      </c>
      <c r="F415" s="470">
        <v>664000</v>
      </c>
      <c r="G415" s="470">
        <v>676000</v>
      </c>
      <c r="H415" s="470">
        <v>677000</v>
      </c>
      <c r="I415" s="470">
        <v>681000</v>
      </c>
      <c r="J415" s="470">
        <v>690000</v>
      </c>
      <c r="K415" s="470">
        <v>692000</v>
      </c>
      <c r="L415" s="470">
        <v>709000</v>
      </c>
      <c r="M415" s="471">
        <v>720000</v>
      </c>
    </row>
    <row r="416" spans="1:20" s="185" customFormat="1" ht="13.5" customHeight="1" thickBot="1">
      <c r="A416" s="275"/>
      <c r="B416" s="37"/>
      <c r="C416" s="37"/>
      <c r="D416" s="37"/>
      <c r="E416" s="37"/>
      <c r="F416" s="37"/>
      <c r="G416" s="37"/>
      <c r="H416" s="37"/>
      <c r="I416" s="37"/>
      <c r="J416" s="37"/>
      <c r="K416" s="37"/>
      <c r="L416" s="37"/>
      <c r="M416" s="37"/>
    </row>
    <row r="417" spans="1:53" s="185" customFormat="1" ht="13.5" customHeight="1" thickBot="1">
      <c r="A417" s="275"/>
      <c r="B417" s="276">
        <v>41640</v>
      </c>
      <c r="C417" s="267">
        <v>41671</v>
      </c>
      <c r="D417" s="267">
        <v>41699</v>
      </c>
      <c r="E417" s="267">
        <v>41730</v>
      </c>
      <c r="F417" s="267">
        <v>41760</v>
      </c>
      <c r="G417" s="267">
        <v>41791</v>
      </c>
      <c r="H417" s="267">
        <v>41821</v>
      </c>
      <c r="I417" s="267">
        <v>41852</v>
      </c>
      <c r="J417" s="267">
        <v>41883</v>
      </c>
      <c r="K417" s="267">
        <v>41913</v>
      </c>
      <c r="L417" s="267">
        <v>41944</v>
      </c>
      <c r="M417" s="268">
        <v>41974</v>
      </c>
    </row>
    <row r="418" spans="1:53" s="185" customFormat="1" ht="13.5" customHeight="1" thickBot="1">
      <c r="A418" s="277" t="s">
        <v>162</v>
      </c>
      <c r="B418" s="472">
        <v>722000</v>
      </c>
      <c r="C418" s="473">
        <v>739000</v>
      </c>
      <c r="D418" s="473">
        <v>736000</v>
      </c>
      <c r="E418" s="473">
        <v>737000</v>
      </c>
      <c r="F418" s="473">
        <v>744000</v>
      </c>
      <c r="G418" s="473">
        <v>736000</v>
      </c>
      <c r="H418" s="473">
        <v>733000</v>
      </c>
      <c r="I418" s="473">
        <v>736000</v>
      </c>
      <c r="J418" s="473">
        <v>727000</v>
      </c>
      <c r="K418" s="473">
        <v>721000</v>
      </c>
      <c r="L418" s="473">
        <v>707000</v>
      </c>
      <c r="M418" s="474">
        <v>694000</v>
      </c>
    </row>
    <row r="419" spans="1:53" s="185" customFormat="1" ht="13.5" customHeight="1" thickBot="1">
      <c r="A419" s="275"/>
      <c r="B419" s="39"/>
      <c r="C419" s="39"/>
      <c r="D419" s="39"/>
      <c r="E419" s="39"/>
      <c r="F419" s="39"/>
      <c r="G419" s="39"/>
      <c r="H419" s="39"/>
      <c r="I419" s="39"/>
      <c r="J419" s="39"/>
      <c r="K419" s="39"/>
      <c r="L419" s="39"/>
      <c r="M419" s="39"/>
    </row>
    <row r="420" spans="1:53" s="185" customFormat="1" ht="13.5" customHeight="1" thickBot="1">
      <c r="A420" s="275"/>
      <c r="B420" s="276">
        <v>42005</v>
      </c>
      <c r="C420" s="267">
        <v>42036</v>
      </c>
      <c r="D420" s="267">
        <v>42064</v>
      </c>
      <c r="E420" s="267">
        <v>42095</v>
      </c>
      <c r="F420" s="267">
        <v>42125</v>
      </c>
      <c r="G420" s="267">
        <v>42156</v>
      </c>
      <c r="H420" s="267">
        <v>42186</v>
      </c>
      <c r="I420" s="267">
        <v>42217</v>
      </c>
      <c r="J420" s="267">
        <v>42248</v>
      </c>
      <c r="K420" s="267">
        <v>42278</v>
      </c>
      <c r="L420" s="267">
        <v>42309</v>
      </c>
      <c r="M420" s="268">
        <v>42339</v>
      </c>
    </row>
    <row r="421" spans="1:53" s="185" customFormat="1" ht="13.5" customHeight="1" thickBot="1">
      <c r="A421" s="277" t="s">
        <v>162</v>
      </c>
      <c r="B421" s="472">
        <v>697000</v>
      </c>
      <c r="C421" s="473">
        <v>691000</v>
      </c>
      <c r="D421" s="473">
        <v>697000</v>
      </c>
      <c r="E421" s="473">
        <v>696000</v>
      </c>
      <c r="F421" s="473">
        <v>700000</v>
      </c>
      <c r="G421" s="473">
        <v>715000</v>
      </c>
      <c r="H421" s="473">
        <v>726000</v>
      </c>
      <c r="I421" s="473">
        <v>738000</v>
      </c>
      <c r="J421" s="473">
        <v>753000</v>
      </c>
      <c r="K421" s="473">
        <v>772000</v>
      </c>
      <c r="L421" s="473">
        <v>793000</v>
      </c>
      <c r="M421" s="474">
        <v>797000</v>
      </c>
    </row>
    <row r="422" spans="1:53" s="185" customFormat="1" ht="13.5" customHeight="1" thickBot="1">
      <c r="A422" s="275"/>
      <c r="B422" s="39"/>
      <c r="C422" s="39"/>
      <c r="D422" s="39"/>
      <c r="E422" s="39"/>
      <c r="F422" s="39"/>
      <c r="G422" s="39"/>
      <c r="H422" s="39"/>
      <c r="I422" s="39"/>
      <c r="J422" s="39"/>
      <c r="K422" s="39"/>
      <c r="L422" s="39"/>
      <c r="M422" s="39"/>
    </row>
    <row r="423" spans="1:53" s="185" customFormat="1" ht="13.5" customHeight="1" thickBot="1">
      <c r="A423" s="275"/>
      <c r="B423" s="475">
        <v>42370</v>
      </c>
      <c r="C423" s="476">
        <v>42401</v>
      </c>
      <c r="D423" s="476">
        <v>42430</v>
      </c>
      <c r="E423" s="476">
        <v>42461</v>
      </c>
      <c r="F423" s="476">
        <v>42491</v>
      </c>
      <c r="G423" s="476">
        <v>42522</v>
      </c>
      <c r="H423" s="476">
        <v>42552</v>
      </c>
      <c r="I423" s="476">
        <v>42583</v>
      </c>
      <c r="J423" s="476">
        <v>42614</v>
      </c>
      <c r="K423" s="476">
        <v>42644</v>
      </c>
      <c r="L423" s="476">
        <v>42675</v>
      </c>
      <c r="M423" s="477">
        <v>42705</v>
      </c>
    </row>
    <row r="424" spans="1:53" s="185" customFormat="1" ht="13.5" customHeight="1" thickBot="1">
      <c r="A424" s="282" t="s">
        <v>162</v>
      </c>
      <c r="B424" s="472">
        <v>803000</v>
      </c>
      <c r="C424" s="473">
        <v>804000</v>
      </c>
      <c r="D424" s="473">
        <v>809000</v>
      </c>
      <c r="E424" s="473">
        <v>819000</v>
      </c>
      <c r="F424" s="473">
        <v>824000</v>
      </c>
      <c r="G424" s="473">
        <v>819000</v>
      </c>
      <c r="H424" s="473">
        <v>827000</v>
      </c>
      <c r="I424" s="473">
        <v>829000</v>
      </c>
      <c r="J424" s="473">
        <v>824000</v>
      </c>
      <c r="K424" s="473">
        <v>829000</v>
      </c>
      <c r="L424" s="473">
        <v>831000</v>
      </c>
      <c r="M424" s="474">
        <v>844000</v>
      </c>
    </row>
    <row r="425" spans="1:53" s="185" customFormat="1" ht="13.5" customHeight="1" thickBot="1">
      <c r="A425" s="275"/>
      <c r="B425" s="215"/>
      <c r="C425" s="215"/>
      <c r="D425" s="215"/>
      <c r="E425" s="215"/>
      <c r="F425" s="215"/>
      <c r="G425" s="215"/>
      <c r="H425" s="215"/>
      <c r="I425" s="215"/>
      <c r="J425" s="215"/>
      <c r="K425" s="215"/>
      <c r="L425" s="215"/>
      <c r="M425" s="215"/>
    </row>
    <row r="426" spans="1:53" s="185" customFormat="1" ht="13.5" customHeight="1" thickBot="1">
      <c r="A426" s="153"/>
      <c r="B426" s="475">
        <v>42736</v>
      </c>
      <c r="C426" s="476">
        <v>42767</v>
      </c>
      <c r="D426" s="476">
        <v>42795</v>
      </c>
      <c r="E426" s="476">
        <v>42826</v>
      </c>
      <c r="F426" s="476">
        <v>42856</v>
      </c>
      <c r="G426" s="476">
        <v>42887</v>
      </c>
      <c r="H426" s="476">
        <v>42917</v>
      </c>
      <c r="I426" s="477">
        <v>42948</v>
      </c>
      <c r="J426" s="215"/>
      <c r="K426" s="215"/>
      <c r="L426" s="215"/>
      <c r="M426" s="215"/>
    </row>
    <row r="427" spans="1:53" s="185" customFormat="1" ht="13.5" customHeight="1" thickBot="1">
      <c r="A427" s="478" t="s">
        <v>162</v>
      </c>
      <c r="B427" s="472">
        <v>851000</v>
      </c>
      <c r="C427" s="473">
        <v>870000</v>
      </c>
      <c r="D427" s="473">
        <v>878000</v>
      </c>
      <c r="E427" s="473">
        <v>891000</v>
      </c>
      <c r="F427" s="473">
        <v>904000</v>
      </c>
      <c r="G427" s="473">
        <v>921000</v>
      </c>
      <c r="H427" s="473">
        <v>931000</v>
      </c>
      <c r="I427" s="474">
        <v>934000</v>
      </c>
      <c r="J427" s="215"/>
      <c r="K427" s="215"/>
      <c r="L427" s="215"/>
      <c r="M427" s="215"/>
    </row>
    <row r="428" spans="1:53" ht="13.5" customHeight="1">
      <c r="A428" s="5" t="s">
        <v>163</v>
      </c>
      <c r="B428" s="215"/>
      <c r="C428" s="215"/>
      <c r="D428" s="215"/>
      <c r="E428" s="215"/>
      <c r="F428" s="215"/>
      <c r="G428" s="215"/>
      <c r="H428" s="215"/>
      <c r="I428" s="215"/>
      <c r="J428" s="215"/>
      <c r="K428" s="215"/>
      <c r="L428" s="215"/>
      <c r="M428" s="32"/>
    </row>
    <row r="429" spans="1:53" s="366" customFormat="1" ht="13.5" customHeight="1">
      <c r="A429" s="5" t="s">
        <v>164</v>
      </c>
      <c r="B429" s="22"/>
      <c r="C429" s="32"/>
      <c r="D429" s="32"/>
      <c r="E429" s="32"/>
      <c r="F429" s="32"/>
      <c r="G429" s="32"/>
      <c r="H429" s="32"/>
      <c r="I429" s="32"/>
      <c r="J429" s="32"/>
      <c r="K429" s="32"/>
      <c r="L429" s="32"/>
      <c r="M429" s="32"/>
      <c r="N429" s="361"/>
      <c r="O429" s="361"/>
    </row>
    <row r="430" spans="1:53">
      <c r="A430"/>
      <c r="B430"/>
      <c r="C430"/>
      <c r="D430"/>
      <c r="E430"/>
      <c r="F430"/>
      <c r="G430"/>
      <c r="H430"/>
      <c r="I430"/>
      <c r="J430"/>
      <c r="K430"/>
      <c r="L430"/>
      <c r="M430"/>
    </row>
    <row r="431" spans="1:53">
      <c r="A431"/>
      <c r="B431"/>
      <c r="C431"/>
      <c r="D431"/>
      <c r="E431"/>
      <c r="F431"/>
      <c r="G431"/>
      <c r="H431"/>
      <c r="I431"/>
      <c r="J431"/>
      <c r="K431"/>
      <c r="L431"/>
      <c r="M431"/>
    </row>
    <row r="432" spans="1:53" s="200" customFormat="1" ht="13.5">
      <c r="A432" s="369" t="s">
        <v>185</v>
      </c>
      <c r="B432" s="370"/>
      <c r="C432" s="370"/>
      <c r="D432" s="370"/>
      <c r="E432" s="370"/>
      <c r="F432" s="370"/>
      <c r="G432" s="370"/>
      <c r="H432" s="370"/>
      <c r="I432" s="370"/>
      <c r="J432" s="370"/>
      <c r="K432" s="370"/>
      <c r="L432" s="370"/>
      <c r="M432" s="370"/>
      <c r="N432" s="370"/>
      <c r="O432" s="370"/>
      <c r="P432" s="370"/>
      <c r="Q432" s="370"/>
      <c r="R432" s="370"/>
      <c r="S432" s="370"/>
      <c r="T432" s="370"/>
      <c r="U432" s="370"/>
      <c r="V432" s="370"/>
      <c r="W432" s="370"/>
      <c r="X432" s="370"/>
      <c r="AT432" s="32"/>
      <c r="AU432" s="32"/>
      <c r="AV432" s="32"/>
      <c r="AW432" s="32"/>
      <c r="AX432" s="32"/>
      <c r="AY432" s="32"/>
      <c r="AZ432" s="32"/>
      <c r="BA432" s="32"/>
    </row>
    <row r="433" spans="1:128" ht="13.5" customHeight="1">
      <c r="A433" s="5"/>
      <c r="B433" s="285"/>
      <c r="C433" s="285"/>
      <c r="D433" s="285"/>
      <c r="E433" s="285"/>
      <c r="F433" s="285"/>
      <c r="G433" s="285"/>
      <c r="H433" s="285"/>
      <c r="I433" s="285"/>
      <c r="J433" s="285"/>
      <c r="K433" s="285"/>
      <c r="L433" s="285"/>
      <c r="M433" s="285"/>
      <c r="N433" s="285"/>
      <c r="O433" s="285"/>
      <c r="P433" s="285"/>
      <c r="Q433" s="285"/>
      <c r="R433" s="285"/>
      <c r="S433" s="285"/>
      <c r="T433" s="285"/>
      <c r="U433" s="285"/>
      <c r="V433" s="285"/>
      <c r="W433" s="285"/>
      <c r="X433" s="285"/>
      <c r="Y433" s="285"/>
      <c r="Z433" s="285"/>
      <c r="AA433" s="285"/>
      <c r="AB433" s="285"/>
      <c r="AC433" s="285"/>
      <c r="AD433" s="285"/>
      <c r="AE433" s="285"/>
      <c r="AF433" s="285"/>
      <c r="AG433" s="285"/>
      <c r="AH433" s="285"/>
      <c r="AI433" s="285"/>
      <c r="AJ433" s="32"/>
      <c r="AK433" s="32"/>
      <c r="AL433" s="32"/>
      <c r="AM433" s="32"/>
      <c r="AN433" s="32"/>
      <c r="AO433" s="32"/>
      <c r="AP433" s="32"/>
      <c r="AQ433" s="32"/>
      <c r="AR433" s="32"/>
      <c r="AS433" s="32"/>
      <c r="AT433" s="32"/>
      <c r="AU433" s="32"/>
      <c r="AV433" s="32"/>
      <c r="AW433" s="32"/>
      <c r="AX433" s="32"/>
      <c r="AY433" s="32"/>
      <c r="AZ433" s="32"/>
      <c r="BA433" s="32"/>
      <c r="BB433" s="285"/>
      <c r="BC433" s="285"/>
      <c r="BD433" s="285"/>
      <c r="BE433" s="285"/>
      <c r="BF433" s="285"/>
      <c r="BG433" s="285"/>
      <c r="BH433" s="285"/>
      <c r="BI433" s="285"/>
      <c r="BJ433" s="285"/>
      <c r="BK433" s="285"/>
      <c r="BL433" s="285"/>
      <c r="BM433" s="285"/>
      <c r="BN433" s="285"/>
      <c r="BO433" s="285"/>
      <c r="BP433" s="479"/>
      <c r="BQ433" s="479"/>
      <c r="BR433" s="479"/>
      <c r="BS433" s="479"/>
      <c r="BT433" s="479"/>
      <c r="BU433" s="479"/>
      <c r="BV433" s="284"/>
      <c r="BW433" s="284"/>
      <c r="BX433" s="284"/>
      <c r="BY433" s="284"/>
      <c r="BZ433" s="284"/>
      <c r="CA433" s="284"/>
      <c r="CB433" s="284"/>
      <c r="CC433" s="284"/>
      <c r="CD433" s="284"/>
      <c r="CE433" s="284"/>
      <c r="CF433" s="284"/>
      <c r="CG433" s="284"/>
      <c r="CH433" s="284"/>
      <c r="CI433" s="284"/>
      <c r="CJ433" s="284"/>
      <c r="CK433" s="284"/>
      <c r="CL433" s="284"/>
      <c r="CM433" s="284"/>
      <c r="CN433" s="284"/>
      <c r="CO433" s="284"/>
      <c r="CP433" s="284"/>
      <c r="CQ433" s="284"/>
      <c r="CR433" s="284"/>
      <c r="CS433" s="284"/>
      <c r="CT433" s="284"/>
      <c r="CU433" s="284"/>
      <c r="CV433" s="284"/>
      <c r="CW433" s="284"/>
      <c r="CX433" s="284"/>
      <c r="CY433" s="284"/>
      <c r="CZ433" s="284"/>
      <c r="DA433" s="284"/>
      <c r="DB433" s="284"/>
      <c r="DC433" s="284"/>
      <c r="DD433" s="284"/>
      <c r="DE433" s="284"/>
      <c r="DF433" s="284"/>
      <c r="DG433" s="284"/>
      <c r="DH433" s="284"/>
      <c r="DI433" s="284"/>
      <c r="DJ433" s="284"/>
      <c r="DK433" s="284"/>
      <c r="DL433" s="284"/>
      <c r="DM433" s="284"/>
      <c r="DN433" s="284"/>
      <c r="DO433" s="284"/>
      <c r="DP433" s="284"/>
      <c r="DQ433" s="284"/>
      <c r="DR433" s="284"/>
      <c r="DS433" s="284"/>
      <c r="DT433" s="284"/>
      <c r="DU433" s="1"/>
      <c r="DV433" s="1"/>
      <c r="DW433" s="1"/>
      <c r="DX433" s="1"/>
    </row>
    <row r="434" spans="1:128" ht="13.5" customHeight="1">
      <c r="A434" s="22" t="s">
        <v>188</v>
      </c>
      <c r="B434" s="7" t="s">
        <v>288</v>
      </c>
      <c r="C434" s="14"/>
      <c r="D434" s="14"/>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c r="BK434" s="32"/>
      <c r="BL434" s="32"/>
      <c r="BM434" s="32"/>
      <c r="BN434" s="32"/>
      <c r="BO434" s="32"/>
      <c r="BP434" s="32"/>
      <c r="BQ434" s="32"/>
      <c r="BR434" s="32"/>
      <c r="BS434" s="32"/>
      <c r="BT434" s="32"/>
      <c r="BU434" s="32"/>
      <c r="BV434" s="32"/>
      <c r="BW434" s="32"/>
      <c r="BX434" s="32"/>
      <c r="BY434" s="32"/>
      <c r="BZ434" s="32"/>
      <c r="CA434" s="32"/>
      <c r="CB434" s="32"/>
      <c r="CC434" s="32"/>
      <c r="CD434" s="32"/>
      <c r="CE434" s="32"/>
      <c r="CF434" s="32"/>
      <c r="CG434" s="32"/>
      <c r="CH434" s="32"/>
      <c r="CI434" s="32"/>
      <c r="CJ434" s="32"/>
      <c r="CK434" s="32"/>
      <c r="CL434" s="32"/>
      <c r="CM434" s="32"/>
      <c r="CN434" s="32"/>
      <c r="CO434" s="32"/>
      <c r="CP434" s="32"/>
      <c r="CQ434" s="32"/>
      <c r="CR434" s="32"/>
      <c r="CS434" s="32"/>
      <c r="CT434" s="32"/>
      <c r="CU434" s="32"/>
      <c r="CV434" s="32"/>
      <c r="CW434" s="32"/>
      <c r="CX434" s="32"/>
      <c r="CY434" s="32"/>
      <c r="CZ434" s="32"/>
      <c r="DA434" s="32"/>
      <c r="DB434" s="32"/>
      <c r="DC434" s="32"/>
      <c r="DD434" s="32"/>
      <c r="DE434" s="32"/>
      <c r="DF434" s="32"/>
      <c r="DG434" s="32"/>
      <c r="DH434" s="32"/>
      <c r="DI434" s="32"/>
      <c r="DJ434" s="32"/>
      <c r="DK434" s="32"/>
      <c r="DL434" s="32"/>
      <c r="DM434" s="32"/>
      <c r="DN434" s="32"/>
      <c r="DO434" s="32"/>
      <c r="DP434" s="32"/>
      <c r="DQ434" s="32"/>
      <c r="DR434" s="32"/>
      <c r="DS434" s="32"/>
      <c r="DT434" s="32"/>
      <c r="DU434" s="32"/>
      <c r="DV434" s="32"/>
      <c r="DW434" s="32"/>
      <c r="DX434" s="32"/>
    </row>
    <row r="435" spans="1:128" ht="13.5" customHeight="1" thickBot="1">
      <c r="A435" s="303"/>
      <c r="B435" s="264"/>
      <c r="C435" s="264"/>
      <c r="D435" s="264"/>
      <c r="E435" s="264"/>
      <c r="F435" s="264"/>
      <c r="G435" s="264"/>
      <c r="H435" s="264"/>
      <c r="I435" s="264"/>
      <c r="J435" s="264"/>
      <c r="K435" s="264"/>
      <c r="L435" s="264"/>
      <c r="M435" s="264"/>
      <c r="N435" s="75"/>
      <c r="O435" s="32"/>
      <c r="P435" s="32"/>
      <c r="Q435" s="32"/>
      <c r="R435" s="264"/>
      <c r="S435" s="264"/>
      <c r="T435" s="264"/>
      <c r="U435" s="264"/>
      <c r="V435" s="264"/>
      <c r="W435" s="264"/>
      <c r="X435" s="264"/>
      <c r="Y435" s="264"/>
      <c r="Z435" s="264"/>
      <c r="AA435" s="264"/>
      <c r="AB435" s="264"/>
      <c r="AC435" s="264"/>
      <c r="AD435" s="264"/>
      <c r="AE435" s="264"/>
      <c r="AF435" s="264"/>
      <c r="AG435" s="264"/>
      <c r="AH435" s="264"/>
      <c r="AI435" s="264"/>
      <c r="AJ435" s="32"/>
      <c r="AK435" s="32"/>
      <c r="AL435" s="32"/>
      <c r="AM435" s="32"/>
      <c r="AN435" s="32"/>
      <c r="AO435" s="32"/>
      <c r="AP435" s="32"/>
      <c r="AQ435" s="32"/>
      <c r="AR435" s="32"/>
      <c r="AS435" s="32"/>
      <c r="AT435" s="32"/>
      <c r="AU435" s="32"/>
      <c r="AV435" s="32"/>
      <c r="AW435" s="32"/>
      <c r="AX435" s="32"/>
      <c r="AY435" s="32"/>
      <c r="AZ435" s="32"/>
      <c r="BA435" s="32"/>
      <c r="BB435" s="264"/>
      <c r="BC435" s="264"/>
      <c r="BD435" s="264"/>
      <c r="BE435" s="264"/>
      <c r="BF435" s="264"/>
      <c r="BG435" s="264"/>
      <c r="BH435" s="264"/>
      <c r="BI435" s="264"/>
      <c r="BJ435" s="264"/>
      <c r="BK435" s="264"/>
      <c r="BL435" s="264"/>
      <c r="BM435" s="264"/>
      <c r="BN435" s="264"/>
      <c r="BO435" s="264"/>
      <c r="BP435" s="264"/>
      <c r="BQ435" s="264"/>
      <c r="BR435" s="264"/>
      <c r="BS435" s="264"/>
      <c r="BT435" s="84"/>
      <c r="BU435" s="82"/>
      <c r="BV435" s="82"/>
      <c r="BW435" s="82"/>
    </row>
    <row r="436" spans="1:128" s="185" customFormat="1" ht="13.5" thickBot="1">
      <c r="A436" s="480"/>
      <c r="B436" s="265">
        <v>40179</v>
      </c>
      <c r="C436" s="267">
        <v>40210</v>
      </c>
      <c r="D436" s="266">
        <v>40238</v>
      </c>
      <c r="E436" s="267">
        <v>40269</v>
      </c>
      <c r="F436" s="266">
        <v>40299</v>
      </c>
      <c r="G436" s="267">
        <v>40330</v>
      </c>
      <c r="H436" s="266">
        <v>40360</v>
      </c>
      <c r="I436" s="267">
        <v>40391</v>
      </c>
      <c r="J436" s="266">
        <v>40422</v>
      </c>
      <c r="K436" s="267">
        <v>40452</v>
      </c>
      <c r="L436" s="266">
        <v>40483</v>
      </c>
      <c r="M436" s="271">
        <v>40513</v>
      </c>
    </row>
    <row r="437" spans="1:128" s="185" customFormat="1" ht="13.5">
      <c r="A437" s="481" t="s">
        <v>141</v>
      </c>
      <c r="B437" s="63">
        <v>4648893</v>
      </c>
      <c r="C437" s="37">
        <v>4231614</v>
      </c>
      <c r="D437" s="37">
        <v>4214658</v>
      </c>
      <c r="E437" s="37">
        <v>4180368</v>
      </c>
      <c r="F437" s="482">
        <v>4095649</v>
      </c>
      <c r="G437" s="482">
        <v>3849160</v>
      </c>
      <c r="H437" s="482">
        <v>3677454</v>
      </c>
      <c r="I437" s="482">
        <v>3461406</v>
      </c>
      <c r="J437" s="482">
        <v>3211484</v>
      </c>
      <c r="K437" s="482">
        <v>3177644</v>
      </c>
      <c r="L437" s="482">
        <v>3130324</v>
      </c>
      <c r="M437" s="483">
        <v>3088412</v>
      </c>
    </row>
    <row r="438" spans="1:128" s="185" customFormat="1" ht="13.5">
      <c r="A438" s="484" t="s">
        <v>142</v>
      </c>
      <c r="B438" s="64">
        <v>3952894</v>
      </c>
      <c r="C438" s="39">
        <v>3771546</v>
      </c>
      <c r="D438" s="39">
        <v>3590212</v>
      </c>
      <c r="E438" s="39">
        <v>3393990</v>
      </c>
      <c r="F438" s="66">
        <v>3187782</v>
      </c>
      <c r="G438" s="66">
        <v>2996635</v>
      </c>
      <c r="H438" s="66">
        <v>2691719</v>
      </c>
      <c r="I438" s="66">
        <v>2458717</v>
      </c>
      <c r="J438" s="66">
        <v>2062874</v>
      </c>
      <c r="K438" s="66">
        <v>1976182</v>
      </c>
      <c r="L438" s="66">
        <v>1745452</v>
      </c>
      <c r="M438" s="71">
        <v>1595603</v>
      </c>
    </row>
    <row r="439" spans="1:128" s="185" customFormat="1" ht="13.5">
      <c r="A439" s="484" t="s">
        <v>140</v>
      </c>
      <c r="B439" s="64">
        <v>3830883</v>
      </c>
      <c r="C439" s="39">
        <v>3707886</v>
      </c>
      <c r="D439" s="39">
        <v>3776041</v>
      </c>
      <c r="E439" s="39">
        <v>3858492</v>
      </c>
      <c r="F439" s="66">
        <v>3801430</v>
      </c>
      <c r="G439" s="66">
        <v>3778473</v>
      </c>
      <c r="H439" s="66">
        <v>3764596</v>
      </c>
      <c r="I439" s="66">
        <v>3547421</v>
      </c>
      <c r="J439" s="66">
        <v>3447458</v>
      </c>
      <c r="K439" s="66">
        <v>3503996</v>
      </c>
      <c r="L439" s="66">
        <v>3598382</v>
      </c>
      <c r="M439" s="71">
        <v>3789786</v>
      </c>
    </row>
    <row r="440" spans="1:128" s="185" customFormat="1" ht="13.5">
      <c r="A440" s="484" t="s">
        <v>139</v>
      </c>
      <c r="B440" s="64">
        <v>3348513</v>
      </c>
      <c r="C440" s="39">
        <v>3152553</v>
      </c>
      <c r="D440" s="39">
        <v>3176630</v>
      </c>
      <c r="E440" s="39">
        <v>3230777</v>
      </c>
      <c r="F440" s="66">
        <v>3222504</v>
      </c>
      <c r="G440" s="66">
        <v>3162397</v>
      </c>
      <c r="H440" s="66">
        <v>3135765</v>
      </c>
      <c r="I440" s="66">
        <v>3030006</v>
      </c>
      <c r="J440" s="66">
        <v>2951586</v>
      </c>
      <c r="K440" s="66">
        <v>2948087</v>
      </c>
      <c r="L440" s="66">
        <v>2857152</v>
      </c>
      <c r="M440" s="71">
        <v>2860196</v>
      </c>
    </row>
    <row r="441" spans="1:128" s="185" customFormat="1" ht="13.5">
      <c r="A441" s="484" t="s">
        <v>143</v>
      </c>
      <c r="B441" s="64">
        <v>3910701</v>
      </c>
      <c r="C441" s="39">
        <v>3756270</v>
      </c>
      <c r="D441" s="39">
        <v>3720188</v>
      </c>
      <c r="E441" s="39">
        <v>3644792</v>
      </c>
      <c r="F441" s="66">
        <v>3543340</v>
      </c>
      <c r="G441" s="66">
        <v>3463150</v>
      </c>
      <c r="H441" s="66">
        <v>3477167</v>
      </c>
      <c r="I441" s="66">
        <v>3310948</v>
      </c>
      <c r="J441" s="66">
        <v>3125187</v>
      </c>
      <c r="K441" s="66">
        <v>3140142</v>
      </c>
      <c r="L441" s="66">
        <v>3025084</v>
      </c>
      <c r="M441" s="71">
        <v>3151434</v>
      </c>
    </row>
    <row r="442" spans="1:128" s="185" customFormat="1" ht="13.5">
      <c r="A442" s="484" t="s">
        <v>186</v>
      </c>
      <c r="B442" s="64">
        <v>443764</v>
      </c>
      <c r="C442" s="39">
        <v>491607</v>
      </c>
      <c r="D442" s="39">
        <v>622297</v>
      </c>
      <c r="E442" s="39">
        <v>700130</v>
      </c>
      <c r="F442" s="66">
        <v>749177</v>
      </c>
      <c r="G442" s="66">
        <v>778725</v>
      </c>
      <c r="H442" s="66">
        <v>809457</v>
      </c>
      <c r="I442" s="66">
        <v>855678</v>
      </c>
      <c r="J442" s="66">
        <v>895414</v>
      </c>
      <c r="K442" s="66">
        <v>954921</v>
      </c>
      <c r="L442" s="66">
        <v>940579</v>
      </c>
      <c r="M442" s="71">
        <v>980363</v>
      </c>
    </row>
    <row r="443" spans="1:128" s="185" customFormat="1" ht="13.5">
      <c r="A443" s="484" t="s">
        <v>138</v>
      </c>
      <c r="B443" s="64">
        <v>462450</v>
      </c>
      <c r="C443" s="39">
        <v>464032</v>
      </c>
      <c r="D443" s="39">
        <v>487304</v>
      </c>
      <c r="E443" s="39">
        <v>542364</v>
      </c>
      <c r="F443" s="66">
        <v>599827</v>
      </c>
      <c r="G443" s="66">
        <v>604625</v>
      </c>
      <c r="H443" s="66">
        <v>594570</v>
      </c>
      <c r="I443" s="66">
        <v>605389</v>
      </c>
      <c r="J443" s="66">
        <v>570241</v>
      </c>
      <c r="K443" s="66">
        <v>596598</v>
      </c>
      <c r="L443" s="66">
        <v>596047</v>
      </c>
      <c r="M443" s="71">
        <v>610564</v>
      </c>
    </row>
    <row r="444" spans="1:128" s="185" customFormat="1" ht="25.5">
      <c r="A444" s="485" t="s">
        <v>187</v>
      </c>
      <c r="B444" s="263">
        <f t="shared" ref="B444:M444" si="61">SUM(B445:B450)</f>
        <v>6540969</v>
      </c>
      <c r="C444" s="264">
        <f t="shared" si="61"/>
        <v>6263837</v>
      </c>
      <c r="D444" s="264">
        <f t="shared" si="61"/>
        <v>6568622</v>
      </c>
      <c r="E444" s="264">
        <f t="shared" si="61"/>
        <v>6597777</v>
      </c>
      <c r="F444" s="264">
        <f t="shared" si="61"/>
        <v>6535684</v>
      </c>
      <c r="G444" s="264">
        <f t="shared" si="61"/>
        <v>6493031</v>
      </c>
      <c r="H444" s="264">
        <f t="shared" si="61"/>
        <v>6614689</v>
      </c>
      <c r="I444" s="264">
        <f t="shared" si="61"/>
        <v>6359733</v>
      </c>
      <c r="J444" s="264">
        <f t="shared" si="61"/>
        <v>6061969</v>
      </c>
      <c r="K444" s="264">
        <f t="shared" si="61"/>
        <v>6123505</v>
      </c>
      <c r="L444" s="264">
        <f t="shared" si="61"/>
        <v>6147554</v>
      </c>
      <c r="M444" s="262">
        <f t="shared" si="61"/>
        <v>6253867</v>
      </c>
    </row>
    <row r="445" spans="1:128" s="185" customFormat="1" ht="13.5">
      <c r="A445" s="484" t="s">
        <v>145</v>
      </c>
      <c r="B445" s="64">
        <v>1749538</v>
      </c>
      <c r="C445" s="39">
        <v>1678282</v>
      </c>
      <c r="D445" s="39">
        <v>1689733</v>
      </c>
      <c r="E445" s="39">
        <v>1725847</v>
      </c>
      <c r="F445" s="66">
        <v>1744708</v>
      </c>
      <c r="G445" s="66">
        <v>1727732</v>
      </c>
      <c r="H445" s="66">
        <v>1780307</v>
      </c>
      <c r="I445" s="66">
        <v>1688298</v>
      </c>
      <c r="J445" s="66">
        <v>1648271</v>
      </c>
      <c r="K445" s="66">
        <v>1659184</v>
      </c>
      <c r="L445" s="66">
        <v>1651066</v>
      </c>
      <c r="M445" s="71">
        <v>1676279</v>
      </c>
    </row>
    <row r="446" spans="1:128" s="185" customFormat="1" ht="13.5">
      <c r="A446" s="484" t="s">
        <v>149</v>
      </c>
      <c r="B446" s="64">
        <v>1291540</v>
      </c>
      <c r="C446" s="39">
        <v>1257935</v>
      </c>
      <c r="D446" s="39">
        <v>1291357</v>
      </c>
      <c r="E446" s="39">
        <v>1319634</v>
      </c>
      <c r="F446" s="66">
        <v>1301710</v>
      </c>
      <c r="G446" s="66">
        <v>1295731</v>
      </c>
      <c r="H446" s="66">
        <v>1311828</v>
      </c>
      <c r="I446" s="66">
        <v>1245488</v>
      </c>
      <c r="J446" s="66">
        <v>1191861</v>
      </c>
      <c r="K446" s="66">
        <v>1219604</v>
      </c>
      <c r="L446" s="66">
        <v>1246925</v>
      </c>
      <c r="M446" s="71">
        <v>1306841</v>
      </c>
    </row>
    <row r="447" spans="1:128" s="185" customFormat="1" ht="13.5">
      <c r="A447" s="484" t="s">
        <v>146</v>
      </c>
      <c r="B447" s="64">
        <v>2130985</v>
      </c>
      <c r="C447" s="39">
        <v>1987207</v>
      </c>
      <c r="D447" s="39">
        <v>2148552</v>
      </c>
      <c r="E447" s="39">
        <v>2081999</v>
      </c>
      <c r="F447" s="66">
        <v>2021087</v>
      </c>
      <c r="G447" s="66">
        <v>2012815</v>
      </c>
      <c r="H447" s="66">
        <v>1919216</v>
      </c>
      <c r="I447" s="66">
        <v>1851874</v>
      </c>
      <c r="J447" s="66">
        <v>1668687</v>
      </c>
      <c r="K447" s="66">
        <v>1699833</v>
      </c>
      <c r="L447" s="66">
        <v>1685193</v>
      </c>
      <c r="M447" s="71">
        <v>1736244</v>
      </c>
    </row>
    <row r="448" spans="1:128" s="185" customFormat="1" ht="13.5">
      <c r="A448" s="484" t="s">
        <v>147</v>
      </c>
      <c r="B448" s="64">
        <v>799264</v>
      </c>
      <c r="C448" s="39">
        <v>797535</v>
      </c>
      <c r="D448" s="39">
        <v>834860</v>
      </c>
      <c r="E448" s="39">
        <v>831430</v>
      </c>
      <c r="F448" s="66">
        <v>838204</v>
      </c>
      <c r="G448" s="66">
        <v>825127</v>
      </c>
      <c r="H448" s="66">
        <v>892395</v>
      </c>
      <c r="I448" s="66">
        <v>857146</v>
      </c>
      <c r="J448" s="66">
        <v>867386</v>
      </c>
      <c r="K448" s="66">
        <v>866252</v>
      </c>
      <c r="L448" s="66">
        <v>883290</v>
      </c>
      <c r="M448" s="71">
        <v>889796</v>
      </c>
    </row>
    <row r="449" spans="1:13" s="185" customFormat="1" ht="13.5">
      <c r="A449" s="484" t="s">
        <v>144</v>
      </c>
      <c r="B449" s="64">
        <v>132317</v>
      </c>
      <c r="C449" s="39">
        <v>121130</v>
      </c>
      <c r="D449" s="39">
        <v>121930</v>
      </c>
      <c r="E449" s="39">
        <v>128586</v>
      </c>
      <c r="F449" s="66">
        <v>109887</v>
      </c>
      <c r="G449" s="66">
        <v>112012</v>
      </c>
      <c r="H449" s="66">
        <v>118808</v>
      </c>
      <c r="I449" s="66">
        <v>117166</v>
      </c>
      <c r="J449" s="66">
        <v>103881</v>
      </c>
      <c r="K449" s="66">
        <v>111757</v>
      </c>
      <c r="L449" s="66">
        <v>114836</v>
      </c>
      <c r="M449" s="71">
        <v>119773</v>
      </c>
    </row>
    <row r="450" spans="1:13" s="185" customFormat="1" ht="13.5">
      <c r="A450" s="484" t="s">
        <v>148</v>
      </c>
      <c r="B450" s="64">
        <v>437325</v>
      </c>
      <c r="C450" s="39">
        <v>421748</v>
      </c>
      <c r="D450" s="39">
        <v>482190</v>
      </c>
      <c r="E450" s="39">
        <v>510281</v>
      </c>
      <c r="F450" s="66">
        <v>520088</v>
      </c>
      <c r="G450" s="66">
        <v>519614</v>
      </c>
      <c r="H450" s="66">
        <v>592135</v>
      </c>
      <c r="I450" s="66">
        <v>599761</v>
      </c>
      <c r="J450" s="66">
        <v>581883</v>
      </c>
      <c r="K450" s="66">
        <v>566875</v>
      </c>
      <c r="L450" s="66">
        <v>566244</v>
      </c>
      <c r="M450" s="71">
        <v>524934</v>
      </c>
    </row>
    <row r="451" spans="1:13" s="185" customFormat="1" ht="13.5" thickBot="1">
      <c r="A451" s="486" t="s">
        <v>3</v>
      </c>
      <c r="B451" s="72">
        <f t="shared" ref="B451:M451" si="62">SUM(B437:B444)</f>
        <v>27139067</v>
      </c>
      <c r="C451" s="73">
        <f t="shared" si="62"/>
        <v>25839345</v>
      </c>
      <c r="D451" s="73">
        <f t="shared" si="62"/>
        <v>26155952</v>
      </c>
      <c r="E451" s="73">
        <f t="shared" si="62"/>
        <v>26148690</v>
      </c>
      <c r="F451" s="73">
        <f t="shared" si="62"/>
        <v>25735393</v>
      </c>
      <c r="G451" s="73">
        <f t="shared" si="62"/>
        <v>25126196</v>
      </c>
      <c r="H451" s="73">
        <f t="shared" si="62"/>
        <v>24765417</v>
      </c>
      <c r="I451" s="73">
        <f t="shared" si="62"/>
        <v>23629298</v>
      </c>
      <c r="J451" s="73">
        <f t="shared" si="62"/>
        <v>22326213</v>
      </c>
      <c r="K451" s="73">
        <f t="shared" si="62"/>
        <v>22421075</v>
      </c>
      <c r="L451" s="73">
        <f t="shared" si="62"/>
        <v>22040574</v>
      </c>
      <c r="M451" s="74">
        <f t="shared" si="62"/>
        <v>22330225</v>
      </c>
    </row>
    <row r="452" spans="1:13" s="185" customFormat="1" ht="13.5" thickBot="1">
      <c r="A452" s="480"/>
      <c r="B452" s="487"/>
      <c r="C452" s="487"/>
      <c r="D452" s="487"/>
      <c r="E452" s="487"/>
      <c r="F452" s="487"/>
      <c r="G452" s="487"/>
      <c r="H452" s="487"/>
      <c r="I452" s="487"/>
      <c r="J452" s="487"/>
      <c r="K452" s="487"/>
      <c r="L452" s="487"/>
      <c r="M452" s="487"/>
    </row>
    <row r="453" spans="1:13" s="185" customFormat="1" ht="13.5" thickBot="1">
      <c r="A453" s="480"/>
      <c r="B453" s="265">
        <v>40544</v>
      </c>
      <c r="C453" s="267">
        <v>40575</v>
      </c>
      <c r="D453" s="266">
        <v>40603</v>
      </c>
      <c r="E453" s="266">
        <v>40634</v>
      </c>
      <c r="F453" s="267">
        <v>40664</v>
      </c>
      <c r="G453" s="266">
        <v>40695</v>
      </c>
      <c r="H453" s="266">
        <v>40725</v>
      </c>
      <c r="I453" s="267">
        <v>40756</v>
      </c>
      <c r="J453" s="267">
        <v>40787</v>
      </c>
      <c r="K453" s="267">
        <v>40817</v>
      </c>
      <c r="L453" s="267">
        <v>40848</v>
      </c>
      <c r="M453" s="268">
        <v>40878</v>
      </c>
    </row>
    <row r="454" spans="1:13" s="185" customFormat="1" ht="13.5">
      <c r="A454" s="488" t="s">
        <v>141</v>
      </c>
      <c r="B454" s="85">
        <v>3197294</v>
      </c>
      <c r="C454" s="86">
        <v>3376886</v>
      </c>
      <c r="D454" s="86">
        <v>3361299</v>
      </c>
      <c r="E454" s="86">
        <v>3265696</v>
      </c>
      <c r="F454" s="37">
        <v>3255479</v>
      </c>
      <c r="G454" s="37">
        <v>3316565</v>
      </c>
      <c r="H454" s="37">
        <v>3325774</v>
      </c>
      <c r="I454" s="37">
        <v>3780980</v>
      </c>
      <c r="J454" s="37">
        <v>3769267</v>
      </c>
      <c r="K454" s="37">
        <v>3755150</v>
      </c>
      <c r="L454" s="37">
        <v>3783627</v>
      </c>
      <c r="M454" s="38">
        <v>3822995</v>
      </c>
    </row>
    <row r="455" spans="1:13" s="185" customFormat="1" ht="13.5">
      <c r="A455" s="489" t="s">
        <v>142</v>
      </c>
      <c r="B455" s="76">
        <v>1575183</v>
      </c>
      <c r="C455" s="66">
        <v>1654598</v>
      </c>
      <c r="D455" s="66">
        <v>1654378</v>
      </c>
      <c r="E455" s="66">
        <v>1669503</v>
      </c>
      <c r="F455" s="39">
        <v>1702516</v>
      </c>
      <c r="G455" s="39">
        <v>1664960</v>
      </c>
      <c r="H455" s="39">
        <v>1677090</v>
      </c>
      <c r="I455" s="39">
        <v>1705734</v>
      </c>
      <c r="J455" s="39">
        <v>1729039</v>
      </c>
      <c r="K455" s="39">
        <v>1705776</v>
      </c>
      <c r="L455" s="39">
        <v>1689100</v>
      </c>
      <c r="M455" s="41">
        <v>1742921</v>
      </c>
    </row>
    <row r="456" spans="1:13" s="185" customFormat="1" ht="13.5">
      <c r="A456" s="489" t="s">
        <v>140</v>
      </c>
      <c r="B456" s="76">
        <v>3935016</v>
      </c>
      <c r="C456" s="66">
        <v>4032456</v>
      </c>
      <c r="D456" s="66">
        <v>3944391</v>
      </c>
      <c r="E456" s="66">
        <v>3974578</v>
      </c>
      <c r="F456" s="39">
        <v>3977154</v>
      </c>
      <c r="G456" s="39">
        <v>3966028</v>
      </c>
      <c r="H456" s="39">
        <v>4098164</v>
      </c>
      <c r="I456" s="39">
        <v>4246607</v>
      </c>
      <c r="J456" s="39">
        <v>4282554</v>
      </c>
      <c r="K456" s="39">
        <v>4358527</v>
      </c>
      <c r="L456" s="39">
        <v>4420973</v>
      </c>
      <c r="M456" s="41">
        <v>4381957</v>
      </c>
    </row>
    <row r="457" spans="1:13" s="185" customFormat="1" ht="13.5">
      <c r="A457" s="489" t="s">
        <v>139</v>
      </c>
      <c r="B457" s="76">
        <v>2927698</v>
      </c>
      <c r="C457" s="66">
        <v>3293878</v>
      </c>
      <c r="D457" s="66">
        <v>3224660</v>
      </c>
      <c r="E457" s="66">
        <v>3300985</v>
      </c>
      <c r="F457" s="39">
        <v>3277467</v>
      </c>
      <c r="G457" s="39">
        <v>3364918</v>
      </c>
      <c r="H457" s="39">
        <v>3480182</v>
      </c>
      <c r="I457" s="39">
        <v>3479237</v>
      </c>
      <c r="J457" s="39">
        <v>3551179</v>
      </c>
      <c r="K457" s="39">
        <v>3757971</v>
      </c>
      <c r="L457" s="39">
        <v>3868754</v>
      </c>
      <c r="M457" s="41">
        <v>4067577</v>
      </c>
    </row>
    <row r="458" spans="1:13" s="185" customFormat="1" ht="13.5">
      <c r="A458" s="489" t="s">
        <v>143</v>
      </c>
      <c r="B458" s="76">
        <v>3170084</v>
      </c>
      <c r="C458" s="66">
        <v>3431791</v>
      </c>
      <c r="D458" s="66">
        <v>3427473</v>
      </c>
      <c r="E458" s="66">
        <v>3457344</v>
      </c>
      <c r="F458" s="39">
        <v>3530583</v>
      </c>
      <c r="G458" s="39">
        <v>3492619</v>
      </c>
      <c r="H458" s="39">
        <v>3480994</v>
      </c>
      <c r="I458" s="39">
        <v>3552392</v>
      </c>
      <c r="J458" s="39">
        <v>3747746</v>
      </c>
      <c r="K458" s="39">
        <v>3702999</v>
      </c>
      <c r="L458" s="39">
        <v>3788234</v>
      </c>
      <c r="M458" s="41">
        <v>3982169</v>
      </c>
    </row>
    <row r="459" spans="1:13" s="185" customFormat="1" ht="13.5">
      <c r="A459" s="489" t="s">
        <v>186</v>
      </c>
      <c r="B459" s="76">
        <v>949850</v>
      </c>
      <c r="C459" s="66">
        <v>1022136</v>
      </c>
      <c r="D459" s="66">
        <v>993095</v>
      </c>
      <c r="E459" s="66">
        <v>999724</v>
      </c>
      <c r="F459" s="39">
        <v>1063767</v>
      </c>
      <c r="G459" s="39">
        <v>1055044</v>
      </c>
      <c r="H459" s="39">
        <v>1103036</v>
      </c>
      <c r="I459" s="39">
        <v>1098233</v>
      </c>
      <c r="J459" s="39">
        <v>1133172</v>
      </c>
      <c r="K459" s="39">
        <v>1130017</v>
      </c>
      <c r="L459" s="39">
        <v>1150596</v>
      </c>
      <c r="M459" s="41">
        <v>1157170</v>
      </c>
    </row>
    <row r="460" spans="1:13" s="185" customFormat="1" ht="13.5">
      <c r="A460" s="489" t="s">
        <v>138</v>
      </c>
      <c r="B460" s="76">
        <v>689936</v>
      </c>
      <c r="C460" s="66">
        <v>704838</v>
      </c>
      <c r="D460" s="66">
        <v>692334</v>
      </c>
      <c r="E460" s="66">
        <v>709818</v>
      </c>
      <c r="F460" s="39">
        <v>673465</v>
      </c>
      <c r="G460" s="39">
        <v>692650</v>
      </c>
      <c r="H460" s="39">
        <v>724698</v>
      </c>
      <c r="I460" s="39">
        <v>752923</v>
      </c>
      <c r="J460" s="39">
        <v>771528</v>
      </c>
      <c r="K460" s="39">
        <v>780880</v>
      </c>
      <c r="L460" s="39">
        <v>804700</v>
      </c>
      <c r="M460" s="41">
        <v>835783</v>
      </c>
    </row>
    <row r="461" spans="1:13" s="185" customFormat="1" ht="25.5">
      <c r="A461" s="490" t="s">
        <v>187</v>
      </c>
      <c r="B461" s="263">
        <f t="shared" ref="B461:M461" si="63">SUM(B462:B467)</f>
        <v>6249515</v>
      </c>
      <c r="C461" s="264">
        <f t="shared" si="63"/>
        <v>6536897</v>
      </c>
      <c r="D461" s="264">
        <f t="shared" si="63"/>
        <v>6374932</v>
      </c>
      <c r="E461" s="264">
        <f t="shared" si="63"/>
        <v>6492694</v>
      </c>
      <c r="F461" s="264">
        <f t="shared" si="63"/>
        <v>6585636</v>
      </c>
      <c r="G461" s="264">
        <f t="shared" si="63"/>
        <v>6680688</v>
      </c>
      <c r="H461" s="264">
        <f t="shared" si="63"/>
        <v>6503612</v>
      </c>
      <c r="I461" s="264">
        <f t="shared" si="63"/>
        <v>6733656</v>
      </c>
      <c r="J461" s="264">
        <f t="shared" si="63"/>
        <v>6820247</v>
      </c>
      <c r="K461" s="264">
        <f t="shared" si="63"/>
        <v>6738004</v>
      </c>
      <c r="L461" s="264">
        <f t="shared" si="63"/>
        <v>7088942</v>
      </c>
      <c r="M461" s="262">
        <f t="shared" si="63"/>
        <v>7393419</v>
      </c>
    </row>
    <row r="462" spans="1:13" s="185" customFormat="1" ht="13.5">
      <c r="A462" s="489" t="s">
        <v>145</v>
      </c>
      <c r="B462" s="76">
        <v>1630447</v>
      </c>
      <c r="C462" s="66">
        <v>1724793</v>
      </c>
      <c r="D462" s="66">
        <v>1724846</v>
      </c>
      <c r="E462" s="66">
        <v>1733970</v>
      </c>
      <c r="F462" s="39">
        <v>1729173</v>
      </c>
      <c r="G462" s="39">
        <v>1756178</v>
      </c>
      <c r="H462" s="39">
        <v>1693573</v>
      </c>
      <c r="I462" s="39">
        <v>1746884</v>
      </c>
      <c r="J462" s="39">
        <v>1698569</v>
      </c>
      <c r="K462" s="39">
        <v>1691703</v>
      </c>
      <c r="L462" s="39">
        <v>1690930</v>
      </c>
      <c r="M462" s="41">
        <v>1811039</v>
      </c>
    </row>
    <row r="463" spans="1:13" s="185" customFormat="1" ht="13.5">
      <c r="A463" s="489" t="s">
        <v>149</v>
      </c>
      <c r="B463" s="76">
        <v>1302485</v>
      </c>
      <c r="C463" s="66">
        <v>1349724</v>
      </c>
      <c r="D463" s="66">
        <v>1337615</v>
      </c>
      <c r="E463" s="66">
        <v>1358450</v>
      </c>
      <c r="F463" s="39">
        <v>1378917</v>
      </c>
      <c r="G463" s="39">
        <v>1392102</v>
      </c>
      <c r="H463" s="39">
        <v>1377863</v>
      </c>
      <c r="I463" s="39">
        <v>1448088</v>
      </c>
      <c r="J463" s="39">
        <v>1442425</v>
      </c>
      <c r="K463" s="39">
        <v>1487817</v>
      </c>
      <c r="L463" s="39">
        <v>1696884</v>
      </c>
      <c r="M463" s="41">
        <v>1689364</v>
      </c>
    </row>
    <row r="464" spans="1:13" s="185" customFormat="1" ht="13.5">
      <c r="A464" s="489" t="s">
        <v>146</v>
      </c>
      <c r="B464" s="76">
        <v>1800093</v>
      </c>
      <c r="C464" s="66">
        <v>1872669</v>
      </c>
      <c r="D464" s="66">
        <v>1754829</v>
      </c>
      <c r="E464" s="66">
        <v>1779940</v>
      </c>
      <c r="F464" s="39">
        <v>1858977</v>
      </c>
      <c r="G464" s="39">
        <v>1886803</v>
      </c>
      <c r="H464" s="39">
        <v>1903117</v>
      </c>
      <c r="I464" s="39">
        <v>1970283</v>
      </c>
      <c r="J464" s="39">
        <v>2121930</v>
      </c>
      <c r="K464" s="39">
        <v>2033618</v>
      </c>
      <c r="L464" s="39">
        <v>2196314</v>
      </c>
      <c r="M464" s="41">
        <v>2308328</v>
      </c>
    </row>
    <row r="465" spans="1:13" s="185" customFormat="1" ht="13.5">
      <c r="A465" s="489" t="s">
        <v>147</v>
      </c>
      <c r="B465" s="76">
        <v>906424</v>
      </c>
      <c r="C465" s="66">
        <v>919994</v>
      </c>
      <c r="D465" s="66">
        <v>868559</v>
      </c>
      <c r="E465" s="66">
        <v>912692</v>
      </c>
      <c r="F465" s="39">
        <v>914827</v>
      </c>
      <c r="G465" s="39">
        <v>913444</v>
      </c>
      <c r="H465" s="39">
        <v>873098</v>
      </c>
      <c r="I465" s="39">
        <v>916991</v>
      </c>
      <c r="J465" s="39">
        <v>881882</v>
      </c>
      <c r="K465" s="39">
        <v>860781</v>
      </c>
      <c r="L465" s="39">
        <v>840093</v>
      </c>
      <c r="M465" s="41">
        <v>850996</v>
      </c>
    </row>
    <row r="466" spans="1:13" s="185" customFormat="1" ht="13.5">
      <c r="A466" s="489" t="s">
        <v>144</v>
      </c>
      <c r="B466" s="76">
        <v>124617</v>
      </c>
      <c r="C466" s="66">
        <v>141939</v>
      </c>
      <c r="D466" s="66">
        <v>136288</v>
      </c>
      <c r="E466" s="66">
        <v>157163</v>
      </c>
      <c r="F466" s="39">
        <v>158808</v>
      </c>
      <c r="G466" s="39">
        <v>152046</v>
      </c>
      <c r="H466" s="39">
        <v>143831</v>
      </c>
      <c r="I466" s="39">
        <v>144784</v>
      </c>
      <c r="J466" s="39">
        <v>142992</v>
      </c>
      <c r="K466" s="39">
        <v>138751</v>
      </c>
      <c r="L466" s="39">
        <v>139472</v>
      </c>
      <c r="M466" s="41">
        <v>131185</v>
      </c>
    </row>
    <row r="467" spans="1:13" s="185" customFormat="1" ht="13.5">
      <c r="A467" s="489" t="s">
        <v>148</v>
      </c>
      <c r="B467" s="76">
        <v>485449</v>
      </c>
      <c r="C467" s="66">
        <v>527778</v>
      </c>
      <c r="D467" s="66">
        <v>552795</v>
      </c>
      <c r="E467" s="66">
        <v>550479</v>
      </c>
      <c r="F467" s="39">
        <v>544934</v>
      </c>
      <c r="G467" s="39">
        <v>580115</v>
      </c>
      <c r="H467" s="39">
        <v>512130</v>
      </c>
      <c r="I467" s="39">
        <v>506626</v>
      </c>
      <c r="J467" s="39">
        <v>532449</v>
      </c>
      <c r="K467" s="39">
        <v>525334</v>
      </c>
      <c r="L467" s="39">
        <v>525249</v>
      </c>
      <c r="M467" s="41">
        <v>602507</v>
      </c>
    </row>
    <row r="468" spans="1:13" s="185" customFormat="1" ht="13.5" thickBot="1">
      <c r="A468" s="491" t="s">
        <v>3</v>
      </c>
      <c r="B468" s="72">
        <f t="shared" ref="B468:M468" si="64">SUM(B454:B461)</f>
        <v>22694576</v>
      </c>
      <c r="C468" s="73">
        <f t="shared" si="64"/>
        <v>24053480</v>
      </c>
      <c r="D468" s="73">
        <f t="shared" si="64"/>
        <v>23672562</v>
      </c>
      <c r="E468" s="73">
        <f t="shared" si="64"/>
        <v>23870342</v>
      </c>
      <c r="F468" s="73">
        <f t="shared" si="64"/>
        <v>24066067</v>
      </c>
      <c r="G468" s="73">
        <f t="shared" si="64"/>
        <v>24233472</v>
      </c>
      <c r="H468" s="73">
        <f t="shared" si="64"/>
        <v>24393550</v>
      </c>
      <c r="I468" s="73">
        <f t="shared" si="64"/>
        <v>25349762</v>
      </c>
      <c r="J468" s="73">
        <f t="shared" si="64"/>
        <v>25804732</v>
      </c>
      <c r="K468" s="73">
        <f t="shared" si="64"/>
        <v>25929324</v>
      </c>
      <c r="L468" s="73">
        <f t="shared" si="64"/>
        <v>26594926</v>
      </c>
      <c r="M468" s="74">
        <f t="shared" si="64"/>
        <v>27383991</v>
      </c>
    </row>
    <row r="469" spans="1:13" s="185" customFormat="1" ht="13.5" thickBot="1">
      <c r="A469" s="480"/>
      <c r="B469" s="264"/>
      <c r="C469" s="487"/>
      <c r="D469" s="487"/>
      <c r="E469" s="487"/>
      <c r="F469" s="487"/>
      <c r="G469" s="487"/>
      <c r="H469" s="487"/>
      <c r="I469" s="487"/>
      <c r="J469" s="487"/>
      <c r="K469" s="487"/>
      <c r="L469" s="487"/>
      <c r="M469" s="487"/>
    </row>
    <row r="470" spans="1:13" s="185" customFormat="1" ht="13.5" thickBot="1">
      <c r="A470" s="480"/>
      <c r="B470" s="276">
        <v>40909</v>
      </c>
      <c r="C470" s="267">
        <v>40940</v>
      </c>
      <c r="D470" s="267">
        <v>40969</v>
      </c>
      <c r="E470" s="267">
        <v>41000</v>
      </c>
      <c r="F470" s="267">
        <v>41030</v>
      </c>
      <c r="G470" s="267">
        <v>41061</v>
      </c>
      <c r="H470" s="267">
        <v>41091</v>
      </c>
      <c r="I470" s="267">
        <v>41122</v>
      </c>
      <c r="J470" s="267">
        <v>41153</v>
      </c>
      <c r="K470" s="267">
        <v>41183</v>
      </c>
      <c r="L470" s="267">
        <v>41214</v>
      </c>
      <c r="M470" s="268">
        <v>41244</v>
      </c>
    </row>
    <row r="471" spans="1:13" s="185" customFormat="1" ht="13.5">
      <c r="A471" s="481" t="s">
        <v>141</v>
      </c>
      <c r="B471" s="63">
        <v>3788890</v>
      </c>
      <c r="C471" s="37">
        <v>3722860</v>
      </c>
      <c r="D471" s="37">
        <v>3599970</v>
      </c>
      <c r="E471" s="37">
        <v>3543268</v>
      </c>
      <c r="F471" s="37">
        <v>3438556</v>
      </c>
      <c r="G471" s="37">
        <v>3493302</v>
      </c>
      <c r="H471" s="37">
        <v>3434762</v>
      </c>
      <c r="I471" s="37">
        <v>3054341</v>
      </c>
      <c r="J471" s="37">
        <v>3167204</v>
      </c>
      <c r="K471" s="37">
        <v>3186266</v>
      </c>
      <c r="L471" s="37">
        <v>3133548</v>
      </c>
      <c r="M471" s="38">
        <v>3072574</v>
      </c>
    </row>
    <row r="472" spans="1:13" s="185" customFormat="1" ht="13.5">
      <c r="A472" s="484" t="s">
        <v>142</v>
      </c>
      <c r="B472" s="64">
        <v>1763991</v>
      </c>
      <c r="C472" s="39">
        <v>1630724</v>
      </c>
      <c r="D472" s="39">
        <v>1570486</v>
      </c>
      <c r="E472" s="39">
        <v>1507454</v>
      </c>
      <c r="F472" s="39">
        <v>1430600</v>
      </c>
      <c r="G472" s="39">
        <v>1490721</v>
      </c>
      <c r="H472" s="39">
        <v>1627584</v>
      </c>
      <c r="I472" s="39">
        <v>1670258</v>
      </c>
      <c r="J472" s="39">
        <v>1774621</v>
      </c>
      <c r="K472" s="39">
        <v>1896155</v>
      </c>
      <c r="L472" s="39">
        <v>2061546</v>
      </c>
      <c r="M472" s="41">
        <v>2153840</v>
      </c>
    </row>
    <row r="473" spans="1:13" s="185" customFormat="1" ht="13.5">
      <c r="A473" s="484" t="s">
        <v>140</v>
      </c>
      <c r="B473" s="64">
        <v>4305586</v>
      </c>
      <c r="C473" s="39">
        <v>4306297</v>
      </c>
      <c r="D473" s="39">
        <v>4302623</v>
      </c>
      <c r="E473" s="39">
        <v>4214508</v>
      </c>
      <c r="F473" s="39">
        <v>4189143</v>
      </c>
      <c r="G473" s="39">
        <v>4203478</v>
      </c>
      <c r="H473" s="39">
        <v>4163273</v>
      </c>
      <c r="I473" s="39">
        <v>4042039</v>
      </c>
      <c r="J473" s="39">
        <v>4034661</v>
      </c>
      <c r="K473" s="39">
        <v>3952722</v>
      </c>
      <c r="L473" s="39">
        <v>3793186</v>
      </c>
      <c r="M473" s="41">
        <v>3664694</v>
      </c>
    </row>
    <row r="474" spans="1:13" s="185" customFormat="1" ht="13.5">
      <c r="A474" s="484" t="s">
        <v>139</v>
      </c>
      <c r="B474" s="64">
        <v>4123334</v>
      </c>
      <c r="C474" s="39">
        <v>3839557</v>
      </c>
      <c r="D474" s="39">
        <v>3854579</v>
      </c>
      <c r="E474" s="39">
        <v>3703102</v>
      </c>
      <c r="F474" s="39">
        <v>3802752</v>
      </c>
      <c r="G474" s="39">
        <v>3820419</v>
      </c>
      <c r="H474" s="39">
        <v>3793624</v>
      </c>
      <c r="I474" s="39">
        <v>3855960</v>
      </c>
      <c r="J474" s="39">
        <v>3868881</v>
      </c>
      <c r="K474" s="39">
        <v>3682088</v>
      </c>
      <c r="L474" s="39">
        <v>3698571</v>
      </c>
      <c r="M474" s="41">
        <v>3534283</v>
      </c>
    </row>
    <row r="475" spans="1:13" s="185" customFormat="1" ht="13.5">
      <c r="A475" s="484" t="s">
        <v>143</v>
      </c>
      <c r="B475" s="64">
        <v>4092229</v>
      </c>
      <c r="C475" s="39">
        <v>3945509</v>
      </c>
      <c r="D475" s="39">
        <v>3777310</v>
      </c>
      <c r="E475" s="39">
        <v>3706149</v>
      </c>
      <c r="F475" s="39">
        <v>3651832</v>
      </c>
      <c r="G475" s="39">
        <v>3743626</v>
      </c>
      <c r="H475" s="39">
        <v>3707529</v>
      </c>
      <c r="I475" s="39">
        <v>3670248</v>
      </c>
      <c r="J475" s="39">
        <v>3602923</v>
      </c>
      <c r="K475" s="39">
        <v>3614338</v>
      </c>
      <c r="L475" s="39">
        <v>3509202</v>
      </c>
      <c r="M475" s="41">
        <v>3305941</v>
      </c>
    </row>
    <row r="476" spans="1:13" s="185" customFormat="1" ht="13.5">
      <c r="A476" s="484" t="s">
        <v>186</v>
      </c>
      <c r="B476" s="64">
        <v>1191431</v>
      </c>
      <c r="C476" s="39">
        <v>1165280</v>
      </c>
      <c r="D476" s="39">
        <v>1172561</v>
      </c>
      <c r="E476" s="39">
        <v>1179375</v>
      </c>
      <c r="F476" s="39">
        <v>1156470</v>
      </c>
      <c r="G476" s="39">
        <v>1257666</v>
      </c>
      <c r="H476" s="39">
        <v>1205921</v>
      </c>
      <c r="I476" s="39">
        <v>1204931</v>
      </c>
      <c r="J476" s="39">
        <v>1190706</v>
      </c>
      <c r="K476" s="39">
        <v>1215578</v>
      </c>
      <c r="L476" s="39">
        <v>1222298</v>
      </c>
      <c r="M476" s="41">
        <v>1229854</v>
      </c>
    </row>
    <row r="477" spans="1:13" s="185" customFormat="1" ht="13.5">
      <c r="A477" s="484" t="s">
        <v>138</v>
      </c>
      <c r="B477" s="64">
        <v>799297</v>
      </c>
      <c r="C477" s="39">
        <v>782167</v>
      </c>
      <c r="D477" s="39">
        <v>807378</v>
      </c>
      <c r="E477" s="39">
        <v>748319</v>
      </c>
      <c r="F477" s="39">
        <v>733566</v>
      </c>
      <c r="G477" s="39">
        <v>746845</v>
      </c>
      <c r="H477" s="39">
        <v>724668</v>
      </c>
      <c r="I477" s="39">
        <v>690041</v>
      </c>
      <c r="J477" s="39">
        <v>682198</v>
      </c>
      <c r="K477" s="39">
        <v>677951</v>
      </c>
      <c r="L477" s="39">
        <v>663158</v>
      </c>
      <c r="M477" s="41">
        <v>652713</v>
      </c>
    </row>
    <row r="478" spans="1:13" s="185" customFormat="1" ht="25.5">
      <c r="A478" s="485" t="s">
        <v>187</v>
      </c>
      <c r="B478" s="263">
        <f t="shared" ref="B478:M478" si="65">SUM(B479:B484)</f>
        <v>7516679</v>
      </c>
      <c r="C478" s="264">
        <f t="shared" si="65"/>
        <v>7406764</v>
      </c>
      <c r="D478" s="264">
        <f t="shared" si="65"/>
        <v>7193599</v>
      </c>
      <c r="E478" s="264">
        <f t="shared" si="65"/>
        <v>7055675</v>
      </c>
      <c r="F478" s="264">
        <f t="shared" si="65"/>
        <v>7006156</v>
      </c>
      <c r="G478" s="264">
        <f t="shared" si="65"/>
        <v>7056729</v>
      </c>
      <c r="H478" s="264">
        <f t="shared" si="65"/>
        <v>6977368</v>
      </c>
      <c r="I478" s="264">
        <f t="shared" si="65"/>
        <v>6829320</v>
      </c>
      <c r="J478" s="264">
        <f t="shared" si="65"/>
        <v>6820856</v>
      </c>
      <c r="K478" s="264">
        <f t="shared" si="65"/>
        <v>6857655</v>
      </c>
      <c r="L478" s="264">
        <f t="shared" si="65"/>
        <v>6641554</v>
      </c>
      <c r="M478" s="262">
        <f t="shared" si="65"/>
        <v>6255942</v>
      </c>
    </row>
    <row r="479" spans="1:13" s="185" customFormat="1" ht="13.5">
      <c r="A479" s="484" t="s">
        <v>145</v>
      </c>
      <c r="B479" s="64">
        <v>1836461</v>
      </c>
      <c r="C479" s="39">
        <v>1730915</v>
      </c>
      <c r="D479" s="39">
        <v>1668481</v>
      </c>
      <c r="E479" s="39">
        <v>1580424</v>
      </c>
      <c r="F479" s="39">
        <v>1563868</v>
      </c>
      <c r="G479" s="39">
        <v>1549664</v>
      </c>
      <c r="H479" s="39">
        <v>1521632</v>
      </c>
      <c r="I479" s="39">
        <v>1500135</v>
      </c>
      <c r="J479" s="39">
        <v>1555054</v>
      </c>
      <c r="K479" s="39">
        <v>1578692</v>
      </c>
      <c r="L479" s="39">
        <v>1622457</v>
      </c>
      <c r="M479" s="41">
        <v>1486434</v>
      </c>
    </row>
    <row r="480" spans="1:13" s="185" customFormat="1" ht="13.5">
      <c r="A480" s="484" t="s">
        <v>149</v>
      </c>
      <c r="B480" s="64">
        <v>1756054</v>
      </c>
      <c r="C480" s="39">
        <v>1774303</v>
      </c>
      <c r="D480" s="39">
        <v>1768387</v>
      </c>
      <c r="E480" s="39">
        <v>1741684</v>
      </c>
      <c r="F480" s="39">
        <v>1778700</v>
      </c>
      <c r="G480" s="39">
        <v>1800991</v>
      </c>
      <c r="H480" s="39">
        <v>1820437</v>
      </c>
      <c r="I480" s="39">
        <v>1770446</v>
      </c>
      <c r="J480" s="39">
        <v>1812938</v>
      </c>
      <c r="K480" s="39">
        <v>1767474</v>
      </c>
      <c r="L480" s="39">
        <v>1696139</v>
      </c>
      <c r="M480" s="41">
        <v>1658994</v>
      </c>
    </row>
    <row r="481" spans="1:13" s="185" customFormat="1" ht="13.5">
      <c r="A481" s="484" t="s">
        <v>146</v>
      </c>
      <c r="B481" s="64">
        <v>2334473</v>
      </c>
      <c r="C481" s="39">
        <v>2352825</v>
      </c>
      <c r="D481" s="39">
        <v>2282890</v>
      </c>
      <c r="E481" s="39">
        <v>2267814</v>
      </c>
      <c r="F481" s="39">
        <v>2177724</v>
      </c>
      <c r="G481" s="39">
        <v>2216843</v>
      </c>
      <c r="H481" s="39">
        <v>2162788</v>
      </c>
      <c r="I481" s="39">
        <v>2127089</v>
      </c>
      <c r="J481" s="39">
        <v>2012727</v>
      </c>
      <c r="K481" s="39">
        <v>2085286</v>
      </c>
      <c r="L481" s="39">
        <v>1902771</v>
      </c>
      <c r="M481" s="41">
        <v>1804015</v>
      </c>
    </row>
    <row r="482" spans="1:13" s="185" customFormat="1" ht="13.5">
      <c r="A482" s="484" t="s">
        <v>147</v>
      </c>
      <c r="B482" s="64">
        <v>840107</v>
      </c>
      <c r="C482" s="39">
        <v>847055</v>
      </c>
      <c r="D482" s="39">
        <v>848465</v>
      </c>
      <c r="E482" s="39">
        <v>804689</v>
      </c>
      <c r="F482" s="39">
        <v>791593</v>
      </c>
      <c r="G482" s="39">
        <v>817320</v>
      </c>
      <c r="H482" s="39">
        <v>815137</v>
      </c>
      <c r="I482" s="39">
        <v>788301</v>
      </c>
      <c r="J482" s="39">
        <v>798888</v>
      </c>
      <c r="K482" s="39">
        <v>802117</v>
      </c>
      <c r="L482" s="39">
        <v>805713</v>
      </c>
      <c r="M482" s="41">
        <v>782038</v>
      </c>
    </row>
    <row r="483" spans="1:13" s="185" customFormat="1" ht="13.5">
      <c r="A483" s="484" t="s">
        <v>144</v>
      </c>
      <c r="B483" s="64">
        <v>134529</v>
      </c>
      <c r="C483" s="39">
        <v>118325</v>
      </c>
      <c r="D483" s="39">
        <v>121436</v>
      </c>
      <c r="E483" s="39">
        <v>113580</v>
      </c>
      <c r="F483" s="39">
        <v>116798</v>
      </c>
      <c r="G483" s="39">
        <v>118267</v>
      </c>
      <c r="H483" s="39">
        <v>118171</v>
      </c>
      <c r="I483" s="39">
        <v>110944</v>
      </c>
      <c r="J483" s="39">
        <v>125456</v>
      </c>
      <c r="K483" s="39">
        <v>114544</v>
      </c>
      <c r="L483" s="39">
        <v>112088</v>
      </c>
      <c r="M483" s="41">
        <v>106814</v>
      </c>
    </row>
    <row r="484" spans="1:13" s="185" customFormat="1" ht="13.5">
      <c r="A484" s="484" t="s">
        <v>148</v>
      </c>
      <c r="B484" s="64">
        <v>615055</v>
      </c>
      <c r="C484" s="39">
        <v>583341</v>
      </c>
      <c r="D484" s="39">
        <v>503940</v>
      </c>
      <c r="E484" s="39">
        <v>547484</v>
      </c>
      <c r="F484" s="39">
        <v>577473</v>
      </c>
      <c r="G484" s="39">
        <v>553644</v>
      </c>
      <c r="H484" s="39">
        <v>539203</v>
      </c>
      <c r="I484" s="39">
        <v>532405</v>
      </c>
      <c r="J484" s="39">
        <v>515793</v>
      </c>
      <c r="K484" s="39">
        <v>509542</v>
      </c>
      <c r="L484" s="39">
        <v>502386</v>
      </c>
      <c r="M484" s="41">
        <v>417647</v>
      </c>
    </row>
    <row r="485" spans="1:13" s="185" customFormat="1" ht="13.5" thickBot="1">
      <c r="A485" s="486" t="s">
        <v>3</v>
      </c>
      <c r="B485" s="72">
        <f t="shared" ref="B485:M485" si="66">SUM(B471:B478)</f>
        <v>27581437</v>
      </c>
      <c r="C485" s="73">
        <f t="shared" si="66"/>
        <v>26799158</v>
      </c>
      <c r="D485" s="73">
        <f t="shared" si="66"/>
        <v>26278506</v>
      </c>
      <c r="E485" s="73">
        <f t="shared" si="66"/>
        <v>25657850</v>
      </c>
      <c r="F485" s="73">
        <f t="shared" si="66"/>
        <v>25409075</v>
      </c>
      <c r="G485" s="73">
        <f t="shared" si="66"/>
        <v>25812786</v>
      </c>
      <c r="H485" s="73">
        <f t="shared" si="66"/>
        <v>25634729</v>
      </c>
      <c r="I485" s="73">
        <f t="shared" si="66"/>
        <v>25017138</v>
      </c>
      <c r="J485" s="73">
        <f t="shared" si="66"/>
        <v>25142050</v>
      </c>
      <c r="K485" s="73">
        <f t="shared" si="66"/>
        <v>25082753</v>
      </c>
      <c r="L485" s="73">
        <f t="shared" si="66"/>
        <v>24723063</v>
      </c>
      <c r="M485" s="74">
        <f t="shared" si="66"/>
        <v>23869841</v>
      </c>
    </row>
    <row r="486" spans="1:13" s="185" customFormat="1" ht="13.5" thickBot="1">
      <c r="A486" s="480"/>
      <c r="B486" s="487"/>
      <c r="C486" s="487"/>
      <c r="D486" s="487"/>
      <c r="E486" s="487"/>
      <c r="F486" s="487"/>
      <c r="G486" s="487"/>
      <c r="H486" s="487"/>
      <c r="I486" s="487"/>
      <c r="J486" s="487"/>
      <c r="K486" s="487"/>
      <c r="L486" s="487"/>
      <c r="M486" s="487"/>
    </row>
    <row r="487" spans="1:13" s="185" customFormat="1" ht="13.5" thickBot="1">
      <c r="A487" s="480"/>
      <c r="B487" s="276">
        <v>41275</v>
      </c>
      <c r="C487" s="267">
        <v>41306</v>
      </c>
      <c r="D487" s="267">
        <v>41334</v>
      </c>
      <c r="E487" s="267">
        <v>41365</v>
      </c>
      <c r="F487" s="267">
        <v>41395</v>
      </c>
      <c r="G487" s="267">
        <v>41426</v>
      </c>
      <c r="H487" s="267">
        <v>41456</v>
      </c>
      <c r="I487" s="267">
        <v>41487</v>
      </c>
      <c r="J487" s="267">
        <v>41518</v>
      </c>
      <c r="K487" s="267">
        <v>41548</v>
      </c>
      <c r="L487" s="267">
        <v>41579</v>
      </c>
      <c r="M487" s="268">
        <v>41609</v>
      </c>
    </row>
    <row r="488" spans="1:13" s="185" customFormat="1" ht="13.5">
      <c r="A488" s="481" t="s">
        <v>141</v>
      </c>
      <c r="B488" s="63">
        <v>2983142</v>
      </c>
      <c r="C488" s="37">
        <v>3032807</v>
      </c>
      <c r="D488" s="37">
        <v>3033306</v>
      </c>
      <c r="E488" s="37">
        <v>3013574</v>
      </c>
      <c r="F488" s="37">
        <v>3081746</v>
      </c>
      <c r="G488" s="37">
        <v>3042883</v>
      </c>
      <c r="H488" s="37">
        <v>3032467</v>
      </c>
      <c r="I488" s="37">
        <v>3025879</v>
      </c>
      <c r="J488" s="37">
        <v>2902921</v>
      </c>
      <c r="K488" s="37">
        <v>2935763</v>
      </c>
      <c r="L488" s="37">
        <v>2948454</v>
      </c>
      <c r="M488" s="38">
        <v>2952049</v>
      </c>
    </row>
    <row r="489" spans="1:13" s="185" customFormat="1" ht="13.5">
      <c r="A489" s="484" t="s">
        <v>142</v>
      </c>
      <c r="B489" s="64">
        <v>2296063</v>
      </c>
      <c r="C489" s="39">
        <v>2539188</v>
      </c>
      <c r="D489" s="39">
        <v>2842524</v>
      </c>
      <c r="E489" s="39">
        <v>3213709</v>
      </c>
      <c r="F489" s="39">
        <v>3658059</v>
      </c>
      <c r="G489" s="39">
        <v>4027253</v>
      </c>
      <c r="H489" s="39">
        <v>4410969</v>
      </c>
      <c r="I489" s="39">
        <v>4713487</v>
      </c>
      <c r="J489" s="39">
        <v>5021851</v>
      </c>
      <c r="K489" s="39">
        <v>5297638</v>
      </c>
      <c r="L489" s="39">
        <v>5548361</v>
      </c>
      <c r="M489" s="41">
        <v>5807797</v>
      </c>
    </row>
    <row r="490" spans="1:13" s="185" customFormat="1" ht="13.5">
      <c r="A490" s="484" t="s">
        <v>140</v>
      </c>
      <c r="B490" s="64">
        <v>3647630</v>
      </c>
      <c r="C490" s="39">
        <v>3578804</v>
      </c>
      <c r="D490" s="39">
        <v>3574798</v>
      </c>
      <c r="E490" s="39">
        <v>3636394</v>
      </c>
      <c r="F490" s="39">
        <v>3732541</v>
      </c>
      <c r="G490" s="39">
        <v>3807075</v>
      </c>
      <c r="H490" s="39">
        <v>3685963</v>
      </c>
      <c r="I490" s="39">
        <v>3652133</v>
      </c>
      <c r="J490" s="39">
        <v>3612361</v>
      </c>
      <c r="K490" s="39">
        <v>3578700</v>
      </c>
      <c r="L490" s="39">
        <v>3529702</v>
      </c>
      <c r="M490" s="41">
        <v>3552282</v>
      </c>
    </row>
    <row r="491" spans="1:13" s="185" customFormat="1" ht="13.5">
      <c r="A491" s="484" t="s">
        <v>139</v>
      </c>
      <c r="B491" s="64">
        <v>3508235</v>
      </c>
      <c r="C491" s="39">
        <v>3530195</v>
      </c>
      <c r="D491" s="39">
        <v>3533089</v>
      </c>
      <c r="E491" s="39">
        <v>3534000</v>
      </c>
      <c r="F491" s="39">
        <v>3645011</v>
      </c>
      <c r="G491" s="39">
        <v>3680185</v>
      </c>
      <c r="H491" s="39">
        <v>3545632</v>
      </c>
      <c r="I491" s="39">
        <v>3501137</v>
      </c>
      <c r="J491" s="39">
        <v>3498293</v>
      </c>
      <c r="K491" s="39">
        <v>3590978</v>
      </c>
      <c r="L491" s="39">
        <v>3467820</v>
      </c>
      <c r="M491" s="41">
        <v>3608815</v>
      </c>
    </row>
    <row r="492" spans="1:13" s="185" customFormat="1" ht="13.5">
      <c r="A492" s="484" t="s">
        <v>143</v>
      </c>
      <c r="B492" s="64">
        <v>3184601</v>
      </c>
      <c r="C492" s="39">
        <v>3210103</v>
      </c>
      <c r="D492" s="39">
        <v>3271773</v>
      </c>
      <c r="E492" s="39">
        <v>3340596</v>
      </c>
      <c r="F492" s="39">
        <v>3309316</v>
      </c>
      <c r="G492" s="39">
        <v>3384868</v>
      </c>
      <c r="H492" s="39">
        <v>3524752</v>
      </c>
      <c r="I492" s="39">
        <v>3664835</v>
      </c>
      <c r="J492" s="39">
        <v>3706479</v>
      </c>
      <c r="K492" s="39">
        <v>3701371</v>
      </c>
      <c r="L492" s="39">
        <v>3663198</v>
      </c>
      <c r="M492" s="41">
        <v>3553216</v>
      </c>
    </row>
    <row r="493" spans="1:13" s="185" customFormat="1" ht="13.5">
      <c r="A493" s="484" t="s">
        <v>186</v>
      </c>
      <c r="B493" s="64">
        <v>1214288</v>
      </c>
      <c r="C493" s="39">
        <v>1205528</v>
      </c>
      <c r="D493" s="39">
        <v>1215076</v>
      </c>
      <c r="E493" s="39">
        <v>1225169</v>
      </c>
      <c r="F493" s="39">
        <v>1211159</v>
      </c>
      <c r="G493" s="39">
        <v>1137076</v>
      </c>
      <c r="H493" s="39">
        <v>1155716</v>
      </c>
      <c r="I493" s="39">
        <v>1158896</v>
      </c>
      <c r="J493" s="39">
        <v>1156404</v>
      </c>
      <c r="K493" s="39">
        <v>1165359</v>
      </c>
      <c r="L493" s="39">
        <v>1172383</v>
      </c>
      <c r="M493" s="41">
        <v>1152887</v>
      </c>
    </row>
    <row r="494" spans="1:13" s="185" customFormat="1" ht="13.5">
      <c r="A494" s="484" t="s">
        <v>138</v>
      </c>
      <c r="B494" s="64">
        <v>659848</v>
      </c>
      <c r="C494" s="39">
        <v>652036</v>
      </c>
      <c r="D494" s="39">
        <v>618397</v>
      </c>
      <c r="E494" s="39">
        <v>636433</v>
      </c>
      <c r="F494" s="39">
        <v>660295</v>
      </c>
      <c r="G494" s="39">
        <v>696529</v>
      </c>
      <c r="H494" s="39">
        <v>698598</v>
      </c>
      <c r="I494" s="39">
        <v>696250</v>
      </c>
      <c r="J494" s="39">
        <v>711454</v>
      </c>
      <c r="K494" s="39">
        <v>720843</v>
      </c>
      <c r="L494" s="39">
        <v>731900</v>
      </c>
      <c r="M494" s="41">
        <v>716896</v>
      </c>
    </row>
    <row r="495" spans="1:13" s="185" customFormat="1" ht="25.5">
      <c r="A495" s="485" t="s">
        <v>187</v>
      </c>
      <c r="B495" s="263">
        <f t="shared" ref="B495:M495" si="67">SUM(B496:B501)</f>
        <v>6163802</v>
      </c>
      <c r="C495" s="264">
        <f t="shared" si="67"/>
        <v>5983513</v>
      </c>
      <c r="D495" s="264">
        <f t="shared" si="67"/>
        <v>6247571</v>
      </c>
      <c r="E495" s="264">
        <f t="shared" si="67"/>
        <v>6195601</v>
      </c>
      <c r="F495" s="264">
        <f t="shared" si="67"/>
        <v>6252276</v>
      </c>
      <c r="G495" s="264">
        <f t="shared" si="67"/>
        <v>6230308</v>
      </c>
      <c r="H495" s="264">
        <f t="shared" si="67"/>
        <v>6243847</v>
      </c>
      <c r="I495" s="264">
        <f t="shared" si="67"/>
        <v>6269451</v>
      </c>
      <c r="J495" s="264">
        <f t="shared" si="67"/>
        <v>6294036</v>
      </c>
      <c r="K495" s="264">
        <f t="shared" si="67"/>
        <v>6219195</v>
      </c>
      <c r="L495" s="264">
        <f t="shared" si="67"/>
        <v>6143472</v>
      </c>
      <c r="M495" s="262">
        <f t="shared" si="67"/>
        <v>6230075</v>
      </c>
    </row>
    <row r="496" spans="1:13" s="185" customFormat="1" ht="13.5">
      <c r="A496" s="484" t="s">
        <v>145</v>
      </c>
      <c r="B496" s="64">
        <v>1478183</v>
      </c>
      <c r="C496" s="39">
        <v>1473191</v>
      </c>
      <c r="D496" s="39">
        <v>1529467</v>
      </c>
      <c r="E496" s="39">
        <v>1522109</v>
      </c>
      <c r="F496" s="39">
        <v>1598468</v>
      </c>
      <c r="G496" s="39">
        <v>1634896</v>
      </c>
      <c r="H496" s="39">
        <v>1648859</v>
      </c>
      <c r="I496" s="39">
        <v>1669539</v>
      </c>
      <c r="J496" s="39">
        <v>1675901</v>
      </c>
      <c r="K496" s="39">
        <v>1697255</v>
      </c>
      <c r="L496" s="39">
        <v>1645774</v>
      </c>
      <c r="M496" s="41">
        <v>1660230</v>
      </c>
    </row>
    <row r="497" spans="1:13" s="185" customFormat="1" ht="13.5">
      <c r="A497" s="484" t="s">
        <v>149</v>
      </c>
      <c r="B497" s="64">
        <v>1610121</v>
      </c>
      <c r="C497" s="39">
        <v>1545366</v>
      </c>
      <c r="D497" s="39">
        <v>1582721</v>
      </c>
      <c r="E497" s="39">
        <v>1560192</v>
      </c>
      <c r="F497" s="39">
        <v>1546344</v>
      </c>
      <c r="G497" s="39">
        <v>1571619</v>
      </c>
      <c r="H497" s="39">
        <v>1549024</v>
      </c>
      <c r="I497" s="39">
        <v>1542612</v>
      </c>
      <c r="J497" s="39">
        <v>1543662</v>
      </c>
      <c r="K497" s="39">
        <v>1533953</v>
      </c>
      <c r="L497" s="39">
        <v>1433026</v>
      </c>
      <c r="M497" s="41">
        <v>1484213</v>
      </c>
    </row>
    <row r="498" spans="1:13" s="185" customFormat="1" ht="13.5">
      <c r="A498" s="484" t="s">
        <v>146</v>
      </c>
      <c r="B498" s="64">
        <v>1753273</v>
      </c>
      <c r="C498" s="39">
        <v>1636669</v>
      </c>
      <c r="D498" s="39">
        <v>1698404</v>
      </c>
      <c r="E498" s="39">
        <v>1726472</v>
      </c>
      <c r="F498" s="39">
        <v>1722731</v>
      </c>
      <c r="G498" s="39">
        <v>1631701</v>
      </c>
      <c r="H498" s="39">
        <v>1616622</v>
      </c>
      <c r="I498" s="39">
        <v>1598477</v>
      </c>
      <c r="J498" s="39">
        <v>1613131</v>
      </c>
      <c r="K498" s="39">
        <v>1502799</v>
      </c>
      <c r="L498" s="39">
        <v>1562440</v>
      </c>
      <c r="M498" s="41">
        <v>1501716</v>
      </c>
    </row>
    <row r="499" spans="1:13" s="185" customFormat="1" ht="13.5">
      <c r="A499" s="484" t="s">
        <v>147</v>
      </c>
      <c r="B499" s="64">
        <v>798215</v>
      </c>
      <c r="C499" s="39">
        <v>791171</v>
      </c>
      <c r="D499" s="39">
        <v>811882</v>
      </c>
      <c r="E499" s="39">
        <v>820727</v>
      </c>
      <c r="F499" s="39">
        <v>820377</v>
      </c>
      <c r="G499" s="39">
        <v>826899</v>
      </c>
      <c r="H499" s="39">
        <v>839913</v>
      </c>
      <c r="I499" s="39">
        <v>862890</v>
      </c>
      <c r="J499" s="39">
        <v>861893</v>
      </c>
      <c r="K499" s="39">
        <v>846698</v>
      </c>
      <c r="L499" s="39">
        <v>832322</v>
      </c>
      <c r="M499" s="41">
        <v>849954</v>
      </c>
    </row>
    <row r="500" spans="1:13" s="185" customFormat="1" ht="13.5">
      <c r="A500" s="484" t="s">
        <v>144</v>
      </c>
      <c r="B500" s="64">
        <v>96446</v>
      </c>
      <c r="C500" s="39">
        <v>95516</v>
      </c>
      <c r="D500" s="39">
        <v>101425</v>
      </c>
      <c r="E500" s="39">
        <v>96066</v>
      </c>
      <c r="F500" s="39">
        <v>112894</v>
      </c>
      <c r="G500" s="39">
        <v>127372</v>
      </c>
      <c r="H500" s="39">
        <v>137143</v>
      </c>
      <c r="I500" s="39">
        <v>138389</v>
      </c>
      <c r="J500" s="39">
        <v>125164</v>
      </c>
      <c r="K500" s="39">
        <v>135135</v>
      </c>
      <c r="L500" s="39">
        <v>149837</v>
      </c>
      <c r="M500" s="41">
        <v>157878</v>
      </c>
    </row>
    <row r="501" spans="1:13" s="185" customFormat="1" ht="13.5">
      <c r="A501" s="484" t="s">
        <v>148</v>
      </c>
      <c r="B501" s="64">
        <v>427564</v>
      </c>
      <c r="C501" s="39">
        <v>441600</v>
      </c>
      <c r="D501" s="39">
        <v>523672</v>
      </c>
      <c r="E501" s="39">
        <v>470035</v>
      </c>
      <c r="F501" s="39">
        <v>451462</v>
      </c>
      <c r="G501" s="39">
        <v>437821</v>
      </c>
      <c r="H501" s="39">
        <v>452286</v>
      </c>
      <c r="I501" s="39">
        <v>457544</v>
      </c>
      <c r="J501" s="39">
        <v>474285</v>
      </c>
      <c r="K501" s="39">
        <v>503355</v>
      </c>
      <c r="L501" s="39">
        <v>520073</v>
      </c>
      <c r="M501" s="41">
        <v>576084</v>
      </c>
    </row>
    <row r="502" spans="1:13" s="185" customFormat="1" ht="13.5" thickBot="1">
      <c r="A502" s="486" t="s">
        <v>3</v>
      </c>
      <c r="B502" s="72">
        <f t="shared" ref="B502:H502" si="68">SUM(B488:B495)</f>
        <v>23657609</v>
      </c>
      <c r="C502" s="73">
        <f t="shared" si="68"/>
        <v>23732174</v>
      </c>
      <c r="D502" s="73">
        <f t="shared" si="68"/>
        <v>24336534</v>
      </c>
      <c r="E502" s="73">
        <f t="shared" si="68"/>
        <v>24795476</v>
      </c>
      <c r="F502" s="73">
        <f t="shared" si="68"/>
        <v>25550403</v>
      </c>
      <c r="G502" s="73">
        <f t="shared" si="68"/>
        <v>26006177</v>
      </c>
      <c r="H502" s="73">
        <f t="shared" si="68"/>
        <v>26297944</v>
      </c>
      <c r="I502" s="73">
        <f>SUM(I488:I495)</f>
        <v>26682068</v>
      </c>
      <c r="J502" s="73">
        <f>SUM(J488:J495)</f>
        <v>26903799</v>
      </c>
      <c r="K502" s="73">
        <f>SUM(K488:K495)</f>
        <v>27209847</v>
      </c>
      <c r="L502" s="73">
        <f>SUM(L488:L495)</f>
        <v>27205290</v>
      </c>
      <c r="M502" s="74">
        <f>SUM(M488:M495)</f>
        <v>27574017</v>
      </c>
    </row>
    <row r="503" spans="1:13" s="185" customFormat="1" ht="13.5" thickBot="1">
      <c r="A503" s="480"/>
      <c r="B503" s="422"/>
      <c r="C503" s="422"/>
      <c r="D503" s="422"/>
      <c r="E503" s="422"/>
      <c r="F503" s="422"/>
      <c r="G503" s="422"/>
      <c r="H503" s="422"/>
      <c r="I503" s="422"/>
      <c r="J503" s="422"/>
      <c r="K503" s="422"/>
      <c r="L503" s="422"/>
      <c r="M503" s="422"/>
    </row>
    <row r="504" spans="1:13" s="185" customFormat="1" ht="13.5" thickBot="1">
      <c r="A504" s="480"/>
      <c r="B504" s="304">
        <v>41640</v>
      </c>
      <c r="C504" s="305">
        <v>41671</v>
      </c>
      <c r="D504" s="305">
        <v>41699</v>
      </c>
      <c r="E504" s="305">
        <v>41730</v>
      </c>
      <c r="F504" s="305">
        <v>41760</v>
      </c>
      <c r="G504" s="305">
        <v>41791</v>
      </c>
      <c r="H504" s="305">
        <v>41821</v>
      </c>
      <c r="I504" s="305">
        <v>41852</v>
      </c>
      <c r="J504" s="305">
        <v>41883</v>
      </c>
      <c r="K504" s="305">
        <v>41913</v>
      </c>
      <c r="L504" s="305">
        <v>41944</v>
      </c>
      <c r="M504" s="283">
        <v>41974</v>
      </c>
    </row>
    <row r="505" spans="1:13" s="185" customFormat="1" ht="13.5">
      <c r="A505" s="481" t="s">
        <v>141</v>
      </c>
      <c r="B505" s="63">
        <v>2944031</v>
      </c>
      <c r="C505" s="37">
        <v>2836293</v>
      </c>
      <c r="D505" s="37">
        <v>2876843</v>
      </c>
      <c r="E505" s="37">
        <v>2853105</v>
      </c>
      <c r="F505" s="37">
        <v>2713965</v>
      </c>
      <c r="G505" s="37">
        <v>2728627</v>
      </c>
      <c r="H505" s="37">
        <v>2803726</v>
      </c>
      <c r="I505" s="37">
        <v>2724125</v>
      </c>
      <c r="J505" s="37">
        <v>2712689</v>
      </c>
      <c r="K505" s="37">
        <v>2631538</v>
      </c>
      <c r="L505" s="37">
        <v>2700253</v>
      </c>
      <c r="M505" s="38">
        <v>2661840</v>
      </c>
    </row>
    <row r="506" spans="1:13" s="185" customFormat="1" ht="13.5">
      <c r="A506" s="484" t="s">
        <v>142</v>
      </c>
      <c r="B506" s="64">
        <v>6004106</v>
      </c>
      <c r="C506" s="39">
        <v>6289437</v>
      </c>
      <c r="D506" s="39">
        <v>6471207</v>
      </c>
      <c r="E506" s="39">
        <v>6482007</v>
      </c>
      <c r="F506" s="39">
        <v>6348641</v>
      </c>
      <c r="G506" s="39">
        <v>6355210</v>
      </c>
      <c r="H506" s="39">
        <v>6298577</v>
      </c>
      <c r="I506" s="39">
        <v>6298557</v>
      </c>
      <c r="J506" s="39">
        <v>6300502</v>
      </c>
      <c r="K506" s="39">
        <v>6360888</v>
      </c>
      <c r="L506" s="39">
        <v>6479329</v>
      </c>
      <c r="M506" s="41">
        <v>6433930</v>
      </c>
    </row>
    <row r="507" spans="1:13" s="185" customFormat="1" ht="13.5">
      <c r="A507" s="484" t="s">
        <v>140</v>
      </c>
      <c r="B507" s="64">
        <v>3485603</v>
      </c>
      <c r="C507" s="39">
        <v>3405046</v>
      </c>
      <c r="D507" s="39">
        <v>3477389</v>
      </c>
      <c r="E507" s="39">
        <v>3480030</v>
      </c>
      <c r="F507" s="39">
        <v>3385631</v>
      </c>
      <c r="G507" s="39">
        <v>3291819</v>
      </c>
      <c r="H507" s="39">
        <v>3435191</v>
      </c>
      <c r="I507" s="39">
        <v>3449254</v>
      </c>
      <c r="J507" s="39">
        <v>3345469</v>
      </c>
      <c r="K507" s="39">
        <v>3338780</v>
      </c>
      <c r="L507" s="39">
        <v>3400755</v>
      </c>
      <c r="M507" s="41">
        <v>3429746</v>
      </c>
    </row>
    <row r="508" spans="1:13" s="185" customFormat="1" ht="13.5">
      <c r="A508" s="484" t="s">
        <v>139</v>
      </c>
      <c r="B508" s="64">
        <v>3538929</v>
      </c>
      <c r="C508" s="39">
        <v>3491217</v>
      </c>
      <c r="D508" s="39">
        <v>3399298</v>
      </c>
      <c r="E508" s="39">
        <v>3336788</v>
      </c>
      <c r="F508" s="39">
        <v>3095138</v>
      </c>
      <c r="G508" s="39">
        <v>3157552</v>
      </c>
      <c r="H508" s="39">
        <v>3223612</v>
      </c>
      <c r="I508" s="39">
        <v>3180505</v>
      </c>
      <c r="J508" s="39">
        <v>3138897</v>
      </c>
      <c r="K508" s="39">
        <v>3048465</v>
      </c>
      <c r="L508" s="39">
        <v>3069177</v>
      </c>
      <c r="M508" s="41">
        <v>2979582</v>
      </c>
    </row>
    <row r="509" spans="1:13" s="185" customFormat="1" ht="13.5">
      <c r="A509" s="484" t="s">
        <v>143</v>
      </c>
      <c r="B509" s="64">
        <v>3542297</v>
      </c>
      <c r="C509" s="39">
        <v>3707435</v>
      </c>
      <c r="D509" s="39">
        <v>3682553</v>
      </c>
      <c r="E509" s="39">
        <v>3668212</v>
      </c>
      <c r="F509" s="39">
        <v>3533511</v>
      </c>
      <c r="G509" s="39">
        <v>3474977</v>
      </c>
      <c r="H509" s="39">
        <v>3274400</v>
      </c>
      <c r="I509" s="39">
        <v>3330247</v>
      </c>
      <c r="J509" s="39">
        <v>3291483</v>
      </c>
      <c r="K509" s="39">
        <v>3303227</v>
      </c>
      <c r="L509" s="39">
        <v>3378446</v>
      </c>
      <c r="M509" s="41">
        <v>3353717</v>
      </c>
    </row>
    <row r="510" spans="1:13" s="185" customFormat="1" ht="13.5">
      <c r="A510" s="484" t="s">
        <v>186</v>
      </c>
      <c r="B510" s="64">
        <v>1148365</v>
      </c>
      <c r="C510" s="39">
        <v>1144705</v>
      </c>
      <c r="D510" s="39">
        <v>1113134</v>
      </c>
      <c r="E510" s="39">
        <v>1085928</v>
      </c>
      <c r="F510" s="39">
        <v>1042319</v>
      </c>
      <c r="G510" s="39">
        <v>1036006</v>
      </c>
      <c r="H510" s="39">
        <v>1028905</v>
      </c>
      <c r="I510" s="39">
        <v>1011643</v>
      </c>
      <c r="J510" s="39">
        <v>1008496</v>
      </c>
      <c r="K510" s="39">
        <v>963102</v>
      </c>
      <c r="L510" s="39">
        <v>941868</v>
      </c>
      <c r="M510" s="41">
        <v>913598</v>
      </c>
    </row>
    <row r="511" spans="1:13" s="185" customFormat="1" ht="13.5">
      <c r="A511" s="484" t="s">
        <v>138</v>
      </c>
      <c r="B511" s="64">
        <v>691601</v>
      </c>
      <c r="C511" s="39">
        <v>721822</v>
      </c>
      <c r="D511" s="39">
        <v>728551</v>
      </c>
      <c r="E511" s="39">
        <v>702718</v>
      </c>
      <c r="F511" s="39">
        <v>698415</v>
      </c>
      <c r="G511" s="39">
        <v>641343</v>
      </c>
      <c r="H511" s="39">
        <v>629211</v>
      </c>
      <c r="I511" s="39">
        <v>620806</v>
      </c>
      <c r="J511" s="39">
        <v>661670</v>
      </c>
      <c r="K511" s="39">
        <v>635087</v>
      </c>
      <c r="L511" s="39">
        <v>631384</v>
      </c>
      <c r="M511" s="41">
        <v>653005</v>
      </c>
    </row>
    <row r="512" spans="1:13" s="185" customFormat="1" ht="25.5">
      <c r="A512" s="485" t="s">
        <v>187</v>
      </c>
      <c r="B512" s="263">
        <f>SUM(B513:B518)</f>
        <v>6232098</v>
      </c>
      <c r="C512" s="264">
        <f>SUM(C513:C518)</f>
        <v>6359380</v>
      </c>
      <c r="D512" s="264">
        <f t="shared" ref="D512:M512" si="69">SUM(D513:D518)</f>
        <v>6117259</v>
      </c>
      <c r="E512" s="264">
        <f t="shared" si="69"/>
        <v>5975413</v>
      </c>
      <c r="F512" s="264">
        <f t="shared" si="69"/>
        <v>5906623</v>
      </c>
      <c r="G512" s="264">
        <f t="shared" si="69"/>
        <v>5886339</v>
      </c>
      <c r="H512" s="264">
        <f t="shared" si="69"/>
        <v>5904087</v>
      </c>
      <c r="I512" s="264">
        <f t="shared" si="69"/>
        <v>5800418</v>
      </c>
      <c r="J512" s="264">
        <f t="shared" si="69"/>
        <v>5637250</v>
      </c>
      <c r="K512" s="264">
        <f t="shared" si="69"/>
        <v>5492183</v>
      </c>
      <c r="L512" s="264">
        <f t="shared" si="69"/>
        <v>5311551</v>
      </c>
      <c r="M512" s="262">
        <f t="shared" si="69"/>
        <v>5011550</v>
      </c>
    </row>
    <row r="513" spans="1:13" s="185" customFormat="1" ht="13.5">
      <c r="A513" s="484" t="s">
        <v>145</v>
      </c>
      <c r="B513" s="64">
        <v>1673314</v>
      </c>
      <c r="C513" s="39">
        <v>1710241</v>
      </c>
      <c r="D513" s="39">
        <v>1720922</v>
      </c>
      <c r="E513" s="39">
        <v>1690448</v>
      </c>
      <c r="F513" s="39">
        <v>1619735</v>
      </c>
      <c r="G513" s="39">
        <v>1587183</v>
      </c>
      <c r="H513" s="39">
        <v>1610993</v>
      </c>
      <c r="I513" s="39">
        <v>1571889</v>
      </c>
      <c r="J513" s="39">
        <v>1565706</v>
      </c>
      <c r="K513" s="39">
        <v>1499979</v>
      </c>
      <c r="L513" s="39">
        <v>1521393</v>
      </c>
      <c r="M513" s="492">
        <v>1437582</v>
      </c>
    </row>
    <row r="514" spans="1:13" s="185" customFormat="1" ht="13.5">
      <c r="A514" s="484" t="s">
        <v>149</v>
      </c>
      <c r="B514" s="64">
        <v>1505334</v>
      </c>
      <c r="C514" s="39">
        <v>1548241</v>
      </c>
      <c r="D514" s="39">
        <v>1520092</v>
      </c>
      <c r="E514" s="39">
        <v>1493639</v>
      </c>
      <c r="F514" s="39">
        <v>1450661</v>
      </c>
      <c r="G514" s="39">
        <v>1433289</v>
      </c>
      <c r="H514" s="39">
        <v>1392717</v>
      </c>
      <c r="I514" s="39">
        <v>1398619</v>
      </c>
      <c r="J514" s="39">
        <v>1359959</v>
      </c>
      <c r="K514" s="39">
        <v>1302974</v>
      </c>
      <c r="L514" s="39">
        <v>1219163</v>
      </c>
      <c r="M514" s="492">
        <v>1114626</v>
      </c>
    </row>
    <row r="515" spans="1:13" s="185" customFormat="1" ht="13.5">
      <c r="A515" s="484" t="s">
        <v>146</v>
      </c>
      <c r="B515" s="64">
        <v>1459949</v>
      </c>
      <c r="C515" s="39">
        <v>1527394</v>
      </c>
      <c r="D515" s="39">
        <v>1409614</v>
      </c>
      <c r="E515" s="39">
        <v>1357910</v>
      </c>
      <c r="F515" s="39">
        <v>1349825</v>
      </c>
      <c r="G515" s="39">
        <v>1403152</v>
      </c>
      <c r="H515" s="39">
        <v>1469435</v>
      </c>
      <c r="I515" s="39">
        <v>1440454</v>
      </c>
      <c r="J515" s="39">
        <v>1371945</v>
      </c>
      <c r="K515" s="39">
        <v>1356042</v>
      </c>
      <c r="L515" s="39">
        <v>1254904</v>
      </c>
      <c r="M515" s="492">
        <v>1220534</v>
      </c>
    </row>
    <row r="516" spans="1:13" s="185" customFormat="1" ht="13.5">
      <c r="A516" s="484" t="s">
        <v>147</v>
      </c>
      <c r="B516" s="64">
        <v>850978</v>
      </c>
      <c r="C516" s="39">
        <v>838741</v>
      </c>
      <c r="D516" s="39">
        <v>806012</v>
      </c>
      <c r="E516" s="39">
        <v>786608</v>
      </c>
      <c r="F516" s="39">
        <v>842908</v>
      </c>
      <c r="G516" s="39">
        <v>811488</v>
      </c>
      <c r="H516" s="39">
        <v>789740</v>
      </c>
      <c r="I516" s="39">
        <v>743415</v>
      </c>
      <c r="J516" s="39">
        <v>711543</v>
      </c>
      <c r="K516" s="39">
        <v>736403</v>
      </c>
      <c r="L516" s="39">
        <v>736913</v>
      </c>
      <c r="M516" s="492">
        <v>713759</v>
      </c>
    </row>
    <row r="517" spans="1:13" s="185" customFormat="1" ht="13.5">
      <c r="A517" s="484" t="s">
        <v>144</v>
      </c>
      <c r="B517" s="64">
        <v>154838</v>
      </c>
      <c r="C517" s="39">
        <v>165071</v>
      </c>
      <c r="D517" s="39">
        <v>153442</v>
      </c>
      <c r="E517" s="39">
        <v>142912</v>
      </c>
      <c r="F517" s="39">
        <v>132181</v>
      </c>
      <c r="G517" s="39">
        <v>120771</v>
      </c>
      <c r="H517" s="39">
        <v>111713</v>
      </c>
      <c r="I517" s="39">
        <v>111206</v>
      </c>
      <c r="J517" s="39">
        <v>109241</v>
      </c>
      <c r="K517" s="39">
        <v>112626</v>
      </c>
      <c r="L517" s="39">
        <v>91168</v>
      </c>
      <c r="M517" s="492">
        <v>78148</v>
      </c>
    </row>
    <row r="518" spans="1:13" s="185" customFormat="1" ht="13.5">
      <c r="A518" s="484" t="s">
        <v>148</v>
      </c>
      <c r="B518" s="64">
        <v>587685</v>
      </c>
      <c r="C518" s="39">
        <v>569692</v>
      </c>
      <c r="D518" s="39">
        <v>507177</v>
      </c>
      <c r="E518" s="39">
        <v>503896</v>
      </c>
      <c r="F518" s="39">
        <v>511313</v>
      </c>
      <c r="G518" s="39">
        <v>530456</v>
      </c>
      <c r="H518" s="39">
        <v>529489</v>
      </c>
      <c r="I518" s="39">
        <v>534835</v>
      </c>
      <c r="J518" s="39">
        <v>518856</v>
      </c>
      <c r="K518" s="39">
        <v>484159</v>
      </c>
      <c r="L518" s="39">
        <v>488010</v>
      </c>
      <c r="M518" s="493">
        <v>446901</v>
      </c>
    </row>
    <row r="519" spans="1:13" s="185" customFormat="1" ht="13.5" thickBot="1">
      <c r="A519" s="486" t="s">
        <v>3</v>
      </c>
      <c r="B519" s="494">
        <f>SUM(B505:B512)</f>
        <v>27587030</v>
      </c>
      <c r="C519" s="495">
        <f>SUM(C505:C512)</f>
        <v>27955335</v>
      </c>
      <c r="D519" s="495">
        <f t="shared" ref="D519:M519" si="70">SUM(D505:D512)</f>
        <v>27866234</v>
      </c>
      <c r="E519" s="495">
        <f t="shared" si="70"/>
        <v>27584201</v>
      </c>
      <c r="F519" s="495">
        <f t="shared" si="70"/>
        <v>26724243</v>
      </c>
      <c r="G519" s="495">
        <f t="shared" si="70"/>
        <v>26571873</v>
      </c>
      <c r="H519" s="495">
        <f t="shared" si="70"/>
        <v>26597709</v>
      </c>
      <c r="I519" s="495">
        <f t="shared" si="70"/>
        <v>26415555</v>
      </c>
      <c r="J519" s="495">
        <f t="shared" si="70"/>
        <v>26096456</v>
      </c>
      <c r="K519" s="495">
        <f t="shared" si="70"/>
        <v>25773270</v>
      </c>
      <c r="L519" s="495">
        <f t="shared" si="70"/>
        <v>25912763</v>
      </c>
      <c r="M519" s="496">
        <f t="shared" si="70"/>
        <v>25436968</v>
      </c>
    </row>
    <row r="520" spans="1:13" s="185" customFormat="1" ht="14.25" thickBot="1">
      <c r="A520" s="497"/>
      <c r="B520" s="498"/>
      <c r="C520" s="498"/>
      <c r="D520" s="498"/>
      <c r="E520" s="498"/>
      <c r="F520" s="498"/>
      <c r="G520" s="498"/>
      <c r="H520" s="498"/>
      <c r="I520" s="498"/>
      <c r="J520" s="498"/>
      <c r="K520" s="498"/>
      <c r="L520" s="498"/>
      <c r="M520" s="498"/>
    </row>
    <row r="521" spans="1:13" s="185" customFormat="1" ht="13.5" thickBot="1">
      <c r="A521" s="480"/>
      <c r="B521" s="276">
        <v>42005</v>
      </c>
      <c r="C521" s="267">
        <v>42036</v>
      </c>
      <c r="D521" s="267">
        <v>42064</v>
      </c>
      <c r="E521" s="267">
        <v>42095</v>
      </c>
      <c r="F521" s="267">
        <v>42125</v>
      </c>
      <c r="G521" s="267">
        <v>42156</v>
      </c>
      <c r="H521" s="267">
        <v>42186</v>
      </c>
      <c r="I521" s="267">
        <v>42217</v>
      </c>
      <c r="J521" s="267">
        <v>42248</v>
      </c>
      <c r="K521" s="267">
        <v>42278</v>
      </c>
      <c r="L521" s="267">
        <v>42309</v>
      </c>
      <c r="M521" s="268">
        <v>42339</v>
      </c>
    </row>
    <row r="522" spans="1:13" s="185" customFormat="1" ht="13.5">
      <c r="A522" s="481" t="s">
        <v>141</v>
      </c>
      <c r="B522" s="63">
        <v>2634745</v>
      </c>
      <c r="C522" s="37">
        <v>2555704</v>
      </c>
      <c r="D522" s="37">
        <v>2405924</v>
      </c>
      <c r="E522" s="37">
        <v>2459624</v>
      </c>
      <c r="F522" s="37">
        <v>2468407</v>
      </c>
      <c r="G522" s="37">
        <v>2496821</v>
      </c>
      <c r="H522" s="37">
        <v>2417597</v>
      </c>
      <c r="I522" s="37">
        <v>2341388</v>
      </c>
      <c r="J522" s="37">
        <v>2296643</v>
      </c>
      <c r="K522" s="37">
        <v>2273921</v>
      </c>
      <c r="L522" s="37">
        <v>2186827</v>
      </c>
      <c r="M522" s="38">
        <v>2213203</v>
      </c>
    </row>
    <row r="523" spans="1:13" s="185" customFormat="1" ht="13.5">
      <c r="A523" s="484" t="s">
        <v>142</v>
      </c>
      <c r="B523" s="64">
        <v>6529728</v>
      </c>
      <c r="C523" s="39">
        <v>6266772</v>
      </c>
      <c r="D523" s="39">
        <v>6164782</v>
      </c>
      <c r="E523" s="39">
        <v>6156289</v>
      </c>
      <c r="F523" s="39">
        <v>6218070</v>
      </c>
      <c r="G523" s="39">
        <v>6176388</v>
      </c>
      <c r="H523" s="39">
        <v>6128746</v>
      </c>
      <c r="I523" s="39">
        <v>6076808</v>
      </c>
      <c r="J523" s="39">
        <v>6158313</v>
      </c>
      <c r="K523" s="39">
        <v>6076201</v>
      </c>
      <c r="L523" s="39">
        <v>5931940</v>
      </c>
      <c r="M523" s="41">
        <v>5865308</v>
      </c>
    </row>
    <row r="524" spans="1:13" s="185" customFormat="1" ht="13.5">
      <c r="A524" s="484" t="s">
        <v>140</v>
      </c>
      <c r="B524" s="64">
        <v>3420199</v>
      </c>
      <c r="C524" s="39">
        <v>3439991</v>
      </c>
      <c r="D524" s="39">
        <v>3294266</v>
      </c>
      <c r="E524" s="39">
        <v>3127058</v>
      </c>
      <c r="F524" s="39">
        <v>3044717</v>
      </c>
      <c r="G524" s="39">
        <v>3095980</v>
      </c>
      <c r="H524" s="39">
        <v>2879353</v>
      </c>
      <c r="I524" s="39">
        <v>2838429</v>
      </c>
      <c r="J524" s="39">
        <v>2914691</v>
      </c>
      <c r="K524" s="39">
        <v>2891230</v>
      </c>
      <c r="L524" s="39">
        <v>2949478</v>
      </c>
      <c r="M524" s="41">
        <v>2952075</v>
      </c>
    </row>
    <row r="525" spans="1:13" s="185" customFormat="1" ht="13.5">
      <c r="A525" s="484" t="s">
        <v>139</v>
      </c>
      <c r="B525" s="64">
        <v>3175186</v>
      </c>
      <c r="C525" s="39">
        <v>3167407</v>
      </c>
      <c r="D525" s="39">
        <v>3168291</v>
      </c>
      <c r="E525" s="39">
        <v>3186665</v>
      </c>
      <c r="F525" s="39">
        <v>3212673</v>
      </c>
      <c r="G525" s="39">
        <v>3074024</v>
      </c>
      <c r="H525" s="39">
        <v>3057526</v>
      </c>
      <c r="I525" s="39">
        <v>3074851</v>
      </c>
      <c r="J525" s="39">
        <v>3014988</v>
      </c>
      <c r="K525" s="39">
        <v>2992472</v>
      </c>
      <c r="L525" s="39">
        <v>3062139</v>
      </c>
      <c r="M525" s="41">
        <v>3017562</v>
      </c>
    </row>
    <row r="526" spans="1:13" s="185" customFormat="1" ht="13.5">
      <c r="A526" s="484" t="s">
        <v>143</v>
      </c>
      <c r="B526" s="64">
        <v>3371521</v>
      </c>
      <c r="C526" s="39">
        <v>3264562</v>
      </c>
      <c r="D526" s="39">
        <v>3245570</v>
      </c>
      <c r="E526" s="39">
        <v>3268366</v>
      </c>
      <c r="F526" s="39">
        <v>3320086</v>
      </c>
      <c r="G526" s="39">
        <v>3222081</v>
      </c>
      <c r="H526" s="39">
        <v>3374023</v>
      </c>
      <c r="I526" s="39">
        <v>3225677</v>
      </c>
      <c r="J526" s="39">
        <v>3284164</v>
      </c>
      <c r="K526" s="39">
        <v>3219913</v>
      </c>
      <c r="L526" s="39">
        <v>3171623</v>
      </c>
      <c r="M526" s="41">
        <v>3201305</v>
      </c>
    </row>
    <row r="527" spans="1:13" s="185" customFormat="1" ht="13.5">
      <c r="A527" s="484" t="s">
        <v>186</v>
      </c>
      <c r="B527" s="64">
        <v>932091</v>
      </c>
      <c r="C527" s="39">
        <v>994667</v>
      </c>
      <c r="D527" s="39">
        <v>992112</v>
      </c>
      <c r="E527" s="39">
        <v>975829</v>
      </c>
      <c r="F527" s="39">
        <v>989480</v>
      </c>
      <c r="G527" s="39">
        <v>996289</v>
      </c>
      <c r="H527" s="39">
        <v>980418</v>
      </c>
      <c r="I527" s="39">
        <v>961442</v>
      </c>
      <c r="J527" s="39">
        <v>957791</v>
      </c>
      <c r="K527" s="39">
        <v>958122</v>
      </c>
      <c r="L527" s="39">
        <v>950171</v>
      </c>
      <c r="M527" s="41">
        <v>956199</v>
      </c>
    </row>
    <row r="528" spans="1:13" s="185" customFormat="1" ht="13.5">
      <c r="A528" s="484" t="s">
        <v>138</v>
      </c>
      <c r="B528" s="64">
        <v>644761</v>
      </c>
      <c r="C528" s="39">
        <v>601910</v>
      </c>
      <c r="D528" s="39">
        <v>596405</v>
      </c>
      <c r="E528" s="39">
        <v>587108</v>
      </c>
      <c r="F528" s="39">
        <v>526309</v>
      </c>
      <c r="G528" s="39">
        <v>521524</v>
      </c>
      <c r="H528" s="39">
        <v>513168</v>
      </c>
      <c r="I528" s="39">
        <v>506233</v>
      </c>
      <c r="J528" s="39">
        <v>447608</v>
      </c>
      <c r="K528" s="39">
        <v>510635</v>
      </c>
      <c r="L528" s="39">
        <v>558510</v>
      </c>
      <c r="M528" s="41">
        <v>525280</v>
      </c>
    </row>
    <row r="529" spans="1:13" s="185" customFormat="1" ht="25.5">
      <c r="A529" s="485" t="s">
        <v>187</v>
      </c>
      <c r="B529" s="263">
        <f>SUM(B530:B535)</f>
        <v>4919182</v>
      </c>
      <c r="C529" s="264">
        <f t="shared" ref="C529:M529" si="71">SUM(C530:C535)</f>
        <v>4805863</v>
      </c>
      <c r="D529" s="264">
        <f t="shared" si="71"/>
        <v>4679413</v>
      </c>
      <c r="E529" s="264">
        <f t="shared" si="71"/>
        <v>4658719</v>
      </c>
      <c r="F529" s="264">
        <f t="shared" si="71"/>
        <v>4490450</v>
      </c>
      <c r="G529" s="264">
        <f t="shared" si="71"/>
        <v>4460575</v>
      </c>
      <c r="H529" s="264">
        <f t="shared" si="71"/>
        <v>4296579</v>
      </c>
      <c r="I529" s="264">
        <f t="shared" si="71"/>
        <v>4310926</v>
      </c>
      <c r="J529" s="264">
        <f t="shared" si="71"/>
        <v>4372784</v>
      </c>
      <c r="K529" s="264">
        <f t="shared" si="71"/>
        <v>4479566</v>
      </c>
      <c r="L529" s="264">
        <f t="shared" si="71"/>
        <v>4541192</v>
      </c>
      <c r="M529" s="262">
        <f t="shared" si="71"/>
        <v>4531115</v>
      </c>
    </row>
    <row r="530" spans="1:13" s="185" customFormat="1" ht="13.5">
      <c r="A530" s="484" t="s">
        <v>145</v>
      </c>
      <c r="B530" s="64">
        <v>1409733</v>
      </c>
      <c r="C530" s="39">
        <v>1463911</v>
      </c>
      <c r="D530" s="39">
        <v>1409753</v>
      </c>
      <c r="E530" s="39">
        <v>1431872</v>
      </c>
      <c r="F530" s="39">
        <v>1367168</v>
      </c>
      <c r="G530" s="39">
        <v>1332883</v>
      </c>
      <c r="H530" s="39">
        <v>1291793</v>
      </c>
      <c r="I530" s="39">
        <v>1300976</v>
      </c>
      <c r="J530" s="39">
        <v>1334432</v>
      </c>
      <c r="K530" s="39">
        <v>1310096</v>
      </c>
      <c r="L530" s="39">
        <v>1251335</v>
      </c>
      <c r="M530" s="41">
        <v>1263463</v>
      </c>
    </row>
    <row r="531" spans="1:13" s="185" customFormat="1" ht="13.5">
      <c r="A531" s="484" t="s">
        <v>149</v>
      </c>
      <c r="B531" s="64">
        <v>1087868</v>
      </c>
      <c r="C531" s="39">
        <v>1023069</v>
      </c>
      <c r="D531" s="39">
        <v>941596</v>
      </c>
      <c r="E531" s="39">
        <v>925536</v>
      </c>
      <c r="F531" s="39">
        <v>881879</v>
      </c>
      <c r="G531" s="39">
        <v>827297</v>
      </c>
      <c r="H531" s="39">
        <v>797128</v>
      </c>
      <c r="I531" s="39">
        <v>770173</v>
      </c>
      <c r="J531" s="39">
        <v>762880</v>
      </c>
      <c r="K531" s="39">
        <v>887343</v>
      </c>
      <c r="L531" s="39">
        <v>908593</v>
      </c>
      <c r="M531" s="41">
        <v>925403</v>
      </c>
    </row>
    <row r="532" spans="1:13" s="185" customFormat="1" ht="13.5">
      <c r="A532" s="484" t="s">
        <v>146</v>
      </c>
      <c r="B532" s="64">
        <v>1219785</v>
      </c>
      <c r="C532" s="39">
        <v>1154297</v>
      </c>
      <c r="D532" s="39">
        <v>1161171</v>
      </c>
      <c r="E532" s="39">
        <v>1155337</v>
      </c>
      <c r="F532" s="39">
        <v>1120813</v>
      </c>
      <c r="G532" s="39">
        <v>1092090</v>
      </c>
      <c r="H532" s="39">
        <v>975747</v>
      </c>
      <c r="I532" s="39">
        <v>1002455</v>
      </c>
      <c r="J532" s="39">
        <v>1032944</v>
      </c>
      <c r="K532" s="39">
        <v>1049958</v>
      </c>
      <c r="L532" s="39">
        <v>1159105</v>
      </c>
      <c r="M532" s="41">
        <v>1136823</v>
      </c>
    </row>
    <row r="533" spans="1:13" s="185" customFormat="1" ht="13.5">
      <c r="A533" s="484" t="s">
        <v>147</v>
      </c>
      <c r="B533" s="64">
        <v>699058</v>
      </c>
      <c r="C533" s="39">
        <v>678805</v>
      </c>
      <c r="D533" s="39">
        <v>685494</v>
      </c>
      <c r="E533" s="39">
        <v>675776</v>
      </c>
      <c r="F533" s="39">
        <v>608884</v>
      </c>
      <c r="G533" s="39">
        <v>687087</v>
      </c>
      <c r="H533" s="39">
        <v>668867</v>
      </c>
      <c r="I533" s="39">
        <v>690753</v>
      </c>
      <c r="J533" s="39">
        <v>691096</v>
      </c>
      <c r="K533" s="39">
        <v>660995</v>
      </c>
      <c r="L533" s="39">
        <v>659675</v>
      </c>
      <c r="M533" s="41">
        <v>644508</v>
      </c>
    </row>
    <row r="534" spans="1:13" s="185" customFormat="1" ht="13.5">
      <c r="A534" s="484" t="s">
        <v>144</v>
      </c>
      <c r="B534" s="64">
        <v>82562</v>
      </c>
      <c r="C534" s="39">
        <v>73474</v>
      </c>
      <c r="D534" s="39">
        <v>81018</v>
      </c>
      <c r="E534" s="39">
        <v>79206</v>
      </c>
      <c r="F534" s="39">
        <v>120631</v>
      </c>
      <c r="G534" s="39">
        <v>121005</v>
      </c>
      <c r="H534" s="39">
        <v>160424</v>
      </c>
      <c r="I534" s="39">
        <v>160831</v>
      </c>
      <c r="J534" s="39">
        <v>161869</v>
      </c>
      <c r="K534" s="39">
        <v>169645</v>
      </c>
      <c r="L534" s="39">
        <v>180641</v>
      </c>
      <c r="M534" s="41">
        <v>181301</v>
      </c>
    </row>
    <row r="535" spans="1:13" s="185" customFormat="1" ht="13.5">
      <c r="A535" s="484" t="s">
        <v>148</v>
      </c>
      <c r="B535" s="64">
        <v>420176</v>
      </c>
      <c r="C535" s="39">
        <v>412307</v>
      </c>
      <c r="D535" s="39">
        <v>400381</v>
      </c>
      <c r="E535" s="39">
        <v>390992</v>
      </c>
      <c r="F535" s="39">
        <v>391075</v>
      </c>
      <c r="G535" s="39">
        <v>400213</v>
      </c>
      <c r="H535" s="39">
        <v>402620</v>
      </c>
      <c r="I535" s="39">
        <v>385738</v>
      </c>
      <c r="J535" s="39">
        <v>389563</v>
      </c>
      <c r="K535" s="39">
        <v>401529</v>
      </c>
      <c r="L535" s="39">
        <v>381843</v>
      </c>
      <c r="M535" s="41">
        <v>379617</v>
      </c>
    </row>
    <row r="536" spans="1:13" s="185" customFormat="1" ht="13.5" thickBot="1">
      <c r="A536" s="486" t="s">
        <v>3</v>
      </c>
      <c r="B536" s="72">
        <f>SUM(B522:B529)</f>
        <v>25627413</v>
      </c>
      <c r="C536" s="73">
        <f>SUM(C522:C529)</f>
        <v>25096876</v>
      </c>
      <c r="D536" s="73">
        <f>SUM(D522:D529)</f>
        <v>24546763</v>
      </c>
      <c r="E536" s="73">
        <f t="shared" ref="E536:L536" si="72">SUM(E522:E529)</f>
        <v>24419658</v>
      </c>
      <c r="F536" s="73">
        <f t="shared" si="72"/>
        <v>24270192</v>
      </c>
      <c r="G536" s="73">
        <f t="shared" si="72"/>
        <v>24043682</v>
      </c>
      <c r="H536" s="73">
        <f t="shared" si="72"/>
        <v>23647410</v>
      </c>
      <c r="I536" s="495">
        <f t="shared" si="72"/>
        <v>23335754</v>
      </c>
      <c r="J536" s="495">
        <f t="shared" si="72"/>
        <v>23446982</v>
      </c>
      <c r="K536" s="495">
        <f t="shared" si="72"/>
        <v>23402060</v>
      </c>
      <c r="L536" s="495">
        <f t="shared" si="72"/>
        <v>23351880</v>
      </c>
      <c r="M536" s="496">
        <f>SUM(M522:M529)</f>
        <v>23262047</v>
      </c>
    </row>
    <row r="537" spans="1:13" s="185" customFormat="1" ht="13.5" thickBot="1">
      <c r="A537" s="480"/>
      <c r="B537" s="422"/>
      <c r="C537" s="422"/>
      <c r="D537" s="422"/>
      <c r="E537" s="422"/>
      <c r="F537" s="422"/>
      <c r="G537" s="422"/>
      <c r="H537" s="422"/>
      <c r="I537" s="422"/>
      <c r="J537" s="422"/>
      <c r="K537" s="422"/>
      <c r="L537" s="422"/>
      <c r="M537" s="422"/>
    </row>
    <row r="538" spans="1:13" s="185" customFormat="1" ht="13.5" thickBot="1">
      <c r="A538" s="480"/>
      <c r="B538" s="276">
        <v>42370</v>
      </c>
      <c r="C538" s="267">
        <v>42401</v>
      </c>
      <c r="D538" s="267">
        <v>42430</v>
      </c>
      <c r="E538" s="267">
        <v>42461</v>
      </c>
      <c r="F538" s="267">
        <v>42491</v>
      </c>
      <c r="G538" s="267">
        <v>42522</v>
      </c>
      <c r="H538" s="267">
        <v>42552</v>
      </c>
      <c r="I538" s="267">
        <v>42583</v>
      </c>
      <c r="J538" s="267">
        <v>42614</v>
      </c>
      <c r="K538" s="267">
        <v>42644</v>
      </c>
      <c r="L538" s="267">
        <v>42675</v>
      </c>
      <c r="M538" s="268">
        <v>42705</v>
      </c>
    </row>
    <row r="539" spans="1:13" s="185" customFormat="1" ht="13.5">
      <c r="A539" s="488" t="s">
        <v>141</v>
      </c>
      <c r="B539" s="63">
        <v>2230139</v>
      </c>
      <c r="C539" s="37">
        <v>2211436</v>
      </c>
      <c r="D539" s="37">
        <v>2290410</v>
      </c>
      <c r="E539" s="37">
        <v>2243384</v>
      </c>
      <c r="F539" s="37">
        <v>2279704</v>
      </c>
      <c r="G539" s="37">
        <v>2220558</v>
      </c>
      <c r="H539" s="269">
        <v>2183039</v>
      </c>
      <c r="I539" s="269">
        <v>2253402</v>
      </c>
      <c r="J539" s="269">
        <v>2276634</v>
      </c>
      <c r="K539" s="269">
        <v>2250206</v>
      </c>
      <c r="L539" s="269">
        <v>2244933</v>
      </c>
      <c r="M539" s="343">
        <v>2363326</v>
      </c>
    </row>
    <row r="540" spans="1:13" s="185" customFormat="1" ht="13.5">
      <c r="A540" s="489" t="s">
        <v>142</v>
      </c>
      <c r="B540" s="64">
        <v>5853691</v>
      </c>
      <c r="C540" s="39">
        <v>6004451</v>
      </c>
      <c r="D540" s="39">
        <v>6157104</v>
      </c>
      <c r="E540" s="39">
        <v>6194842</v>
      </c>
      <c r="F540" s="39">
        <v>6248068</v>
      </c>
      <c r="G540" s="39">
        <v>6301037</v>
      </c>
      <c r="H540" s="270">
        <v>6119893</v>
      </c>
      <c r="I540" s="270">
        <v>6179714</v>
      </c>
      <c r="J540" s="270">
        <v>6057819</v>
      </c>
      <c r="K540" s="270">
        <v>6200410</v>
      </c>
      <c r="L540" s="270">
        <v>6143009</v>
      </c>
      <c r="M540" s="344">
        <v>6205548</v>
      </c>
    </row>
    <row r="541" spans="1:13" s="185" customFormat="1" ht="13.5">
      <c r="A541" s="489" t="s">
        <v>140</v>
      </c>
      <c r="B541" s="64">
        <v>3037788</v>
      </c>
      <c r="C541" s="39">
        <v>2998303</v>
      </c>
      <c r="D541" s="39">
        <v>3031740</v>
      </c>
      <c r="E541" s="39">
        <v>3089916</v>
      </c>
      <c r="F541" s="39">
        <v>3131686</v>
      </c>
      <c r="G541" s="39">
        <v>3123999</v>
      </c>
      <c r="H541" s="270">
        <v>3091256</v>
      </c>
      <c r="I541" s="270">
        <v>3205525</v>
      </c>
      <c r="J541" s="270">
        <v>3172015</v>
      </c>
      <c r="K541" s="270">
        <v>3152775</v>
      </c>
      <c r="L541" s="270">
        <v>3080724</v>
      </c>
      <c r="M541" s="344">
        <v>3107752</v>
      </c>
    </row>
    <row r="542" spans="1:13" s="185" customFormat="1" ht="13.5">
      <c r="A542" s="489" t="s">
        <v>139</v>
      </c>
      <c r="B542" s="64">
        <v>3028320</v>
      </c>
      <c r="C542" s="39">
        <v>3088988</v>
      </c>
      <c r="D542" s="39">
        <v>3116617</v>
      </c>
      <c r="E542" s="39">
        <v>3144243</v>
      </c>
      <c r="F542" s="39">
        <v>3208514</v>
      </c>
      <c r="G542" s="39">
        <v>3215959</v>
      </c>
      <c r="H542" s="270">
        <v>3201180</v>
      </c>
      <c r="I542" s="270">
        <v>3208844</v>
      </c>
      <c r="J542" s="270">
        <v>3248728</v>
      </c>
      <c r="K542" s="270">
        <v>3219412</v>
      </c>
      <c r="L542" s="270">
        <v>3151473</v>
      </c>
      <c r="M542" s="344">
        <v>3240877</v>
      </c>
    </row>
    <row r="543" spans="1:13" s="185" customFormat="1" ht="13.5">
      <c r="A543" s="489" t="s">
        <v>143</v>
      </c>
      <c r="B543" s="64">
        <v>3331629</v>
      </c>
      <c r="C543" s="39">
        <v>3234294</v>
      </c>
      <c r="D543" s="39">
        <v>3326102</v>
      </c>
      <c r="E543" s="39">
        <v>3281184</v>
      </c>
      <c r="F543" s="39">
        <v>3498504</v>
      </c>
      <c r="G543" s="39">
        <v>3580544</v>
      </c>
      <c r="H543" s="270">
        <v>3456794</v>
      </c>
      <c r="I543" s="270">
        <v>3377761</v>
      </c>
      <c r="J543" s="270">
        <v>3354797</v>
      </c>
      <c r="K543" s="270">
        <v>3754290</v>
      </c>
      <c r="L543" s="270">
        <v>3785561</v>
      </c>
      <c r="M543" s="344">
        <v>3857348</v>
      </c>
    </row>
    <row r="544" spans="1:13" s="185" customFormat="1" ht="13.5">
      <c r="A544" s="489" t="s">
        <v>186</v>
      </c>
      <c r="B544" s="64">
        <v>929834</v>
      </c>
      <c r="C544" s="39">
        <v>859076</v>
      </c>
      <c r="D544" s="39">
        <v>846758</v>
      </c>
      <c r="E544" s="39">
        <v>865052</v>
      </c>
      <c r="F544" s="39">
        <v>902088</v>
      </c>
      <c r="G544" s="39">
        <v>890732</v>
      </c>
      <c r="H544" s="270">
        <v>864178</v>
      </c>
      <c r="I544" s="270">
        <v>894562</v>
      </c>
      <c r="J544" s="270">
        <v>887701</v>
      </c>
      <c r="K544" s="270">
        <v>876166</v>
      </c>
      <c r="L544" s="270">
        <v>865727</v>
      </c>
      <c r="M544" s="344">
        <v>886577</v>
      </c>
    </row>
    <row r="545" spans="1:28" s="185" customFormat="1" ht="13.5">
      <c r="A545" s="489" t="s">
        <v>138</v>
      </c>
      <c r="B545" s="64">
        <v>567284</v>
      </c>
      <c r="C545" s="39">
        <v>578528</v>
      </c>
      <c r="D545" s="39">
        <v>573062</v>
      </c>
      <c r="E545" s="39">
        <v>587286</v>
      </c>
      <c r="F545" s="39">
        <v>623743</v>
      </c>
      <c r="G545" s="39">
        <v>654028</v>
      </c>
      <c r="H545" s="270">
        <v>645264</v>
      </c>
      <c r="I545" s="270">
        <v>687592</v>
      </c>
      <c r="J545" s="270">
        <v>691811</v>
      </c>
      <c r="K545" s="270">
        <v>626646</v>
      </c>
      <c r="L545" s="270">
        <v>546897</v>
      </c>
      <c r="M545" s="344">
        <v>584408</v>
      </c>
    </row>
    <row r="546" spans="1:28" s="185" customFormat="1" ht="25.5">
      <c r="A546" s="490" t="s">
        <v>187</v>
      </c>
      <c r="B546" s="263">
        <f>SUM(B547:B552)</f>
        <v>4547698</v>
      </c>
      <c r="C546" s="264">
        <f t="shared" ref="C546:M546" si="73">SUM(C547:C552)</f>
        <v>4458232</v>
      </c>
      <c r="D546" s="264">
        <f t="shared" si="73"/>
        <v>4495459</v>
      </c>
      <c r="E546" s="264">
        <f t="shared" si="73"/>
        <v>4493230</v>
      </c>
      <c r="F546" s="264">
        <f t="shared" si="73"/>
        <v>4502613</v>
      </c>
      <c r="G546" s="264">
        <f t="shared" si="73"/>
        <v>4443611</v>
      </c>
      <c r="H546" s="264">
        <f t="shared" si="73"/>
        <v>4357957</v>
      </c>
      <c r="I546" s="264">
        <f t="shared" si="73"/>
        <v>4379314</v>
      </c>
      <c r="J546" s="264">
        <f t="shared" si="73"/>
        <v>4361326</v>
      </c>
      <c r="K546" s="264">
        <f t="shared" si="73"/>
        <v>4241778</v>
      </c>
      <c r="L546" s="264">
        <f t="shared" si="73"/>
        <v>4204062</v>
      </c>
      <c r="M546" s="262">
        <f t="shared" si="73"/>
        <v>4340287</v>
      </c>
    </row>
    <row r="547" spans="1:28" s="185" customFormat="1" ht="13.5">
      <c r="A547" s="489" t="s">
        <v>145</v>
      </c>
      <c r="B547" s="64">
        <v>1304947</v>
      </c>
      <c r="C547" s="39">
        <v>1191237</v>
      </c>
      <c r="D547" s="39">
        <v>1174422</v>
      </c>
      <c r="E547" s="39">
        <v>1153156</v>
      </c>
      <c r="F547" s="39">
        <v>1174095</v>
      </c>
      <c r="G547" s="39">
        <v>1210432</v>
      </c>
      <c r="H547" s="270">
        <v>1221338</v>
      </c>
      <c r="I547" s="270">
        <v>1178914</v>
      </c>
      <c r="J547" s="270">
        <v>1046179</v>
      </c>
      <c r="K547" s="270">
        <v>1033008</v>
      </c>
      <c r="L547" s="270">
        <v>1098631</v>
      </c>
      <c r="M547" s="344">
        <v>1122940</v>
      </c>
    </row>
    <row r="548" spans="1:28" s="185" customFormat="1" ht="13.5">
      <c r="A548" s="489" t="s">
        <v>149</v>
      </c>
      <c r="B548" s="64">
        <v>932928</v>
      </c>
      <c r="C548" s="39">
        <v>945968</v>
      </c>
      <c r="D548" s="39">
        <v>945659</v>
      </c>
      <c r="E548" s="39">
        <v>923490</v>
      </c>
      <c r="F548" s="39">
        <v>963944</v>
      </c>
      <c r="G548" s="39">
        <v>932737</v>
      </c>
      <c r="H548" s="270">
        <v>929297</v>
      </c>
      <c r="I548" s="270">
        <v>929853</v>
      </c>
      <c r="J548" s="270">
        <v>933672</v>
      </c>
      <c r="K548" s="270">
        <v>826197</v>
      </c>
      <c r="L548" s="270">
        <v>786840</v>
      </c>
      <c r="M548" s="344">
        <v>811819</v>
      </c>
    </row>
    <row r="549" spans="1:28" s="185" customFormat="1" ht="13.5">
      <c r="A549" s="489" t="s">
        <v>146</v>
      </c>
      <c r="B549" s="64">
        <v>1123211</v>
      </c>
      <c r="C549" s="39">
        <v>1075030</v>
      </c>
      <c r="D549" s="39">
        <v>1139353</v>
      </c>
      <c r="E549" s="39">
        <v>1142978</v>
      </c>
      <c r="F549" s="39">
        <v>1157402</v>
      </c>
      <c r="G549" s="39">
        <v>1159528</v>
      </c>
      <c r="H549" s="270">
        <v>1144070</v>
      </c>
      <c r="I549" s="270">
        <v>1159796</v>
      </c>
      <c r="J549" s="270">
        <v>1179390</v>
      </c>
      <c r="K549" s="270">
        <v>1171767</v>
      </c>
      <c r="L549" s="270">
        <v>1118126</v>
      </c>
      <c r="M549" s="344">
        <v>1208130</v>
      </c>
    </row>
    <row r="550" spans="1:28" s="185" customFormat="1" ht="13.5">
      <c r="A550" s="489" t="s">
        <v>147</v>
      </c>
      <c r="B550" s="64">
        <v>620400</v>
      </c>
      <c r="C550" s="39">
        <v>642332</v>
      </c>
      <c r="D550" s="39">
        <v>625296</v>
      </c>
      <c r="E550" s="39">
        <v>629415</v>
      </c>
      <c r="F550" s="39">
        <v>613679</v>
      </c>
      <c r="G550" s="39">
        <v>565900</v>
      </c>
      <c r="H550" s="270">
        <v>557836</v>
      </c>
      <c r="I550" s="270">
        <v>546281</v>
      </c>
      <c r="J550" s="270">
        <v>572046</v>
      </c>
      <c r="K550" s="270">
        <v>562883</v>
      </c>
      <c r="L550" s="270">
        <v>553487</v>
      </c>
      <c r="M550" s="344">
        <v>561218</v>
      </c>
    </row>
    <row r="551" spans="1:28" s="185" customFormat="1" ht="13.5">
      <c r="A551" s="489" t="s">
        <v>144</v>
      </c>
      <c r="B551" s="64">
        <v>183197</v>
      </c>
      <c r="C551" s="39">
        <v>195041</v>
      </c>
      <c r="D551" s="39">
        <v>194981</v>
      </c>
      <c r="E551" s="39">
        <v>200925</v>
      </c>
      <c r="F551" s="39">
        <v>164127</v>
      </c>
      <c r="G551" s="39">
        <v>163188</v>
      </c>
      <c r="H551" s="270">
        <v>119384</v>
      </c>
      <c r="I551" s="270">
        <v>139886</v>
      </c>
      <c r="J551" s="270">
        <v>211832</v>
      </c>
      <c r="K551" s="270">
        <v>202798</v>
      </c>
      <c r="L551" s="270">
        <v>190637</v>
      </c>
      <c r="M551" s="344">
        <v>195708</v>
      </c>
    </row>
    <row r="552" spans="1:28" s="185" customFormat="1" ht="13.5">
      <c r="A552" s="489" t="s">
        <v>148</v>
      </c>
      <c r="B552" s="64">
        <v>383015</v>
      </c>
      <c r="C552" s="39">
        <v>408624</v>
      </c>
      <c r="D552" s="39">
        <v>415748</v>
      </c>
      <c r="E552" s="39">
        <v>443266</v>
      </c>
      <c r="F552" s="39">
        <v>429366</v>
      </c>
      <c r="G552" s="39">
        <v>411826</v>
      </c>
      <c r="H552" s="270">
        <v>386032</v>
      </c>
      <c r="I552" s="270">
        <v>424584</v>
      </c>
      <c r="J552" s="270">
        <v>418207</v>
      </c>
      <c r="K552" s="270">
        <v>445125</v>
      </c>
      <c r="L552" s="270">
        <v>456341</v>
      </c>
      <c r="M552" s="344">
        <v>440472</v>
      </c>
    </row>
    <row r="553" spans="1:28" s="185" customFormat="1" ht="13.5" thickBot="1">
      <c r="A553" s="491" t="s">
        <v>3</v>
      </c>
      <c r="B553" s="72">
        <f>SUM(B539:B546)</f>
        <v>23526383</v>
      </c>
      <c r="C553" s="73">
        <f t="shared" ref="C553:M553" si="74">SUM(C539:C546)</f>
        <v>23433308</v>
      </c>
      <c r="D553" s="73">
        <f t="shared" si="74"/>
        <v>23837252</v>
      </c>
      <c r="E553" s="73">
        <f t="shared" si="74"/>
        <v>23899137</v>
      </c>
      <c r="F553" s="73">
        <f t="shared" si="74"/>
        <v>24394920</v>
      </c>
      <c r="G553" s="73">
        <f t="shared" si="74"/>
        <v>24430468</v>
      </c>
      <c r="H553" s="73">
        <f t="shared" si="74"/>
        <v>23919561</v>
      </c>
      <c r="I553" s="73">
        <f t="shared" si="74"/>
        <v>24186714</v>
      </c>
      <c r="J553" s="73">
        <f t="shared" si="74"/>
        <v>24050831</v>
      </c>
      <c r="K553" s="73">
        <f t="shared" si="74"/>
        <v>24321683</v>
      </c>
      <c r="L553" s="73">
        <f t="shared" si="74"/>
        <v>24022386</v>
      </c>
      <c r="M553" s="74">
        <f t="shared" si="74"/>
        <v>24586123</v>
      </c>
    </row>
    <row r="554" spans="1:28" s="84" customFormat="1" ht="13.5" customHeight="1" thickBot="1">
      <c r="A554" s="480"/>
      <c r="B554" s="422"/>
      <c r="C554" s="422"/>
      <c r="D554" s="422"/>
      <c r="E554" s="422"/>
      <c r="F554" s="422"/>
      <c r="G554" s="422"/>
      <c r="H554" s="422"/>
      <c r="I554" s="422"/>
      <c r="J554" s="422"/>
      <c r="K554" s="422"/>
      <c r="L554" s="422"/>
      <c r="M554" s="422"/>
      <c r="O554" s="172"/>
      <c r="P554" s="172"/>
      <c r="Q554" s="172"/>
      <c r="R554" s="172"/>
      <c r="S554" s="172"/>
      <c r="T554" s="172"/>
      <c r="U554" s="172"/>
      <c r="V554" s="172"/>
      <c r="W554" s="172"/>
      <c r="X554" s="172"/>
      <c r="Y554" s="172"/>
      <c r="Z554" s="172"/>
      <c r="AA554" s="172"/>
      <c r="AB554" s="172"/>
    </row>
    <row r="555" spans="1:28" s="84" customFormat="1" ht="13.5" customHeight="1" thickBot="1">
      <c r="A555" s="480"/>
      <c r="B555" s="276">
        <v>42736</v>
      </c>
      <c r="C555" s="267">
        <v>42767</v>
      </c>
      <c r="D555" s="267">
        <v>42795</v>
      </c>
      <c r="E555" s="267">
        <v>42826</v>
      </c>
      <c r="F555" s="267">
        <v>42856</v>
      </c>
      <c r="G555" s="267">
        <v>42887</v>
      </c>
      <c r="H555" s="267">
        <v>42917</v>
      </c>
      <c r="I555" s="267">
        <v>42948</v>
      </c>
      <c r="J555" s="267">
        <v>42979</v>
      </c>
      <c r="K555" s="267">
        <v>43009</v>
      </c>
      <c r="L555" s="267">
        <v>43040</v>
      </c>
      <c r="M555" s="268">
        <v>43070</v>
      </c>
      <c r="O555" s="172"/>
      <c r="P555" s="172"/>
      <c r="Q555" s="172"/>
      <c r="R555" s="172"/>
      <c r="S555" s="172"/>
      <c r="T555" s="172"/>
      <c r="U555" s="172"/>
      <c r="V555" s="172"/>
      <c r="W555" s="172"/>
      <c r="X555" s="172"/>
      <c r="Y555" s="172"/>
      <c r="Z555" s="172"/>
      <c r="AA555" s="172"/>
      <c r="AB555" s="172"/>
    </row>
    <row r="556" spans="1:28" s="84" customFormat="1" ht="13.5" customHeight="1">
      <c r="A556" s="481" t="s">
        <v>141</v>
      </c>
      <c r="B556" s="346">
        <v>2366860</v>
      </c>
      <c r="C556" s="269">
        <v>2457004</v>
      </c>
      <c r="D556" s="269">
        <v>2408422</v>
      </c>
      <c r="E556" s="269">
        <v>2393214</v>
      </c>
      <c r="F556" s="269">
        <v>2403005</v>
      </c>
      <c r="G556" s="269">
        <v>2412365</v>
      </c>
      <c r="H556" s="269">
        <v>2421776</v>
      </c>
      <c r="I556" s="269">
        <v>2423735</v>
      </c>
      <c r="J556" s="270">
        <v>2441034</v>
      </c>
      <c r="K556" s="269">
        <v>2526176</v>
      </c>
      <c r="L556" s="269">
        <v>2681187</v>
      </c>
      <c r="M556" s="343">
        <v>2636155</v>
      </c>
      <c r="O556" s="499"/>
      <c r="P556" s="499"/>
      <c r="Q556" s="499"/>
      <c r="R556" s="499"/>
      <c r="S556" s="499"/>
      <c r="T556" s="499"/>
      <c r="U556" s="499"/>
      <c r="V556" s="499"/>
      <c r="W556" s="499"/>
      <c r="X556" s="499"/>
      <c r="Y556" s="499"/>
      <c r="Z556" s="499"/>
      <c r="AA556" s="499"/>
      <c r="AB556" s="499"/>
    </row>
    <row r="557" spans="1:28" s="84" customFormat="1" ht="13.5" customHeight="1">
      <c r="A557" s="484" t="s">
        <v>142</v>
      </c>
      <c r="B557" s="347">
        <v>6147151</v>
      </c>
      <c r="C557" s="270">
        <v>6064403</v>
      </c>
      <c r="D557" s="270">
        <v>6018614</v>
      </c>
      <c r="E557" s="270">
        <v>6008123</v>
      </c>
      <c r="F557" s="270">
        <v>5939457</v>
      </c>
      <c r="G557" s="270">
        <v>5881559</v>
      </c>
      <c r="H557" s="270">
        <v>5875382</v>
      </c>
      <c r="I557" s="270">
        <v>5904930</v>
      </c>
      <c r="J557" s="270">
        <v>5895289</v>
      </c>
      <c r="K557" s="270">
        <v>5876842</v>
      </c>
      <c r="L557" s="270">
        <v>5830950</v>
      </c>
      <c r="M557" s="344">
        <v>5777139</v>
      </c>
      <c r="O557" s="499"/>
      <c r="P557" s="499"/>
      <c r="Q557" s="499"/>
      <c r="R557" s="499"/>
      <c r="S557" s="499"/>
      <c r="T557" s="499"/>
      <c r="U557" s="499"/>
      <c r="V557" s="499"/>
      <c r="W557" s="499"/>
      <c r="X557" s="499"/>
      <c r="Y557" s="499"/>
      <c r="Z557" s="499"/>
      <c r="AA557" s="499"/>
      <c r="AB557" s="499"/>
    </row>
    <row r="558" spans="1:28" s="84" customFormat="1" ht="13.5" customHeight="1">
      <c r="A558" s="484" t="s">
        <v>140</v>
      </c>
      <c r="B558" s="347">
        <v>3095059</v>
      </c>
      <c r="C558" s="270">
        <v>3141512</v>
      </c>
      <c r="D558" s="270">
        <v>3070182</v>
      </c>
      <c r="E558" s="270">
        <v>3047324</v>
      </c>
      <c r="F558" s="270">
        <v>3072832</v>
      </c>
      <c r="G558" s="270">
        <v>3013399</v>
      </c>
      <c r="H558" s="270">
        <v>3062436</v>
      </c>
      <c r="I558" s="270">
        <v>3058272</v>
      </c>
      <c r="J558" s="270">
        <v>3212209</v>
      </c>
      <c r="K558" s="270">
        <v>3240112</v>
      </c>
      <c r="L558" s="270">
        <v>3279740</v>
      </c>
      <c r="M558" s="344">
        <v>3214921</v>
      </c>
      <c r="O558" s="499"/>
      <c r="P558" s="499"/>
      <c r="Q558" s="499"/>
      <c r="R558" s="499"/>
      <c r="S558" s="499"/>
      <c r="T558" s="499"/>
      <c r="U558" s="499"/>
      <c r="V558" s="499"/>
      <c r="W558" s="499"/>
      <c r="X558" s="499"/>
      <c r="Y558" s="499"/>
      <c r="Z558" s="499"/>
      <c r="AA558" s="499"/>
      <c r="AB558" s="499"/>
    </row>
    <row r="559" spans="1:28" s="84" customFormat="1" ht="13.5" customHeight="1">
      <c r="A559" s="484" t="s">
        <v>139</v>
      </c>
      <c r="B559" s="347">
        <v>3087904</v>
      </c>
      <c r="C559" s="270">
        <v>3050939</v>
      </c>
      <c r="D559" s="270">
        <v>3192188</v>
      </c>
      <c r="E559" s="270">
        <v>3159285</v>
      </c>
      <c r="F559" s="270">
        <v>3117463</v>
      </c>
      <c r="G559" s="270">
        <v>3139416</v>
      </c>
      <c r="H559" s="270">
        <v>3214681</v>
      </c>
      <c r="I559" s="270">
        <v>3264741</v>
      </c>
      <c r="J559" s="270">
        <v>3316277</v>
      </c>
      <c r="K559" s="270">
        <v>3323086</v>
      </c>
      <c r="L559" s="270">
        <v>3466323</v>
      </c>
      <c r="M559" s="344">
        <v>3492604</v>
      </c>
      <c r="O559" s="499"/>
      <c r="P559" s="499"/>
      <c r="Q559" s="499"/>
      <c r="R559" s="499"/>
      <c r="S559" s="499"/>
      <c r="T559" s="499"/>
      <c r="U559" s="499"/>
      <c r="V559" s="499"/>
      <c r="W559" s="499"/>
      <c r="X559" s="499"/>
      <c r="Y559" s="499"/>
      <c r="Z559" s="499"/>
      <c r="AA559" s="499"/>
      <c r="AB559" s="499"/>
    </row>
    <row r="560" spans="1:28" s="84" customFormat="1" ht="13.5" customHeight="1">
      <c r="A560" s="484" t="s">
        <v>143</v>
      </c>
      <c r="B560" s="347">
        <v>3706776</v>
      </c>
      <c r="C560" s="270">
        <v>3705463</v>
      </c>
      <c r="D560" s="270">
        <v>3999020</v>
      </c>
      <c r="E560" s="270">
        <v>4241218</v>
      </c>
      <c r="F560" s="270">
        <v>4110804</v>
      </c>
      <c r="G560" s="270">
        <v>4243879</v>
      </c>
      <c r="H560" s="270">
        <v>4171082</v>
      </c>
      <c r="I560" s="270">
        <v>4316438</v>
      </c>
      <c r="J560" s="270">
        <v>4785860</v>
      </c>
      <c r="K560" s="270">
        <v>4618764</v>
      </c>
      <c r="L560" s="270">
        <v>4610141</v>
      </c>
      <c r="M560" s="344">
        <v>4736156</v>
      </c>
      <c r="O560" s="499"/>
      <c r="P560" s="499"/>
      <c r="Q560" s="499"/>
      <c r="R560" s="499"/>
      <c r="S560" s="499"/>
      <c r="T560" s="499"/>
      <c r="U560" s="499"/>
      <c r="V560" s="499"/>
      <c r="W560" s="499"/>
      <c r="X560" s="499"/>
      <c r="Y560" s="499"/>
      <c r="Z560" s="499"/>
      <c r="AA560" s="499"/>
      <c r="AB560" s="499"/>
    </row>
    <row r="561" spans="1:128" s="84" customFormat="1" ht="13.5" customHeight="1">
      <c r="A561" s="484" t="s">
        <v>186</v>
      </c>
      <c r="B561" s="347">
        <v>900637</v>
      </c>
      <c r="C561" s="270">
        <v>919919</v>
      </c>
      <c r="D561" s="270">
        <v>907090</v>
      </c>
      <c r="E561" s="270">
        <v>883351</v>
      </c>
      <c r="F561" s="270">
        <v>877518</v>
      </c>
      <c r="G561" s="270">
        <v>897629</v>
      </c>
      <c r="H561" s="270">
        <v>896172</v>
      </c>
      <c r="I561" s="270">
        <v>930750</v>
      </c>
      <c r="J561" s="270">
        <v>945354</v>
      </c>
      <c r="K561" s="270">
        <v>985012</v>
      </c>
      <c r="L561" s="270">
        <v>1022320</v>
      </c>
      <c r="M561" s="344">
        <v>1041347</v>
      </c>
      <c r="O561" s="499"/>
      <c r="P561" s="499"/>
      <c r="Q561" s="499"/>
      <c r="R561" s="499"/>
      <c r="S561" s="499"/>
      <c r="T561" s="499"/>
      <c r="U561" s="499"/>
      <c r="V561" s="499"/>
      <c r="W561" s="499"/>
      <c r="X561" s="499"/>
      <c r="Y561" s="499"/>
      <c r="Z561" s="499"/>
      <c r="AA561" s="499"/>
      <c r="AB561" s="499"/>
    </row>
    <row r="562" spans="1:128" s="84" customFormat="1" ht="13.5" customHeight="1">
      <c r="A562" s="484" t="s">
        <v>138</v>
      </c>
      <c r="B562" s="347">
        <v>540885</v>
      </c>
      <c r="C562" s="270">
        <v>571912</v>
      </c>
      <c r="D562" s="270">
        <v>586536</v>
      </c>
      <c r="E562" s="270">
        <v>611670</v>
      </c>
      <c r="F562" s="270">
        <v>606344</v>
      </c>
      <c r="G562" s="270">
        <v>625045</v>
      </c>
      <c r="H562" s="270">
        <v>643274</v>
      </c>
      <c r="I562" s="270">
        <v>635570</v>
      </c>
      <c r="J562" s="270">
        <v>657157</v>
      </c>
      <c r="K562" s="270">
        <v>652404</v>
      </c>
      <c r="L562" s="270">
        <v>701800</v>
      </c>
      <c r="M562" s="344">
        <v>667905</v>
      </c>
      <c r="O562" s="499"/>
      <c r="P562" s="499"/>
      <c r="Q562" s="499"/>
      <c r="R562" s="499"/>
      <c r="S562" s="499"/>
      <c r="T562" s="499"/>
      <c r="U562" s="499"/>
      <c r="V562" s="499"/>
      <c r="W562" s="499"/>
      <c r="X562" s="499"/>
      <c r="Y562" s="499"/>
      <c r="Z562" s="499"/>
      <c r="AA562" s="499"/>
      <c r="AB562" s="499"/>
    </row>
    <row r="563" spans="1:128" s="84" customFormat="1" ht="13.5" customHeight="1">
      <c r="A563" s="485" t="s">
        <v>187</v>
      </c>
      <c r="B563" s="263">
        <f>SUM(B564:B569)</f>
        <v>4286993</v>
      </c>
      <c r="C563" s="264">
        <f t="shared" ref="C563:M563" si="75">SUM(C564:C569)</f>
        <v>4323046</v>
      </c>
      <c r="D563" s="264">
        <f t="shared" si="75"/>
        <v>4208075</v>
      </c>
      <c r="E563" s="264">
        <f t="shared" si="75"/>
        <v>4249044</v>
      </c>
      <c r="F563" s="264">
        <f t="shared" si="75"/>
        <v>4284178</v>
      </c>
      <c r="G563" s="264">
        <f t="shared" si="75"/>
        <v>4311625</v>
      </c>
      <c r="H563" s="264">
        <f t="shared" si="75"/>
        <v>4314028</v>
      </c>
      <c r="I563" s="264">
        <f t="shared" si="75"/>
        <v>4421546</v>
      </c>
      <c r="J563" s="264">
        <f t="shared" si="75"/>
        <v>4397504</v>
      </c>
      <c r="K563" s="264">
        <f t="shared" si="75"/>
        <v>4406979</v>
      </c>
      <c r="L563" s="75">
        <f t="shared" si="75"/>
        <v>4410232</v>
      </c>
      <c r="M563" s="348">
        <f t="shared" si="75"/>
        <v>4417734</v>
      </c>
      <c r="O563" s="499"/>
      <c r="P563" s="499"/>
      <c r="Q563" s="499"/>
      <c r="R563" s="499"/>
      <c r="S563" s="499"/>
      <c r="T563" s="499"/>
      <c r="U563" s="499"/>
      <c r="V563" s="499"/>
      <c r="W563" s="499"/>
      <c r="X563" s="499"/>
      <c r="Y563" s="499"/>
      <c r="Z563" s="499"/>
      <c r="AA563" s="499"/>
      <c r="AB563" s="499"/>
    </row>
    <row r="564" spans="1:128" s="84" customFormat="1" ht="13.5" customHeight="1">
      <c r="A564" s="484" t="s">
        <v>145</v>
      </c>
      <c r="B564" s="347">
        <v>1071092</v>
      </c>
      <c r="C564" s="270">
        <v>1144860</v>
      </c>
      <c r="D564" s="270">
        <v>1114938</v>
      </c>
      <c r="E564" s="270">
        <v>1162872</v>
      </c>
      <c r="F564" s="270">
        <v>1159325</v>
      </c>
      <c r="G564" s="270">
        <v>1177715</v>
      </c>
      <c r="H564" s="270">
        <v>1140463</v>
      </c>
      <c r="I564" s="270">
        <v>1215477</v>
      </c>
      <c r="J564" s="270">
        <v>1265758</v>
      </c>
      <c r="K564" s="270">
        <v>1277862</v>
      </c>
      <c r="L564" s="270">
        <v>1257476</v>
      </c>
      <c r="M564" s="344">
        <v>1276223</v>
      </c>
      <c r="O564" s="499"/>
      <c r="P564" s="499"/>
      <c r="Q564" s="499"/>
      <c r="R564" s="499"/>
      <c r="S564" s="499"/>
      <c r="T564" s="499"/>
      <c r="U564" s="499"/>
      <c r="V564" s="499"/>
      <c r="W564" s="499"/>
      <c r="X564" s="499"/>
      <c r="Y564" s="172"/>
      <c r="Z564" s="172"/>
      <c r="AA564" s="172"/>
      <c r="AB564" s="172"/>
    </row>
    <row r="565" spans="1:128" s="84" customFormat="1" ht="13.5" customHeight="1">
      <c r="A565" s="484" t="s">
        <v>149</v>
      </c>
      <c r="B565" s="347">
        <v>784245</v>
      </c>
      <c r="C565" s="270">
        <v>770957</v>
      </c>
      <c r="D565" s="270">
        <v>773602</v>
      </c>
      <c r="E565" s="270">
        <v>811489</v>
      </c>
      <c r="F565" s="270">
        <v>798830</v>
      </c>
      <c r="G565" s="270">
        <v>844457</v>
      </c>
      <c r="H565" s="270">
        <v>850763</v>
      </c>
      <c r="I565" s="270">
        <v>860592</v>
      </c>
      <c r="J565" s="270">
        <v>882312</v>
      </c>
      <c r="K565" s="39">
        <v>888560</v>
      </c>
      <c r="L565" s="270">
        <v>951293</v>
      </c>
      <c r="M565" s="344">
        <v>986284</v>
      </c>
      <c r="O565" s="499"/>
      <c r="P565" s="499"/>
      <c r="Q565" s="499"/>
      <c r="R565" s="499"/>
      <c r="S565" s="499"/>
      <c r="T565" s="499"/>
      <c r="U565" s="499"/>
      <c r="V565" s="499"/>
      <c r="W565" s="172"/>
      <c r="X565" s="172"/>
      <c r="Y565" s="172"/>
      <c r="Z565" s="172"/>
      <c r="AA565" s="172"/>
      <c r="AB565" s="172"/>
    </row>
    <row r="566" spans="1:128" s="84" customFormat="1" ht="13.5" customHeight="1">
      <c r="A566" s="484" t="s">
        <v>146</v>
      </c>
      <c r="B566" s="347">
        <v>1191907</v>
      </c>
      <c r="C566" s="270">
        <v>1215354</v>
      </c>
      <c r="D566" s="270">
        <v>1130179</v>
      </c>
      <c r="E566" s="270">
        <v>1075749</v>
      </c>
      <c r="F566" s="270">
        <v>1090561</v>
      </c>
      <c r="G566" s="270">
        <v>1076018</v>
      </c>
      <c r="H566" s="270">
        <v>1098148</v>
      </c>
      <c r="I566" s="270">
        <v>1130906</v>
      </c>
      <c r="J566" s="270">
        <v>1090564</v>
      </c>
      <c r="K566" s="39">
        <v>1099508</v>
      </c>
      <c r="L566" s="270">
        <v>1054672</v>
      </c>
      <c r="M566" s="344">
        <v>985619</v>
      </c>
      <c r="O566" s="499"/>
      <c r="P566" s="499"/>
      <c r="Q566" s="499"/>
      <c r="R566" s="499"/>
      <c r="S566" s="499"/>
      <c r="T566" s="499"/>
      <c r="U566" s="499"/>
      <c r="V566" s="499"/>
      <c r="W566" s="499"/>
      <c r="X566" s="499"/>
      <c r="Y566" s="172"/>
      <c r="Z566" s="172"/>
      <c r="AA566" s="172"/>
      <c r="AB566" s="172"/>
    </row>
    <row r="567" spans="1:128" s="84" customFormat="1" ht="13.5" customHeight="1">
      <c r="A567" s="484" t="s">
        <v>147</v>
      </c>
      <c r="B567" s="347">
        <v>582874</v>
      </c>
      <c r="C567" s="270">
        <v>555227</v>
      </c>
      <c r="D567" s="270">
        <v>557965</v>
      </c>
      <c r="E567" s="270">
        <v>557648</v>
      </c>
      <c r="F567" s="270">
        <v>589719</v>
      </c>
      <c r="G567" s="270">
        <v>555940</v>
      </c>
      <c r="H567" s="270">
        <v>555429</v>
      </c>
      <c r="I567" s="270">
        <v>565723</v>
      </c>
      <c r="J567" s="270">
        <v>548373</v>
      </c>
      <c r="K567" s="39">
        <v>542539</v>
      </c>
      <c r="L567" s="270">
        <v>552220</v>
      </c>
      <c r="M567" s="344">
        <v>569248</v>
      </c>
      <c r="O567" s="499"/>
      <c r="P567" s="499"/>
      <c r="Q567" s="499"/>
      <c r="R567" s="499"/>
      <c r="S567" s="499"/>
      <c r="T567" s="499"/>
      <c r="U567" s="499"/>
      <c r="V567" s="499"/>
      <c r="W567" s="172"/>
      <c r="X567" s="172"/>
      <c r="Y567" s="172"/>
      <c r="Z567" s="172"/>
      <c r="AA567" s="172"/>
      <c r="AB567" s="172"/>
    </row>
    <row r="568" spans="1:128" s="84" customFormat="1" ht="13.5" customHeight="1">
      <c r="A568" s="484" t="s">
        <v>144</v>
      </c>
      <c r="B568" s="347">
        <v>199358</v>
      </c>
      <c r="C568" s="270">
        <v>190178</v>
      </c>
      <c r="D568" s="270">
        <v>198980</v>
      </c>
      <c r="E568" s="270">
        <v>221165</v>
      </c>
      <c r="F568" s="270">
        <v>228117</v>
      </c>
      <c r="G568" s="270">
        <v>245801</v>
      </c>
      <c r="H568" s="270">
        <v>249691</v>
      </c>
      <c r="I568" s="270">
        <v>243278</v>
      </c>
      <c r="J568" s="270">
        <v>193425</v>
      </c>
      <c r="K568" s="39">
        <v>201417</v>
      </c>
      <c r="L568" s="270">
        <v>198740</v>
      </c>
      <c r="M568" s="344">
        <v>198057</v>
      </c>
      <c r="O568" s="499"/>
      <c r="P568" s="499"/>
      <c r="Q568" s="499"/>
      <c r="R568" s="499"/>
      <c r="S568" s="499"/>
      <c r="T568" s="499"/>
      <c r="U568" s="499"/>
      <c r="V568" s="499"/>
      <c r="W568" s="172"/>
      <c r="X568" s="172"/>
      <c r="Y568" s="172"/>
      <c r="Z568" s="172"/>
      <c r="AA568" s="172"/>
      <c r="AB568" s="172"/>
    </row>
    <row r="569" spans="1:128" s="84" customFormat="1" ht="13.5" customHeight="1">
      <c r="A569" s="484" t="s">
        <v>148</v>
      </c>
      <c r="B569" s="347">
        <v>457517</v>
      </c>
      <c r="C569" s="270">
        <v>446470</v>
      </c>
      <c r="D569" s="270">
        <v>432411</v>
      </c>
      <c r="E569" s="270">
        <v>420121</v>
      </c>
      <c r="F569" s="270">
        <v>417626</v>
      </c>
      <c r="G569" s="270">
        <v>411694</v>
      </c>
      <c r="H569" s="270">
        <v>419534</v>
      </c>
      <c r="I569" s="270">
        <v>405570</v>
      </c>
      <c r="J569" s="270">
        <v>417072</v>
      </c>
      <c r="K569" s="39">
        <v>397093</v>
      </c>
      <c r="L569" s="270">
        <v>395831</v>
      </c>
      <c r="M569" s="344">
        <v>402303</v>
      </c>
      <c r="O569" s="499"/>
      <c r="P569" s="499"/>
      <c r="Q569" s="499"/>
      <c r="R569" s="499"/>
      <c r="S569" s="499"/>
      <c r="T569" s="499"/>
      <c r="U569" s="499"/>
      <c r="V569" s="499"/>
      <c r="W569" s="172"/>
      <c r="X569" s="172"/>
      <c r="Y569" s="172"/>
      <c r="Z569" s="172"/>
      <c r="AA569" s="172"/>
      <c r="AB569" s="172"/>
    </row>
    <row r="570" spans="1:128" s="84" customFormat="1" ht="13.5" customHeight="1" thickBot="1">
      <c r="A570" s="486" t="s">
        <v>3</v>
      </c>
      <c r="B570" s="72">
        <f>SUM(B556:B563)</f>
        <v>24132265</v>
      </c>
      <c r="C570" s="73">
        <f t="shared" ref="C570:M570" si="76">SUM(C556:C563)</f>
        <v>24234198</v>
      </c>
      <c r="D570" s="73">
        <f t="shared" si="76"/>
        <v>24390127</v>
      </c>
      <c r="E570" s="73">
        <f t="shared" si="76"/>
        <v>24593229</v>
      </c>
      <c r="F570" s="73">
        <f t="shared" si="76"/>
        <v>24411601</v>
      </c>
      <c r="G570" s="73">
        <f t="shared" si="76"/>
        <v>24524917</v>
      </c>
      <c r="H570" s="73">
        <f t="shared" si="76"/>
        <v>24598831</v>
      </c>
      <c r="I570" s="73">
        <f t="shared" si="76"/>
        <v>24955982</v>
      </c>
      <c r="J570" s="73">
        <f t="shared" si="76"/>
        <v>25650684</v>
      </c>
      <c r="K570" s="73">
        <f t="shared" si="76"/>
        <v>25629375</v>
      </c>
      <c r="L570" s="350">
        <f t="shared" si="76"/>
        <v>26002693</v>
      </c>
      <c r="M570" s="351">
        <f t="shared" si="76"/>
        <v>25983961</v>
      </c>
      <c r="O570" s="499"/>
      <c r="P570" s="499"/>
      <c r="Q570" s="499"/>
      <c r="R570" s="499"/>
      <c r="S570" s="499"/>
      <c r="T570" s="499"/>
      <c r="U570" s="499"/>
      <c r="V570" s="499"/>
      <c r="W570" s="172"/>
      <c r="X570" s="172"/>
      <c r="Y570" s="172"/>
      <c r="Z570" s="172"/>
      <c r="AA570" s="172"/>
      <c r="AB570" s="172"/>
    </row>
    <row r="571" spans="1:128" s="1" customFormat="1" ht="13.5">
      <c r="A571" s="223" t="s">
        <v>150</v>
      </c>
      <c r="B571" s="32"/>
      <c r="H571" s="32"/>
      <c r="I571" s="32"/>
      <c r="J571" s="32"/>
      <c r="K571" s="32"/>
      <c r="L571" s="32"/>
      <c r="M571" s="32"/>
    </row>
    <row r="572" spans="1:128" s="1" customFormat="1" ht="13.5">
      <c r="A572" s="223" t="s">
        <v>151</v>
      </c>
      <c r="B572" s="32"/>
      <c r="C572" s="32"/>
      <c r="D572" s="32"/>
      <c r="E572" s="32"/>
      <c r="F572" s="209"/>
      <c r="G572" s="32"/>
      <c r="H572" s="32"/>
      <c r="I572" s="32"/>
      <c r="J572" s="32"/>
      <c r="K572" s="32"/>
      <c r="L572" s="32"/>
      <c r="M572" s="32"/>
    </row>
    <row r="573" spans="1:128" s="1" customFormat="1" ht="13.5">
      <c r="A573" s="5" t="s">
        <v>289</v>
      </c>
      <c r="B573" s="32"/>
      <c r="C573" s="32"/>
      <c r="D573" s="32"/>
      <c r="E573" s="32"/>
      <c r="F573" s="209"/>
      <c r="G573" s="32"/>
      <c r="H573" s="32"/>
      <c r="I573" s="32"/>
      <c r="J573" s="32"/>
      <c r="K573" s="32"/>
      <c r="L573" s="32"/>
      <c r="M573" s="32"/>
    </row>
    <row r="574" spans="1:128" s="1" customFormat="1" ht="13.5">
      <c r="A574" s="5" t="s">
        <v>290</v>
      </c>
      <c r="B574" s="32"/>
      <c r="C574" s="215"/>
      <c r="D574" s="32"/>
      <c r="E574" s="32"/>
      <c r="F574" s="32"/>
      <c r="G574" s="32"/>
      <c r="H574" s="32"/>
      <c r="I574" s="32"/>
      <c r="J574" s="32"/>
      <c r="K574" s="32"/>
      <c r="L574" s="32"/>
      <c r="M574" s="32"/>
    </row>
    <row r="575" spans="1:128" s="1" customFormat="1" ht="13.5">
      <c r="A575" s="222" t="s">
        <v>137</v>
      </c>
      <c r="B575" s="215"/>
      <c r="C575" s="224"/>
      <c r="D575" s="215"/>
      <c r="E575" s="215"/>
      <c r="F575" s="215"/>
      <c r="G575" s="215"/>
      <c r="H575" s="215"/>
      <c r="I575" s="215"/>
      <c r="J575" s="215"/>
      <c r="K575" s="215"/>
      <c r="L575" s="215"/>
      <c r="M575" s="215"/>
    </row>
    <row r="576" spans="1:128" s="366" customFormat="1" ht="13.5" customHeight="1">
      <c r="A576" s="222"/>
      <c r="B576" s="22"/>
      <c r="C576" s="20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13"/>
      <c r="AB576" s="22"/>
      <c r="AC576" s="22"/>
      <c r="AD576" s="22"/>
      <c r="AE576" s="202"/>
      <c r="AF576" s="202"/>
      <c r="AG576" s="202"/>
      <c r="AH576" s="202"/>
      <c r="AI576" s="202"/>
      <c r="AJ576" s="202"/>
      <c r="AK576" s="202"/>
      <c r="AL576" s="202"/>
      <c r="AM576" s="202"/>
      <c r="AN576" s="202"/>
      <c r="AO576" s="202"/>
      <c r="AP576" s="202"/>
      <c r="AQ576" s="202"/>
      <c r="AR576" s="202"/>
      <c r="AS576" s="202"/>
      <c r="AT576" s="202"/>
      <c r="AU576" s="202"/>
      <c r="AV576" s="202"/>
      <c r="AW576" s="202"/>
      <c r="AX576" s="213"/>
      <c r="AY576" s="202"/>
      <c r="AZ576" s="202"/>
      <c r="BA576" s="202"/>
      <c r="BB576" s="202"/>
      <c r="BC576" s="202"/>
      <c r="BD576" s="202"/>
      <c r="BE576" s="22"/>
      <c r="BF576" s="22"/>
      <c r="BG576" s="211"/>
      <c r="BH576" s="202"/>
      <c r="BI576" s="202"/>
      <c r="BJ576" s="213"/>
      <c r="BK576" s="202"/>
      <c r="BL576" s="202"/>
      <c r="BM576" s="202"/>
      <c r="BN576" s="202"/>
      <c r="BO576" s="202"/>
      <c r="BP576" s="202"/>
      <c r="BQ576" s="202"/>
      <c r="BR576" s="213"/>
      <c r="BS576" s="202"/>
      <c r="BT576" s="202"/>
      <c r="BU576" s="202"/>
      <c r="BV576" s="22"/>
      <c r="BW576" s="22"/>
      <c r="BX576" s="22"/>
      <c r="BY576" s="22"/>
      <c r="BZ576" s="22"/>
      <c r="CA576" s="22"/>
      <c r="CB576" s="22"/>
      <c r="CC576" s="22"/>
      <c r="CD576" s="22"/>
      <c r="CE576" s="22"/>
      <c r="CF576" s="22"/>
      <c r="CG576" s="22"/>
      <c r="CH576" s="22"/>
      <c r="CI576" s="22"/>
      <c r="CJ576" s="22"/>
      <c r="CK576" s="22"/>
      <c r="CL576" s="22"/>
      <c r="CM576" s="22"/>
      <c r="CN576" s="22"/>
      <c r="CO576" s="22"/>
      <c r="CP576" s="22"/>
      <c r="CQ576" s="22"/>
      <c r="CR576" s="22"/>
      <c r="CS576" s="22"/>
      <c r="CT576" s="22"/>
      <c r="CU576" s="22"/>
      <c r="CV576" s="22"/>
      <c r="CW576" s="22"/>
      <c r="CX576" s="22"/>
      <c r="CY576" s="22"/>
      <c r="CZ576" s="22"/>
      <c r="DA576" s="22"/>
      <c r="DB576" s="22"/>
      <c r="DC576" s="22"/>
      <c r="DD576" s="22"/>
      <c r="DE576" s="22"/>
      <c r="DF576" s="22"/>
      <c r="DG576" s="22"/>
      <c r="DH576" s="22"/>
      <c r="DI576" s="22"/>
      <c r="DJ576" s="22"/>
      <c r="DK576" s="22"/>
      <c r="DL576" s="22"/>
      <c r="DM576" s="22"/>
      <c r="DN576" s="22"/>
      <c r="DO576" s="22"/>
      <c r="DP576" s="22"/>
      <c r="DQ576" s="22"/>
      <c r="DR576" s="22"/>
      <c r="DS576" s="22"/>
      <c r="DT576" s="22"/>
      <c r="DU576" s="22"/>
      <c r="DV576" s="22"/>
      <c r="DW576" s="22"/>
      <c r="DX576" s="22"/>
    </row>
    <row r="577" spans="1:133" s="366" customFormat="1" ht="13.5" customHeight="1">
      <c r="A577" s="222"/>
      <c r="B577" s="202"/>
      <c r="C577" s="340"/>
      <c r="D577" s="202"/>
      <c r="E577" s="202"/>
      <c r="F577" s="202"/>
      <c r="G577" s="202"/>
      <c r="H577" s="202"/>
      <c r="I577" s="202"/>
      <c r="J577" s="202"/>
      <c r="K577" s="202"/>
      <c r="L577" s="202"/>
      <c r="M577" s="202"/>
      <c r="N577" s="202"/>
      <c r="O577" s="202"/>
      <c r="P577" s="202"/>
      <c r="Q577" s="202"/>
      <c r="R577" s="202"/>
      <c r="S577" s="202"/>
      <c r="T577" s="202"/>
      <c r="U577" s="202"/>
      <c r="V577" s="202"/>
      <c r="W577" s="202"/>
      <c r="X577" s="202"/>
      <c r="Y577" s="202"/>
      <c r="Z577" s="202"/>
      <c r="AA577" s="213"/>
      <c r="AB577" s="202"/>
      <c r="AC577" s="202"/>
      <c r="AD577" s="202"/>
      <c r="AE577" s="202"/>
      <c r="AF577" s="202"/>
      <c r="AG577" s="202"/>
      <c r="AH577" s="202"/>
      <c r="AI577" s="202"/>
      <c r="AJ577" s="202"/>
      <c r="AK577" s="202"/>
      <c r="AL577" s="202"/>
      <c r="AM577" s="202"/>
      <c r="AN577" s="202"/>
      <c r="AO577" s="202"/>
      <c r="AP577" s="202"/>
      <c r="AQ577" s="202"/>
      <c r="AR577" s="202"/>
      <c r="AS577" s="202"/>
      <c r="AT577" s="202"/>
      <c r="AU577" s="202"/>
      <c r="AV577" s="202"/>
      <c r="AW577" s="202"/>
      <c r="AX577" s="213"/>
      <c r="AY577" s="202"/>
      <c r="AZ577" s="202"/>
      <c r="BA577" s="202"/>
      <c r="BB577" s="202"/>
      <c r="BC577" s="202"/>
      <c r="BD577" s="202"/>
      <c r="BE577" s="202"/>
      <c r="BF577" s="202"/>
      <c r="BG577" s="202"/>
      <c r="BH577" s="202"/>
      <c r="BI577" s="202"/>
      <c r="BJ577" s="213"/>
      <c r="BK577" s="202"/>
      <c r="BL577" s="202"/>
      <c r="BM577" s="202"/>
      <c r="BN577" s="202"/>
      <c r="BO577" s="202"/>
      <c r="BP577" s="202"/>
      <c r="BQ577" s="202"/>
      <c r="BR577" s="202"/>
      <c r="BS577" s="22"/>
      <c r="BT577" s="22"/>
      <c r="BU577" s="22"/>
      <c r="BV577" s="22"/>
      <c r="BW577" s="22"/>
      <c r="BX577" s="22"/>
      <c r="BY577" s="22"/>
      <c r="BZ577" s="22"/>
      <c r="CA577" s="22"/>
      <c r="CB577" s="22"/>
      <c r="CC577" s="22"/>
      <c r="CD577" s="22"/>
      <c r="CE577" s="22"/>
      <c r="CF577" s="22"/>
      <c r="CG577" s="22"/>
      <c r="CH577" s="22"/>
      <c r="CI577" s="22"/>
      <c r="CJ577" s="22"/>
      <c r="CK577" s="22"/>
      <c r="CL577" s="22"/>
      <c r="CM577" s="22"/>
      <c r="CN577" s="22"/>
      <c r="CO577" s="22"/>
      <c r="CP577" s="22"/>
      <c r="CQ577" s="22"/>
      <c r="CR577" s="22"/>
      <c r="CS577" s="22"/>
      <c r="CT577" s="22"/>
      <c r="CU577" s="22"/>
      <c r="CV577" s="22"/>
      <c r="CW577" s="22"/>
      <c r="CX577" s="22"/>
      <c r="CY577" s="22"/>
      <c r="CZ577" s="22"/>
      <c r="DA577" s="22"/>
      <c r="DB577" s="22"/>
      <c r="DC577" s="22"/>
      <c r="DD577" s="22"/>
      <c r="DE577" s="22"/>
      <c r="DF577" s="22"/>
      <c r="DG577" s="22"/>
      <c r="DH577" s="22"/>
      <c r="DI577" s="22"/>
      <c r="DJ577" s="22"/>
      <c r="DK577" s="22"/>
      <c r="DL577" s="22"/>
      <c r="DM577" s="22"/>
      <c r="DN577" s="22"/>
      <c r="DO577" s="22"/>
      <c r="DP577" s="22"/>
      <c r="DQ577" s="22"/>
      <c r="DR577" s="22"/>
      <c r="DS577" s="22"/>
      <c r="DT577" s="22"/>
      <c r="DU577" s="22"/>
      <c r="DV577" s="22"/>
      <c r="DW577" s="22"/>
      <c r="DX577" s="22"/>
    </row>
    <row r="578" spans="1:133" s="366" customFormat="1" ht="13.5" customHeight="1">
      <c r="A578" s="222"/>
      <c r="B578" s="360"/>
      <c r="C578" s="360"/>
      <c r="D578" s="360"/>
      <c r="E578" s="360"/>
      <c r="F578" s="360"/>
      <c r="G578" s="360"/>
      <c r="H578" s="360"/>
      <c r="I578" s="360"/>
      <c r="J578" s="360"/>
      <c r="K578" s="360"/>
      <c r="L578" s="360"/>
      <c r="M578" s="360"/>
      <c r="N578" s="360"/>
      <c r="O578" s="360"/>
      <c r="P578" s="360"/>
      <c r="Q578" s="360"/>
      <c r="R578" s="360"/>
      <c r="S578" s="360"/>
      <c r="T578" s="360"/>
      <c r="U578" s="360"/>
      <c r="V578" s="360"/>
      <c r="W578" s="360"/>
      <c r="X578" s="360"/>
      <c r="Y578" s="360"/>
      <c r="Z578" s="360"/>
      <c r="AA578" s="360"/>
      <c r="AB578" s="360"/>
      <c r="AC578" s="360"/>
      <c r="AD578" s="360"/>
      <c r="AE578" s="360"/>
      <c r="AF578" s="360"/>
      <c r="AG578" s="360"/>
      <c r="AH578" s="360"/>
      <c r="AI578" s="360"/>
      <c r="AJ578" s="360"/>
      <c r="AK578" s="360"/>
      <c r="AL578" s="360"/>
      <c r="AM578" s="360"/>
      <c r="AN578" s="360"/>
      <c r="AO578" s="360"/>
      <c r="AP578" s="360"/>
      <c r="AQ578" s="360"/>
      <c r="AR578" s="360"/>
      <c r="AS578" s="360"/>
      <c r="AT578" s="360"/>
      <c r="AU578" s="360"/>
      <c r="AV578" s="360"/>
      <c r="AW578" s="360"/>
      <c r="AX578" s="360"/>
      <c r="AY578" s="360"/>
      <c r="AZ578" s="360"/>
      <c r="BA578" s="360"/>
      <c r="BB578" s="360"/>
      <c r="BC578" s="360"/>
      <c r="BD578" s="360"/>
      <c r="BE578" s="360"/>
      <c r="BF578" s="360"/>
      <c r="BG578" s="360"/>
      <c r="BH578" s="360"/>
      <c r="BI578" s="360"/>
      <c r="BJ578" s="360"/>
      <c r="BK578" s="360"/>
      <c r="BL578" s="360"/>
      <c r="BM578" s="360"/>
      <c r="BN578" s="360"/>
      <c r="BO578" s="360"/>
      <c r="BP578" s="286"/>
      <c r="BQ578" s="286"/>
      <c r="BR578" s="286"/>
      <c r="BS578" s="286"/>
      <c r="BT578" s="286"/>
      <c r="BU578" s="286"/>
      <c r="BV578" s="367"/>
      <c r="BW578" s="367"/>
      <c r="BX578" s="367"/>
      <c r="BY578" s="367"/>
      <c r="BZ578" s="367"/>
      <c r="CA578" s="367"/>
      <c r="CB578" s="367"/>
      <c r="CC578" s="367"/>
      <c r="CD578" s="367"/>
      <c r="CE578" s="367"/>
      <c r="CF578" s="367"/>
      <c r="CG578" s="367"/>
      <c r="CH578" s="367"/>
      <c r="CI578" s="367"/>
      <c r="CJ578" s="367"/>
      <c r="CK578" s="367"/>
      <c r="CL578" s="367"/>
      <c r="CM578" s="367"/>
      <c r="CN578" s="367"/>
      <c r="CO578" s="367"/>
      <c r="CP578" s="367"/>
      <c r="CQ578" s="367"/>
      <c r="CR578" s="367"/>
      <c r="CS578" s="367"/>
      <c r="CT578" s="367"/>
      <c r="CU578" s="367"/>
      <c r="CV578" s="367"/>
      <c r="CW578" s="367"/>
      <c r="CX578" s="367"/>
      <c r="CY578" s="367"/>
      <c r="CZ578" s="367"/>
      <c r="DA578" s="367"/>
      <c r="DB578" s="367"/>
      <c r="DC578" s="367"/>
      <c r="DD578" s="367"/>
      <c r="DE578" s="367"/>
      <c r="DF578" s="367"/>
      <c r="DG578" s="367"/>
      <c r="DH578" s="367"/>
      <c r="DI578" s="367"/>
      <c r="DJ578" s="367"/>
      <c r="DK578" s="367"/>
      <c r="DL578" s="367"/>
      <c r="DM578" s="367"/>
      <c r="DN578" s="367"/>
      <c r="DO578" s="367"/>
      <c r="DP578" s="367"/>
      <c r="DQ578" s="367"/>
      <c r="DR578" s="367"/>
      <c r="DS578" s="367"/>
      <c r="DT578" s="367"/>
      <c r="DU578" s="211"/>
      <c r="DV578" s="211"/>
      <c r="DW578" s="211"/>
      <c r="DX578" s="211"/>
    </row>
    <row r="579" spans="1:133" s="366" customFormat="1" ht="13.5" customHeight="1">
      <c r="A579" s="355"/>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c r="BI579" s="33"/>
      <c r="BJ579" s="33"/>
      <c r="BK579" s="33"/>
      <c r="BL579" s="33"/>
      <c r="BM579" s="33"/>
      <c r="BN579" s="33"/>
      <c r="BO579" s="33"/>
      <c r="BP579" s="33"/>
      <c r="BQ579" s="33"/>
      <c r="BR579" s="33"/>
      <c r="BS579" s="33"/>
      <c r="BT579" s="33"/>
      <c r="BU579" s="33"/>
      <c r="BV579" s="33"/>
      <c r="BW579" s="33"/>
      <c r="BX579" s="33"/>
      <c r="BY579" s="33"/>
      <c r="BZ579" s="33"/>
      <c r="CA579" s="33"/>
      <c r="CB579" s="33"/>
      <c r="CC579" s="33"/>
      <c r="CD579" s="33"/>
      <c r="CE579" s="33"/>
      <c r="CF579" s="33"/>
      <c r="CG579" s="33"/>
      <c r="CH579" s="33"/>
      <c r="CI579" s="33"/>
      <c r="CJ579" s="33"/>
      <c r="CK579" s="33"/>
      <c r="CL579" s="33"/>
      <c r="CM579" s="33"/>
      <c r="CN579" s="33"/>
      <c r="CO579" s="33"/>
      <c r="CP579" s="33"/>
      <c r="CQ579" s="33"/>
      <c r="CR579" s="33"/>
      <c r="CS579" s="33"/>
      <c r="CT579" s="33"/>
      <c r="CU579" s="33"/>
      <c r="CV579" s="33"/>
      <c r="CW579" s="33"/>
      <c r="CX579" s="33"/>
      <c r="CY579" s="33"/>
      <c r="CZ579" s="33"/>
      <c r="DA579" s="33"/>
      <c r="DB579" s="33"/>
      <c r="DC579" s="33"/>
      <c r="DD579" s="33"/>
      <c r="DE579" s="33"/>
      <c r="DF579" s="33"/>
      <c r="DG579" s="33"/>
      <c r="DH579" s="33"/>
      <c r="DI579" s="33"/>
      <c r="DJ579" s="33"/>
      <c r="DK579" s="33"/>
      <c r="DL579" s="33"/>
      <c r="DM579" s="33"/>
      <c r="DN579" s="33"/>
      <c r="DO579" s="33"/>
      <c r="DP579" s="33"/>
      <c r="DQ579" s="33"/>
      <c r="DR579" s="33"/>
      <c r="DS579" s="33"/>
      <c r="DT579" s="33"/>
      <c r="DU579" s="33"/>
      <c r="DV579" s="33"/>
      <c r="DW579" s="33"/>
      <c r="DX579" s="33"/>
    </row>
    <row r="580" spans="1:133" s="211" customFormat="1">
      <c r="EB580" s="330"/>
      <c r="EC580" s="367"/>
    </row>
    <row r="581" spans="1:133" s="211" customFormat="1" ht="13.5">
      <c r="A581" s="22"/>
      <c r="B581" s="22"/>
    </row>
    <row r="582" spans="1:133" s="211" customFormat="1" ht="13.5">
      <c r="A582" s="22"/>
    </row>
    <row r="583" spans="1:133" s="211" customFormat="1" ht="26.25" customHeight="1">
      <c r="A583" s="222"/>
      <c r="B583" s="313"/>
      <c r="C583" s="313"/>
    </row>
    <row r="584" spans="1:133" s="211" customFormat="1" ht="13.5">
      <c r="A584" s="24"/>
      <c r="B584" s="202"/>
      <c r="C584" s="352"/>
      <c r="G584" s="357"/>
    </row>
    <row r="585" spans="1:133" s="211" customFormat="1" ht="13.5">
      <c r="A585" s="24"/>
      <c r="B585" s="202"/>
      <c r="C585" s="352"/>
      <c r="G585" s="357"/>
    </row>
    <row r="586" spans="1:133" s="211" customFormat="1" ht="13.5">
      <c r="A586" s="24"/>
      <c r="B586" s="202"/>
      <c r="C586" s="352"/>
      <c r="G586" s="357"/>
    </row>
    <row r="587" spans="1:133" s="211" customFormat="1" ht="13.5">
      <c r="A587" s="24"/>
      <c r="B587" s="202"/>
      <c r="C587" s="352"/>
      <c r="G587" s="357"/>
    </row>
    <row r="588" spans="1:133" s="211" customFormat="1" ht="13.5">
      <c r="A588" s="24"/>
      <c r="B588" s="202"/>
      <c r="C588" s="352"/>
      <c r="G588" s="357"/>
    </row>
    <row r="589" spans="1:133" s="211" customFormat="1" ht="13.5">
      <c r="A589" s="24"/>
      <c r="B589" s="202"/>
      <c r="C589" s="352"/>
      <c r="G589" s="357"/>
    </row>
    <row r="590" spans="1:133" s="211" customFormat="1">
      <c r="A590" s="358"/>
      <c r="B590" s="212"/>
      <c r="C590" s="362"/>
      <c r="G590" s="357"/>
    </row>
    <row r="591" spans="1:133" s="211" customFormat="1" ht="13.5">
      <c r="A591" s="222"/>
      <c r="C591" s="357"/>
      <c r="D591" s="202"/>
      <c r="E591" s="352"/>
    </row>
    <row r="592" spans="1:133" s="211" customFormat="1" ht="13.5">
      <c r="A592" s="222"/>
      <c r="D592" s="202"/>
      <c r="E592" s="352"/>
    </row>
    <row r="593" spans="1:133" s="211" customFormat="1" ht="13.5">
      <c r="A593" s="222"/>
      <c r="D593" s="202"/>
      <c r="E593" s="352"/>
    </row>
    <row r="594" spans="1:133" s="22" customFormat="1" ht="13.5" customHeight="1"/>
    <row r="595" spans="1:133" s="22" customFormat="1" ht="13.5" customHeight="1"/>
    <row r="596" spans="1:133" s="211" customFormat="1" ht="13.5">
      <c r="A596" s="22"/>
      <c r="B596" s="22"/>
      <c r="EB596" s="330"/>
      <c r="EC596" s="367"/>
    </row>
    <row r="597" spans="1:133" s="211" customFormat="1" ht="13.5">
      <c r="A597" s="22"/>
      <c r="B597" s="22"/>
      <c r="C597" s="22"/>
    </row>
    <row r="598" spans="1:133" s="211" customFormat="1" ht="42.75" customHeight="1">
      <c r="A598" s="316"/>
      <c r="B598" s="313"/>
      <c r="C598" s="313"/>
      <c r="D598" s="56"/>
      <c r="E598" s="313"/>
      <c r="F598" s="56"/>
      <c r="G598" s="56"/>
    </row>
    <row r="599" spans="1:133" s="211" customFormat="1" ht="13.5">
      <c r="A599" s="22"/>
      <c r="B599" s="202"/>
      <c r="C599" s="352"/>
      <c r="D599" s="56"/>
      <c r="E599" s="339"/>
      <c r="F599" s="56"/>
      <c r="G599" s="56"/>
    </row>
    <row r="600" spans="1:133" s="211" customFormat="1" ht="13.5">
      <c r="A600" s="22"/>
      <c r="B600" s="202"/>
      <c r="C600" s="352"/>
      <c r="D600" s="331"/>
      <c r="E600" s="338"/>
      <c r="G600" s="56"/>
    </row>
    <row r="601" spans="1:133" s="211" customFormat="1" ht="13.5">
      <c r="A601" s="22"/>
      <c r="B601" s="202"/>
      <c r="C601" s="352"/>
      <c r="D601" s="331"/>
      <c r="E601" s="339"/>
      <c r="G601" s="56"/>
    </row>
    <row r="602" spans="1:133" s="211" customFormat="1" ht="13.5">
      <c r="A602" s="22"/>
      <c r="B602" s="202"/>
      <c r="C602" s="352"/>
      <c r="D602" s="331"/>
      <c r="E602" s="338"/>
      <c r="G602" s="56"/>
    </row>
    <row r="603" spans="1:133" s="211" customFormat="1" ht="13.5">
      <c r="A603" s="22"/>
      <c r="B603" s="202"/>
      <c r="C603" s="352"/>
      <c r="D603" s="331"/>
      <c r="E603" s="363"/>
      <c r="G603" s="56"/>
    </row>
    <row r="604" spans="1:133" s="211" customFormat="1">
      <c r="A604" s="316"/>
      <c r="B604" s="212"/>
      <c r="C604" s="362"/>
      <c r="D604" s="332"/>
      <c r="E604" s="364"/>
      <c r="G604" s="56"/>
    </row>
    <row r="605" spans="1:133" s="211" customFormat="1">
      <c r="A605" s="222"/>
      <c r="B605" s="222"/>
      <c r="C605" s="222"/>
      <c r="D605" s="222"/>
      <c r="E605" s="222"/>
      <c r="F605" s="222"/>
      <c r="G605" s="56"/>
    </row>
    <row r="606" spans="1:133" s="211" customFormat="1">
      <c r="A606" s="222"/>
      <c r="B606" s="222"/>
      <c r="C606" s="222"/>
      <c r="D606" s="222"/>
      <c r="E606" s="222"/>
      <c r="F606" s="222"/>
    </row>
    <row r="607" spans="1:133" s="211" customFormat="1">
      <c r="A607" s="222"/>
      <c r="B607" s="222"/>
      <c r="C607" s="222"/>
      <c r="D607" s="222"/>
      <c r="E607" s="222"/>
      <c r="F607" s="222"/>
    </row>
    <row r="608" spans="1:133" s="211" customFormat="1">
      <c r="A608" s="222"/>
      <c r="B608" s="222"/>
      <c r="C608" s="222"/>
      <c r="D608" s="222"/>
      <c r="E608" s="222"/>
      <c r="F608" s="222"/>
      <c r="G608" s="365"/>
    </row>
    <row r="609" spans="1:5" s="211" customFormat="1" ht="13.5">
      <c r="A609" s="222"/>
      <c r="D609" s="202"/>
      <c r="E609" s="352"/>
    </row>
    <row r="610" spans="1:5" s="22" customFormat="1" ht="13.5" customHeight="1"/>
    <row r="611" spans="1:5" s="22" customFormat="1" ht="13.5" customHeight="1"/>
    <row r="612" spans="1:5" s="211" customFormat="1" ht="13.5">
      <c r="A612" s="22"/>
      <c r="B612" s="22"/>
      <c r="D612" s="22"/>
    </row>
    <row r="613" spans="1:5" s="211" customFormat="1" ht="13.5">
      <c r="D613" s="22"/>
    </row>
    <row r="614" spans="1:5" s="211" customFormat="1">
      <c r="B614" s="312"/>
      <c r="C614" s="312"/>
      <c r="D614" s="312"/>
    </row>
    <row r="615" spans="1:5" s="211" customFormat="1" ht="13.5">
      <c r="A615" s="22"/>
      <c r="B615" s="352"/>
      <c r="C615" s="352"/>
      <c r="D615" s="352"/>
    </row>
    <row r="616" spans="1:5" s="211" customFormat="1" ht="13.5">
      <c r="A616" s="22"/>
      <c r="B616" s="352"/>
      <c r="C616" s="352"/>
      <c r="D616" s="352"/>
    </row>
    <row r="617" spans="1:5" s="211" customFormat="1" ht="13.5">
      <c r="A617" s="22"/>
      <c r="B617" s="352"/>
      <c r="C617" s="352"/>
      <c r="D617" s="352"/>
    </row>
    <row r="618" spans="1:5" s="211" customFormat="1" ht="13.5">
      <c r="A618" s="22"/>
      <c r="B618" s="352"/>
      <c r="C618" s="352"/>
      <c r="D618" s="352"/>
    </row>
    <row r="619" spans="1:5" s="211" customFormat="1" ht="13.5">
      <c r="A619" s="22"/>
      <c r="B619" s="352"/>
      <c r="C619" s="352"/>
      <c r="D619" s="352"/>
    </row>
    <row r="620" spans="1:5" s="211" customFormat="1" ht="13.5">
      <c r="A620" s="22"/>
      <c r="B620" s="352"/>
      <c r="C620" s="352"/>
      <c r="D620" s="352"/>
    </row>
    <row r="621" spans="1:5" s="211" customFormat="1" ht="13.5">
      <c r="A621" s="22"/>
      <c r="B621" s="352"/>
      <c r="C621" s="352"/>
      <c r="D621" s="352"/>
    </row>
    <row r="622" spans="1:5" s="211" customFormat="1" ht="13.5">
      <c r="A622" s="22"/>
      <c r="B622" s="352"/>
      <c r="C622" s="352"/>
      <c r="D622" s="352"/>
    </row>
    <row r="623" spans="1:5" s="211" customFormat="1" ht="13.5">
      <c r="A623" s="22"/>
      <c r="B623" s="352"/>
      <c r="C623" s="352"/>
      <c r="D623" s="352"/>
    </row>
    <row r="624" spans="1:5" s="211" customFormat="1" ht="13.5">
      <c r="A624" s="22"/>
      <c r="B624" s="352"/>
      <c r="C624" s="352"/>
      <c r="D624" s="352"/>
    </row>
    <row r="625" spans="1:4" s="211" customFormat="1" ht="13.5">
      <c r="A625" s="22"/>
      <c r="B625" s="352"/>
      <c r="C625" s="352"/>
      <c r="D625" s="352"/>
    </row>
    <row r="626" spans="1:4" s="211" customFormat="1" ht="13.5">
      <c r="A626" s="22"/>
      <c r="B626" s="352"/>
      <c r="C626" s="352"/>
      <c r="D626" s="352"/>
    </row>
    <row r="627" spans="1:4" s="211" customFormat="1" ht="13.5">
      <c r="A627" s="22"/>
      <c r="B627" s="352"/>
      <c r="C627" s="352"/>
      <c r="D627" s="352"/>
    </row>
    <row r="628" spans="1:4" s="211" customFormat="1" ht="13.5">
      <c r="A628" s="22"/>
      <c r="B628" s="352"/>
      <c r="C628" s="352"/>
      <c r="D628" s="352"/>
    </row>
    <row r="629" spans="1:4" s="211" customFormat="1">
      <c r="A629" s="316"/>
      <c r="B629" s="362"/>
      <c r="C629" s="362"/>
      <c r="D629" s="362"/>
    </row>
    <row r="630" spans="1:4" s="211" customFormat="1">
      <c r="A630" s="222"/>
      <c r="B630" s="353"/>
      <c r="C630" s="353"/>
      <c r="D630" s="353"/>
    </row>
    <row r="631" spans="1:4" s="211" customFormat="1">
      <c r="A631" s="222"/>
    </row>
    <row r="632" spans="1:4" s="211" customFormat="1">
      <c r="A632" s="222"/>
    </row>
    <row r="633" spans="1:4" s="211" customFormat="1"/>
    <row r="634" spans="1:4" s="211" customFormat="1"/>
    <row r="635" spans="1:4" s="211" customFormat="1"/>
    <row r="636" spans="1:4" s="211" customFormat="1"/>
    <row r="637" spans="1:4" s="366" customFormat="1"/>
    <row r="638" spans="1:4" s="366" customFormat="1"/>
    <row r="639" spans="1:4" s="366" customFormat="1"/>
    <row r="640" spans="1:4" s="366" customFormat="1"/>
    <row r="641" s="366" customFormat="1"/>
    <row r="642" s="366" customFormat="1"/>
    <row r="643" s="366" customFormat="1"/>
    <row r="644" s="366" customFormat="1"/>
    <row r="645" s="366" customFormat="1"/>
    <row r="646" s="366" customFormat="1"/>
    <row r="647" s="366" customFormat="1"/>
    <row r="648" s="366" customFormat="1"/>
    <row r="649" s="366" customFormat="1"/>
    <row r="650" s="366" customFormat="1"/>
    <row r="651" s="366" customFormat="1"/>
    <row r="652" s="366" customFormat="1"/>
    <row r="653" s="366" customFormat="1"/>
    <row r="654" s="366" customFormat="1"/>
    <row r="655" s="366" customFormat="1"/>
    <row r="656" s="366" customFormat="1"/>
    <row r="657" s="366" customFormat="1"/>
    <row r="658" s="366" customFormat="1"/>
    <row r="659" s="366" customFormat="1"/>
    <row r="660" s="366" customFormat="1"/>
    <row r="661" s="366" customFormat="1"/>
    <row r="662" s="366" customFormat="1"/>
    <row r="663" s="366" customFormat="1"/>
    <row r="664" s="366" customFormat="1"/>
    <row r="665" s="366" customFormat="1"/>
    <row r="666" s="366" customFormat="1"/>
    <row r="667" s="366" customFormat="1"/>
    <row r="668" s="366" customFormat="1"/>
    <row r="669" s="366" customFormat="1"/>
    <row r="670" s="366" customFormat="1"/>
    <row r="671" s="366" customFormat="1"/>
    <row r="672" s="366" customFormat="1"/>
    <row r="673" s="366" customFormat="1"/>
    <row r="674" s="366" customFormat="1"/>
    <row r="675" s="366" customFormat="1"/>
    <row r="676" s="366" customFormat="1"/>
    <row r="677" s="366" customFormat="1"/>
    <row r="678" s="366" customFormat="1"/>
    <row r="679" s="366" customFormat="1"/>
    <row r="680" s="366" customFormat="1"/>
    <row r="681" s="366" customFormat="1"/>
    <row r="682" s="366" customFormat="1"/>
    <row r="683" s="366" customFormat="1"/>
    <row r="684" s="366" customFormat="1"/>
    <row r="685" s="366" customFormat="1"/>
    <row r="686" s="366" customFormat="1"/>
    <row r="687" s="366" customFormat="1"/>
    <row r="688" s="366" customFormat="1"/>
    <row r="689" s="366" customFormat="1"/>
    <row r="690" s="366" customFormat="1"/>
    <row r="691" s="366" customFormat="1"/>
    <row r="692" s="366" customFormat="1"/>
    <row r="693" s="366" customFormat="1"/>
    <row r="694" s="366" customFormat="1"/>
    <row r="695" s="366" customFormat="1"/>
    <row r="696" s="366" customFormat="1"/>
    <row r="697" s="366" customFormat="1"/>
    <row r="698" s="366" customFormat="1"/>
    <row r="699" s="366" customFormat="1"/>
    <row r="700" s="366" customFormat="1"/>
    <row r="701" s="366" customFormat="1"/>
    <row r="702" s="366" customFormat="1"/>
    <row r="703" s="366" customFormat="1"/>
    <row r="704" s="366" customFormat="1"/>
    <row r="705" s="366" customFormat="1"/>
    <row r="706" s="366" customFormat="1"/>
    <row r="707" s="366" customFormat="1"/>
    <row r="708" s="366" customFormat="1"/>
    <row r="709" s="366" customFormat="1"/>
    <row r="710" s="366" customFormat="1"/>
    <row r="711" s="366" customFormat="1"/>
    <row r="712" s="366" customFormat="1"/>
    <row r="713" s="366" customFormat="1"/>
    <row r="714" s="366" customFormat="1"/>
    <row r="715" s="366" customFormat="1"/>
    <row r="716" s="366" customFormat="1"/>
    <row r="717" s="366" customFormat="1"/>
    <row r="718" s="366" customFormat="1"/>
    <row r="719" s="366" customFormat="1"/>
    <row r="720" s="366" customFormat="1"/>
    <row r="721" s="366" customFormat="1"/>
    <row r="722" s="366" customFormat="1"/>
    <row r="723" s="366" customFormat="1"/>
    <row r="724" s="366" customFormat="1"/>
    <row r="725" s="366" customFormat="1"/>
    <row r="726" s="366" customFormat="1"/>
    <row r="727" s="366" customFormat="1"/>
    <row r="728" s="366" customFormat="1"/>
    <row r="729" s="366" customFormat="1"/>
    <row r="730" s="366" customFormat="1"/>
    <row r="731" s="366" customFormat="1"/>
    <row r="732" s="366" customFormat="1"/>
    <row r="733" s="366" customFormat="1"/>
    <row r="734" s="366" customFormat="1"/>
    <row r="735" s="366" customFormat="1"/>
    <row r="736" s="366" customFormat="1"/>
    <row r="737" s="366" customFormat="1"/>
    <row r="738" s="366" customFormat="1"/>
    <row r="739" s="366" customFormat="1"/>
    <row r="740" s="366" customFormat="1"/>
    <row r="741" s="366" customFormat="1"/>
    <row r="742" s="366" customFormat="1"/>
    <row r="743" s="366" customFormat="1"/>
    <row r="744" s="366" customFormat="1"/>
    <row r="745" s="366" customFormat="1"/>
    <row r="746" s="366" customFormat="1"/>
    <row r="747" s="366" customFormat="1"/>
    <row r="748" s="366" customFormat="1"/>
    <row r="749" s="366" customFormat="1"/>
    <row r="750" s="366" customFormat="1"/>
    <row r="751" s="366" customFormat="1"/>
    <row r="752" s="366" customFormat="1"/>
    <row r="753" s="366" customFormat="1"/>
    <row r="754" s="366" customFormat="1"/>
    <row r="755" s="366" customFormat="1"/>
    <row r="756" s="366" customFormat="1"/>
    <row r="757" s="366" customFormat="1"/>
    <row r="758" s="366" customFormat="1"/>
    <row r="759" s="366" customFormat="1"/>
    <row r="760" s="366" customFormat="1"/>
    <row r="761" s="366" customFormat="1"/>
    <row r="762" s="366" customFormat="1"/>
    <row r="763" s="366" customFormat="1"/>
    <row r="764" s="366" customFormat="1"/>
    <row r="765" s="366" customFormat="1"/>
    <row r="766" s="366" customFormat="1"/>
    <row r="767" s="366" customFormat="1"/>
    <row r="768" s="366" customFormat="1"/>
    <row r="769" s="366" customFormat="1"/>
    <row r="770" s="366" customFormat="1"/>
    <row r="771" s="366" customFormat="1"/>
    <row r="772" s="366" customFormat="1"/>
    <row r="773" s="366" customFormat="1"/>
    <row r="774" s="366" customFormat="1"/>
    <row r="775" s="366" customFormat="1"/>
    <row r="776" s="366" customFormat="1"/>
    <row r="777" s="366" customFormat="1"/>
    <row r="778" s="366" customFormat="1"/>
    <row r="779" s="366" customFormat="1"/>
    <row r="780" s="366" customFormat="1"/>
    <row r="781" s="366" customFormat="1"/>
    <row r="782" s="366" customFormat="1"/>
    <row r="783" s="366" customFormat="1"/>
    <row r="784" s="366" customFormat="1"/>
    <row r="785" s="366" customFormat="1"/>
    <row r="786" s="366" customFormat="1"/>
    <row r="787" s="366" customFormat="1"/>
    <row r="788" s="366" customFormat="1"/>
    <row r="789" s="366" customFormat="1"/>
    <row r="790" s="366" customFormat="1"/>
    <row r="791" s="366" customFormat="1"/>
    <row r="792" s="366" customFormat="1"/>
    <row r="793" s="366" customFormat="1"/>
    <row r="794" s="366" customFormat="1"/>
    <row r="795" s="366" customFormat="1"/>
    <row r="796" s="366" customFormat="1"/>
    <row r="797" s="366" customFormat="1"/>
    <row r="798" s="366" customFormat="1"/>
    <row r="799" s="366" customFormat="1"/>
    <row r="800" s="366" customFormat="1"/>
    <row r="801" s="366" customFormat="1"/>
    <row r="802" s="366" customFormat="1"/>
    <row r="803" s="366" customFormat="1"/>
    <row r="804" s="366" customFormat="1"/>
    <row r="805" s="366" customFormat="1"/>
    <row r="806" s="366" customFormat="1"/>
    <row r="807" s="366" customFormat="1"/>
    <row r="808" s="366" customFormat="1"/>
    <row r="809" s="366" customFormat="1"/>
    <row r="810" s="366" customFormat="1"/>
    <row r="811" s="366" customFormat="1"/>
    <row r="812" s="366" customFormat="1"/>
    <row r="813" s="366" customFormat="1"/>
    <row r="814" s="366" customFormat="1"/>
    <row r="815" s="366" customFormat="1"/>
    <row r="816" s="366" customFormat="1"/>
    <row r="817" s="366" customFormat="1"/>
    <row r="818" s="366" customFormat="1"/>
    <row r="819" s="366" customFormat="1"/>
    <row r="820" s="366" customFormat="1"/>
    <row r="821" s="366" customFormat="1"/>
    <row r="822" s="366" customFormat="1"/>
    <row r="823" s="366" customFormat="1"/>
    <row r="824" s="366" customFormat="1"/>
    <row r="825" s="366" customFormat="1"/>
    <row r="826" s="366" customFormat="1"/>
    <row r="827" s="366" customFormat="1"/>
    <row r="828" s="366" customFormat="1"/>
    <row r="829" s="366" customFormat="1"/>
    <row r="830" s="366" customFormat="1"/>
    <row r="831" s="366" customFormat="1"/>
    <row r="832" s="366" customFormat="1"/>
    <row r="833" s="366" customFormat="1"/>
    <row r="834" s="366" customFormat="1"/>
    <row r="835" s="366" customFormat="1"/>
    <row r="836" s="366" customFormat="1"/>
    <row r="837" s="366" customFormat="1"/>
    <row r="838" s="366" customFormat="1"/>
    <row r="839" s="366" customFormat="1"/>
    <row r="840" s="366" customFormat="1"/>
    <row r="841" s="366" customFormat="1"/>
    <row r="842" s="366" customFormat="1"/>
    <row r="843" s="366" customFormat="1"/>
    <row r="844" s="366" customFormat="1"/>
    <row r="845" s="366" customFormat="1"/>
    <row r="846" s="366" customFormat="1"/>
    <row r="847" s="366" customFormat="1"/>
    <row r="848" s="366" customFormat="1"/>
    <row r="849" s="366" customFormat="1"/>
    <row r="850" s="366" customFormat="1"/>
    <row r="851" s="366" customFormat="1"/>
    <row r="852" s="366" customFormat="1"/>
    <row r="853" s="366" customFormat="1"/>
    <row r="854" s="366" customFormat="1"/>
    <row r="855" s="366" customFormat="1"/>
    <row r="856" s="366" customFormat="1"/>
    <row r="857" s="366" customFormat="1"/>
    <row r="858" s="366" customFormat="1"/>
    <row r="859" s="366" customFormat="1"/>
    <row r="860" s="366" customFormat="1"/>
    <row r="861" s="366" customFormat="1"/>
    <row r="862" s="366" customFormat="1"/>
    <row r="863" s="366" customFormat="1"/>
    <row r="864" s="366" customFormat="1"/>
    <row r="865" s="366" customFormat="1"/>
    <row r="866" s="366" customFormat="1"/>
    <row r="867" s="366" customFormat="1"/>
    <row r="868" s="366" customFormat="1"/>
    <row r="869" s="366" customFormat="1"/>
    <row r="870" s="366" customFormat="1"/>
    <row r="871" s="366" customFormat="1"/>
    <row r="872" s="366" customFormat="1"/>
    <row r="873" s="366" customFormat="1"/>
    <row r="874" s="366" customFormat="1"/>
    <row r="875" s="366" customFormat="1"/>
    <row r="876" s="366" customFormat="1"/>
    <row r="877" s="366" customFormat="1"/>
    <row r="878" s="366" customFormat="1"/>
    <row r="879" s="366" customFormat="1"/>
    <row r="880" s="366" customFormat="1"/>
    <row r="881" s="366" customFormat="1"/>
    <row r="882" s="366" customFormat="1"/>
    <row r="883" s="366" customFormat="1"/>
    <row r="884" s="366" customFormat="1"/>
    <row r="885" s="366" customFormat="1"/>
    <row r="886" s="366" customFormat="1"/>
    <row r="887" s="366" customFormat="1"/>
    <row r="888" s="366" customFormat="1"/>
    <row r="889" s="366" customFormat="1"/>
    <row r="890" s="366" customFormat="1"/>
    <row r="891" s="366" customFormat="1"/>
    <row r="892" s="366" customFormat="1"/>
    <row r="893" s="366" customFormat="1"/>
    <row r="894" s="366" customFormat="1"/>
    <row r="895" s="366" customFormat="1"/>
    <row r="896" s="366" customFormat="1"/>
    <row r="897" s="366" customFormat="1"/>
    <row r="898" s="366" customFormat="1"/>
    <row r="899" s="366" customFormat="1"/>
    <row r="900" s="366" customFormat="1"/>
    <row r="901" s="366" customFormat="1"/>
    <row r="902" s="366" customFormat="1"/>
    <row r="903" s="366" customFormat="1"/>
    <row r="904" s="366" customFormat="1"/>
    <row r="905" s="366" customFormat="1"/>
    <row r="906" s="366" customFormat="1"/>
    <row r="907" s="366" customFormat="1"/>
    <row r="908" s="366" customFormat="1"/>
    <row r="909" s="366" customFormat="1"/>
    <row r="910" s="366" customFormat="1"/>
    <row r="911" s="366" customFormat="1"/>
    <row r="912" s="366" customFormat="1"/>
    <row r="913" s="366" customFormat="1"/>
    <row r="914" s="366" customFormat="1"/>
    <row r="915" s="366" customFormat="1"/>
    <row r="916" s="366" customFormat="1"/>
    <row r="917" s="366" customFormat="1"/>
    <row r="918" s="366" customFormat="1"/>
    <row r="919" s="366" customFormat="1"/>
    <row r="920" s="366" customFormat="1"/>
    <row r="921" s="366" customFormat="1"/>
    <row r="922" s="366" customFormat="1"/>
    <row r="923" s="366" customFormat="1"/>
    <row r="924" s="366" customFormat="1"/>
    <row r="925" s="366" customFormat="1"/>
    <row r="926" s="366" customFormat="1"/>
    <row r="927" s="366" customFormat="1"/>
    <row r="928" s="366" customFormat="1"/>
    <row r="929" s="366" customFormat="1"/>
    <row r="930" s="366" customFormat="1"/>
    <row r="931" s="366" customFormat="1"/>
    <row r="932" s="366" customFormat="1"/>
    <row r="933" s="366" customFormat="1"/>
    <row r="934" s="366" customFormat="1"/>
    <row r="935" s="366" customFormat="1"/>
    <row r="936" s="366" customFormat="1"/>
    <row r="937" s="366" customFormat="1"/>
    <row r="938" s="366" customFormat="1"/>
    <row r="939" s="366" customFormat="1"/>
    <row r="940" s="366" customFormat="1"/>
    <row r="941" s="366" customFormat="1"/>
    <row r="942" s="366" customFormat="1"/>
    <row r="943" s="366" customFormat="1"/>
    <row r="944" s="366" customFormat="1"/>
    <row r="945" s="366" customFormat="1"/>
    <row r="946" s="366" customFormat="1"/>
    <row r="947" s="366" customFormat="1"/>
    <row r="948" s="366" customFormat="1"/>
    <row r="949" s="366" customFormat="1"/>
    <row r="950" s="366" customFormat="1"/>
    <row r="951" s="366" customFormat="1"/>
    <row r="952" s="366" customFormat="1"/>
    <row r="953" s="366" customFormat="1"/>
    <row r="954" s="366" customFormat="1"/>
    <row r="955" s="366" customFormat="1"/>
    <row r="956" s="366" customFormat="1"/>
    <row r="957" s="366" customFormat="1"/>
    <row r="958" s="366" customFormat="1"/>
    <row r="959" s="366" customFormat="1"/>
    <row r="960" s="366" customFormat="1"/>
    <row r="961" s="366" customFormat="1"/>
    <row r="962" s="366" customFormat="1"/>
    <row r="963" s="366" customFormat="1"/>
    <row r="964" s="366" customFormat="1"/>
    <row r="965" s="366" customFormat="1"/>
    <row r="966" s="366" customFormat="1"/>
    <row r="967" s="366" customFormat="1"/>
    <row r="968" s="366" customFormat="1"/>
    <row r="969" s="366" customFormat="1"/>
    <row r="970" s="366" customFormat="1"/>
    <row r="971" s="366" customFormat="1"/>
    <row r="972" s="366" customFormat="1"/>
    <row r="973" s="366" customFormat="1"/>
    <row r="974" s="366" customFormat="1"/>
    <row r="975" s="366" customFormat="1"/>
    <row r="976" s="366" customFormat="1"/>
    <row r="977" s="366" customFormat="1"/>
    <row r="978" s="366" customFormat="1"/>
    <row r="979" s="366" customFormat="1"/>
    <row r="980" s="366" customFormat="1"/>
    <row r="981" s="366" customFormat="1"/>
    <row r="982" s="366" customFormat="1"/>
    <row r="983" s="366" customFormat="1"/>
    <row r="984" s="366" customFormat="1"/>
    <row r="985" s="366" customFormat="1"/>
    <row r="986" s="366" customFormat="1"/>
    <row r="987" s="366" customFormat="1"/>
    <row r="988" s="366" customFormat="1"/>
    <row r="989" s="366" customFormat="1"/>
    <row r="990" s="366" customFormat="1"/>
    <row r="991" s="366" customFormat="1"/>
    <row r="992" s="366" customFormat="1"/>
    <row r="993" s="366" customFormat="1"/>
    <row r="994" s="366" customFormat="1"/>
    <row r="995" s="366" customFormat="1"/>
    <row r="996" s="366" customFormat="1"/>
    <row r="997" s="366" customFormat="1"/>
    <row r="998" s="366" customFormat="1"/>
    <row r="999" s="366" customFormat="1"/>
    <row r="1000" s="366" customFormat="1"/>
    <row r="1001" s="366" customFormat="1"/>
    <row r="1002" s="366" customFormat="1"/>
    <row r="1003" s="366" customFormat="1"/>
    <row r="1004" s="366" customFormat="1"/>
    <row r="1005" s="366" customFormat="1"/>
    <row r="1006" s="366" customFormat="1"/>
    <row r="1007" s="366" customFormat="1"/>
    <row r="1008" s="366" customFormat="1"/>
    <row r="1009" s="366" customFormat="1"/>
    <row r="1010" s="366" customFormat="1"/>
    <row r="1011" s="366" customFormat="1"/>
    <row r="1012" s="366" customFormat="1"/>
    <row r="1013" s="366" customFormat="1"/>
    <row r="1014" s="366" customFormat="1"/>
    <row r="1015" s="366" customFormat="1"/>
    <row r="1016" s="366" customFormat="1"/>
    <row r="1017" s="366" customFormat="1"/>
    <row r="1018" s="366" customFormat="1"/>
    <row r="1019" s="366" customFormat="1"/>
    <row r="1020" s="366" customFormat="1"/>
    <row r="1021" s="366" customFormat="1"/>
    <row r="1022" s="366" customFormat="1"/>
    <row r="1023" s="366" customFormat="1"/>
    <row r="1024" s="366" customFormat="1"/>
    <row r="1025" s="366" customFormat="1"/>
    <row r="1026" s="366" customFormat="1"/>
    <row r="1027" s="366" customFormat="1"/>
    <row r="1028" s="366" customFormat="1"/>
    <row r="1029" s="366" customFormat="1"/>
    <row r="1030" s="366" customFormat="1"/>
    <row r="1031" s="366" customFormat="1"/>
    <row r="1032" s="366" customFormat="1"/>
    <row r="1033" s="366" customFormat="1"/>
    <row r="1034" s="366" customFormat="1"/>
    <row r="1035" s="366" customFormat="1"/>
    <row r="1036" s="366" customFormat="1"/>
    <row r="1037" s="366" customFormat="1"/>
    <row r="1038" s="366" customFormat="1"/>
    <row r="1039" s="366" customFormat="1"/>
    <row r="1040" s="366" customFormat="1"/>
    <row r="1041" s="366" customFormat="1"/>
    <row r="1042" s="366" customFormat="1"/>
    <row r="1043" s="366" customFormat="1"/>
    <row r="1044" s="366" customFormat="1"/>
    <row r="1045" s="366" customFormat="1"/>
    <row r="1046" s="366" customFormat="1"/>
    <row r="1047" s="366" customFormat="1"/>
    <row r="1048" s="366" customFormat="1"/>
    <row r="1049" s="366" customFormat="1"/>
    <row r="1050" s="366" customFormat="1"/>
    <row r="1051" s="366" customFormat="1"/>
    <row r="1052" s="366" customFormat="1"/>
    <row r="1053" s="366" customFormat="1"/>
    <row r="1054" s="366" customFormat="1"/>
    <row r="1055" s="366" customFormat="1"/>
    <row r="1056" s="366" customFormat="1"/>
    <row r="1057" s="366" customFormat="1"/>
    <row r="1058" s="366" customFormat="1"/>
    <row r="1059" s="366" customFormat="1"/>
    <row r="1060" s="366" customFormat="1"/>
    <row r="1061" s="366" customFormat="1"/>
    <row r="1062" s="366" customFormat="1"/>
    <row r="1063" s="366" customFormat="1"/>
    <row r="1064" s="366" customFormat="1"/>
    <row r="1065" s="366" customFormat="1"/>
    <row r="1066" s="366" customFormat="1"/>
    <row r="1067" s="366" customFormat="1"/>
    <row r="1068" s="366" customFormat="1"/>
    <row r="1069" s="366" customFormat="1"/>
    <row r="1070" s="366" customFormat="1"/>
    <row r="1071" s="366" customFormat="1"/>
    <row r="1072" s="366" customFormat="1"/>
    <row r="1073" s="366" customFormat="1"/>
    <row r="1074" s="366" customFormat="1"/>
    <row r="1075" s="366" customFormat="1"/>
    <row r="1076" s="366" customFormat="1"/>
    <row r="1077" s="366" customFormat="1"/>
    <row r="1078" s="366" customFormat="1"/>
    <row r="1079" s="366" customFormat="1"/>
    <row r="1080" s="366" customFormat="1"/>
    <row r="1081" s="366" customFormat="1"/>
    <row r="1082" s="366" customFormat="1"/>
    <row r="1083" s="366" customFormat="1"/>
    <row r="1084" s="366" customFormat="1"/>
    <row r="1085" s="366" customFormat="1"/>
    <row r="1086" s="366" customFormat="1"/>
    <row r="1087" s="366" customFormat="1"/>
    <row r="1088" s="366" customFormat="1"/>
    <row r="1089" s="366" customFormat="1"/>
    <row r="1090" s="366" customFormat="1"/>
    <row r="1091" s="366" customFormat="1"/>
    <row r="1092" s="366" customFormat="1"/>
    <row r="1093" s="366" customFormat="1"/>
    <row r="1094" s="366" customFormat="1"/>
    <row r="1095" s="366" customFormat="1"/>
    <row r="1096" s="366" customFormat="1"/>
    <row r="1097" s="366" customFormat="1"/>
    <row r="1098" s="366" customFormat="1"/>
    <row r="1099" s="366" customFormat="1"/>
    <row r="1100" s="366" customFormat="1"/>
    <row r="1101" s="366" customFormat="1"/>
    <row r="1102" s="366" customFormat="1"/>
    <row r="1103" s="366" customFormat="1"/>
    <row r="1104" s="366" customFormat="1"/>
    <row r="1105" s="366" customFormat="1"/>
    <row r="1106" s="366" customFormat="1"/>
    <row r="1107" s="366" customFormat="1"/>
    <row r="1108" s="366" customFormat="1"/>
    <row r="1109" s="366" customFormat="1"/>
    <row r="1110" s="366" customFormat="1"/>
    <row r="1111" s="366" customFormat="1"/>
    <row r="1112" s="366" customFormat="1"/>
    <row r="1113" s="366" customFormat="1"/>
    <row r="1114" s="366" customFormat="1"/>
    <row r="1115" s="366" customFormat="1"/>
    <row r="1116" s="366" customFormat="1"/>
    <row r="1117" s="366" customFormat="1"/>
    <row r="1118" s="366" customFormat="1"/>
    <row r="1119" s="366" customFormat="1"/>
    <row r="1120" s="366" customFormat="1"/>
    <row r="1121" s="366" customFormat="1"/>
    <row r="1122" s="366" customFormat="1"/>
    <row r="1123" s="366" customFormat="1"/>
    <row r="1124" s="366" customFormat="1"/>
    <row r="1125" s="366" customFormat="1"/>
    <row r="1126" s="366" customFormat="1"/>
    <row r="1127" s="366" customFormat="1"/>
    <row r="1128" s="366" customFormat="1"/>
    <row r="1129" s="366" customFormat="1"/>
    <row r="1130" s="366" customFormat="1"/>
    <row r="1131" s="366" customFormat="1"/>
    <row r="1132" s="366" customFormat="1"/>
    <row r="1133" s="366" customFormat="1"/>
    <row r="1134" s="366" customFormat="1"/>
    <row r="1135" s="366" customFormat="1"/>
    <row r="1136" s="366" customFormat="1"/>
    <row r="1137" s="366" customFormat="1"/>
    <row r="1138" s="366" customFormat="1"/>
    <row r="1139" s="366" customFormat="1"/>
    <row r="1140" s="366" customFormat="1"/>
    <row r="1141" s="366" customFormat="1"/>
    <row r="1142" s="366" customFormat="1"/>
    <row r="1143" s="366" customFormat="1"/>
    <row r="1144" s="366" customFormat="1"/>
    <row r="1145" s="366" customFormat="1"/>
    <row r="1146" s="366" customFormat="1"/>
    <row r="1147" s="366" customFormat="1"/>
    <row r="1148" s="366" customFormat="1"/>
    <row r="1149" s="366" customFormat="1"/>
    <row r="1150" s="366" customFormat="1"/>
    <row r="1151" s="366" customFormat="1"/>
    <row r="1152" s="366" customFormat="1"/>
    <row r="1153" s="366" customFormat="1"/>
    <row r="1154" s="366" customFormat="1"/>
    <row r="1155" s="366" customFormat="1"/>
    <row r="1156" s="366" customFormat="1"/>
    <row r="1157" s="366" customFormat="1"/>
    <row r="1158" s="366" customFormat="1"/>
    <row r="1159" s="366" customFormat="1"/>
    <row r="1160" s="366" customFormat="1"/>
    <row r="1161" s="366" customFormat="1"/>
    <row r="1162" s="366" customFormat="1"/>
    <row r="1163" s="366" customFormat="1"/>
    <row r="1164" s="366" customFormat="1"/>
    <row r="1165" s="366" customFormat="1"/>
    <row r="1166" s="366" customFormat="1"/>
    <row r="1167" s="366" customFormat="1"/>
    <row r="1168" s="366" customFormat="1"/>
    <row r="1169" s="366" customFormat="1"/>
    <row r="1170" s="366" customFormat="1"/>
    <row r="1171" s="366" customFormat="1"/>
    <row r="1172" s="366" customFormat="1"/>
    <row r="1173" s="366" customFormat="1"/>
    <row r="1174" s="366" customFormat="1"/>
    <row r="1175" s="366" customFormat="1"/>
    <row r="1176" s="366" customFormat="1"/>
    <row r="1177" s="366" customFormat="1"/>
    <row r="1178" s="366" customFormat="1"/>
    <row r="1179" s="366" customFormat="1"/>
    <row r="1180" s="366" customFormat="1"/>
    <row r="1181" s="366" customFormat="1"/>
    <row r="1182" s="366" customFormat="1"/>
    <row r="1183" s="366" customFormat="1"/>
    <row r="1184" s="366" customFormat="1"/>
    <row r="1185" s="366" customFormat="1"/>
    <row r="1186" s="366" customFormat="1"/>
    <row r="1187" s="366" customFormat="1"/>
    <row r="1188" s="366" customFormat="1"/>
    <row r="1189" s="366" customFormat="1"/>
    <row r="1190" s="366" customFormat="1"/>
    <row r="1191" s="366" customFormat="1"/>
    <row r="1192" s="366" customFormat="1"/>
    <row r="1193" s="366" customFormat="1"/>
    <row r="1194" s="366" customFormat="1"/>
    <row r="1195" s="366" customFormat="1"/>
    <row r="1196" s="366" customFormat="1"/>
    <row r="1197" s="366" customFormat="1"/>
    <row r="1198" s="366" customFormat="1"/>
    <row r="1199" s="366" customFormat="1"/>
    <row r="1200" s="366" customFormat="1"/>
    <row r="1201" s="366" customFormat="1"/>
    <row r="1202" s="366" customFormat="1"/>
    <row r="1203" s="366" customFormat="1"/>
    <row r="1204" s="366" customFormat="1"/>
    <row r="1205" s="366" customFormat="1"/>
    <row r="1206" s="366" customFormat="1"/>
    <row r="1207" s="366" customFormat="1"/>
    <row r="1208" s="366" customFormat="1"/>
    <row r="1209" s="366" customFormat="1"/>
    <row r="1210" s="366" customFormat="1"/>
    <row r="1211" s="366" customFormat="1"/>
    <row r="1212" s="366" customFormat="1"/>
    <row r="1213" s="366" customFormat="1"/>
    <row r="1214" s="366" customFormat="1"/>
    <row r="1215" s="366" customFormat="1"/>
    <row r="1216" s="366" customFormat="1"/>
    <row r="1217" s="366" customFormat="1"/>
    <row r="1218" s="366" customFormat="1"/>
    <row r="1219" s="366" customFormat="1"/>
    <row r="1220" s="366" customFormat="1"/>
    <row r="1221" s="366" customFormat="1"/>
    <row r="1222" s="366" customFormat="1"/>
    <row r="1223" s="366" customFormat="1"/>
    <row r="1224" s="366" customFormat="1"/>
    <row r="1225" s="366" customFormat="1"/>
    <row r="1226" s="366" customFormat="1"/>
    <row r="1227" s="366" customFormat="1"/>
    <row r="1228" s="366" customFormat="1"/>
    <row r="1229" s="366" customFormat="1"/>
    <row r="1230" s="366" customFormat="1"/>
    <row r="1231" s="366" customFormat="1"/>
    <row r="1232" s="366" customFormat="1"/>
    <row r="1233" s="366" customFormat="1"/>
    <row r="1234" s="366" customFormat="1"/>
    <row r="1235" s="366" customFormat="1"/>
    <row r="1236" s="366" customFormat="1"/>
    <row r="1237" s="366" customFormat="1"/>
    <row r="1238" s="366" customFormat="1"/>
    <row r="1239" s="366" customFormat="1"/>
    <row r="1240" s="366" customFormat="1"/>
    <row r="1241" s="366" customFormat="1"/>
    <row r="1242" s="366" customFormat="1"/>
    <row r="1243" s="366" customFormat="1"/>
    <row r="1244" s="366" customFormat="1"/>
    <row r="1245" s="366" customFormat="1"/>
    <row r="1246" s="366" customFormat="1"/>
    <row r="1247" s="366" customFormat="1"/>
    <row r="1248" s="366" customFormat="1"/>
    <row r="1249" s="366" customFormat="1"/>
    <row r="1250" s="366" customFormat="1"/>
    <row r="1251" s="366" customFormat="1"/>
    <row r="1252" s="366" customFormat="1"/>
    <row r="1253" s="366" customFormat="1"/>
    <row r="1254" s="366" customFormat="1"/>
    <row r="1255" s="366" customFormat="1"/>
    <row r="1256" s="366" customFormat="1"/>
    <row r="1257" s="366" customFormat="1"/>
    <row r="1258" s="366" customFormat="1"/>
    <row r="1259" s="366" customFormat="1"/>
    <row r="1260" s="366" customFormat="1"/>
    <row r="1261" s="366" customFormat="1"/>
    <row r="1262" s="366" customFormat="1"/>
    <row r="1263" s="366" customFormat="1"/>
    <row r="1264" s="366" customFormat="1"/>
    <row r="1265" s="366" customFormat="1"/>
    <row r="1266" s="366" customFormat="1"/>
    <row r="1267" s="366" customFormat="1"/>
    <row r="1268" s="366" customFormat="1"/>
    <row r="1269" s="366" customFormat="1"/>
    <row r="1270" s="366" customFormat="1"/>
    <row r="1271" s="366" customFormat="1"/>
    <row r="1272" s="366" customFormat="1"/>
    <row r="1273" s="366" customFormat="1"/>
    <row r="1274" s="366" customFormat="1"/>
    <row r="1275" s="366" customFormat="1"/>
    <row r="1276" s="366" customFormat="1"/>
    <row r="1277" s="366" customFormat="1"/>
    <row r="1278" s="366" customFormat="1"/>
    <row r="1279" s="366" customFormat="1"/>
    <row r="1280" s="366" customFormat="1"/>
    <row r="1281" s="366" customFormat="1"/>
    <row r="1282" s="366" customFormat="1"/>
    <row r="1283" s="366" customFormat="1"/>
    <row r="1284" s="366" customFormat="1"/>
    <row r="1285" s="366" customFormat="1"/>
    <row r="1286" s="366" customFormat="1"/>
    <row r="1287" s="366" customFormat="1"/>
    <row r="1288" s="366" customFormat="1"/>
    <row r="1289" s="366" customFormat="1"/>
    <row r="1290" s="366" customFormat="1"/>
    <row r="1291" s="366" customFormat="1"/>
    <row r="1292" s="366" customFormat="1"/>
    <row r="1293" s="366" customFormat="1"/>
    <row r="1294" s="366" customFormat="1"/>
    <row r="1295" s="366" customFormat="1"/>
    <row r="1296" s="366" customFormat="1"/>
    <row r="1297" s="366" customFormat="1"/>
    <row r="1298" s="366" customFormat="1"/>
    <row r="1299" s="366" customFormat="1"/>
    <row r="1300" s="366" customFormat="1"/>
    <row r="1301" s="366" customFormat="1"/>
    <row r="1302" s="366" customFormat="1"/>
    <row r="1303" s="366" customFormat="1"/>
    <row r="1304" s="366" customFormat="1"/>
    <row r="1305" s="366" customFormat="1"/>
    <row r="1306" s="366" customFormat="1"/>
    <row r="1307" s="366" customFormat="1"/>
    <row r="1308" s="366" customFormat="1"/>
    <row r="1309" s="366" customFormat="1"/>
    <row r="1310" s="366" customFormat="1"/>
    <row r="1311" s="366" customFormat="1"/>
    <row r="1312" s="366" customFormat="1"/>
    <row r="1313" s="366" customFormat="1"/>
    <row r="1314" s="366" customFormat="1"/>
    <row r="1315" s="366" customFormat="1"/>
    <row r="1316" s="366" customFormat="1"/>
    <row r="1317" s="366" customFormat="1"/>
    <row r="1318" s="366" customFormat="1"/>
    <row r="1319" s="366" customFormat="1"/>
    <row r="1320" s="366" customFormat="1"/>
    <row r="1321" s="366" customFormat="1"/>
    <row r="1322" s="366" customFormat="1"/>
    <row r="1323" s="366" customFormat="1"/>
    <row r="1324" s="366" customFormat="1"/>
    <row r="1325" s="366" customFormat="1"/>
    <row r="1326" s="366" customFormat="1"/>
    <row r="1327" s="366" customFormat="1"/>
    <row r="1328" s="366" customFormat="1"/>
    <row r="1329" s="366" customFormat="1"/>
    <row r="1330" s="366" customFormat="1"/>
    <row r="1331" s="366" customFormat="1"/>
    <row r="1332" s="366" customFormat="1"/>
    <row r="1333" s="366" customFormat="1"/>
    <row r="1334" s="366" customFormat="1"/>
    <row r="1335" s="366" customFormat="1"/>
    <row r="1336" s="366" customFormat="1"/>
    <row r="1337" s="366" customFormat="1"/>
    <row r="1338" s="366" customFormat="1"/>
    <row r="1339" s="366" customFormat="1"/>
    <row r="1340" s="366" customFormat="1"/>
    <row r="1341" s="366" customFormat="1"/>
    <row r="1342" s="366" customFormat="1"/>
    <row r="1343" s="366" customFormat="1"/>
    <row r="1344" s="366" customFormat="1"/>
    <row r="1345" s="366" customFormat="1"/>
    <row r="1346" s="366" customFormat="1"/>
    <row r="1347" s="366" customFormat="1"/>
    <row r="1348" s="366" customFormat="1"/>
    <row r="1349" s="366" customFormat="1"/>
    <row r="1350" s="366" customFormat="1"/>
    <row r="1351" s="366" customFormat="1"/>
    <row r="1352" s="366" customFormat="1"/>
    <row r="1353" s="366" customFormat="1"/>
    <row r="1354" s="366" customFormat="1"/>
    <row r="1355" s="366" customFormat="1"/>
    <row r="1356" s="366" customFormat="1"/>
    <row r="1357" s="366" customFormat="1"/>
    <row r="1358" s="366" customFormat="1"/>
    <row r="1359" s="366" customFormat="1"/>
    <row r="1360" s="366" customFormat="1"/>
    <row r="1361" s="366" customFormat="1"/>
    <row r="1362" s="366" customFormat="1"/>
    <row r="1363" s="366" customFormat="1"/>
    <row r="1364" s="366" customFormat="1"/>
    <row r="1365" s="366" customFormat="1"/>
    <row r="1366" s="366" customFormat="1"/>
    <row r="1367" s="366" customFormat="1"/>
    <row r="1368" s="366" customFormat="1"/>
    <row r="1369" s="366" customFormat="1"/>
    <row r="1370" s="366" customFormat="1"/>
    <row r="1371" s="366" customFormat="1"/>
    <row r="1372" s="366" customFormat="1"/>
    <row r="1373" s="366" customFormat="1"/>
    <row r="1374" s="366" customFormat="1"/>
    <row r="1375" s="366" customFormat="1"/>
    <row r="1376" s="366" customFormat="1"/>
    <row r="1377" s="366" customFormat="1"/>
    <row r="1378" s="366" customFormat="1"/>
    <row r="1379" s="366" customFormat="1"/>
    <row r="1380" s="366" customFormat="1"/>
    <row r="1381" s="366" customFormat="1"/>
    <row r="1382" s="366" customFormat="1"/>
    <row r="1383" s="366" customFormat="1"/>
    <row r="1384" s="366" customFormat="1"/>
    <row r="1385" s="366" customFormat="1"/>
    <row r="1386" s="366" customFormat="1"/>
    <row r="1387" s="366" customFormat="1"/>
    <row r="1388" s="366" customFormat="1"/>
    <row r="1389" s="366" customFormat="1"/>
    <row r="1390" s="366" customFormat="1"/>
    <row r="1391" s="366" customFormat="1"/>
    <row r="1392" s="366" customFormat="1"/>
    <row r="1393" s="366" customFormat="1"/>
    <row r="1394" s="366" customFormat="1"/>
    <row r="1395" s="366" customFormat="1"/>
    <row r="1396" s="366" customFormat="1"/>
    <row r="1397" s="366" customFormat="1"/>
    <row r="1398" s="366" customFormat="1"/>
    <row r="1399" s="366" customFormat="1"/>
    <row r="1400" s="366" customFormat="1"/>
    <row r="1401" s="366" customFormat="1"/>
    <row r="1402" s="366" customFormat="1"/>
    <row r="1403" s="366" customFormat="1"/>
    <row r="1404" s="366" customFormat="1"/>
    <row r="1405" s="366" customFormat="1"/>
    <row r="1406" s="366" customFormat="1"/>
    <row r="1407" s="366" customFormat="1"/>
    <row r="1408" s="366" customFormat="1"/>
    <row r="1409" s="366" customFormat="1"/>
    <row r="1410" s="366" customFormat="1"/>
    <row r="1411" s="366" customFormat="1"/>
    <row r="1412" s="366" customFormat="1"/>
    <row r="1413" s="366" customFormat="1"/>
    <row r="1414" s="366" customFormat="1"/>
    <row r="1415" s="366" customFormat="1"/>
    <row r="1416" s="366" customFormat="1"/>
    <row r="1417" s="366" customFormat="1"/>
    <row r="1418" s="366" customFormat="1"/>
    <row r="1419" s="366" customFormat="1"/>
    <row r="1420" s="366" customFormat="1"/>
    <row r="1421" s="366" customFormat="1"/>
    <row r="1422" s="366" customFormat="1"/>
    <row r="1423" s="366" customFormat="1"/>
    <row r="1424" s="366" customFormat="1"/>
    <row r="1425" s="366" customFormat="1"/>
    <row r="1426" s="366" customFormat="1"/>
    <row r="1427" s="366" customFormat="1"/>
    <row r="1428" s="366" customFormat="1"/>
    <row r="1429" s="366" customFormat="1"/>
    <row r="1430" s="366" customFormat="1"/>
    <row r="1431" s="366" customFormat="1"/>
    <row r="1432" s="366" customFormat="1"/>
    <row r="1433" s="366" customFormat="1"/>
    <row r="1434" s="366" customFormat="1"/>
    <row r="1435" s="366" customFormat="1"/>
    <row r="1436" s="366" customFormat="1"/>
    <row r="1437" s="366" customFormat="1"/>
    <row r="1438" s="366" customFormat="1"/>
    <row r="1439" s="366" customFormat="1"/>
    <row r="1440" s="366" customFormat="1"/>
    <row r="1441" s="366" customFormat="1"/>
    <row r="1442" s="366" customFormat="1"/>
    <row r="1443" s="366" customFormat="1"/>
    <row r="1444" s="366" customFormat="1"/>
    <row r="1445" s="366" customFormat="1"/>
    <row r="1446" s="366" customFormat="1"/>
    <row r="1447" s="366" customFormat="1"/>
    <row r="1448" s="366" customFormat="1"/>
    <row r="1449" s="366" customFormat="1"/>
    <row r="1450" s="366" customFormat="1"/>
    <row r="1451" s="366" customFormat="1"/>
    <row r="1452" s="366" customFormat="1"/>
    <row r="1453" s="366" customFormat="1"/>
    <row r="1454" s="366" customFormat="1"/>
    <row r="1455" s="366" customFormat="1"/>
    <row r="1456" s="366" customFormat="1"/>
    <row r="1457" s="366" customFormat="1"/>
    <row r="1458" s="366" customFormat="1"/>
    <row r="1459" s="366" customFormat="1"/>
    <row r="1460" s="366" customFormat="1"/>
    <row r="1461" s="366" customFormat="1"/>
    <row r="1462" s="366" customFormat="1"/>
    <row r="1463" s="366" customFormat="1"/>
    <row r="1464" s="366" customFormat="1"/>
    <row r="1465" s="366" customFormat="1"/>
    <row r="1466" s="366" customFormat="1"/>
    <row r="1467" s="366" customFormat="1"/>
    <row r="1468" s="366" customFormat="1"/>
    <row r="1469" s="366" customFormat="1"/>
    <row r="1470" s="366" customFormat="1"/>
    <row r="1471" s="366" customFormat="1"/>
    <row r="1472" s="366" customFormat="1"/>
    <row r="1473" s="366" customFormat="1"/>
    <row r="1474" s="366" customFormat="1"/>
    <row r="1475" s="366" customFormat="1"/>
    <row r="1476" s="366" customFormat="1"/>
    <row r="1477" s="366" customFormat="1"/>
    <row r="1478" s="366" customFormat="1"/>
    <row r="1479" s="366" customFormat="1"/>
    <row r="1480" s="366" customFormat="1"/>
    <row r="1481" s="366" customFormat="1"/>
    <row r="1482" s="366" customFormat="1"/>
    <row r="1483" s="366" customFormat="1"/>
    <row r="1484" s="366" customFormat="1"/>
    <row r="1485" s="366" customFormat="1"/>
    <row r="1486" s="366" customFormat="1"/>
    <row r="1487" s="366" customFormat="1"/>
    <row r="1488" s="366" customFormat="1"/>
    <row r="1489" s="366" customFormat="1"/>
    <row r="1490" s="366" customFormat="1"/>
    <row r="1491" s="366" customFormat="1"/>
    <row r="1492" s="366" customFormat="1"/>
    <row r="1493" s="366" customFormat="1"/>
    <row r="1494" s="366" customFormat="1"/>
    <row r="1495" s="366" customFormat="1"/>
    <row r="1496" s="366" customFormat="1"/>
    <row r="1497" s="366" customFormat="1"/>
    <row r="1498" s="366" customFormat="1"/>
    <row r="1499" s="366" customFormat="1"/>
    <row r="1500" s="366" customFormat="1"/>
    <row r="1501" s="366" customFormat="1"/>
    <row r="1502" s="366" customFormat="1"/>
    <row r="1503" s="366" customFormat="1"/>
    <row r="1504" s="366" customFormat="1"/>
    <row r="1505" s="366" customFormat="1"/>
    <row r="1506" s="366" customFormat="1"/>
    <row r="1507" s="366" customFormat="1"/>
    <row r="1508" s="366" customFormat="1"/>
    <row r="1509" s="366" customFormat="1"/>
    <row r="1510" s="366" customFormat="1"/>
    <row r="1511" s="366" customFormat="1"/>
    <row r="1512" s="366" customFormat="1"/>
    <row r="1513" s="366" customFormat="1"/>
    <row r="1514" s="366" customFormat="1"/>
    <row r="1515" s="366" customFormat="1"/>
    <row r="1516" s="366" customFormat="1"/>
    <row r="1517" s="366" customFormat="1"/>
    <row r="1518" s="366" customFormat="1"/>
    <row r="1519" s="366" customFormat="1"/>
    <row r="1520" s="366" customFormat="1"/>
    <row r="1521" s="366" customFormat="1"/>
    <row r="1522" s="366" customFormat="1"/>
    <row r="1523" s="366" customFormat="1"/>
    <row r="1524" s="366" customFormat="1"/>
    <row r="1525" s="366" customFormat="1"/>
    <row r="1526" s="366" customFormat="1"/>
    <row r="1527" s="366" customFormat="1"/>
    <row r="1528" s="366" customFormat="1"/>
    <row r="1529" s="366" customFormat="1"/>
    <row r="1530" s="366" customFormat="1"/>
    <row r="1531" s="366" customFormat="1"/>
    <row r="1532" s="366" customFormat="1"/>
    <row r="1533" s="366" customFormat="1"/>
    <row r="1534" s="366" customFormat="1"/>
    <row r="1535" s="366" customFormat="1"/>
    <row r="1536" s="366" customFormat="1"/>
    <row r="1537" s="366" customFormat="1"/>
    <row r="1538" s="366" customFormat="1"/>
    <row r="1539" s="366" customFormat="1"/>
    <row r="1540" s="366" customFormat="1"/>
    <row r="1541" s="366" customFormat="1"/>
    <row r="1542" s="366" customFormat="1"/>
    <row r="1543" s="366" customFormat="1"/>
    <row r="1544" s="366" customFormat="1"/>
    <row r="1545" s="366" customFormat="1"/>
    <row r="1546" s="366" customFormat="1"/>
    <row r="1547" s="366" customFormat="1"/>
    <row r="1548" s="366" customFormat="1"/>
    <row r="1549" s="366" customFormat="1"/>
    <row r="1550" s="366" customFormat="1"/>
    <row r="1551" s="366" customFormat="1"/>
    <row r="1552" s="366" customFormat="1"/>
    <row r="1553" s="366" customFormat="1"/>
    <row r="1554" s="366" customFormat="1"/>
    <row r="1555" s="366" customFormat="1"/>
    <row r="1556" s="366" customFormat="1"/>
    <row r="1557" s="366" customFormat="1"/>
    <row r="1558" s="366" customFormat="1"/>
    <row r="1559" s="366" customFormat="1"/>
    <row r="1560" s="366" customFormat="1"/>
    <row r="1561" s="366" customFormat="1"/>
    <row r="1562" s="366" customFormat="1"/>
    <row r="1563" s="366" customFormat="1"/>
    <row r="1564" s="366" customFormat="1"/>
    <row r="1565" s="366" customFormat="1"/>
    <row r="1566" s="366" customFormat="1"/>
    <row r="1567" s="366" customFormat="1"/>
    <row r="1568" s="366" customFormat="1"/>
    <row r="1569" s="366" customFormat="1"/>
    <row r="1570" s="366" customFormat="1"/>
    <row r="1571" s="366" customFormat="1"/>
    <row r="1572" s="366" customFormat="1"/>
    <row r="1573" s="366" customFormat="1"/>
    <row r="1574" s="366" customFormat="1"/>
    <row r="1575" s="366" customFormat="1"/>
    <row r="1576" s="366" customFormat="1"/>
    <row r="1577" s="366" customFormat="1"/>
    <row r="1578" s="366" customFormat="1"/>
    <row r="1579" s="366" customFormat="1"/>
    <row r="1580" s="366" customFormat="1"/>
    <row r="1581" s="366" customFormat="1"/>
    <row r="1582" s="366" customFormat="1"/>
    <row r="1583" s="366" customFormat="1"/>
    <row r="1584" s="366" customFormat="1"/>
    <row r="1585" s="366" customFormat="1"/>
    <row r="1586" s="366" customFormat="1"/>
    <row r="1587" s="366" customFormat="1"/>
    <row r="1588" s="366" customFormat="1"/>
    <row r="1589" s="366" customFormat="1"/>
    <row r="1590" s="366" customFormat="1"/>
    <row r="1591" s="366" customFormat="1"/>
    <row r="1592" s="366" customFormat="1"/>
    <row r="1593" s="366" customFormat="1"/>
    <row r="1594" s="366" customFormat="1"/>
    <row r="1595" s="366" customFormat="1"/>
    <row r="1596" s="366" customFormat="1"/>
    <row r="1597" s="366" customFormat="1"/>
    <row r="1598" s="366" customFormat="1"/>
    <row r="1599" s="366" customFormat="1"/>
    <row r="1600" s="366" customFormat="1"/>
    <row r="1601" s="366" customFormat="1"/>
    <row r="1602" s="366" customFormat="1"/>
    <row r="1603" s="366" customFormat="1"/>
    <row r="1604" s="366" customFormat="1"/>
    <row r="1605" s="366" customFormat="1"/>
    <row r="1606" s="366" customFormat="1"/>
    <row r="1607" s="366" customFormat="1"/>
    <row r="1608" s="366" customFormat="1"/>
    <row r="1609" s="366" customFormat="1"/>
    <row r="1610" s="366" customFormat="1"/>
    <row r="1611" s="366" customFormat="1"/>
    <row r="1612" s="366" customFormat="1"/>
    <row r="1613" s="366" customFormat="1"/>
    <row r="1614" s="366" customFormat="1"/>
    <row r="1615" s="366" customFormat="1"/>
    <row r="1616" s="366" customFormat="1"/>
    <row r="1617" s="366" customFormat="1"/>
    <row r="1618" s="366" customFormat="1"/>
    <row r="1619" s="366" customFormat="1"/>
    <row r="1620" s="366" customFormat="1"/>
    <row r="1621" s="366" customFormat="1"/>
    <row r="1622" s="366" customFormat="1"/>
    <row r="1623" s="366" customFormat="1"/>
    <row r="1624" s="366" customFormat="1"/>
    <row r="1625" s="366" customFormat="1"/>
    <row r="1626" s="366" customFormat="1"/>
    <row r="1627" s="366" customFormat="1"/>
    <row r="1628" s="366" customFormat="1"/>
    <row r="1629" s="366" customFormat="1"/>
    <row r="1630" s="366" customFormat="1"/>
    <row r="1631" s="366" customFormat="1"/>
    <row r="1632" s="366" customFormat="1"/>
    <row r="1633" s="366" customFormat="1"/>
    <row r="1634" s="366" customFormat="1"/>
    <row r="1635" s="366" customFormat="1"/>
    <row r="1636" s="366" customFormat="1"/>
    <row r="1637" s="366" customFormat="1"/>
    <row r="1638" s="366" customFormat="1"/>
    <row r="1639" s="366" customFormat="1"/>
    <row r="1640" s="366" customFormat="1"/>
    <row r="1641" s="366" customFormat="1"/>
    <row r="1642" s="366" customFormat="1"/>
    <row r="1643" s="366" customFormat="1"/>
    <row r="1644" s="366" customFormat="1"/>
    <row r="1645" s="366" customFormat="1"/>
    <row r="1646" s="366" customFormat="1"/>
    <row r="1647" s="366" customFormat="1"/>
    <row r="1648" s="366" customFormat="1"/>
    <row r="1649" s="366" customFormat="1"/>
    <row r="1650" s="366" customFormat="1"/>
    <row r="1651" s="366" customFormat="1"/>
    <row r="1652" s="366" customFormat="1"/>
    <row r="1653" s="366" customFormat="1"/>
    <row r="1654" s="366" customFormat="1"/>
    <row r="1655" s="366" customFormat="1"/>
    <row r="1656" s="366" customFormat="1"/>
    <row r="1657" s="366" customFormat="1"/>
    <row r="1658" s="366" customFormat="1"/>
    <row r="1659" s="366" customFormat="1"/>
    <row r="1660" s="366" customFormat="1"/>
    <row r="1661" s="366" customFormat="1"/>
    <row r="1662" s="366" customFormat="1"/>
    <row r="1663" s="366" customFormat="1"/>
    <row r="1664" s="366" customFormat="1"/>
    <row r="1665" s="366" customFormat="1"/>
    <row r="1666" s="366" customFormat="1"/>
    <row r="1667" s="366" customFormat="1"/>
    <row r="1668" s="366" customFormat="1"/>
    <row r="1669" s="366" customFormat="1"/>
    <row r="1670" s="366" customFormat="1"/>
    <row r="1671" s="366" customFormat="1"/>
    <row r="1672" s="366" customFormat="1"/>
    <row r="1673" s="366" customFormat="1"/>
    <row r="1674" s="366" customFormat="1"/>
    <row r="1675" s="366" customFormat="1"/>
    <row r="1676" s="366" customFormat="1"/>
    <row r="1677" s="366" customFormat="1"/>
    <row r="1678" s="366" customFormat="1"/>
    <row r="1679" s="366" customFormat="1"/>
    <row r="1680" s="366" customFormat="1"/>
    <row r="1681" s="366" customFormat="1"/>
    <row r="1682" s="366" customFormat="1"/>
    <row r="1683" s="366" customFormat="1"/>
    <row r="1684" s="366" customFormat="1"/>
    <row r="1685" s="366" customFormat="1"/>
    <row r="1686" s="366" customFormat="1"/>
    <row r="1687" s="366" customFormat="1"/>
    <row r="1688" s="366" customFormat="1"/>
    <row r="1689" s="366" customFormat="1"/>
    <row r="1690" s="366" customFormat="1"/>
    <row r="1691" s="366" customFormat="1"/>
    <row r="1692" s="366" customFormat="1"/>
    <row r="1693" s="366" customFormat="1"/>
    <row r="1694" s="366" customFormat="1"/>
    <row r="1695" s="366" customFormat="1"/>
    <row r="1696" s="366" customFormat="1"/>
    <row r="1697" s="366" customFormat="1"/>
    <row r="1698" s="366" customFormat="1"/>
    <row r="1699" s="366" customFormat="1"/>
    <row r="1700" s="366" customFormat="1"/>
    <row r="1701" s="366" customFormat="1"/>
    <row r="1702" s="366" customFormat="1"/>
    <row r="1703" s="366" customFormat="1"/>
    <row r="1704" s="366" customFormat="1"/>
    <row r="1705" s="366" customFormat="1"/>
    <row r="1706" s="366" customFormat="1"/>
    <row r="1707" s="366" customFormat="1"/>
    <row r="1708" s="366" customFormat="1"/>
    <row r="1709" s="366" customFormat="1"/>
    <row r="1710" s="366" customFormat="1"/>
    <row r="1711" s="366" customFormat="1"/>
    <row r="1712" s="366" customFormat="1"/>
    <row r="1713" s="366" customFormat="1"/>
    <row r="1714" s="366" customFormat="1"/>
    <row r="1715" s="366" customFormat="1"/>
    <row r="1716" s="366" customFormat="1"/>
    <row r="1717" s="366" customFormat="1"/>
    <row r="1718" s="366" customFormat="1"/>
    <row r="1719" s="366" customFormat="1"/>
    <row r="1720" s="366" customFormat="1"/>
    <row r="1721" s="366" customFormat="1"/>
    <row r="1722" s="366" customFormat="1"/>
    <row r="1723" s="366" customFormat="1"/>
    <row r="1724" s="366" customFormat="1"/>
    <row r="1725" s="366" customFormat="1"/>
    <row r="1726" s="366" customFormat="1"/>
    <row r="1727" s="366" customFormat="1"/>
    <row r="1728" s="366" customFormat="1"/>
    <row r="1729" s="366" customFormat="1"/>
    <row r="1730" s="366" customFormat="1"/>
    <row r="1731" s="366" customFormat="1"/>
    <row r="1732" s="366" customFormat="1"/>
    <row r="1733" s="366" customFormat="1"/>
    <row r="1734" s="366" customFormat="1"/>
    <row r="1735" s="366" customFormat="1"/>
    <row r="1736" s="366" customFormat="1"/>
    <row r="1737" s="366" customFormat="1"/>
    <row r="1738" s="366" customFormat="1"/>
    <row r="1739" s="366" customFormat="1"/>
    <row r="1740" s="366" customFormat="1"/>
    <row r="1741" s="366" customFormat="1"/>
    <row r="1742" s="366" customFormat="1"/>
    <row r="1743" s="366" customFormat="1"/>
    <row r="1744" s="366" customFormat="1"/>
    <row r="1745" s="366" customFormat="1"/>
    <row r="1746" s="366" customFormat="1"/>
    <row r="1747" s="366" customFormat="1"/>
    <row r="1748" s="366" customFormat="1"/>
    <row r="1749" s="366" customFormat="1"/>
    <row r="1750" s="366" customFormat="1"/>
    <row r="1751" s="366" customFormat="1"/>
    <row r="1752" s="366" customFormat="1"/>
    <row r="1753" s="366" customFormat="1"/>
    <row r="1754" s="366" customFormat="1"/>
    <row r="1755" s="366" customFormat="1"/>
    <row r="1756" s="366" customFormat="1"/>
    <row r="1757" s="366" customFormat="1"/>
    <row r="1758" s="366" customFormat="1"/>
    <row r="1759" s="366" customFormat="1"/>
    <row r="1760" s="366" customFormat="1"/>
    <row r="1761" s="366" customFormat="1"/>
    <row r="1762" s="366" customFormat="1"/>
    <row r="1763" s="366" customFormat="1"/>
    <row r="1764" s="366" customFormat="1"/>
    <row r="1765" s="366" customFormat="1"/>
    <row r="1766" s="366" customFormat="1"/>
    <row r="1767" s="366" customFormat="1"/>
  </sheetData>
  <sheetProtection algorithmName="SHA-512" hashValue="1Sk9zRdv+xIKDWRCJVXD+N60Cj+5TFwuDqD77cMy09cnY0LzrWUh9MCqKSdkZ47JpBLPyqsVuaQqoyzPPCvNrw==" saltValue="EW6aMOL9BgR9lzyKFIBxhQ==" spinCount="100000" sheet="1" formatCells="0" formatColumns="0" formatRows="0" insertColumns="0" insertRows="0" insertHyperlinks="0" deleteColumns="0" deleteRows="0" sort="0" autoFilter="0" pivotTables="0"/>
  <pageMargins left="0.31496062992125984" right="0.31496062992125984" top="0.74803149606299213" bottom="0.74803149606299213" header="0.31496062992125984" footer="0.31496062992125984"/>
  <pageSetup paperSize="9" scale="65" orientation="landscape" r:id="rId1"/>
  <headerFooter>
    <oddHeader>&amp;CPEISR</oddHeader>
    <oddFooter>&amp;L&amp;"StopD,Normal"&amp;26MSI&amp;"Arial,Normal"&amp;10 Reports
www.msi-reports.com&amp;RMarché de la Robinetterie Sanitaire  en France
Octobre 2018</oddFooter>
  </headerFooter>
  <rowBreaks count="14" manualBreakCount="14">
    <brk id="83" max="16383" man="1"/>
    <brk id="135" max="16383" man="1"/>
    <brk id="157" max="16383" man="1"/>
    <brk id="207" max="16383" man="1"/>
    <brk id="229" max="16383" man="1"/>
    <brk id="279" max="16383" man="1"/>
    <brk id="300" max="16383" man="1"/>
    <brk id="348" max="16383" man="1"/>
    <brk id="358" max="16383" man="1"/>
    <brk id="402" max="16383" man="1"/>
    <brk id="431" max="16383" man="1"/>
    <brk id="469" max="16383" man="1"/>
    <brk id="520" max="16383" man="1"/>
    <brk id="55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H367"/>
  <sheetViews>
    <sheetView tabSelected="1" zoomScaleNormal="100" workbookViewId="0">
      <selection activeCell="A2" sqref="A2"/>
    </sheetView>
  </sheetViews>
  <sheetFormatPr baseColWidth="10" defaultColWidth="9.140625" defaultRowHeight="13.5"/>
  <cols>
    <col min="1" max="1" width="35.5703125" style="18" customWidth="1"/>
    <col min="2" max="2" width="9.140625" style="18" customWidth="1"/>
    <col min="3" max="3" width="10.28515625" style="18" customWidth="1"/>
    <col min="4" max="6" width="9.140625" style="18" customWidth="1"/>
    <col min="7" max="7" width="10.28515625" style="18" bestFit="1" customWidth="1"/>
    <col min="8" max="11" width="9.140625" style="18" customWidth="1"/>
    <col min="12" max="21" width="7.28515625" style="18" customWidth="1"/>
    <col min="22" max="86" width="9.140625" style="17" customWidth="1"/>
    <col min="87" max="16384" width="9.140625" style="18"/>
  </cols>
  <sheetData>
    <row r="2" spans="1:86" s="14" customFormat="1">
      <c r="A2" s="32" t="s">
        <v>394</v>
      </c>
      <c r="B2" s="7" t="s">
        <v>292</v>
      </c>
      <c r="J2" s="15"/>
      <c r="K2" s="15"/>
      <c r="L2" s="15"/>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row>
    <row r="3" spans="1:86" s="16" customFormat="1" ht="14.25" thickBot="1">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row>
    <row r="4" spans="1:86" s="93" customFormat="1" ht="13.5" customHeight="1" thickBot="1">
      <c r="B4" s="189">
        <v>2013</v>
      </c>
      <c r="C4" s="190">
        <v>2014</v>
      </c>
      <c r="D4" s="190">
        <v>2015</v>
      </c>
      <c r="E4" s="190">
        <v>2016</v>
      </c>
      <c r="F4" s="143">
        <v>2017</v>
      </c>
      <c r="G4" s="242">
        <v>2018</v>
      </c>
      <c r="H4" s="242">
        <v>2019</v>
      </c>
      <c r="I4" s="242">
        <v>2020</v>
      </c>
      <c r="J4" s="242">
        <v>2021</v>
      </c>
      <c r="K4" s="243">
        <v>2022</v>
      </c>
      <c r="M4" s="333" t="s">
        <v>11</v>
      </c>
      <c r="N4" s="108" t="s">
        <v>12</v>
      </c>
      <c r="O4" s="108" t="s">
        <v>13</v>
      </c>
      <c r="P4" s="143" t="s">
        <v>95</v>
      </c>
      <c r="Q4" s="334" t="s">
        <v>99</v>
      </c>
      <c r="R4" s="334" t="s">
        <v>100</v>
      </c>
      <c r="S4" s="334" t="s">
        <v>208</v>
      </c>
      <c r="T4" s="334" t="s">
        <v>209</v>
      </c>
      <c r="U4" s="335" t="s">
        <v>210</v>
      </c>
    </row>
    <row r="5" spans="1:86" s="93" customFormat="1">
      <c r="A5" s="92" t="s">
        <v>92</v>
      </c>
      <c r="B5" s="254">
        <f t="shared" ref="B5:K5" si="0">B22</f>
        <v>10012.5</v>
      </c>
      <c r="C5" s="232">
        <f t="shared" si="0"/>
        <v>9794.7000000000007</v>
      </c>
      <c r="D5" s="232">
        <f t="shared" si="0"/>
        <v>9815.2999999999993</v>
      </c>
      <c r="E5" s="232">
        <f t="shared" si="0"/>
        <v>9886.9</v>
      </c>
      <c r="F5" s="421">
        <f t="shared" si="0"/>
        <v>10043.200000000001</v>
      </c>
      <c r="G5" s="232">
        <f t="shared" si="0"/>
        <v>10180.1</v>
      </c>
      <c r="H5" s="232">
        <f t="shared" si="0"/>
        <v>10264.4</v>
      </c>
      <c r="I5" s="232">
        <f t="shared" si="0"/>
        <v>10355.599999999999</v>
      </c>
      <c r="J5" s="232">
        <f t="shared" si="0"/>
        <v>10455.399999999998</v>
      </c>
      <c r="K5" s="421">
        <f t="shared" si="0"/>
        <v>10574.6</v>
      </c>
      <c r="M5" s="94">
        <f t="shared" ref="M5:U5" si="1">(C5-B5)/B5</f>
        <v>-2.1752808988763972E-2</v>
      </c>
      <c r="N5" s="95">
        <f t="shared" si="1"/>
        <v>2.1031782494612948E-3</v>
      </c>
      <c r="O5" s="95">
        <f t="shared" si="1"/>
        <v>7.294733732030643E-3</v>
      </c>
      <c r="P5" s="96">
        <f t="shared" si="1"/>
        <v>1.5808797499721965E-2</v>
      </c>
      <c r="Q5" s="95">
        <f t="shared" si="1"/>
        <v>1.3631113589294211E-2</v>
      </c>
      <c r="R5" s="95">
        <f t="shared" si="1"/>
        <v>8.2808616811229033E-3</v>
      </c>
      <c r="S5" s="95">
        <f t="shared" si="1"/>
        <v>8.8850785238298313E-3</v>
      </c>
      <c r="T5" s="95">
        <f t="shared" si="1"/>
        <v>9.6372976940012449E-3</v>
      </c>
      <c r="U5" s="96">
        <f t="shared" si="1"/>
        <v>1.140080723836511E-2</v>
      </c>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row>
    <row r="6" spans="1:86" s="93" customFormat="1">
      <c r="A6" s="97" t="s">
        <v>91</v>
      </c>
      <c r="B6" s="540">
        <f>B46</f>
        <v>432.7</v>
      </c>
      <c r="C6" s="539">
        <f t="shared" ref="C6:K6" si="2">C46</f>
        <v>422.90000000000003</v>
      </c>
      <c r="D6" s="539">
        <f t="shared" si="2"/>
        <v>423.2</v>
      </c>
      <c r="E6" s="539">
        <f t="shared" si="2"/>
        <v>425.7</v>
      </c>
      <c r="F6" s="541">
        <f t="shared" si="2"/>
        <v>429.9</v>
      </c>
      <c r="G6" s="539">
        <f t="shared" si="2"/>
        <v>435.5</v>
      </c>
      <c r="H6" s="539">
        <f t="shared" si="2"/>
        <v>439.20000000000005</v>
      </c>
      <c r="I6" s="539">
        <f t="shared" si="2"/>
        <v>442.9</v>
      </c>
      <c r="J6" s="539">
        <f t="shared" si="2"/>
        <v>447.1</v>
      </c>
      <c r="K6" s="541">
        <f t="shared" si="2"/>
        <v>452</v>
      </c>
      <c r="M6" s="98">
        <f t="shared" ref="M6" si="3">(C6-B6)/B6</f>
        <v>-2.2648486249133244E-2</v>
      </c>
      <c r="N6" s="99">
        <f t="shared" ref="N6" si="4">(D6-C6)/C6</f>
        <v>7.0938756207130412E-4</v>
      </c>
      <c r="O6" s="99">
        <f t="shared" ref="O6" si="5">(E6-D6)/D6</f>
        <v>5.9073724007561437E-3</v>
      </c>
      <c r="P6" s="100">
        <f t="shared" ref="P6" si="6">(F6-E6)/E6</f>
        <v>9.8661028893586768E-3</v>
      </c>
      <c r="Q6" s="99">
        <f t="shared" ref="Q6" si="7">(G6-F6)/F6</f>
        <v>1.3026285182600659E-2</v>
      </c>
      <c r="R6" s="99">
        <f t="shared" ref="R6" si="8">(H6-G6)/G6</f>
        <v>8.4959816303100937E-3</v>
      </c>
      <c r="S6" s="99">
        <f t="shared" ref="S6" si="9">(I6-H6)/H6</f>
        <v>8.424408014571793E-3</v>
      </c>
      <c r="T6" s="99">
        <f t="shared" ref="T6" si="10">(J6-I6)/I6</f>
        <v>9.4829532625875946E-3</v>
      </c>
      <c r="U6" s="100">
        <f t="shared" ref="U6" si="11">(K6-J6)/J6</f>
        <v>1.0959516886602499E-2</v>
      </c>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2"/>
      <c r="BU6" s="82"/>
      <c r="BV6" s="82"/>
      <c r="BW6" s="82"/>
      <c r="BX6" s="82"/>
      <c r="BY6" s="82"/>
      <c r="BZ6" s="82"/>
      <c r="CA6" s="82"/>
      <c r="CB6" s="82"/>
      <c r="CC6" s="82"/>
      <c r="CD6" s="82"/>
      <c r="CE6" s="82"/>
      <c r="CF6" s="82"/>
      <c r="CG6" s="82"/>
      <c r="CH6" s="82"/>
    </row>
    <row r="7" spans="1:86" s="93" customFormat="1" ht="14.25" thickBot="1">
      <c r="A7" s="101" t="s">
        <v>93</v>
      </c>
      <c r="B7" s="542">
        <f t="shared" ref="B7:K7" si="12">B6*1000000/(B5*1000)</f>
        <v>43.215980024968786</v>
      </c>
      <c r="C7" s="543">
        <f t="shared" si="12"/>
        <v>43.176411732875948</v>
      </c>
      <c r="D7" s="543">
        <f>D6*1000000/(D5*1000)</f>
        <v>43.116359153566371</v>
      </c>
      <c r="E7" s="543">
        <f t="shared" si="12"/>
        <v>43.056974380240518</v>
      </c>
      <c r="F7" s="544">
        <f t="shared" si="12"/>
        <v>42.805082045563168</v>
      </c>
      <c r="G7" s="543">
        <f t="shared" si="12"/>
        <v>42.77954047602676</v>
      </c>
      <c r="H7" s="543">
        <f t="shared" si="12"/>
        <v>42.78866762791786</v>
      </c>
      <c r="I7" s="543">
        <f t="shared" si="12"/>
        <v>42.769129746224273</v>
      </c>
      <c r="J7" s="543">
        <f t="shared" si="12"/>
        <v>42.7625915794709</v>
      </c>
      <c r="K7" s="544">
        <f t="shared" si="12"/>
        <v>42.743933576683752</v>
      </c>
      <c r="M7" s="105">
        <f>(C7-B7)/B7</f>
        <v>-9.1559400180157185E-4</v>
      </c>
      <c r="N7" s="106">
        <f t="shared" ref="N7:U7" si="13">(D7-C7)/C7</f>
        <v>-1.390865449428975E-3</v>
      </c>
      <c r="O7" s="106">
        <f t="shared" si="13"/>
        <v>-1.3773141909859236E-3</v>
      </c>
      <c r="P7" s="107">
        <f t="shared" si="13"/>
        <v>-5.8502098278635116E-3</v>
      </c>
      <c r="Q7" s="106">
        <f t="shared" si="13"/>
        <v>-5.9669479220295725E-4</v>
      </c>
      <c r="R7" s="106">
        <f t="shared" si="13"/>
        <v>2.1335320084176206E-4</v>
      </c>
      <c r="S7" s="106">
        <f t="shared" si="13"/>
        <v>-4.5661346278610217E-4</v>
      </c>
      <c r="T7" s="106">
        <f t="shared" si="13"/>
        <v>-1.5287116647375834E-4</v>
      </c>
      <c r="U7" s="107">
        <f t="shared" si="13"/>
        <v>-4.3631599718352315E-4</v>
      </c>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2"/>
      <c r="BU7" s="82"/>
      <c r="BV7" s="82"/>
      <c r="BW7" s="82"/>
      <c r="BX7" s="82"/>
      <c r="BY7" s="82"/>
      <c r="BZ7" s="82"/>
      <c r="CA7" s="82"/>
      <c r="CB7" s="82"/>
      <c r="CC7" s="82"/>
      <c r="CD7" s="82"/>
      <c r="CE7" s="82"/>
      <c r="CF7" s="82"/>
      <c r="CG7" s="82"/>
      <c r="CH7" s="82"/>
    </row>
    <row r="8" spans="1:86">
      <c r="A8" s="5" t="s">
        <v>392</v>
      </c>
      <c r="B8" s="11"/>
      <c r="C8" s="11"/>
      <c r="D8" s="11"/>
      <c r="E8" s="11"/>
      <c r="F8" s="11"/>
      <c r="G8" s="11"/>
      <c r="H8" s="17"/>
      <c r="I8" s="17"/>
      <c r="J8" s="17"/>
      <c r="K8" s="17"/>
    </row>
    <row r="9" spans="1:86">
      <c r="A9" s="5" t="s">
        <v>219</v>
      </c>
      <c r="B9" s="10"/>
      <c r="C9" s="10"/>
      <c r="D9" s="46"/>
      <c r="E9" s="47"/>
      <c r="F9" s="47"/>
      <c r="G9" s="47"/>
      <c r="H9" s="48"/>
      <c r="I9" s="48"/>
      <c r="J9" s="48"/>
      <c r="K9" s="48"/>
      <c r="L9" s="48"/>
      <c r="M9" s="48"/>
      <c r="N9" s="48"/>
    </row>
    <row r="10" spans="1:86" s="16" customFormat="1">
      <c r="A10" s="13" t="s">
        <v>388</v>
      </c>
      <c r="B10" s="18"/>
      <c r="C10" s="19"/>
      <c r="D10" s="46"/>
      <c r="E10" s="62"/>
      <c r="F10" s="19"/>
      <c r="G10" s="19"/>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row>
    <row r="11" spans="1:86">
      <c r="A11" s="45"/>
      <c r="F11" s="58"/>
      <c r="K11" s="20"/>
    </row>
    <row r="12" spans="1:86" s="21" customFormat="1" ht="14.25" thickBot="1">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row>
    <row r="14" spans="1:86" s="14" customFormat="1">
      <c r="A14" s="32" t="s">
        <v>395</v>
      </c>
      <c r="B14" s="7" t="s">
        <v>293</v>
      </c>
      <c r="J14" s="15"/>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row>
    <row r="15" spans="1:86" ht="14.25" thickBot="1"/>
    <row r="16" spans="1:86" s="93" customFormat="1" ht="13.5" customHeight="1" thickBot="1">
      <c r="B16" s="189">
        <v>2013</v>
      </c>
      <c r="C16" s="190">
        <v>2014</v>
      </c>
      <c r="D16" s="190">
        <v>2015</v>
      </c>
      <c r="E16" s="190">
        <v>2016</v>
      </c>
      <c r="F16" s="143">
        <v>2017</v>
      </c>
      <c r="G16" s="242">
        <v>2018</v>
      </c>
      <c r="H16" s="242">
        <v>2019</v>
      </c>
      <c r="I16" s="242">
        <v>2020</v>
      </c>
      <c r="J16" s="242">
        <v>2021</v>
      </c>
      <c r="K16" s="243">
        <v>2022</v>
      </c>
      <c r="M16" s="89" t="s">
        <v>11</v>
      </c>
      <c r="N16" s="2" t="s">
        <v>12</v>
      </c>
      <c r="O16" s="2" t="s">
        <v>13</v>
      </c>
      <c r="P16" s="151" t="s">
        <v>95</v>
      </c>
      <c r="Q16" s="90" t="s">
        <v>99</v>
      </c>
      <c r="R16" s="90" t="s">
        <v>100</v>
      </c>
      <c r="S16" s="90" t="s">
        <v>208</v>
      </c>
      <c r="T16" s="90" t="s">
        <v>209</v>
      </c>
      <c r="U16" s="91" t="s">
        <v>210</v>
      </c>
    </row>
    <row r="17" spans="1:86" s="113" customFormat="1" ht="12.75">
      <c r="A17" s="109" t="s">
        <v>170</v>
      </c>
      <c r="B17" s="110">
        <f>SUM(B18:B20)</f>
        <v>9321.4</v>
      </c>
      <c r="C17" s="111">
        <f t="shared" ref="C17:K17" si="14">SUM(C18:C20)</f>
        <v>9121.7000000000007</v>
      </c>
      <c r="D17" s="111">
        <f t="shared" si="14"/>
        <v>9154.4</v>
      </c>
      <c r="E17" s="111">
        <f t="shared" si="14"/>
        <v>9224</v>
      </c>
      <c r="F17" s="112">
        <f t="shared" si="14"/>
        <v>9373</v>
      </c>
      <c r="G17" s="111">
        <f t="shared" si="14"/>
        <v>9505.9</v>
      </c>
      <c r="H17" s="111">
        <f t="shared" si="14"/>
        <v>9586.7999999999993</v>
      </c>
      <c r="I17" s="111">
        <f t="shared" si="14"/>
        <v>9675.2999999999993</v>
      </c>
      <c r="J17" s="111">
        <f t="shared" si="14"/>
        <v>9769.5999999999985</v>
      </c>
      <c r="K17" s="112">
        <f t="shared" si="14"/>
        <v>9884</v>
      </c>
      <c r="M17" s="114">
        <f t="shared" ref="M17" si="15">(C17-B17)/B17</f>
        <v>-2.1423820456154537E-2</v>
      </c>
      <c r="N17" s="115">
        <f t="shared" ref="N17" si="16">(D17-C17)/C17</f>
        <v>3.5848580856637367E-3</v>
      </c>
      <c r="O17" s="115">
        <f t="shared" ref="O17" si="17">(E17-D17)/D17</f>
        <v>7.6029013370619994E-3</v>
      </c>
      <c r="P17" s="116">
        <f t="shared" ref="P17" si="18">(F17-E17)/E17</f>
        <v>1.6153512575888984E-2</v>
      </c>
      <c r="Q17" s="115">
        <f t="shared" ref="Q17" si="19">(G17-F17)/F17</f>
        <v>1.4179024858636471E-2</v>
      </c>
      <c r="R17" s="115">
        <f t="shared" ref="R17" si="20">(H17-G17)/G17</f>
        <v>8.5105040027771851E-3</v>
      </c>
      <c r="S17" s="115">
        <f t="shared" ref="S17" si="21">(I17-H17)/H17</f>
        <v>9.2314432344473667E-3</v>
      </c>
      <c r="T17" s="115">
        <f t="shared" ref="T17" si="22">(J17-I17)/I17</f>
        <v>9.7464678097836013E-3</v>
      </c>
      <c r="U17" s="116">
        <f t="shared" ref="U17" si="23">(K17-J17)/J17</f>
        <v>1.1709793645594649E-2</v>
      </c>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4"/>
    </row>
    <row r="18" spans="1:86" s="93" customFormat="1">
      <c r="A18" s="97" t="s">
        <v>54</v>
      </c>
      <c r="B18" s="65">
        <f>B128</f>
        <v>3894.8</v>
      </c>
      <c r="C18" s="40">
        <f t="shared" ref="C18:K18" si="24">C128</f>
        <v>3830.9</v>
      </c>
      <c r="D18" s="40">
        <f t="shared" si="24"/>
        <v>3865.8999999999996</v>
      </c>
      <c r="E18" s="40">
        <f t="shared" si="24"/>
        <v>3895.2000000000003</v>
      </c>
      <c r="F18" s="67">
        <f t="shared" si="24"/>
        <v>3948.1</v>
      </c>
      <c r="G18" s="40">
        <f t="shared" si="24"/>
        <v>4010</v>
      </c>
      <c r="H18" s="40">
        <f t="shared" si="24"/>
        <v>4044.1</v>
      </c>
      <c r="I18" s="40">
        <f t="shared" si="24"/>
        <v>4081.3999999999996</v>
      </c>
      <c r="J18" s="40">
        <f t="shared" si="24"/>
        <v>4121.2</v>
      </c>
      <c r="K18" s="67">
        <f t="shared" si="24"/>
        <v>4165</v>
      </c>
      <c r="M18" s="98">
        <f t="shared" ref="M18:M20" si="25">(C18-B18)/B18</f>
        <v>-1.6406490705556147E-2</v>
      </c>
      <c r="N18" s="99">
        <f t="shared" ref="N18:N20" si="26">(D18-C18)/C18</f>
        <v>9.1362343052545213E-3</v>
      </c>
      <c r="O18" s="99">
        <f t="shared" ref="O18:O20" si="27">(E18-D18)/D18</f>
        <v>7.5790889572934219E-3</v>
      </c>
      <c r="P18" s="100">
        <f t="shared" ref="P18:P20" si="28">(F18-E18)/E18</f>
        <v>1.3580817416307156E-2</v>
      </c>
      <c r="Q18" s="99">
        <f t="shared" ref="Q18:Q20" si="29">(G18-F18)/F18</f>
        <v>1.5678427598085177E-2</v>
      </c>
      <c r="R18" s="99">
        <f t="shared" ref="R18:R20" si="30">(H18-G18)/G18</f>
        <v>8.5037406483790302E-3</v>
      </c>
      <c r="S18" s="99">
        <f t="shared" ref="S18:S20" si="31">(I18-H18)/H18</f>
        <v>9.2233129744565493E-3</v>
      </c>
      <c r="T18" s="99">
        <f t="shared" ref="T18:T20" si="32">(J18-I18)/I18</f>
        <v>9.7515558386828509E-3</v>
      </c>
      <c r="U18" s="100">
        <f t="shared" ref="U18:U20" si="33">(K18-J18)/J18</f>
        <v>1.0627972435213089E-2</v>
      </c>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2"/>
      <c r="BU18" s="82"/>
      <c r="BV18" s="82"/>
      <c r="BW18" s="82"/>
      <c r="BX18" s="82"/>
      <c r="BY18" s="82"/>
      <c r="BZ18" s="82"/>
      <c r="CA18" s="82"/>
      <c r="CB18" s="82"/>
      <c r="CC18" s="82"/>
      <c r="CD18" s="82"/>
      <c r="CE18" s="82"/>
      <c r="CF18" s="82"/>
      <c r="CG18" s="82"/>
      <c r="CH18" s="82"/>
    </row>
    <row r="19" spans="1:86" s="93" customFormat="1">
      <c r="A19" s="97" t="s">
        <v>355</v>
      </c>
      <c r="B19" s="65">
        <f>B195</f>
        <v>2913.5</v>
      </c>
      <c r="C19" s="40">
        <f t="shared" ref="C19:K19" si="34">C195</f>
        <v>2870.7999999999997</v>
      </c>
      <c r="D19" s="40">
        <f t="shared" si="34"/>
        <v>2855.2</v>
      </c>
      <c r="E19" s="40">
        <f t="shared" si="34"/>
        <v>2857.2</v>
      </c>
      <c r="F19" s="67">
        <f t="shared" si="34"/>
        <v>2893.2</v>
      </c>
      <c r="G19" s="40">
        <f t="shared" si="34"/>
        <v>2921</v>
      </c>
      <c r="H19" s="40">
        <f t="shared" si="34"/>
        <v>2935.6</v>
      </c>
      <c r="I19" s="40">
        <f t="shared" si="34"/>
        <v>2952.3</v>
      </c>
      <c r="J19" s="40">
        <f t="shared" si="34"/>
        <v>2981.0999999999995</v>
      </c>
      <c r="K19" s="67">
        <f t="shared" si="34"/>
        <v>3012.7999999999997</v>
      </c>
      <c r="M19" s="98">
        <f t="shared" si="25"/>
        <v>-1.4655912133173254E-2</v>
      </c>
      <c r="N19" s="99">
        <f t="shared" si="26"/>
        <v>-5.4340253587849769E-3</v>
      </c>
      <c r="O19" s="99">
        <f t="shared" si="27"/>
        <v>7.0047632390025222E-4</v>
      </c>
      <c r="P19" s="100">
        <f t="shared" si="28"/>
        <v>1.25997480050399E-2</v>
      </c>
      <c r="Q19" s="99">
        <f t="shared" si="29"/>
        <v>9.6087377298493658E-3</v>
      </c>
      <c r="R19" s="99">
        <f t="shared" si="30"/>
        <v>4.9982882574460489E-3</v>
      </c>
      <c r="S19" s="99">
        <f t="shared" si="31"/>
        <v>5.6887859381388045E-3</v>
      </c>
      <c r="T19" s="99">
        <f t="shared" si="32"/>
        <v>9.7551061883952416E-3</v>
      </c>
      <c r="U19" s="100">
        <f t="shared" si="33"/>
        <v>1.063365871658122E-2</v>
      </c>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2"/>
      <c r="BU19" s="82"/>
      <c r="BV19" s="82"/>
      <c r="BW19" s="82"/>
      <c r="BX19" s="82"/>
      <c r="BY19" s="82"/>
      <c r="BZ19" s="82"/>
      <c r="CA19" s="82"/>
      <c r="CB19" s="82"/>
      <c r="CC19" s="82"/>
      <c r="CD19" s="82"/>
      <c r="CE19" s="82"/>
      <c r="CF19" s="82"/>
      <c r="CG19" s="82"/>
      <c r="CH19" s="82"/>
    </row>
    <row r="20" spans="1:86" s="93" customFormat="1">
      <c r="A20" s="97" t="s">
        <v>2</v>
      </c>
      <c r="B20" s="65">
        <f>B251</f>
        <v>2513.1</v>
      </c>
      <c r="C20" s="40">
        <f t="shared" ref="C20:K20" si="35">C251</f>
        <v>2420</v>
      </c>
      <c r="D20" s="40">
        <f t="shared" si="35"/>
        <v>2433.2999999999997</v>
      </c>
      <c r="E20" s="40">
        <f t="shared" si="35"/>
        <v>2471.6</v>
      </c>
      <c r="F20" s="67">
        <f t="shared" si="35"/>
        <v>2531.6999999999998</v>
      </c>
      <c r="G20" s="40">
        <f t="shared" si="35"/>
        <v>2574.9</v>
      </c>
      <c r="H20" s="40">
        <f t="shared" si="35"/>
        <v>2607.1</v>
      </c>
      <c r="I20" s="40">
        <f t="shared" si="35"/>
        <v>2641.6</v>
      </c>
      <c r="J20" s="40">
        <f t="shared" si="35"/>
        <v>2667.2999999999997</v>
      </c>
      <c r="K20" s="67">
        <f t="shared" si="35"/>
        <v>2706.2000000000003</v>
      </c>
      <c r="M20" s="98">
        <f t="shared" si="25"/>
        <v>-3.7045879590943423E-2</v>
      </c>
      <c r="N20" s="99">
        <f t="shared" si="26"/>
        <v>5.4958677685949288E-3</v>
      </c>
      <c r="O20" s="99">
        <f t="shared" si="27"/>
        <v>1.5739941643036281E-2</v>
      </c>
      <c r="P20" s="100">
        <f t="shared" si="28"/>
        <v>2.43162324000647E-2</v>
      </c>
      <c r="Q20" s="99">
        <f t="shared" si="29"/>
        <v>1.7063633131887773E-2</v>
      </c>
      <c r="R20" s="99">
        <f t="shared" si="30"/>
        <v>1.2505340013204325E-2</v>
      </c>
      <c r="S20" s="99">
        <f t="shared" si="31"/>
        <v>1.3233094242645085E-2</v>
      </c>
      <c r="T20" s="99">
        <f t="shared" si="32"/>
        <v>9.7289521502119235E-3</v>
      </c>
      <c r="U20" s="100">
        <f t="shared" si="33"/>
        <v>1.4584036291381003E-2</v>
      </c>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2"/>
      <c r="BU20" s="82"/>
      <c r="BV20" s="82"/>
      <c r="BW20" s="82"/>
      <c r="BX20" s="82"/>
      <c r="BY20" s="82"/>
      <c r="BZ20" s="82"/>
      <c r="CA20" s="82"/>
      <c r="CB20" s="82"/>
      <c r="CC20" s="82"/>
      <c r="CD20" s="82"/>
      <c r="CE20" s="82"/>
      <c r="CF20" s="82"/>
      <c r="CG20" s="82"/>
      <c r="CH20" s="82"/>
    </row>
    <row r="21" spans="1:86" s="113" customFormat="1" ht="12.75">
      <c r="A21" s="117" t="s">
        <v>171</v>
      </c>
      <c r="B21" s="118">
        <f t="shared" ref="B21:K21" si="36">B324</f>
        <v>691.1</v>
      </c>
      <c r="C21" s="83">
        <f t="shared" si="36"/>
        <v>673</v>
      </c>
      <c r="D21" s="83">
        <f t="shared" si="36"/>
        <v>660.9</v>
      </c>
      <c r="E21" s="83">
        <f t="shared" si="36"/>
        <v>662.9</v>
      </c>
      <c r="F21" s="119">
        <f t="shared" si="36"/>
        <v>670.19999999999993</v>
      </c>
      <c r="G21" s="83">
        <f t="shared" si="36"/>
        <v>674.2</v>
      </c>
      <c r="H21" s="83">
        <f t="shared" si="36"/>
        <v>677.59999999999991</v>
      </c>
      <c r="I21" s="83">
        <f t="shared" si="36"/>
        <v>680.3</v>
      </c>
      <c r="J21" s="83">
        <f t="shared" si="36"/>
        <v>685.80000000000007</v>
      </c>
      <c r="K21" s="119">
        <f t="shared" si="36"/>
        <v>690.59999999999991</v>
      </c>
      <c r="M21" s="120">
        <f t="shared" ref="M21:M22" si="37">(C21-B21)/B21</f>
        <v>-2.6190131674142702E-2</v>
      </c>
      <c r="N21" s="121">
        <f t="shared" ref="N21:N22" si="38">(D21-C21)/C21</f>
        <v>-1.7979197622585472E-2</v>
      </c>
      <c r="O21" s="121">
        <f t="shared" ref="O21:O22" si="39">(E21-D21)/D21</f>
        <v>3.0261764260856409E-3</v>
      </c>
      <c r="P21" s="122">
        <f t="shared" ref="P21:P22" si="40">(F21-E21)/E21</f>
        <v>1.1012219037562158E-2</v>
      </c>
      <c r="Q21" s="121">
        <f t="shared" ref="Q21:Q22" si="41">(G21-F21)/F21</f>
        <v>5.9683676514474997E-3</v>
      </c>
      <c r="R21" s="121">
        <f t="shared" ref="R21:R22" si="42">(H21-G21)/G21</f>
        <v>5.0430139424501091E-3</v>
      </c>
      <c r="S21" s="121">
        <f t="shared" ref="S21:S22" si="43">(I21-H21)/H21</f>
        <v>3.9846517119245068E-3</v>
      </c>
      <c r="T21" s="121">
        <f t="shared" ref="T21:T22" si="44">(J21-I21)/I21</f>
        <v>8.0846685285904957E-3</v>
      </c>
      <c r="U21" s="122">
        <f t="shared" ref="U21:U22" si="45">(K21-J21)/J21</f>
        <v>6.9991251093610967E-3</v>
      </c>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4"/>
    </row>
    <row r="22" spans="1:86" s="113" customFormat="1" thickBot="1">
      <c r="A22" s="123" t="s">
        <v>3</v>
      </c>
      <c r="B22" s="68">
        <f t="shared" ref="B22:K22" si="46">B21+B17</f>
        <v>10012.5</v>
      </c>
      <c r="C22" s="69">
        <f t="shared" si="46"/>
        <v>9794.7000000000007</v>
      </c>
      <c r="D22" s="69">
        <f t="shared" si="46"/>
        <v>9815.2999999999993</v>
      </c>
      <c r="E22" s="69">
        <f t="shared" si="46"/>
        <v>9886.9</v>
      </c>
      <c r="F22" s="70">
        <f t="shared" si="46"/>
        <v>10043.200000000001</v>
      </c>
      <c r="G22" s="69">
        <f t="shared" si="46"/>
        <v>10180.1</v>
      </c>
      <c r="H22" s="69">
        <f t="shared" si="46"/>
        <v>10264.4</v>
      </c>
      <c r="I22" s="69">
        <f t="shared" si="46"/>
        <v>10355.599999999999</v>
      </c>
      <c r="J22" s="69">
        <f t="shared" si="46"/>
        <v>10455.399999999998</v>
      </c>
      <c r="K22" s="70">
        <f t="shared" si="46"/>
        <v>10574.6</v>
      </c>
      <c r="M22" s="124">
        <f t="shared" si="37"/>
        <v>-2.1752808988763972E-2</v>
      </c>
      <c r="N22" s="125">
        <f t="shared" si="38"/>
        <v>2.1031782494612948E-3</v>
      </c>
      <c r="O22" s="125">
        <f t="shared" si="39"/>
        <v>7.294733732030643E-3</v>
      </c>
      <c r="P22" s="126">
        <f t="shared" si="40"/>
        <v>1.5808797499721965E-2</v>
      </c>
      <c r="Q22" s="125">
        <f t="shared" si="41"/>
        <v>1.3631113589294211E-2</v>
      </c>
      <c r="R22" s="125">
        <f t="shared" si="42"/>
        <v>8.2808616811229033E-3</v>
      </c>
      <c r="S22" s="125">
        <f t="shared" si="43"/>
        <v>8.8850785238298313E-3</v>
      </c>
      <c r="T22" s="125">
        <f t="shared" si="44"/>
        <v>9.6372976940012449E-3</v>
      </c>
      <c r="U22" s="126">
        <f t="shared" si="45"/>
        <v>1.140080723836511E-2</v>
      </c>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row>
    <row r="23" spans="1:86">
      <c r="A23" s="5" t="s">
        <v>14</v>
      </c>
      <c r="B23" s="510"/>
      <c r="C23" s="510"/>
      <c r="D23" s="510"/>
      <c r="E23" s="510"/>
      <c r="F23" s="510"/>
      <c r="G23" s="510"/>
      <c r="H23" s="510"/>
      <c r="I23" s="510"/>
      <c r="J23" s="510"/>
      <c r="K23" s="510"/>
    </row>
    <row r="24" spans="1:86">
      <c r="A24" s="5" t="s">
        <v>101</v>
      </c>
      <c r="B24" s="511"/>
      <c r="C24" s="511"/>
      <c r="D24" s="511"/>
      <c r="E24" s="511"/>
      <c r="F24" s="511"/>
      <c r="G24" s="511"/>
      <c r="H24" s="511"/>
      <c r="I24" s="511"/>
      <c r="J24" s="511"/>
      <c r="K24" s="511"/>
      <c r="M24" s="20"/>
      <c r="N24" s="20"/>
      <c r="O24" s="20"/>
      <c r="P24" s="245"/>
      <c r="Q24" s="20"/>
      <c r="R24" s="20"/>
      <c r="S24" s="23"/>
      <c r="T24" s="23"/>
      <c r="U24" s="23"/>
    </row>
    <row r="25" spans="1:86">
      <c r="A25" s="13" t="s">
        <v>15</v>
      </c>
      <c r="B25" s="512"/>
      <c r="C25" s="512"/>
      <c r="D25" s="512"/>
      <c r="E25" s="512"/>
      <c r="F25" s="512"/>
      <c r="G25" s="512"/>
      <c r="H25" s="512"/>
      <c r="I25" s="512"/>
      <c r="J25" s="512"/>
      <c r="K25" s="512"/>
      <c r="L25" s="12"/>
      <c r="M25" s="12"/>
      <c r="N25" s="12"/>
      <c r="O25" s="23"/>
      <c r="P25" s="23"/>
      <c r="Q25" s="23"/>
    </row>
    <row r="26" spans="1:86">
      <c r="A26" s="13"/>
      <c r="K26" s="23"/>
      <c r="L26" s="12"/>
      <c r="M26" s="12"/>
      <c r="N26" s="12"/>
      <c r="O26" s="12"/>
      <c r="P26" s="12"/>
      <c r="Q26" s="54"/>
    </row>
    <row r="27" spans="1:86" ht="14.25" thickBot="1">
      <c r="A27" s="13"/>
      <c r="B27" s="54"/>
      <c r="C27" s="54"/>
      <c r="D27" s="54"/>
      <c r="E27" s="54"/>
      <c r="L27" s="14"/>
      <c r="M27" s="14"/>
      <c r="N27" s="14"/>
      <c r="O27" s="12"/>
      <c r="P27" s="12"/>
      <c r="Q27" s="54"/>
    </row>
    <row r="28" spans="1:86" s="93" customFormat="1" ht="13.5" customHeight="1" thickBot="1">
      <c r="B28" s="89" t="s">
        <v>16</v>
      </c>
      <c r="C28" s="2" t="s">
        <v>17</v>
      </c>
      <c r="D28" s="2" t="s">
        <v>18</v>
      </c>
      <c r="E28" s="2" t="s">
        <v>19</v>
      </c>
      <c r="F28" s="151" t="s">
        <v>94</v>
      </c>
      <c r="G28" s="90" t="s">
        <v>97</v>
      </c>
      <c r="H28" s="90" t="s">
        <v>98</v>
      </c>
      <c r="I28" s="90" t="s">
        <v>211</v>
      </c>
      <c r="J28" s="90" t="s">
        <v>212</v>
      </c>
      <c r="K28" s="91" t="s">
        <v>213</v>
      </c>
    </row>
    <row r="29" spans="1:86" s="93" customFormat="1">
      <c r="A29" s="109" t="s">
        <v>170</v>
      </c>
      <c r="B29" s="520">
        <f>SUM(B30:B32)</f>
        <v>0.93099999999999994</v>
      </c>
      <c r="C29" s="521">
        <f t="shared" ref="C29:K29" si="47">SUM(C30:C32)</f>
        <v>0.93099999999999994</v>
      </c>
      <c r="D29" s="521">
        <f t="shared" si="47"/>
        <v>0.93300000000000005</v>
      </c>
      <c r="E29" s="521">
        <f t="shared" si="47"/>
        <v>0.93300000000000005</v>
      </c>
      <c r="F29" s="522">
        <f t="shared" si="47"/>
        <v>0.93300000000000005</v>
      </c>
      <c r="G29" s="521">
        <f t="shared" si="47"/>
        <v>0.93400000000000005</v>
      </c>
      <c r="H29" s="521">
        <f t="shared" si="47"/>
        <v>0.93399999999999994</v>
      </c>
      <c r="I29" s="521">
        <f t="shared" si="47"/>
        <v>0.93400000000000005</v>
      </c>
      <c r="J29" s="521">
        <f t="shared" si="47"/>
        <v>0.93400000000000005</v>
      </c>
      <c r="K29" s="522">
        <f t="shared" si="47"/>
        <v>0.93500000000000005</v>
      </c>
      <c r="M29" s="40"/>
      <c r="N29" s="40"/>
      <c r="O29" s="40"/>
      <c r="P29" s="40"/>
      <c r="Q29" s="127"/>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2"/>
      <c r="BU29" s="82"/>
      <c r="BV29" s="82"/>
      <c r="BW29" s="82"/>
      <c r="BX29" s="82"/>
      <c r="BY29" s="82"/>
      <c r="BZ29" s="82"/>
      <c r="CA29" s="82"/>
      <c r="CB29" s="82"/>
      <c r="CC29" s="82"/>
      <c r="CD29" s="82"/>
      <c r="CE29" s="82"/>
      <c r="CF29" s="82"/>
      <c r="CG29" s="82"/>
      <c r="CH29" s="82"/>
    </row>
    <row r="30" spans="1:86" s="93" customFormat="1">
      <c r="A30" s="97" t="s">
        <v>54</v>
      </c>
      <c r="B30" s="523">
        <v>0.38900000000000001</v>
      </c>
      <c r="C30" s="524">
        <v>0.39100000000000001</v>
      </c>
      <c r="D30" s="524">
        <v>0.39400000000000002</v>
      </c>
      <c r="E30" s="524">
        <v>0.39400000000000002</v>
      </c>
      <c r="F30" s="250">
        <v>0.39300000000000002</v>
      </c>
      <c r="G30" s="524">
        <v>0.39400000000000002</v>
      </c>
      <c r="H30" s="524">
        <v>0.39400000000000002</v>
      </c>
      <c r="I30" s="524">
        <v>0.39400000000000002</v>
      </c>
      <c r="J30" s="524">
        <v>0.39400000000000002</v>
      </c>
      <c r="K30" s="250">
        <v>0.39400000000000002</v>
      </c>
      <c r="M30" s="40"/>
      <c r="N30" s="40"/>
      <c r="O30" s="40"/>
      <c r="P30" s="40"/>
      <c r="Q30" s="127"/>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c r="BM30" s="82"/>
      <c r="BN30" s="82"/>
      <c r="BO30" s="82"/>
      <c r="BP30" s="82"/>
      <c r="BQ30" s="82"/>
      <c r="BR30" s="82"/>
      <c r="BS30" s="82"/>
      <c r="BT30" s="82"/>
      <c r="BU30" s="82"/>
      <c r="BV30" s="82"/>
      <c r="BW30" s="82"/>
      <c r="BX30" s="82"/>
      <c r="BY30" s="82"/>
      <c r="BZ30" s="82"/>
      <c r="CA30" s="82"/>
      <c r="CB30" s="82"/>
      <c r="CC30" s="82"/>
      <c r="CD30" s="82"/>
      <c r="CE30" s="82"/>
      <c r="CF30" s="82"/>
      <c r="CG30" s="82"/>
      <c r="CH30" s="82"/>
    </row>
    <row r="31" spans="1:86" s="93" customFormat="1">
      <c r="A31" s="97" t="s">
        <v>355</v>
      </c>
      <c r="B31" s="523">
        <v>0.29099999999999998</v>
      </c>
      <c r="C31" s="524">
        <v>0.29299999999999998</v>
      </c>
      <c r="D31" s="524">
        <v>0.29099999999999998</v>
      </c>
      <c r="E31" s="524">
        <v>0.28899999999999998</v>
      </c>
      <c r="F31" s="250">
        <v>0.28799999999999998</v>
      </c>
      <c r="G31" s="524">
        <v>0.28699999999999998</v>
      </c>
      <c r="H31" s="524">
        <v>0.28599999999999998</v>
      </c>
      <c r="I31" s="524">
        <v>0.28499999999999998</v>
      </c>
      <c r="J31" s="524">
        <v>0.28499999999999998</v>
      </c>
      <c r="K31" s="250">
        <v>0.28499999999999998</v>
      </c>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2"/>
      <c r="CC31" s="82"/>
      <c r="CD31" s="82"/>
      <c r="CE31" s="82"/>
      <c r="CF31" s="82"/>
      <c r="CG31" s="82"/>
      <c r="CH31" s="82"/>
    </row>
    <row r="32" spans="1:86" s="93" customFormat="1">
      <c r="A32" s="97" t="s">
        <v>2</v>
      </c>
      <c r="B32" s="523">
        <v>0.251</v>
      </c>
      <c r="C32" s="524">
        <v>0.247</v>
      </c>
      <c r="D32" s="524">
        <v>0.248</v>
      </c>
      <c r="E32" s="524">
        <v>0.25</v>
      </c>
      <c r="F32" s="250">
        <v>0.252</v>
      </c>
      <c r="G32" s="524">
        <v>0.253</v>
      </c>
      <c r="H32" s="524">
        <v>0.254</v>
      </c>
      <c r="I32" s="524">
        <v>0.255</v>
      </c>
      <c r="J32" s="524">
        <v>0.255</v>
      </c>
      <c r="K32" s="250">
        <v>0.25600000000000001</v>
      </c>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c r="CB32" s="82"/>
      <c r="CC32" s="82"/>
      <c r="CD32" s="82"/>
      <c r="CE32" s="82"/>
      <c r="CF32" s="82"/>
      <c r="CG32" s="82"/>
      <c r="CH32" s="82"/>
    </row>
    <row r="33" spans="1:86" s="93" customFormat="1">
      <c r="A33" s="117" t="s">
        <v>171</v>
      </c>
      <c r="B33" s="520">
        <f t="shared" ref="B33" si="48">B21/B$22</f>
        <v>6.9023720349563042E-2</v>
      </c>
      <c r="C33" s="521">
        <f t="shared" ref="C33:K33" si="49">C21/C$22</f>
        <v>6.8710629217842295E-2</v>
      </c>
      <c r="D33" s="521">
        <f t="shared" si="49"/>
        <v>6.7333652562835578E-2</v>
      </c>
      <c r="E33" s="521">
        <f t="shared" si="49"/>
        <v>6.7048316459153018E-2</v>
      </c>
      <c r="F33" s="522">
        <f t="shared" si="49"/>
        <v>6.673171897403217E-2</v>
      </c>
      <c r="G33" s="521">
        <f t="shared" si="49"/>
        <v>6.6227247276549342E-2</v>
      </c>
      <c r="H33" s="521">
        <f t="shared" si="49"/>
        <v>6.601457464635048E-2</v>
      </c>
      <c r="I33" s="521">
        <f t="shared" si="49"/>
        <v>6.569392406041176E-2</v>
      </c>
      <c r="J33" s="521">
        <f t="shared" si="49"/>
        <v>6.5592899363008605E-2</v>
      </c>
      <c r="K33" s="522">
        <f t="shared" si="49"/>
        <v>6.5307434796588043E-2</v>
      </c>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c r="CB33" s="82"/>
      <c r="CC33" s="82"/>
      <c r="CD33" s="82"/>
      <c r="CE33" s="82"/>
      <c r="CF33" s="82"/>
      <c r="CG33" s="82"/>
      <c r="CH33" s="82"/>
    </row>
    <row r="34" spans="1:86" s="93" customFormat="1" ht="14.25" thickBot="1">
      <c r="A34" s="123" t="s">
        <v>3</v>
      </c>
      <c r="B34" s="525">
        <f t="shared" ref="B34:K34" si="50">B33+B29</f>
        <v>1.000023720349563</v>
      </c>
      <c r="C34" s="526">
        <f t="shared" si="50"/>
        <v>0.99971062921784226</v>
      </c>
      <c r="D34" s="526">
        <f t="shared" si="50"/>
        <v>1.0003336525628357</v>
      </c>
      <c r="E34" s="526">
        <f t="shared" si="50"/>
        <v>1.0000483164591532</v>
      </c>
      <c r="F34" s="527">
        <f t="shared" si="50"/>
        <v>0.99973171897403224</v>
      </c>
      <c r="G34" s="526">
        <f t="shared" si="50"/>
        <v>1.0002272472765494</v>
      </c>
      <c r="H34" s="526">
        <f t="shared" si="50"/>
        <v>1.0000145746463505</v>
      </c>
      <c r="I34" s="526">
        <f t="shared" si="50"/>
        <v>0.9996939240604118</v>
      </c>
      <c r="J34" s="526">
        <f t="shared" si="50"/>
        <v>0.99959289936300866</v>
      </c>
      <c r="K34" s="527">
        <f t="shared" si="50"/>
        <v>1.0003074347965881</v>
      </c>
      <c r="M34" s="130"/>
      <c r="N34" s="130"/>
      <c r="O34" s="130"/>
      <c r="P34" s="130"/>
      <c r="Q34" s="130"/>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c r="CB34" s="82"/>
      <c r="CC34" s="82"/>
      <c r="CD34" s="82"/>
      <c r="CE34" s="82"/>
      <c r="CF34" s="82"/>
      <c r="CG34" s="82"/>
      <c r="CH34" s="82"/>
    </row>
    <row r="35" spans="1:86">
      <c r="B35" s="20"/>
      <c r="C35" s="20"/>
      <c r="D35" s="20"/>
      <c r="E35" s="20"/>
      <c r="F35" s="20"/>
      <c r="G35" s="20"/>
      <c r="H35" s="20"/>
      <c r="I35" s="20"/>
      <c r="J35" s="20"/>
      <c r="K35" s="20"/>
    </row>
    <row r="36" spans="1:86" s="21" customFormat="1" ht="14.25" thickBot="1">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row>
    <row r="38" spans="1:86" s="14" customFormat="1">
      <c r="A38" s="32" t="s">
        <v>396</v>
      </c>
      <c r="B38" s="7" t="s">
        <v>294</v>
      </c>
      <c r="J38" s="15"/>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row>
    <row r="39" spans="1:86" ht="14.25" thickBot="1"/>
    <row r="40" spans="1:86" s="93" customFormat="1" ht="13.5" customHeight="1" thickBot="1">
      <c r="B40" s="189">
        <v>2013</v>
      </c>
      <c r="C40" s="190">
        <v>2014</v>
      </c>
      <c r="D40" s="190">
        <v>2015</v>
      </c>
      <c r="E40" s="190">
        <v>2016</v>
      </c>
      <c r="F40" s="143">
        <v>2017</v>
      </c>
      <c r="G40" s="242">
        <v>2018</v>
      </c>
      <c r="H40" s="242">
        <v>2019</v>
      </c>
      <c r="I40" s="242">
        <v>2020</v>
      </c>
      <c r="J40" s="242">
        <v>2021</v>
      </c>
      <c r="K40" s="243">
        <v>2022</v>
      </c>
      <c r="M40" s="89" t="s">
        <v>11</v>
      </c>
      <c r="N40" s="2" t="s">
        <v>12</v>
      </c>
      <c r="O40" s="2" t="s">
        <v>13</v>
      </c>
      <c r="P40" s="151" t="s">
        <v>95</v>
      </c>
      <c r="Q40" s="334" t="s">
        <v>99</v>
      </c>
      <c r="R40" s="334" t="s">
        <v>100</v>
      </c>
      <c r="S40" s="334" t="s">
        <v>208</v>
      </c>
      <c r="T40" s="334" t="s">
        <v>209</v>
      </c>
      <c r="U40" s="335" t="s">
        <v>210</v>
      </c>
    </row>
    <row r="41" spans="1:86" s="113" customFormat="1" ht="12.75">
      <c r="A41" s="109" t="s">
        <v>170</v>
      </c>
      <c r="B41" s="131">
        <f>SUM(B42:B44)</f>
        <v>353.2</v>
      </c>
      <c r="C41" s="132">
        <f t="shared" ref="C41:K41" si="51">SUM(C42:C44)</f>
        <v>345.1</v>
      </c>
      <c r="D41" s="132">
        <f t="shared" si="51"/>
        <v>346.5</v>
      </c>
      <c r="E41" s="132">
        <f t="shared" si="51"/>
        <v>348.4</v>
      </c>
      <c r="F41" s="133">
        <f t="shared" si="51"/>
        <v>351.2</v>
      </c>
      <c r="G41" s="132">
        <f t="shared" si="51"/>
        <v>356.3</v>
      </c>
      <c r="H41" s="132">
        <f t="shared" si="51"/>
        <v>359.70000000000005</v>
      </c>
      <c r="I41" s="132">
        <f t="shared" si="51"/>
        <v>363</v>
      </c>
      <c r="J41" s="132">
        <f t="shared" si="51"/>
        <v>366.6</v>
      </c>
      <c r="K41" s="133">
        <f t="shared" si="51"/>
        <v>370.9</v>
      </c>
      <c r="M41" s="114">
        <f t="shared" ref="M41:U46" si="52">(C41-B41)/B41</f>
        <v>-2.2933182332955736E-2</v>
      </c>
      <c r="N41" s="115">
        <f t="shared" si="52"/>
        <v>4.0567951318457758E-3</v>
      </c>
      <c r="O41" s="115">
        <f t="shared" si="52"/>
        <v>5.4834054834054175E-3</v>
      </c>
      <c r="P41" s="115">
        <f t="shared" si="52"/>
        <v>8.0367393800229951E-3</v>
      </c>
      <c r="Q41" s="114">
        <f t="shared" ref="Q41" si="53">(G41-F41)/F41</f>
        <v>1.4521640091116238E-2</v>
      </c>
      <c r="R41" s="115">
        <f t="shared" ref="R41" si="54">(H41-G41)/G41</f>
        <v>9.5425203480214264E-3</v>
      </c>
      <c r="S41" s="115">
        <f t="shared" ref="S41" si="55">(I41-H41)/H41</f>
        <v>9.1743119266053767E-3</v>
      </c>
      <c r="T41" s="115">
        <f t="shared" ref="T41" si="56">(J41-I41)/I41</f>
        <v>9.9173553719008895E-3</v>
      </c>
      <c r="U41" s="116">
        <f t="shared" ref="U41" si="57">(K41-J41)/J41</f>
        <v>1.1729405346426499E-2</v>
      </c>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row>
    <row r="42" spans="1:86" s="93" customFormat="1">
      <c r="A42" s="97" t="s">
        <v>54</v>
      </c>
      <c r="B42" s="77">
        <v>84.4</v>
      </c>
      <c r="C42" s="78">
        <v>83.3</v>
      </c>
      <c r="D42" s="78">
        <v>84.7</v>
      </c>
      <c r="E42" s="78">
        <v>85.5</v>
      </c>
      <c r="F42" s="134">
        <v>86</v>
      </c>
      <c r="G42" s="78">
        <v>87.1</v>
      </c>
      <c r="H42" s="78">
        <v>88.3</v>
      </c>
      <c r="I42" s="78">
        <v>89.1</v>
      </c>
      <c r="J42" s="78">
        <v>90</v>
      </c>
      <c r="K42" s="134">
        <v>90.9</v>
      </c>
      <c r="M42" s="98">
        <f t="shared" si="52"/>
        <v>-1.3033175355450337E-2</v>
      </c>
      <c r="N42" s="99">
        <f t="shared" si="52"/>
        <v>1.6806722689075699E-2</v>
      </c>
      <c r="O42" s="99">
        <f t="shared" si="52"/>
        <v>9.4451003541912298E-3</v>
      </c>
      <c r="P42" s="99">
        <f t="shared" si="52"/>
        <v>5.8479532163742687E-3</v>
      </c>
      <c r="Q42" s="98">
        <f t="shared" si="52"/>
        <v>1.2790697674418539E-2</v>
      </c>
      <c r="R42" s="99">
        <f t="shared" si="52"/>
        <v>1.3777267508610826E-2</v>
      </c>
      <c r="S42" s="99">
        <f t="shared" si="52"/>
        <v>9.0600226500565928E-3</v>
      </c>
      <c r="T42" s="99">
        <f t="shared" si="52"/>
        <v>1.0101010101010166E-2</v>
      </c>
      <c r="U42" s="100">
        <f t="shared" si="52"/>
        <v>1.0000000000000063E-2</v>
      </c>
      <c r="V42" s="82"/>
      <c r="W42" s="82"/>
      <c r="X42" s="82"/>
      <c r="Y42" s="82"/>
      <c r="Z42" s="82"/>
      <c r="AA42" s="82"/>
      <c r="AB42" s="82"/>
      <c r="AC42" s="82"/>
      <c r="AD42" s="82"/>
      <c r="AE42" s="82"/>
      <c r="AF42" s="82"/>
      <c r="AG42" s="82"/>
      <c r="AH42" s="82"/>
      <c r="AI42" s="82"/>
      <c r="AJ42" s="82"/>
      <c r="AK42" s="82"/>
      <c r="AL42" s="82"/>
      <c r="AM42" s="82"/>
      <c r="AN42" s="82"/>
      <c r="AO42" s="82"/>
      <c r="AP42" s="82"/>
      <c r="AQ42" s="82"/>
      <c r="AR42" s="82"/>
      <c r="AS42" s="82"/>
      <c r="AT42" s="82"/>
      <c r="AU42" s="82"/>
      <c r="AV42" s="82"/>
      <c r="AW42" s="82"/>
      <c r="AX42" s="82"/>
      <c r="AY42" s="82"/>
      <c r="AZ42" s="82"/>
      <c r="BA42" s="82"/>
      <c r="BB42" s="82"/>
      <c r="BC42" s="82"/>
      <c r="BD42" s="82"/>
      <c r="BE42" s="82"/>
      <c r="BF42" s="82"/>
      <c r="BG42" s="82"/>
      <c r="BH42" s="82"/>
      <c r="BI42" s="82"/>
      <c r="BJ42" s="82"/>
      <c r="BK42" s="82"/>
      <c r="BL42" s="82"/>
      <c r="BM42" s="82"/>
      <c r="BN42" s="82"/>
      <c r="BO42" s="82"/>
      <c r="BP42" s="82"/>
      <c r="BQ42" s="82"/>
      <c r="BR42" s="82"/>
      <c r="BS42" s="82"/>
      <c r="BT42" s="82"/>
      <c r="BU42" s="82"/>
      <c r="BV42" s="82"/>
      <c r="BW42" s="82"/>
      <c r="BX42" s="82"/>
      <c r="BY42" s="82"/>
      <c r="BZ42" s="82"/>
      <c r="CA42" s="82"/>
      <c r="CB42" s="82"/>
      <c r="CC42" s="82"/>
      <c r="CD42" s="82"/>
      <c r="CE42" s="82"/>
      <c r="CF42" s="82"/>
      <c r="CG42" s="82"/>
      <c r="CH42" s="82"/>
    </row>
    <row r="43" spans="1:86" s="93" customFormat="1">
      <c r="A43" s="97" t="s">
        <v>355</v>
      </c>
      <c r="B43" s="77">
        <v>163.6</v>
      </c>
      <c r="C43" s="78">
        <v>160.30000000000001</v>
      </c>
      <c r="D43" s="78">
        <v>163.1</v>
      </c>
      <c r="E43" s="78">
        <v>164.2</v>
      </c>
      <c r="F43" s="134">
        <v>164.6</v>
      </c>
      <c r="G43" s="78">
        <v>166.4</v>
      </c>
      <c r="H43" s="78">
        <v>167.3</v>
      </c>
      <c r="I43" s="78">
        <v>168.4</v>
      </c>
      <c r="J43" s="78">
        <v>170.1</v>
      </c>
      <c r="K43" s="134">
        <v>171.9</v>
      </c>
      <c r="M43" s="98">
        <f t="shared" si="52"/>
        <v>-2.0171149144254174E-2</v>
      </c>
      <c r="N43" s="99">
        <f t="shared" si="52"/>
        <v>1.7467248908296835E-2</v>
      </c>
      <c r="O43" s="99">
        <f t="shared" si="52"/>
        <v>6.7443286327406151E-3</v>
      </c>
      <c r="P43" s="99">
        <f t="shared" si="52"/>
        <v>2.4360535931790849E-3</v>
      </c>
      <c r="Q43" s="98">
        <f t="shared" si="52"/>
        <v>1.0935601458080264E-2</v>
      </c>
      <c r="R43" s="99">
        <f t="shared" si="52"/>
        <v>5.4086538461538798E-3</v>
      </c>
      <c r="S43" s="99">
        <f t="shared" si="52"/>
        <v>6.5750149432157456E-3</v>
      </c>
      <c r="T43" s="99">
        <f t="shared" si="52"/>
        <v>1.0095011876484494E-2</v>
      </c>
      <c r="U43" s="100">
        <f t="shared" si="52"/>
        <v>1.0582010582010649E-2</v>
      </c>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2"/>
      <c r="CC43" s="82"/>
      <c r="CD43" s="82"/>
      <c r="CE43" s="82"/>
      <c r="CF43" s="82"/>
      <c r="CG43" s="82"/>
      <c r="CH43" s="82"/>
    </row>
    <row r="44" spans="1:86" s="93" customFormat="1">
      <c r="A44" s="97" t="s">
        <v>2</v>
      </c>
      <c r="B44" s="77">
        <v>105.2</v>
      </c>
      <c r="C44" s="78">
        <v>101.5</v>
      </c>
      <c r="D44" s="78">
        <v>98.7</v>
      </c>
      <c r="E44" s="78">
        <v>98.7</v>
      </c>
      <c r="F44" s="134">
        <v>100.6</v>
      </c>
      <c r="G44" s="78">
        <v>102.8</v>
      </c>
      <c r="H44" s="78">
        <v>104.1</v>
      </c>
      <c r="I44" s="78">
        <v>105.5</v>
      </c>
      <c r="J44" s="78">
        <v>106.5</v>
      </c>
      <c r="K44" s="134">
        <v>108.1</v>
      </c>
      <c r="M44" s="98">
        <f t="shared" si="52"/>
        <v>-3.5171102661596981E-2</v>
      </c>
      <c r="N44" s="99">
        <f t="shared" si="52"/>
        <v>-2.7586206896551696E-2</v>
      </c>
      <c r="O44" s="99">
        <f t="shared" si="52"/>
        <v>0</v>
      </c>
      <c r="P44" s="99">
        <f t="shared" si="52"/>
        <v>1.9250253292806399E-2</v>
      </c>
      <c r="Q44" s="98">
        <f t="shared" si="52"/>
        <v>2.1868787276341978E-2</v>
      </c>
      <c r="R44" s="99">
        <f t="shared" si="52"/>
        <v>1.2645914396887132E-2</v>
      </c>
      <c r="S44" s="99">
        <f t="shared" si="52"/>
        <v>1.3448607108549527E-2</v>
      </c>
      <c r="T44" s="99">
        <f t="shared" si="52"/>
        <v>9.4786729857819912E-3</v>
      </c>
      <c r="U44" s="100">
        <f t="shared" si="52"/>
        <v>1.5023474178403702E-2</v>
      </c>
      <c r="V44" s="82"/>
      <c r="W44" s="82"/>
      <c r="X44" s="82"/>
      <c r="Y44" s="82"/>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c r="BV44" s="82"/>
      <c r="BW44" s="82"/>
      <c r="BX44" s="82"/>
      <c r="BY44" s="82"/>
      <c r="BZ44" s="82"/>
      <c r="CA44" s="82"/>
      <c r="CB44" s="82"/>
      <c r="CC44" s="82"/>
      <c r="CD44" s="82"/>
      <c r="CE44" s="82"/>
      <c r="CF44" s="82"/>
      <c r="CG44" s="82"/>
      <c r="CH44" s="82"/>
    </row>
    <row r="45" spans="1:86" s="113" customFormat="1" ht="12.75">
      <c r="A45" s="117" t="s">
        <v>171</v>
      </c>
      <c r="B45" s="135">
        <f>B325</f>
        <v>79.5</v>
      </c>
      <c r="C45" s="136">
        <f t="shared" ref="C45:K45" si="58">C325</f>
        <v>77.8</v>
      </c>
      <c r="D45" s="136">
        <f t="shared" si="58"/>
        <v>76.7</v>
      </c>
      <c r="E45" s="136">
        <f t="shared" si="58"/>
        <v>77.3</v>
      </c>
      <c r="F45" s="137">
        <f t="shared" si="58"/>
        <v>78.7</v>
      </c>
      <c r="G45" s="136">
        <f t="shared" si="58"/>
        <v>79.2</v>
      </c>
      <c r="H45" s="136">
        <f t="shared" si="58"/>
        <v>79.5</v>
      </c>
      <c r="I45" s="136">
        <f t="shared" si="58"/>
        <v>79.900000000000006</v>
      </c>
      <c r="J45" s="136">
        <f t="shared" si="58"/>
        <v>80.5</v>
      </c>
      <c r="K45" s="137">
        <f t="shared" si="58"/>
        <v>81.099999999999994</v>
      </c>
      <c r="M45" s="120">
        <f t="shared" si="52"/>
        <v>-2.1383647798742175E-2</v>
      </c>
      <c r="N45" s="121">
        <f t="shared" si="52"/>
        <v>-1.4138817480719722E-2</v>
      </c>
      <c r="O45" s="121">
        <f t="shared" si="52"/>
        <v>7.8226857887874097E-3</v>
      </c>
      <c r="P45" s="121">
        <f t="shared" si="52"/>
        <v>1.8111254851229053E-2</v>
      </c>
      <c r="Q45" s="120">
        <f t="shared" si="52"/>
        <v>6.3532401524777635E-3</v>
      </c>
      <c r="R45" s="121">
        <f t="shared" si="52"/>
        <v>3.787878787878752E-3</v>
      </c>
      <c r="S45" s="121">
        <f t="shared" si="52"/>
        <v>5.0314465408805749E-3</v>
      </c>
      <c r="T45" s="121">
        <f t="shared" si="52"/>
        <v>7.5093867334166996E-3</v>
      </c>
      <c r="U45" s="122">
        <f t="shared" si="52"/>
        <v>7.4534161490682526E-3</v>
      </c>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row>
    <row r="46" spans="1:86" s="113" customFormat="1" thickBot="1">
      <c r="A46" s="123" t="s">
        <v>3</v>
      </c>
      <c r="B46" s="138">
        <f t="shared" ref="B46:K46" si="59">B45+B41</f>
        <v>432.7</v>
      </c>
      <c r="C46" s="139">
        <f t="shared" si="59"/>
        <v>422.90000000000003</v>
      </c>
      <c r="D46" s="139">
        <f t="shared" si="59"/>
        <v>423.2</v>
      </c>
      <c r="E46" s="139">
        <f t="shared" si="59"/>
        <v>425.7</v>
      </c>
      <c r="F46" s="140">
        <f t="shared" si="59"/>
        <v>429.9</v>
      </c>
      <c r="G46" s="139">
        <f t="shared" si="59"/>
        <v>435.5</v>
      </c>
      <c r="H46" s="139">
        <f t="shared" si="59"/>
        <v>439.20000000000005</v>
      </c>
      <c r="I46" s="139">
        <f t="shared" si="59"/>
        <v>442.9</v>
      </c>
      <c r="J46" s="139">
        <f t="shared" si="59"/>
        <v>447.1</v>
      </c>
      <c r="K46" s="140">
        <f t="shared" si="59"/>
        <v>452</v>
      </c>
      <c r="M46" s="124">
        <f t="shared" si="52"/>
        <v>-2.2648486249133244E-2</v>
      </c>
      <c r="N46" s="125">
        <f t="shared" si="52"/>
        <v>7.0938756207130412E-4</v>
      </c>
      <c r="O46" s="125">
        <f t="shared" si="52"/>
        <v>5.9073724007561437E-3</v>
      </c>
      <c r="P46" s="125">
        <f t="shared" si="52"/>
        <v>9.8661028893586768E-3</v>
      </c>
      <c r="Q46" s="124">
        <f t="shared" si="52"/>
        <v>1.3026285182600659E-2</v>
      </c>
      <c r="R46" s="125">
        <f t="shared" si="52"/>
        <v>8.4959816303100937E-3</v>
      </c>
      <c r="S46" s="125">
        <f t="shared" si="52"/>
        <v>8.424408014571793E-3</v>
      </c>
      <c r="T46" s="125">
        <f t="shared" si="52"/>
        <v>9.4829532625875946E-3</v>
      </c>
      <c r="U46" s="126">
        <f t="shared" si="52"/>
        <v>1.0959516886602499E-2</v>
      </c>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row>
    <row r="47" spans="1:86">
      <c r="A47" s="5" t="s">
        <v>25</v>
      </c>
      <c r="B47" s="507"/>
      <c r="C47" s="507"/>
      <c r="D47" s="507"/>
      <c r="E47" s="507"/>
      <c r="F47" s="507"/>
      <c r="G47" s="507"/>
      <c r="H47" s="507"/>
      <c r="I47" s="507"/>
      <c r="J47" s="507"/>
      <c r="K47" s="507"/>
      <c r="N47" s="82"/>
      <c r="O47" s="82"/>
      <c r="P47" s="82"/>
      <c r="Q47" s="82"/>
      <c r="R47" s="82"/>
      <c r="S47" s="82"/>
      <c r="T47" s="82"/>
      <c r="U47" s="82"/>
      <c r="V47" s="82"/>
    </row>
    <row r="48" spans="1:86">
      <c r="A48" s="5" t="s">
        <v>221</v>
      </c>
      <c r="B48" s="508"/>
      <c r="C48" s="508"/>
      <c r="D48" s="508"/>
      <c r="E48" s="508"/>
      <c r="F48" s="508"/>
      <c r="G48" s="508"/>
      <c r="H48" s="508"/>
      <c r="I48" s="508"/>
      <c r="J48" s="508"/>
      <c r="K48" s="508"/>
      <c r="N48" s="82"/>
      <c r="O48" s="82"/>
      <c r="P48" s="82"/>
      <c r="Q48" s="82"/>
      <c r="R48" s="82"/>
      <c r="S48" s="82"/>
      <c r="T48" s="82"/>
      <c r="U48" s="82"/>
      <c r="V48" s="82"/>
    </row>
    <row r="49" spans="1:86">
      <c r="A49" s="5" t="s">
        <v>1</v>
      </c>
      <c r="B49" s="508"/>
      <c r="C49" s="508"/>
      <c r="D49" s="508"/>
      <c r="E49" s="508"/>
      <c r="F49" s="508"/>
      <c r="G49" s="508"/>
      <c r="H49" s="508"/>
      <c r="I49" s="508"/>
      <c r="J49" s="508"/>
      <c r="K49" s="508"/>
      <c r="N49" s="82"/>
      <c r="O49" s="82"/>
      <c r="P49" s="82"/>
      <c r="Q49" s="82"/>
      <c r="R49" s="82"/>
      <c r="S49" s="82"/>
      <c r="T49" s="82"/>
      <c r="U49" s="82"/>
      <c r="V49" s="82"/>
    </row>
    <row r="50" spans="1:86">
      <c r="A50" s="13" t="s">
        <v>15</v>
      </c>
      <c r="B50" s="509"/>
      <c r="C50" s="509"/>
      <c r="D50" s="509"/>
      <c r="E50" s="509"/>
      <c r="F50" s="509"/>
      <c r="G50" s="509"/>
      <c r="H50" s="509"/>
      <c r="I50" s="509"/>
      <c r="J50" s="509"/>
      <c r="K50" s="509"/>
      <c r="N50" s="82"/>
      <c r="O50" s="82"/>
      <c r="P50" s="82"/>
      <c r="Q50" s="82"/>
      <c r="R50" s="82"/>
      <c r="S50" s="82"/>
      <c r="T50" s="82"/>
      <c r="U50" s="82"/>
      <c r="V50" s="82"/>
    </row>
    <row r="51" spans="1:86">
      <c r="A51" s="13"/>
      <c r="C51" s="20"/>
      <c r="D51" s="20"/>
      <c r="E51" s="20"/>
      <c r="N51" s="82"/>
      <c r="O51" s="82"/>
      <c r="P51" s="82"/>
      <c r="Q51" s="82"/>
      <c r="R51" s="82"/>
      <c r="S51" s="82"/>
      <c r="T51" s="82"/>
      <c r="U51" s="82"/>
      <c r="V51" s="82"/>
    </row>
    <row r="52" spans="1:86" ht="14.25" thickBot="1">
      <c r="A52" s="13"/>
      <c r="D52" s="20"/>
      <c r="E52" s="20"/>
      <c r="F52" s="20"/>
      <c r="G52" s="20"/>
      <c r="H52" s="20"/>
      <c r="I52" s="20"/>
      <c r="J52" s="20"/>
      <c r="K52" s="20"/>
      <c r="N52" s="82"/>
      <c r="O52" s="82"/>
      <c r="P52" s="82"/>
      <c r="Q52" s="82"/>
      <c r="R52" s="82"/>
      <c r="S52" s="82"/>
      <c r="T52" s="82"/>
      <c r="U52" s="82"/>
      <c r="V52" s="82"/>
    </row>
    <row r="53" spans="1:86" s="93" customFormat="1" ht="14.25" thickBot="1">
      <c r="B53" s="333" t="s">
        <v>16</v>
      </c>
      <c r="C53" s="108" t="s">
        <v>17</v>
      </c>
      <c r="D53" s="108" t="s">
        <v>18</v>
      </c>
      <c r="E53" s="108" t="s">
        <v>19</v>
      </c>
      <c r="F53" s="143" t="s">
        <v>94</v>
      </c>
      <c r="G53" s="334" t="s">
        <v>97</v>
      </c>
      <c r="H53" s="334" t="s">
        <v>98</v>
      </c>
      <c r="I53" s="334" t="s">
        <v>211</v>
      </c>
      <c r="J53" s="334" t="s">
        <v>212</v>
      </c>
      <c r="K53" s="335" t="s">
        <v>213</v>
      </c>
    </row>
    <row r="54" spans="1:86" s="93" customFormat="1">
      <c r="A54" s="109" t="s">
        <v>170</v>
      </c>
      <c r="B54" s="528">
        <f>SUM(B55:B57)</f>
        <v>0.81626993297896933</v>
      </c>
      <c r="C54" s="529">
        <f t="shared" ref="C54:K54" si="60">SUM(C55:C57)</f>
        <v>0.81603215890281389</v>
      </c>
      <c r="D54" s="529">
        <f t="shared" si="60"/>
        <v>0.81876181474480147</v>
      </c>
      <c r="E54" s="529">
        <f t="shared" si="60"/>
        <v>0.81841672539346955</v>
      </c>
      <c r="F54" s="530">
        <f t="shared" si="60"/>
        <v>0.81693417073738084</v>
      </c>
      <c r="G54" s="529">
        <f t="shared" si="60"/>
        <v>0.81814006888633761</v>
      </c>
      <c r="H54" s="529">
        <f t="shared" si="60"/>
        <v>0.81898907103825125</v>
      </c>
      <c r="I54" s="529">
        <f t="shared" si="60"/>
        <v>0.81959810340934758</v>
      </c>
      <c r="J54" s="529">
        <f t="shared" si="60"/>
        <v>0.81995079400581528</v>
      </c>
      <c r="K54" s="530">
        <f t="shared" si="60"/>
        <v>0.820575221238938</v>
      </c>
      <c r="M54" s="82"/>
      <c r="W54" s="82"/>
      <c r="X54" s="82"/>
      <c r="Y54" s="82"/>
      <c r="Z54" s="82"/>
      <c r="AA54" s="82"/>
      <c r="AB54" s="82"/>
      <c r="AC54" s="82"/>
      <c r="AD54" s="82"/>
      <c r="AE54" s="82"/>
      <c r="AF54" s="82"/>
      <c r="AG54" s="82"/>
      <c r="AH54" s="82"/>
      <c r="AI54" s="82"/>
      <c r="AJ54" s="82"/>
      <c r="AK54" s="82"/>
      <c r="AL54" s="82"/>
      <c r="AM54" s="82"/>
      <c r="AN54" s="82"/>
      <c r="AO54" s="82"/>
      <c r="AP54" s="82"/>
      <c r="AQ54" s="82"/>
      <c r="AR54" s="82"/>
      <c r="AS54" s="82"/>
      <c r="AT54" s="82"/>
      <c r="AU54" s="82"/>
      <c r="AV54" s="82"/>
      <c r="AW54" s="82"/>
      <c r="AX54" s="82"/>
      <c r="AY54" s="82"/>
      <c r="AZ54" s="82"/>
      <c r="BA54" s="82"/>
      <c r="BB54" s="82"/>
      <c r="BC54" s="82"/>
      <c r="BD54" s="82"/>
      <c r="BE54" s="82"/>
      <c r="BF54" s="82"/>
      <c r="BG54" s="82"/>
      <c r="BH54" s="82"/>
    </row>
    <row r="55" spans="1:86" s="93" customFormat="1">
      <c r="A55" s="97" t="s">
        <v>54</v>
      </c>
      <c r="B55" s="523">
        <f>B42/B$46</f>
        <v>0.19505431014559743</v>
      </c>
      <c r="C55" s="524">
        <f t="shared" ref="C55:K55" si="61">C42/C$46</f>
        <v>0.19697327973516196</v>
      </c>
      <c r="D55" s="524">
        <f t="shared" si="61"/>
        <v>0.20014177693761817</v>
      </c>
      <c r="E55" s="524">
        <f t="shared" si="61"/>
        <v>0.20084566596194503</v>
      </c>
      <c r="F55" s="250">
        <f t="shared" si="61"/>
        <v>0.20004652244708074</v>
      </c>
      <c r="G55" s="524">
        <f t="shared" si="61"/>
        <v>0.19999999999999998</v>
      </c>
      <c r="H55" s="524">
        <f t="shared" si="61"/>
        <v>0.20104735883424404</v>
      </c>
      <c r="I55" s="524">
        <f t="shared" si="61"/>
        <v>0.20117407992774894</v>
      </c>
      <c r="J55" s="524">
        <f t="shared" si="61"/>
        <v>0.20129724893759784</v>
      </c>
      <c r="K55" s="250">
        <f t="shared" si="61"/>
        <v>0.2011061946902655</v>
      </c>
      <c r="M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row>
    <row r="56" spans="1:86" s="93" customFormat="1">
      <c r="A56" s="97" t="s">
        <v>355</v>
      </c>
      <c r="B56" s="523">
        <f t="shared" ref="B56:B57" si="62">B43/B$46</f>
        <v>0.37809105615900163</v>
      </c>
      <c r="C56" s="524">
        <f t="shared" ref="C56:K56" si="63">C43/C$46</f>
        <v>0.37904942066682429</v>
      </c>
      <c r="D56" s="524">
        <f t="shared" si="63"/>
        <v>0.3853969754253308</v>
      </c>
      <c r="E56" s="524">
        <f t="shared" si="63"/>
        <v>0.38571764153159499</v>
      </c>
      <c r="F56" s="250">
        <f t="shared" si="63"/>
        <v>0.38287973947429638</v>
      </c>
      <c r="G56" s="524">
        <f t="shared" si="63"/>
        <v>0.38208955223880597</v>
      </c>
      <c r="H56" s="524">
        <f t="shared" si="63"/>
        <v>0.38091985428051001</v>
      </c>
      <c r="I56" s="524">
        <f t="shared" si="63"/>
        <v>0.3802212689094604</v>
      </c>
      <c r="J56" s="524">
        <f t="shared" si="63"/>
        <v>0.3804518004920599</v>
      </c>
      <c r="K56" s="250">
        <f t="shared" si="63"/>
        <v>0.38030973451327432</v>
      </c>
      <c r="M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82"/>
      <c r="BB56" s="82"/>
      <c r="BC56" s="82"/>
      <c r="BD56" s="82"/>
      <c r="BE56" s="82"/>
      <c r="BF56" s="82"/>
      <c r="BG56" s="82"/>
      <c r="BH56" s="82"/>
    </row>
    <row r="57" spans="1:86" s="93" customFormat="1">
      <c r="A57" s="97" t="s">
        <v>2</v>
      </c>
      <c r="B57" s="523">
        <f t="shared" si="62"/>
        <v>0.24312456667437024</v>
      </c>
      <c r="C57" s="524">
        <f t="shared" ref="C57:K57" si="64">C44/C$46</f>
        <v>0.24000945850082761</v>
      </c>
      <c r="D57" s="524">
        <f t="shared" si="64"/>
        <v>0.23322306238185256</v>
      </c>
      <c r="E57" s="524">
        <f t="shared" si="64"/>
        <v>0.23185341789992955</v>
      </c>
      <c r="F57" s="250">
        <f t="shared" si="64"/>
        <v>0.23400790881600372</v>
      </c>
      <c r="G57" s="524">
        <f t="shared" si="64"/>
        <v>0.23605051664753157</v>
      </c>
      <c r="H57" s="524">
        <f t="shared" si="64"/>
        <v>0.23702185792349723</v>
      </c>
      <c r="I57" s="524">
        <f t="shared" si="64"/>
        <v>0.23820275457213819</v>
      </c>
      <c r="J57" s="524">
        <f t="shared" si="64"/>
        <v>0.23820174457615745</v>
      </c>
      <c r="K57" s="250">
        <f t="shared" si="64"/>
        <v>0.23915929203539821</v>
      </c>
      <c r="M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82"/>
      <c r="BB57" s="82"/>
      <c r="BC57" s="82"/>
      <c r="BD57" s="82"/>
      <c r="BE57" s="82"/>
      <c r="BF57" s="82"/>
      <c r="BG57" s="82"/>
      <c r="BH57" s="82"/>
    </row>
    <row r="58" spans="1:86" s="93" customFormat="1">
      <c r="A58" s="117" t="s">
        <v>171</v>
      </c>
      <c r="B58" s="520">
        <f t="shared" ref="B58:K58" si="65">B45/B$46</f>
        <v>0.18373006702103073</v>
      </c>
      <c r="C58" s="521">
        <f t="shared" si="65"/>
        <v>0.18396784109718609</v>
      </c>
      <c r="D58" s="521">
        <f t="shared" si="65"/>
        <v>0.1812381852551985</v>
      </c>
      <c r="E58" s="521">
        <f t="shared" si="65"/>
        <v>0.18158327460653043</v>
      </c>
      <c r="F58" s="522">
        <f t="shared" si="65"/>
        <v>0.18306582926261922</v>
      </c>
      <c r="G58" s="521">
        <f t="shared" si="65"/>
        <v>0.18185993111366247</v>
      </c>
      <c r="H58" s="521">
        <f t="shared" si="65"/>
        <v>0.18101092896174861</v>
      </c>
      <c r="I58" s="521">
        <f t="shared" si="65"/>
        <v>0.18040189659065253</v>
      </c>
      <c r="J58" s="521">
        <f t="shared" si="65"/>
        <v>0.18004920599418472</v>
      </c>
      <c r="K58" s="522">
        <f t="shared" si="65"/>
        <v>0.17942477876106194</v>
      </c>
      <c r="M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82"/>
      <c r="BB58" s="82"/>
      <c r="BC58" s="82"/>
      <c r="BD58" s="82"/>
      <c r="BE58" s="82"/>
      <c r="BF58" s="82"/>
      <c r="BG58" s="82"/>
      <c r="BH58" s="82"/>
    </row>
    <row r="59" spans="1:86" s="93" customFormat="1" ht="14.25" thickBot="1">
      <c r="A59" s="123" t="s">
        <v>3</v>
      </c>
      <c r="B59" s="525">
        <f t="shared" ref="B59:K59" si="66">B58+B54</f>
        <v>1</v>
      </c>
      <c r="C59" s="526">
        <f t="shared" si="66"/>
        <v>1</v>
      </c>
      <c r="D59" s="526">
        <f t="shared" si="66"/>
        <v>1</v>
      </c>
      <c r="E59" s="526">
        <f t="shared" si="66"/>
        <v>1</v>
      </c>
      <c r="F59" s="527">
        <f t="shared" si="66"/>
        <v>1</v>
      </c>
      <c r="G59" s="526">
        <f t="shared" si="66"/>
        <v>1</v>
      </c>
      <c r="H59" s="526">
        <f t="shared" si="66"/>
        <v>0.99999999999999989</v>
      </c>
      <c r="I59" s="526">
        <f t="shared" si="66"/>
        <v>1</v>
      </c>
      <c r="J59" s="526">
        <f t="shared" si="66"/>
        <v>1</v>
      </c>
      <c r="K59" s="527">
        <f t="shared" si="66"/>
        <v>1</v>
      </c>
      <c r="M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row>
    <row r="60" spans="1:86" s="14" customFormat="1">
      <c r="B60" s="244"/>
      <c r="C60" s="244"/>
      <c r="D60" s="244"/>
      <c r="E60" s="244"/>
      <c r="F60" s="244"/>
      <c r="G60" s="244"/>
      <c r="H60" s="244"/>
      <c r="I60" s="244"/>
      <c r="J60" s="244"/>
      <c r="K60" s="244"/>
      <c r="N60" s="9"/>
      <c r="O60" s="9"/>
      <c r="P60" s="9"/>
      <c r="Q60" s="9"/>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row>
    <row r="61" spans="1:86" s="21" customFormat="1" ht="14.25" thickBot="1">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row>
    <row r="62" spans="1:86" s="33" customFormat="1" ht="21.75" customHeight="1">
      <c r="A62" s="260" t="s">
        <v>326</v>
      </c>
      <c r="B62" s="261"/>
      <c r="C62" s="261"/>
      <c r="D62" s="261"/>
      <c r="E62" s="261"/>
      <c r="F62" s="261"/>
      <c r="G62" s="261"/>
      <c r="H62" s="261"/>
      <c r="I62" s="261"/>
      <c r="J62" s="261"/>
      <c r="K62" s="261"/>
      <c r="L62" s="261"/>
      <c r="M62" s="261"/>
      <c r="N62" s="261"/>
      <c r="O62" s="261"/>
      <c r="P62" s="261"/>
      <c r="Q62" s="261"/>
      <c r="R62" s="261"/>
      <c r="S62" s="261"/>
      <c r="T62" s="261"/>
      <c r="U62" s="261"/>
    </row>
    <row r="64" spans="1:86" s="14" customFormat="1">
      <c r="A64" s="32" t="s">
        <v>397</v>
      </c>
      <c r="B64" s="7" t="s">
        <v>327</v>
      </c>
      <c r="J64" s="15"/>
      <c r="K64" s="15"/>
      <c r="L64" s="15"/>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row>
    <row r="65" spans="1:86" s="16" customFormat="1" ht="14.25" thickBot="1">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row>
    <row r="66" spans="1:86" s="93" customFormat="1" ht="13.5" customHeight="1" thickBot="1">
      <c r="B66" s="189">
        <v>2013</v>
      </c>
      <c r="C66" s="190">
        <v>2014</v>
      </c>
      <c r="D66" s="190">
        <v>2015</v>
      </c>
      <c r="E66" s="190">
        <v>2016</v>
      </c>
      <c r="F66" s="143">
        <v>2017</v>
      </c>
      <c r="G66" s="242">
        <v>2018</v>
      </c>
      <c r="H66" s="242">
        <v>2019</v>
      </c>
      <c r="I66" s="242">
        <v>2020</v>
      </c>
      <c r="J66" s="242">
        <v>2021</v>
      </c>
      <c r="K66" s="243">
        <v>2022</v>
      </c>
      <c r="M66" s="333" t="s">
        <v>11</v>
      </c>
      <c r="N66" s="108" t="s">
        <v>12</v>
      </c>
      <c r="O66" s="108" t="s">
        <v>13</v>
      </c>
      <c r="P66" s="143" t="s">
        <v>95</v>
      </c>
      <c r="Q66" s="334" t="s">
        <v>99</v>
      </c>
      <c r="R66" s="334" t="s">
        <v>100</v>
      </c>
      <c r="S66" s="334" t="s">
        <v>208</v>
      </c>
      <c r="T66" s="334" t="s">
        <v>209</v>
      </c>
      <c r="U66" s="335" t="s">
        <v>210</v>
      </c>
    </row>
    <row r="67" spans="1:86" s="93" customFormat="1">
      <c r="A67" s="176" t="s">
        <v>92</v>
      </c>
      <c r="B67" s="254">
        <f t="shared" ref="B67:K67" si="67">B85</f>
        <v>9321.2999999999993</v>
      </c>
      <c r="C67" s="232">
        <f t="shared" si="67"/>
        <v>9121.7000000000007</v>
      </c>
      <c r="D67" s="232">
        <f t="shared" si="67"/>
        <v>9154.4</v>
      </c>
      <c r="E67" s="232">
        <f t="shared" si="67"/>
        <v>9224</v>
      </c>
      <c r="F67" s="421">
        <f t="shared" si="67"/>
        <v>9372.9000000000015</v>
      </c>
      <c r="G67" s="232">
        <f t="shared" si="67"/>
        <v>9506.2000000000007</v>
      </c>
      <c r="H67" s="232">
        <f t="shared" si="67"/>
        <v>9586.7000000000007</v>
      </c>
      <c r="I67" s="232">
        <f t="shared" si="67"/>
        <v>9675.2999999999993</v>
      </c>
      <c r="J67" s="232">
        <f t="shared" si="67"/>
        <v>9769.5</v>
      </c>
      <c r="K67" s="421">
        <f t="shared" si="67"/>
        <v>9884.1</v>
      </c>
      <c r="M67" s="94">
        <f t="shared" ref="M67:U67" si="68">(C67-B67)/B67</f>
        <v>-2.1413322176091164E-2</v>
      </c>
      <c r="N67" s="95">
        <f t="shared" si="68"/>
        <v>3.5848580856637367E-3</v>
      </c>
      <c r="O67" s="95">
        <f t="shared" si="68"/>
        <v>7.6029013370619994E-3</v>
      </c>
      <c r="P67" s="96">
        <f t="shared" si="68"/>
        <v>1.6142671292281165E-2</v>
      </c>
      <c r="Q67" s="95">
        <f t="shared" si="68"/>
        <v>1.4221852361595583E-2</v>
      </c>
      <c r="R67" s="95">
        <f t="shared" si="68"/>
        <v>8.4681576234457503E-3</v>
      </c>
      <c r="S67" s="95">
        <f t="shared" si="68"/>
        <v>9.2419706468334813E-3</v>
      </c>
      <c r="T67" s="95">
        <f t="shared" si="68"/>
        <v>9.7361322129547127E-3</v>
      </c>
      <c r="U67" s="96">
        <f t="shared" si="68"/>
        <v>1.1730385383080031E-2</v>
      </c>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2"/>
      <c r="BU67" s="82"/>
      <c r="BV67" s="82"/>
      <c r="BW67" s="82"/>
      <c r="BX67" s="82"/>
      <c r="BY67" s="82"/>
      <c r="BZ67" s="82"/>
      <c r="CA67" s="82"/>
      <c r="CB67" s="82"/>
      <c r="CC67" s="82"/>
      <c r="CD67" s="82"/>
      <c r="CE67" s="82"/>
      <c r="CF67" s="82"/>
      <c r="CG67" s="82"/>
      <c r="CH67" s="82"/>
    </row>
    <row r="68" spans="1:86" s="93" customFormat="1">
      <c r="A68" s="157" t="s">
        <v>91</v>
      </c>
      <c r="B68" s="540">
        <v>353.2</v>
      </c>
      <c r="C68" s="539">
        <v>345.1</v>
      </c>
      <c r="D68" s="539">
        <v>346.5</v>
      </c>
      <c r="E68" s="539">
        <v>348.4</v>
      </c>
      <c r="F68" s="541">
        <v>351.2</v>
      </c>
      <c r="G68" s="539">
        <v>356.3</v>
      </c>
      <c r="H68" s="539">
        <v>359.7</v>
      </c>
      <c r="I68" s="539">
        <v>363</v>
      </c>
      <c r="J68" s="539">
        <v>366.6</v>
      </c>
      <c r="K68" s="541">
        <v>370.9</v>
      </c>
      <c r="M68" s="98">
        <f>(C68-B68)/B68</f>
        <v>-2.2933182332955736E-2</v>
      </c>
      <c r="N68" s="99">
        <f t="shared" ref="N68:U69" si="69">(D68-C68)/C68</f>
        <v>4.0567951318457758E-3</v>
      </c>
      <c r="O68" s="99">
        <f t="shared" si="69"/>
        <v>5.4834054834054175E-3</v>
      </c>
      <c r="P68" s="100">
        <f t="shared" si="69"/>
        <v>8.0367393800229951E-3</v>
      </c>
      <c r="Q68" s="99">
        <f t="shared" si="69"/>
        <v>1.4521640091116238E-2</v>
      </c>
      <c r="R68" s="99">
        <f t="shared" si="69"/>
        <v>9.5425203480212668E-3</v>
      </c>
      <c r="S68" s="99">
        <f t="shared" si="69"/>
        <v>9.1743119266055363E-3</v>
      </c>
      <c r="T68" s="99">
        <f t="shared" si="69"/>
        <v>9.9173553719008895E-3</v>
      </c>
      <c r="U68" s="100">
        <f t="shared" si="69"/>
        <v>1.1729405346426499E-2</v>
      </c>
      <c r="V68" s="82"/>
      <c r="W68" s="82"/>
      <c r="X68" s="82"/>
      <c r="Y68" s="82"/>
      <c r="Z68" s="82"/>
      <c r="AA68" s="82"/>
      <c r="AB68" s="82"/>
      <c r="AC68" s="82"/>
      <c r="AD68" s="82"/>
      <c r="AE68" s="82"/>
      <c r="AF68" s="82"/>
      <c r="AG68" s="82"/>
      <c r="AH68" s="82"/>
      <c r="AI68" s="82"/>
      <c r="AJ68" s="82"/>
      <c r="AK68" s="82"/>
      <c r="AL68" s="82"/>
      <c r="AM68" s="82"/>
      <c r="AN68" s="82"/>
      <c r="AO68" s="82"/>
      <c r="AP68" s="82"/>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2"/>
      <c r="BO68" s="82"/>
      <c r="BP68" s="82"/>
      <c r="BQ68" s="82"/>
      <c r="BR68" s="82"/>
      <c r="BS68" s="82"/>
      <c r="BT68" s="82"/>
      <c r="BU68" s="82"/>
      <c r="BV68" s="82"/>
      <c r="BW68" s="82"/>
      <c r="BX68" s="82"/>
      <c r="BY68" s="82"/>
      <c r="BZ68" s="82"/>
      <c r="CA68" s="82"/>
      <c r="CB68" s="82"/>
      <c r="CC68" s="82"/>
      <c r="CD68" s="82"/>
      <c r="CE68" s="82"/>
      <c r="CF68" s="82"/>
      <c r="CG68" s="82"/>
      <c r="CH68" s="82"/>
    </row>
    <row r="69" spans="1:86" s="93" customFormat="1" ht="14.25" thickBot="1">
      <c r="A69" s="162" t="s">
        <v>93</v>
      </c>
      <c r="B69" s="542">
        <f t="shared" ref="B69:K69" si="70">(B68*1000)/B67</f>
        <v>37.891710383744758</v>
      </c>
      <c r="C69" s="543">
        <f t="shared" si="70"/>
        <v>37.83286010283171</v>
      </c>
      <c r="D69" s="543">
        <f t="shared" si="70"/>
        <v>37.850651053045532</v>
      </c>
      <c r="E69" s="543">
        <f t="shared" si="70"/>
        <v>37.771032090199476</v>
      </c>
      <c r="F69" s="544">
        <f t="shared" si="70"/>
        <v>37.469726552080992</v>
      </c>
      <c r="G69" s="543">
        <f t="shared" si="70"/>
        <v>37.480802002903367</v>
      </c>
      <c r="H69" s="543">
        <f t="shared" si="70"/>
        <v>37.520731847246701</v>
      </c>
      <c r="I69" s="543">
        <f t="shared" si="70"/>
        <v>37.518216489411181</v>
      </c>
      <c r="J69" s="543">
        <f t="shared" si="70"/>
        <v>37.5249500998004</v>
      </c>
      <c r="K69" s="544">
        <f t="shared" si="70"/>
        <v>37.52491375036675</v>
      </c>
      <c r="M69" s="105">
        <f t="shared" ref="M69" si="71">(C69-B69)/B69</f>
        <v>-1.553117563631944E-3</v>
      </c>
      <c r="N69" s="106">
        <f t="shared" si="69"/>
        <v>4.7025126214262687E-4</v>
      </c>
      <c r="O69" s="106">
        <f t="shared" si="69"/>
        <v>-2.1035031269204287E-3</v>
      </c>
      <c r="P69" s="107">
        <f t="shared" si="69"/>
        <v>-7.9771592525972965E-3</v>
      </c>
      <c r="Q69" s="106">
        <f t="shared" si="69"/>
        <v>2.9558397782755702E-4</v>
      </c>
      <c r="R69" s="106">
        <f t="shared" si="69"/>
        <v>1.0653412469733363E-3</v>
      </c>
      <c r="S69" s="106">
        <f t="shared" si="69"/>
        <v>-6.7039146404728977E-5</v>
      </c>
      <c r="T69" s="106">
        <f t="shared" si="69"/>
        <v>1.7947575922536887E-4</v>
      </c>
      <c r="U69" s="107">
        <f t="shared" si="69"/>
        <v>-9.6867373715472757E-7</v>
      </c>
      <c r="V69" s="82"/>
      <c r="W69" s="82"/>
      <c r="X69" s="82"/>
      <c r="Y69" s="82"/>
      <c r="Z69" s="82"/>
      <c r="AA69" s="82"/>
      <c r="AB69" s="82"/>
      <c r="AC69" s="82"/>
      <c r="AD69" s="82"/>
      <c r="AE69" s="82"/>
      <c r="AF69" s="82"/>
      <c r="AG69" s="82"/>
      <c r="AH69" s="82"/>
      <c r="AI69" s="82"/>
      <c r="AJ69" s="82"/>
      <c r="AK69" s="82"/>
      <c r="AL69" s="82"/>
      <c r="AM69" s="82"/>
      <c r="AN69" s="82"/>
      <c r="AO69" s="82"/>
      <c r="AP69" s="82"/>
      <c r="AQ69" s="82"/>
      <c r="AR69" s="82"/>
      <c r="AS69" s="82"/>
      <c r="AT69" s="82"/>
      <c r="AU69" s="82"/>
      <c r="AV69" s="82"/>
      <c r="AW69" s="82"/>
      <c r="AX69" s="82"/>
      <c r="AY69" s="82"/>
      <c r="AZ69" s="82"/>
      <c r="BA69" s="82"/>
      <c r="BB69" s="82"/>
      <c r="BC69" s="82"/>
      <c r="BD69" s="82"/>
      <c r="BE69" s="82"/>
      <c r="BF69" s="82"/>
      <c r="BG69" s="82"/>
      <c r="BH69" s="82"/>
      <c r="BI69" s="82"/>
      <c r="BJ69" s="82"/>
      <c r="BK69" s="82"/>
      <c r="BL69" s="82"/>
      <c r="BM69" s="82"/>
      <c r="BN69" s="82"/>
      <c r="BO69" s="82"/>
      <c r="BP69" s="82"/>
      <c r="BQ69" s="82"/>
      <c r="BR69" s="82"/>
      <c r="BS69" s="82"/>
      <c r="BT69" s="82"/>
      <c r="BU69" s="82"/>
      <c r="BV69" s="82"/>
      <c r="BW69" s="82"/>
      <c r="BX69" s="82"/>
      <c r="BY69" s="82"/>
      <c r="BZ69" s="82"/>
      <c r="CA69" s="82"/>
      <c r="CB69" s="82"/>
      <c r="CC69" s="82"/>
      <c r="CD69" s="82"/>
      <c r="CE69" s="82"/>
      <c r="CF69" s="82"/>
      <c r="CG69" s="82"/>
      <c r="CH69" s="82"/>
    </row>
    <row r="70" spans="1:86">
      <c r="A70" s="5" t="s">
        <v>392</v>
      </c>
      <c r="B70" s="545"/>
      <c r="C70" s="545"/>
      <c r="D70" s="545"/>
      <c r="E70" s="545"/>
      <c r="F70" s="545"/>
      <c r="G70" s="545"/>
      <c r="H70" s="545"/>
      <c r="I70" s="545"/>
      <c r="J70" s="545"/>
      <c r="K70" s="545"/>
    </row>
    <row r="71" spans="1:86">
      <c r="A71" s="5" t="s">
        <v>219</v>
      </c>
      <c r="B71" s="10"/>
      <c r="C71" s="10"/>
      <c r="D71" s="46"/>
      <c r="E71" s="47"/>
      <c r="F71" s="47"/>
      <c r="G71" s="47"/>
      <c r="H71" s="48"/>
      <c r="I71" s="48"/>
      <c r="J71" s="48"/>
      <c r="K71" s="48"/>
      <c r="L71" s="48"/>
      <c r="M71" s="48"/>
      <c r="N71" s="48"/>
    </row>
    <row r="72" spans="1:86" s="16" customFormat="1">
      <c r="A72" s="13" t="s">
        <v>388</v>
      </c>
      <c r="B72" s="545"/>
      <c r="C72" s="545"/>
      <c r="D72" s="545"/>
      <c r="E72" s="545"/>
      <c r="F72" s="545"/>
      <c r="G72" s="545"/>
      <c r="H72" s="545"/>
      <c r="I72" s="545"/>
      <c r="J72" s="545"/>
      <c r="K72" s="5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row>
    <row r="73" spans="1:86">
      <c r="A73" s="45"/>
      <c r="F73" s="58"/>
      <c r="K73" s="20"/>
    </row>
    <row r="74" spans="1:86" s="21" customFormat="1" ht="14.25" thickBot="1">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row>
    <row r="76" spans="1:86" s="14" customFormat="1">
      <c r="A76" s="32" t="s">
        <v>398</v>
      </c>
      <c r="B76" s="7" t="s">
        <v>328</v>
      </c>
      <c r="J76" s="15"/>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row>
    <row r="77" spans="1:86" ht="14.25" thickBot="1"/>
    <row r="78" spans="1:86" s="93" customFormat="1" ht="13.5" customHeight="1" thickBot="1">
      <c r="B78" s="189">
        <v>2013</v>
      </c>
      <c r="C78" s="190">
        <v>2014</v>
      </c>
      <c r="D78" s="190">
        <v>2015</v>
      </c>
      <c r="E78" s="190">
        <v>2016</v>
      </c>
      <c r="F78" s="143">
        <v>2017</v>
      </c>
      <c r="G78" s="242">
        <v>2018</v>
      </c>
      <c r="H78" s="242">
        <v>2019</v>
      </c>
      <c r="I78" s="242">
        <v>2020</v>
      </c>
      <c r="J78" s="242">
        <v>2021</v>
      </c>
      <c r="K78" s="243">
        <v>2022</v>
      </c>
      <c r="M78" s="89" t="s">
        <v>11</v>
      </c>
      <c r="N78" s="2" t="s">
        <v>12</v>
      </c>
      <c r="O78" s="2" t="s">
        <v>13</v>
      </c>
      <c r="P78" s="151" t="s">
        <v>95</v>
      </c>
      <c r="Q78" s="90" t="s">
        <v>99</v>
      </c>
      <c r="R78" s="90" t="s">
        <v>100</v>
      </c>
      <c r="S78" s="90" t="s">
        <v>208</v>
      </c>
      <c r="T78" s="90" t="s">
        <v>209</v>
      </c>
      <c r="U78" s="91" t="s">
        <v>210</v>
      </c>
    </row>
    <row r="79" spans="1:86" s="113" customFormat="1" ht="12.75">
      <c r="A79" s="154" t="s">
        <v>51</v>
      </c>
      <c r="B79" s="513">
        <f>SUM(B80:B81)</f>
        <v>6748.5999999999995</v>
      </c>
      <c r="C79" s="514">
        <f t="shared" ref="C79:K79" si="72">SUM(C80:C81)</f>
        <v>6649.7000000000007</v>
      </c>
      <c r="D79" s="514">
        <f t="shared" si="72"/>
        <v>6701</v>
      </c>
      <c r="E79" s="514">
        <f t="shared" si="72"/>
        <v>6761.2</v>
      </c>
      <c r="F79" s="515">
        <f t="shared" si="72"/>
        <v>6851.6</v>
      </c>
      <c r="G79" s="514">
        <f t="shared" si="72"/>
        <v>6939.5</v>
      </c>
      <c r="H79" s="514">
        <f t="shared" si="72"/>
        <v>6988.7</v>
      </c>
      <c r="I79" s="514">
        <f t="shared" si="72"/>
        <v>7043.5999999999995</v>
      </c>
      <c r="J79" s="514">
        <f t="shared" si="72"/>
        <v>7102.4</v>
      </c>
      <c r="K79" s="515">
        <f t="shared" si="72"/>
        <v>7175.8</v>
      </c>
      <c r="M79" s="114">
        <f>(C79-B79)/B79</f>
        <v>-1.465489138487964E-2</v>
      </c>
      <c r="N79" s="115">
        <f t="shared" ref="N79:U87" si="73">(D79-C79)/C79</f>
        <v>7.7146337428755079E-3</v>
      </c>
      <c r="O79" s="115">
        <f t="shared" si="73"/>
        <v>8.9837337710789167E-3</v>
      </c>
      <c r="P79" s="115">
        <f t="shared" si="73"/>
        <v>1.3370407619949202E-2</v>
      </c>
      <c r="Q79" s="114">
        <f t="shared" si="73"/>
        <v>1.2829120205499391E-2</v>
      </c>
      <c r="R79" s="115">
        <f t="shared" si="73"/>
        <v>7.089847971755864E-3</v>
      </c>
      <c r="S79" s="115">
        <f t="shared" si="73"/>
        <v>7.8555382259933373E-3</v>
      </c>
      <c r="T79" s="115">
        <f t="shared" si="73"/>
        <v>8.3480038616616774E-3</v>
      </c>
      <c r="U79" s="116">
        <f t="shared" si="73"/>
        <v>1.033453480513637E-2</v>
      </c>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row>
    <row r="80" spans="1:86" s="93" customFormat="1">
      <c r="A80" s="157" t="s">
        <v>50</v>
      </c>
      <c r="B80" s="64">
        <v>4190.8999999999996</v>
      </c>
      <c r="C80" s="39">
        <v>4122.8</v>
      </c>
      <c r="D80" s="39">
        <v>4147.8999999999996</v>
      </c>
      <c r="E80" s="39">
        <v>4178.3999999999996</v>
      </c>
      <c r="F80" s="41">
        <v>4234.3</v>
      </c>
      <c r="G80" s="39">
        <v>4288.6000000000004</v>
      </c>
      <c r="H80" s="39">
        <v>4319</v>
      </c>
      <c r="I80" s="39">
        <v>4345.8999999999996</v>
      </c>
      <c r="J80" s="39">
        <v>4382.2</v>
      </c>
      <c r="K80" s="41">
        <v>4420.3</v>
      </c>
      <c r="M80" s="98">
        <f t="shared" ref="M80:M87" si="74">(C80-B80)/B80</f>
        <v>-1.6249492949008439E-2</v>
      </c>
      <c r="N80" s="99">
        <f t="shared" si="73"/>
        <v>6.0880954690985378E-3</v>
      </c>
      <c r="O80" s="99">
        <f t="shared" si="73"/>
        <v>7.3531184454784359E-3</v>
      </c>
      <c r="P80" s="99">
        <f t="shared" si="73"/>
        <v>1.3378326632203846E-2</v>
      </c>
      <c r="Q80" s="98">
        <f t="shared" si="73"/>
        <v>1.2823843374347632E-2</v>
      </c>
      <c r="R80" s="99">
        <f t="shared" si="73"/>
        <v>7.0885603693512178E-3</v>
      </c>
      <c r="S80" s="99">
        <f t="shared" si="73"/>
        <v>6.2282935864782672E-3</v>
      </c>
      <c r="T80" s="99">
        <f t="shared" si="73"/>
        <v>8.3527002462091132E-3</v>
      </c>
      <c r="U80" s="100">
        <f t="shared" si="73"/>
        <v>8.6942631554927582E-3</v>
      </c>
      <c r="V80" s="82"/>
      <c r="W80" s="82"/>
      <c r="X80" s="82"/>
      <c r="Y80" s="82"/>
      <c r="Z80" s="82"/>
      <c r="AA80" s="82"/>
      <c r="AB80" s="82"/>
      <c r="AC80" s="82"/>
      <c r="AD80" s="82"/>
      <c r="AE80" s="82"/>
      <c r="AF80" s="82"/>
      <c r="AG80" s="82"/>
      <c r="AH80" s="82"/>
      <c r="AI80" s="82"/>
      <c r="AJ80" s="82"/>
      <c r="AK80" s="82"/>
      <c r="AL80" s="82"/>
      <c r="AM80" s="82"/>
      <c r="AN80" s="82"/>
      <c r="AO80" s="82"/>
      <c r="AP80" s="82"/>
      <c r="AQ80" s="82"/>
      <c r="AR80" s="82"/>
      <c r="AS80" s="82"/>
      <c r="AT80" s="82"/>
      <c r="AU80" s="82"/>
      <c r="AV80" s="82"/>
      <c r="AW80" s="82"/>
      <c r="AX80" s="82"/>
      <c r="AY80" s="82"/>
      <c r="AZ80" s="82"/>
      <c r="BA80" s="82"/>
      <c r="BB80" s="82"/>
      <c r="BC80" s="82"/>
      <c r="BD80" s="82"/>
      <c r="BE80" s="82"/>
      <c r="BF80" s="82"/>
      <c r="BG80" s="82"/>
      <c r="BH80" s="82"/>
      <c r="BI80" s="82"/>
      <c r="BJ80" s="82"/>
      <c r="BK80" s="82"/>
      <c r="BL80" s="82"/>
      <c r="BM80" s="82"/>
      <c r="BN80" s="82"/>
      <c r="BO80" s="82"/>
      <c r="BP80" s="82"/>
      <c r="BQ80" s="82"/>
      <c r="BR80" s="82"/>
      <c r="BS80" s="82"/>
      <c r="BT80" s="82"/>
      <c r="BU80" s="82"/>
      <c r="BV80" s="82"/>
      <c r="BW80" s="82"/>
      <c r="BX80" s="82"/>
      <c r="BY80" s="82"/>
      <c r="BZ80" s="82"/>
      <c r="CA80" s="82"/>
      <c r="CB80" s="82"/>
      <c r="CC80" s="82"/>
      <c r="CD80" s="82"/>
      <c r="CE80" s="82"/>
      <c r="CF80" s="82"/>
      <c r="CG80" s="82"/>
      <c r="CH80" s="82"/>
    </row>
    <row r="81" spans="1:86" s="93" customFormat="1">
      <c r="A81" s="157" t="s">
        <v>79</v>
      </c>
      <c r="B81" s="64">
        <v>2557.6999999999998</v>
      </c>
      <c r="C81" s="39">
        <v>2526.9</v>
      </c>
      <c r="D81" s="39">
        <v>2553.1</v>
      </c>
      <c r="E81" s="39">
        <v>2582.8000000000002</v>
      </c>
      <c r="F81" s="41">
        <v>2617.3000000000002</v>
      </c>
      <c r="G81" s="39">
        <v>2650.9</v>
      </c>
      <c r="H81" s="39">
        <v>2669.7</v>
      </c>
      <c r="I81" s="39">
        <v>2697.7</v>
      </c>
      <c r="J81" s="39">
        <v>2720.2</v>
      </c>
      <c r="K81" s="41">
        <v>2755.5</v>
      </c>
      <c r="M81" s="98">
        <f t="shared" si="74"/>
        <v>-1.2042069046408777E-2</v>
      </c>
      <c r="N81" s="99">
        <f t="shared" si="73"/>
        <v>1.0368435632593223E-2</v>
      </c>
      <c r="O81" s="99">
        <f t="shared" si="73"/>
        <v>1.1632916846187096E-2</v>
      </c>
      <c r="P81" s="99">
        <f t="shared" si="73"/>
        <v>1.3357596407000153E-2</v>
      </c>
      <c r="Q81" s="98">
        <f t="shared" si="73"/>
        <v>1.2837657127574183E-2</v>
      </c>
      <c r="R81" s="99">
        <f t="shared" si="73"/>
        <v>7.0919310422874219E-3</v>
      </c>
      <c r="S81" s="99">
        <f t="shared" si="73"/>
        <v>1.0488069820579092E-2</v>
      </c>
      <c r="T81" s="99">
        <f t="shared" si="73"/>
        <v>8.3404381510175339E-3</v>
      </c>
      <c r="U81" s="100">
        <f t="shared" si="73"/>
        <v>1.2976986986251078E-2</v>
      </c>
      <c r="V81" s="82"/>
      <c r="W81" s="82"/>
      <c r="X81" s="82"/>
      <c r="Y81" s="82"/>
      <c r="Z81" s="82"/>
      <c r="AA81" s="82"/>
      <c r="AB81" s="82"/>
      <c r="AC81" s="82"/>
      <c r="AD81" s="82"/>
      <c r="AE81" s="82"/>
      <c r="AF81" s="82"/>
      <c r="AG81" s="82"/>
      <c r="AH81" s="82"/>
      <c r="AI81" s="82"/>
      <c r="AJ81" s="82"/>
      <c r="AK81" s="82"/>
      <c r="AL81" s="82"/>
      <c r="AM81" s="82"/>
      <c r="AN81" s="82"/>
      <c r="AO81" s="82"/>
      <c r="AP81" s="82"/>
      <c r="AQ81" s="82"/>
      <c r="AR81" s="82"/>
      <c r="AS81" s="82"/>
      <c r="AT81" s="82"/>
      <c r="AU81" s="82"/>
      <c r="AV81" s="82"/>
      <c r="AW81" s="82"/>
      <c r="AX81" s="82"/>
      <c r="AY81" s="82"/>
      <c r="AZ81" s="82"/>
      <c r="BA81" s="82"/>
      <c r="BB81" s="82"/>
      <c r="BC81" s="82"/>
      <c r="BD81" s="82"/>
      <c r="BE81" s="82"/>
      <c r="BF81" s="82"/>
      <c r="BG81" s="82"/>
      <c r="BH81" s="82"/>
      <c r="BI81" s="82"/>
      <c r="BJ81" s="82"/>
      <c r="BK81" s="82"/>
      <c r="BL81" s="82"/>
      <c r="BM81" s="82"/>
      <c r="BN81" s="82"/>
      <c r="BO81" s="82"/>
      <c r="BP81" s="82"/>
      <c r="BQ81" s="82"/>
      <c r="BR81" s="82"/>
      <c r="BS81" s="82"/>
      <c r="BT81" s="82"/>
      <c r="BU81" s="82"/>
      <c r="BV81" s="82"/>
      <c r="BW81" s="82"/>
      <c r="BX81" s="82"/>
      <c r="BY81" s="82"/>
      <c r="BZ81" s="82"/>
      <c r="CA81" s="82"/>
      <c r="CB81" s="82"/>
      <c r="CC81" s="82"/>
      <c r="CD81" s="82"/>
      <c r="CE81" s="82"/>
      <c r="CF81" s="82"/>
      <c r="CG81" s="82"/>
      <c r="CH81" s="82"/>
    </row>
    <row r="82" spans="1:86" s="113" customFormat="1" ht="12.75">
      <c r="A82" s="159" t="s">
        <v>52</v>
      </c>
      <c r="B82" s="263">
        <f>SUM(B83:B84)</f>
        <v>2572.6999999999998</v>
      </c>
      <c r="C82" s="264">
        <f t="shared" ref="C82:K82" si="75">SUM(C83:C84)</f>
        <v>2472</v>
      </c>
      <c r="D82" s="264">
        <f t="shared" si="75"/>
        <v>2453.4</v>
      </c>
      <c r="E82" s="264">
        <f t="shared" si="75"/>
        <v>2462.8000000000002</v>
      </c>
      <c r="F82" s="262">
        <f t="shared" si="75"/>
        <v>2521.3000000000002</v>
      </c>
      <c r="G82" s="264">
        <f t="shared" si="75"/>
        <v>2566.6999999999998</v>
      </c>
      <c r="H82" s="264">
        <f t="shared" si="75"/>
        <v>2598</v>
      </c>
      <c r="I82" s="264">
        <f t="shared" si="75"/>
        <v>2631.7</v>
      </c>
      <c r="J82" s="264">
        <f t="shared" si="75"/>
        <v>2667.1000000000004</v>
      </c>
      <c r="K82" s="262">
        <f t="shared" si="75"/>
        <v>2708.3</v>
      </c>
      <c r="M82" s="120">
        <f t="shared" si="74"/>
        <v>-3.9141757686477173E-2</v>
      </c>
      <c r="N82" s="121">
        <f t="shared" si="73"/>
        <v>-7.5242718446601577E-3</v>
      </c>
      <c r="O82" s="121">
        <f t="shared" si="73"/>
        <v>3.8314176245211099E-3</v>
      </c>
      <c r="P82" s="121">
        <f t="shared" si="73"/>
        <v>2.3753451356179955E-2</v>
      </c>
      <c r="Q82" s="120">
        <f t="shared" si="73"/>
        <v>1.800658390512816E-2</v>
      </c>
      <c r="R82" s="121">
        <f t="shared" si="73"/>
        <v>1.2194646822768607E-2</v>
      </c>
      <c r="S82" s="121">
        <f t="shared" si="73"/>
        <v>1.2971516551193156E-2</v>
      </c>
      <c r="T82" s="121">
        <f t="shared" si="73"/>
        <v>1.3451381236463332E-2</v>
      </c>
      <c r="U82" s="122">
        <f t="shared" si="73"/>
        <v>1.5447489782910207E-2</v>
      </c>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row>
    <row r="83" spans="1:86" s="93" customFormat="1">
      <c r="A83" s="157" t="s">
        <v>50</v>
      </c>
      <c r="B83" s="64">
        <v>1466.4</v>
      </c>
      <c r="C83" s="39">
        <v>1384.3</v>
      </c>
      <c r="D83" s="39">
        <v>1356.7</v>
      </c>
      <c r="E83" s="39">
        <v>1342.2</v>
      </c>
      <c r="F83" s="41">
        <v>1361.5</v>
      </c>
      <c r="G83" s="39">
        <v>1380.9</v>
      </c>
      <c r="H83" s="39">
        <v>1392.5</v>
      </c>
      <c r="I83" s="39">
        <v>1405.3</v>
      </c>
      <c r="J83" s="39">
        <v>1418.9</v>
      </c>
      <c r="K83" s="41">
        <v>1435.4</v>
      </c>
      <c r="M83" s="98">
        <f t="shared" si="74"/>
        <v>-5.5987452264048096E-2</v>
      </c>
      <c r="N83" s="99">
        <f t="shared" si="73"/>
        <v>-1.9937874738134732E-2</v>
      </c>
      <c r="O83" s="99">
        <f t="shared" si="73"/>
        <v>-1.0687698090955995E-2</v>
      </c>
      <c r="P83" s="99">
        <f t="shared" si="73"/>
        <v>1.4379377142005628E-2</v>
      </c>
      <c r="Q83" s="98">
        <f t="shared" si="73"/>
        <v>1.4248990084465729E-2</v>
      </c>
      <c r="R83" s="99">
        <f t="shared" si="73"/>
        <v>8.4003186327756604E-3</v>
      </c>
      <c r="S83" s="99">
        <f t="shared" si="73"/>
        <v>9.1921005385996075E-3</v>
      </c>
      <c r="T83" s="99">
        <f t="shared" si="73"/>
        <v>9.6776489005907188E-3</v>
      </c>
      <c r="U83" s="100">
        <f t="shared" si="73"/>
        <v>1.1628726478257804E-2</v>
      </c>
      <c r="V83" s="82"/>
      <c r="W83" s="82"/>
      <c r="X83" s="82"/>
      <c r="Y83" s="82"/>
      <c r="Z83" s="82"/>
      <c r="AA83" s="82"/>
      <c r="AB83" s="82"/>
      <c r="AC83" s="82"/>
      <c r="AD83" s="82"/>
      <c r="AE83" s="82"/>
      <c r="AF83" s="82"/>
      <c r="AG83" s="82"/>
      <c r="AH83" s="82"/>
      <c r="AI83" s="82"/>
      <c r="AJ83" s="82"/>
      <c r="AK83" s="82"/>
      <c r="AL83" s="82"/>
      <c r="AM83" s="82"/>
      <c r="AN83" s="82"/>
      <c r="AO83" s="82"/>
      <c r="AP83" s="82"/>
      <c r="AQ83" s="82"/>
      <c r="AR83" s="82"/>
      <c r="AS83" s="82"/>
      <c r="AT83" s="82"/>
      <c r="AU83" s="82"/>
      <c r="AV83" s="82"/>
      <c r="AW83" s="82"/>
      <c r="AX83" s="82"/>
      <c r="AY83" s="82"/>
      <c r="AZ83" s="82"/>
      <c r="BA83" s="82"/>
      <c r="BB83" s="82"/>
      <c r="BC83" s="82"/>
      <c r="BD83" s="82"/>
      <c r="BE83" s="82"/>
      <c r="BF83" s="82"/>
      <c r="BG83" s="82"/>
      <c r="BH83" s="82"/>
      <c r="BI83" s="82"/>
      <c r="BJ83" s="82"/>
      <c r="BK83" s="82"/>
      <c r="BL83" s="82"/>
      <c r="BM83" s="82"/>
      <c r="BN83" s="82"/>
      <c r="BO83" s="82"/>
      <c r="BP83" s="82"/>
      <c r="BQ83" s="82"/>
      <c r="BR83" s="82"/>
      <c r="BS83" s="82"/>
      <c r="BT83" s="82"/>
      <c r="BU83" s="82"/>
      <c r="BV83" s="82"/>
      <c r="BW83" s="82"/>
      <c r="BX83" s="82"/>
      <c r="BY83" s="82"/>
      <c r="BZ83" s="82"/>
      <c r="CA83" s="82"/>
      <c r="CB83" s="82"/>
      <c r="CC83" s="82"/>
      <c r="CD83" s="82"/>
      <c r="CE83" s="82"/>
      <c r="CF83" s="82"/>
      <c r="CG83" s="82"/>
      <c r="CH83" s="82"/>
    </row>
    <row r="84" spans="1:86" s="93" customFormat="1">
      <c r="A84" s="157" t="s">
        <v>79</v>
      </c>
      <c r="B84" s="64">
        <v>1106.3</v>
      </c>
      <c r="C84" s="39">
        <v>1087.7</v>
      </c>
      <c r="D84" s="39">
        <v>1096.7</v>
      </c>
      <c r="E84" s="39">
        <v>1120.5999999999999</v>
      </c>
      <c r="F84" s="41">
        <v>1159.8</v>
      </c>
      <c r="G84" s="39">
        <v>1185.8</v>
      </c>
      <c r="H84" s="39">
        <v>1205.5</v>
      </c>
      <c r="I84" s="39">
        <v>1226.4000000000001</v>
      </c>
      <c r="J84" s="39">
        <v>1248.2</v>
      </c>
      <c r="K84" s="41">
        <v>1272.9000000000001</v>
      </c>
      <c r="M84" s="98">
        <f t="shared" si="74"/>
        <v>-1.6812799421494991E-2</v>
      </c>
      <c r="N84" s="99">
        <f t="shared" si="73"/>
        <v>8.2743403511997791E-3</v>
      </c>
      <c r="O84" s="99">
        <f t="shared" si="73"/>
        <v>2.1792650679310535E-2</v>
      </c>
      <c r="P84" s="99">
        <f t="shared" si="73"/>
        <v>3.4981260039264724E-2</v>
      </c>
      <c r="Q84" s="98">
        <f t="shared" si="73"/>
        <v>2.2417658216933953E-2</v>
      </c>
      <c r="R84" s="99">
        <f t="shared" si="73"/>
        <v>1.6613256872997171E-2</v>
      </c>
      <c r="S84" s="99">
        <f t="shared" si="73"/>
        <v>1.7337204479469175E-2</v>
      </c>
      <c r="T84" s="99">
        <f t="shared" si="73"/>
        <v>1.7775603392041709E-2</v>
      </c>
      <c r="U84" s="100">
        <f t="shared" si="73"/>
        <v>1.9788495433424168E-2</v>
      </c>
      <c r="V84" s="82"/>
      <c r="W84" s="82"/>
      <c r="X84" s="82"/>
      <c r="Y84" s="82"/>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c r="BH84" s="82"/>
      <c r="BI84" s="82"/>
      <c r="BJ84" s="82"/>
      <c r="BK84" s="82"/>
      <c r="BL84" s="82"/>
      <c r="BM84" s="82"/>
      <c r="BN84" s="82"/>
      <c r="BO84" s="82"/>
      <c r="BP84" s="82"/>
      <c r="BQ84" s="82"/>
      <c r="BR84" s="82"/>
      <c r="BS84" s="82"/>
      <c r="BT84" s="82"/>
      <c r="BU84" s="82"/>
      <c r="BV84" s="82"/>
      <c r="BW84" s="82"/>
      <c r="BX84" s="82"/>
      <c r="BY84" s="82"/>
      <c r="BZ84" s="82"/>
      <c r="CA84" s="82"/>
      <c r="CB84" s="82"/>
      <c r="CC84" s="82"/>
      <c r="CD84" s="82"/>
      <c r="CE84" s="82"/>
      <c r="CF84" s="82"/>
      <c r="CG84" s="82"/>
      <c r="CH84" s="82"/>
    </row>
    <row r="85" spans="1:86" s="113" customFormat="1" ht="12.75">
      <c r="A85" s="159" t="s">
        <v>80</v>
      </c>
      <c r="B85" s="263">
        <f>B79+B82</f>
        <v>9321.2999999999993</v>
      </c>
      <c r="C85" s="264">
        <f t="shared" ref="C85:K85" si="76">C79+C82</f>
        <v>9121.7000000000007</v>
      </c>
      <c r="D85" s="264">
        <f t="shared" si="76"/>
        <v>9154.4</v>
      </c>
      <c r="E85" s="264">
        <f t="shared" si="76"/>
        <v>9224</v>
      </c>
      <c r="F85" s="262">
        <f t="shared" si="76"/>
        <v>9372.9000000000015</v>
      </c>
      <c r="G85" s="264">
        <f t="shared" si="76"/>
        <v>9506.2000000000007</v>
      </c>
      <c r="H85" s="264">
        <f t="shared" si="76"/>
        <v>9586.7000000000007</v>
      </c>
      <c r="I85" s="264">
        <f t="shared" si="76"/>
        <v>9675.2999999999993</v>
      </c>
      <c r="J85" s="264">
        <f t="shared" si="76"/>
        <v>9769.5</v>
      </c>
      <c r="K85" s="262">
        <f t="shared" si="76"/>
        <v>9884.1</v>
      </c>
      <c r="M85" s="120">
        <f t="shared" si="74"/>
        <v>-2.1413322176091164E-2</v>
      </c>
      <c r="N85" s="121">
        <f t="shared" si="73"/>
        <v>3.5848580856637367E-3</v>
      </c>
      <c r="O85" s="121">
        <f t="shared" si="73"/>
        <v>7.6029013370619994E-3</v>
      </c>
      <c r="P85" s="121">
        <f t="shared" si="73"/>
        <v>1.6142671292281165E-2</v>
      </c>
      <c r="Q85" s="120">
        <f t="shared" si="73"/>
        <v>1.4221852361595583E-2</v>
      </c>
      <c r="R85" s="121">
        <f t="shared" si="73"/>
        <v>8.4681576234457503E-3</v>
      </c>
      <c r="S85" s="121">
        <f t="shared" si="73"/>
        <v>9.2419706468334813E-3</v>
      </c>
      <c r="T85" s="121">
        <f t="shared" si="73"/>
        <v>9.7361322129547127E-3</v>
      </c>
      <c r="U85" s="122">
        <f t="shared" si="73"/>
        <v>1.1730385383080031E-2</v>
      </c>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row>
    <row r="86" spans="1:86" s="93" customFormat="1">
      <c r="A86" s="157" t="s">
        <v>50</v>
      </c>
      <c r="B86" s="64">
        <f>B80+B83</f>
        <v>5657.2999999999993</v>
      </c>
      <c r="C86" s="39">
        <f t="shared" ref="C86:K86" si="77">C80+C83</f>
        <v>5507.1</v>
      </c>
      <c r="D86" s="39">
        <f t="shared" si="77"/>
        <v>5504.5999999999995</v>
      </c>
      <c r="E86" s="39">
        <f t="shared" si="77"/>
        <v>5520.5999999999995</v>
      </c>
      <c r="F86" s="41">
        <f t="shared" si="77"/>
        <v>5595.8</v>
      </c>
      <c r="G86" s="39">
        <f t="shared" si="77"/>
        <v>5669.5</v>
      </c>
      <c r="H86" s="39">
        <f t="shared" si="77"/>
        <v>5711.5</v>
      </c>
      <c r="I86" s="39">
        <f t="shared" si="77"/>
        <v>5751.2</v>
      </c>
      <c r="J86" s="39">
        <f t="shared" si="77"/>
        <v>5801.1</v>
      </c>
      <c r="K86" s="41">
        <f t="shared" si="77"/>
        <v>5855.7000000000007</v>
      </c>
      <c r="M86" s="98">
        <f t="shared" si="74"/>
        <v>-2.6549767556961611E-2</v>
      </c>
      <c r="N86" s="99">
        <f t="shared" si="73"/>
        <v>-4.5395943418512636E-4</v>
      </c>
      <c r="O86" s="99">
        <f t="shared" si="73"/>
        <v>2.90665988446027E-3</v>
      </c>
      <c r="P86" s="99">
        <f t="shared" si="73"/>
        <v>1.3621707785385779E-2</v>
      </c>
      <c r="Q86" s="98">
        <f t="shared" si="73"/>
        <v>1.3170592229886667E-2</v>
      </c>
      <c r="R86" s="99">
        <f t="shared" si="73"/>
        <v>7.4080606755445805E-3</v>
      </c>
      <c r="S86" s="99">
        <f t="shared" si="73"/>
        <v>6.9508885581720768E-3</v>
      </c>
      <c r="T86" s="99">
        <f t="shared" si="73"/>
        <v>8.6764501321464297E-3</v>
      </c>
      <c r="U86" s="100">
        <f t="shared" si="73"/>
        <v>9.412008067435548E-3</v>
      </c>
      <c r="V86" s="82"/>
      <c r="W86" s="82"/>
      <c r="X86" s="82"/>
      <c r="Y86" s="82"/>
      <c r="Z86" s="82"/>
      <c r="AA86" s="82"/>
      <c r="AB86" s="82"/>
      <c r="AC86" s="82"/>
      <c r="AD86" s="82"/>
      <c r="AE86" s="82"/>
      <c r="AF86" s="82"/>
      <c r="AG86" s="82"/>
      <c r="AH86" s="82"/>
      <c r="AI86" s="82"/>
      <c r="AJ86" s="82"/>
      <c r="AK86" s="82"/>
      <c r="AL86" s="82"/>
      <c r="AM86" s="82"/>
      <c r="AN86" s="82"/>
      <c r="AO86" s="82"/>
      <c r="AP86" s="82"/>
      <c r="AQ86" s="82"/>
      <c r="AR86" s="82"/>
      <c r="AS86" s="82"/>
      <c r="AT86" s="82"/>
      <c r="AU86" s="82"/>
      <c r="AV86" s="82"/>
      <c r="AW86" s="82"/>
      <c r="AX86" s="82"/>
      <c r="AY86" s="82"/>
      <c r="AZ86" s="82"/>
      <c r="BA86" s="82"/>
      <c r="BB86" s="82"/>
      <c r="BC86" s="82"/>
      <c r="BD86" s="82"/>
      <c r="BE86" s="82"/>
      <c r="BF86" s="82"/>
      <c r="BG86" s="82"/>
      <c r="BH86" s="82"/>
      <c r="BI86" s="82"/>
      <c r="BJ86" s="82"/>
      <c r="BK86" s="82"/>
      <c r="BL86" s="82"/>
      <c r="BM86" s="82"/>
      <c r="BN86" s="82"/>
      <c r="BO86" s="82"/>
      <c r="BP86" s="82"/>
      <c r="BQ86" s="82"/>
      <c r="BR86" s="82"/>
      <c r="BS86" s="82"/>
      <c r="BT86" s="82"/>
      <c r="BU86" s="82"/>
      <c r="BV86" s="82"/>
      <c r="BW86" s="82"/>
      <c r="BX86" s="82"/>
      <c r="BY86" s="82"/>
      <c r="BZ86" s="82"/>
      <c r="CA86" s="82"/>
      <c r="CB86" s="82"/>
      <c r="CC86" s="82"/>
      <c r="CD86" s="82"/>
      <c r="CE86" s="82"/>
      <c r="CF86" s="82"/>
      <c r="CG86" s="82"/>
      <c r="CH86" s="82"/>
    </row>
    <row r="87" spans="1:86" s="93" customFormat="1" ht="14.25" thickBot="1">
      <c r="A87" s="162" t="s">
        <v>79</v>
      </c>
      <c r="B87" s="516">
        <f>B81+B84</f>
        <v>3664</v>
      </c>
      <c r="C87" s="517">
        <f t="shared" ref="C87:K87" si="78">C81+C84</f>
        <v>3614.6000000000004</v>
      </c>
      <c r="D87" s="517">
        <f t="shared" si="78"/>
        <v>3649.8</v>
      </c>
      <c r="E87" s="517">
        <f t="shared" si="78"/>
        <v>3703.4</v>
      </c>
      <c r="F87" s="518">
        <f t="shared" si="78"/>
        <v>3777.1000000000004</v>
      </c>
      <c r="G87" s="517">
        <f t="shared" si="78"/>
        <v>3836.7</v>
      </c>
      <c r="H87" s="517">
        <f t="shared" si="78"/>
        <v>3875.2</v>
      </c>
      <c r="I87" s="517">
        <f t="shared" si="78"/>
        <v>3924.1</v>
      </c>
      <c r="J87" s="517">
        <f t="shared" si="78"/>
        <v>3968.3999999999996</v>
      </c>
      <c r="K87" s="518">
        <f t="shared" si="78"/>
        <v>4028.4</v>
      </c>
      <c r="M87" s="105">
        <f t="shared" si="74"/>
        <v>-1.3482532751091604E-2</v>
      </c>
      <c r="N87" s="106">
        <f t="shared" si="73"/>
        <v>9.7382836275105994E-3</v>
      </c>
      <c r="O87" s="106">
        <f t="shared" si="73"/>
        <v>1.4685736204723521E-2</v>
      </c>
      <c r="P87" s="106">
        <f t="shared" si="73"/>
        <v>1.9900631851811922E-2</v>
      </c>
      <c r="Q87" s="105">
        <f t="shared" si="73"/>
        <v>1.5779301580577547E-2</v>
      </c>
      <c r="R87" s="106">
        <f t="shared" si="73"/>
        <v>1.0034665207079001E-2</v>
      </c>
      <c r="S87" s="106">
        <f t="shared" si="73"/>
        <v>1.26187035507845E-2</v>
      </c>
      <c r="T87" s="106">
        <f t="shared" si="73"/>
        <v>1.1289212813129055E-2</v>
      </c>
      <c r="U87" s="107">
        <f t="shared" si="73"/>
        <v>1.5119443604475471E-2</v>
      </c>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c r="BA87" s="82"/>
      <c r="BB87" s="82"/>
      <c r="BC87" s="82"/>
      <c r="BD87" s="82"/>
      <c r="BE87" s="82"/>
      <c r="BF87" s="82"/>
      <c r="BG87" s="82"/>
      <c r="BH87" s="82"/>
      <c r="BI87" s="82"/>
      <c r="BJ87" s="82"/>
      <c r="BK87" s="82"/>
      <c r="BL87" s="82"/>
      <c r="BM87" s="82"/>
      <c r="BN87" s="82"/>
      <c r="BO87" s="82"/>
      <c r="BP87" s="82"/>
      <c r="BQ87" s="82"/>
      <c r="BR87" s="82"/>
      <c r="BS87" s="82"/>
      <c r="BT87" s="82"/>
      <c r="BU87" s="82"/>
      <c r="BV87" s="82"/>
      <c r="BW87" s="82"/>
      <c r="BX87" s="82"/>
      <c r="BY87" s="82"/>
      <c r="BZ87" s="82"/>
      <c r="CA87" s="82"/>
      <c r="CB87" s="82"/>
      <c r="CC87" s="82"/>
      <c r="CD87" s="82"/>
      <c r="CE87" s="82"/>
      <c r="CF87" s="82"/>
      <c r="CG87" s="82"/>
      <c r="CH87" s="82"/>
    </row>
    <row r="88" spans="1:86">
      <c r="A88" s="5" t="s">
        <v>14</v>
      </c>
      <c r="B88" s="546"/>
      <c r="C88" s="546"/>
      <c r="D88" s="546"/>
      <c r="E88" s="546"/>
      <c r="F88" s="546"/>
      <c r="G88" s="546"/>
      <c r="H88" s="546"/>
      <c r="I88" s="546"/>
      <c r="J88" s="546"/>
      <c r="K88" s="546"/>
      <c r="N88" s="82"/>
      <c r="O88" s="82"/>
      <c r="P88" s="82"/>
      <c r="Q88" s="82"/>
      <c r="R88" s="82"/>
      <c r="S88" s="82"/>
      <c r="T88" s="82"/>
      <c r="U88" s="82"/>
      <c r="V88" s="82"/>
    </row>
    <row r="89" spans="1:86">
      <c r="A89" s="5" t="s">
        <v>388</v>
      </c>
      <c r="B89" s="546"/>
      <c r="C89" s="546"/>
      <c r="D89" s="546"/>
      <c r="E89" s="546"/>
      <c r="F89" s="546"/>
      <c r="G89" s="546"/>
      <c r="H89" s="546"/>
      <c r="I89" s="546"/>
      <c r="J89" s="546"/>
      <c r="K89" s="546"/>
      <c r="N89" s="82"/>
      <c r="O89" s="82"/>
      <c r="P89" s="82"/>
      <c r="Q89" s="82"/>
      <c r="R89" s="82"/>
      <c r="S89" s="82"/>
      <c r="T89" s="82"/>
      <c r="U89" s="82"/>
      <c r="V89" s="82"/>
    </row>
    <row r="90" spans="1:86">
      <c r="A90" s="13"/>
      <c r="C90" s="20"/>
      <c r="D90" s="20"/>
      <c r="E90" s="20"/>
      <c r="N90" s="82"/>
      <c r="O90" s="82"/>
      <c r="P90" s="82"/>
      <c r="Q90" s="82"/>
      <c r="R90" s="82"/>
      <c r="S90" s="82"/>
      <c r="T90" s="82"/>
      <c r="U90" s="82"/>
      <c r="V90" s="82"/>
    </row>
    <row r="91" spans="1:86" ht="14.25" thickBot="1">
      <c r="A91" s="13"/>
      <c r="D91" s="20"/>
      <c r="E91" s="20"/>
      <c r="F91" s="20"/>
      <c r="G91" s="20"/>
      <c r="H91" s="20"/>
      <c r="I91" s="20"/>
      <c r="J91" s="20"/>
      <c r="K91" s="20"/>
      <c r="N91" s="82"/>
      <c r="O91" s="82"/>
      <c r="P91" s="82"/>
      <c r="Q91" s="82"/>
      <c r="R91" s="82"/>
      <c r="S91" s="82"/>
      <c r="T91" s="82"/>
      <c r="U91" s="82"/>
      <c r="V91" s="82"/>
    </row>
    <row r="92" spans="1:86" s="93" customFormat="1" ht="14.25" thickBot="1">
      <c r="B92" s="333" t="s">
        <v>16</v>
      </c>
      <c r="C92" s="108" t="s">
        <v>17</v>
      </c>
      <c r="D92" s="108" t="s">
        <v>18</v>
      </c>
      <c r="E92" s="108" t="s">
        <v>19</v>
      </c>
      <c r="F92" s="143" t="s">
        <v>94</v>
      </c>
      <c r="G92" s="334" t="s">
        <v>97</v>
      </c>
      <c r="H92" s="334" t="s">
        <v>98</v>
      </c>
      <c r="I92" s="334" t="s">
        <v>211</v>
      </c>
      <c r="J92" s="334" t="s">
        <v>212</v>
      </c>
      <c r="K92" s="335" t="s">
        <v>213</v>
      </c>
    </row>
    <row r="93" spans="1:86" s="93" customFormat="1">
      <c r="A93" s="154" t="s">
        <v>51</v>
      </c>
      <c r="B93" s="528">
        <f>B79/B$85</f>
        <v>0.72399772563912757</v>
      </c>
      <c r="C93" s="529">
        <f t="shared" ref="C93:K93" si="79">C79/C$85</f>
        <v>0.72899788416632871</v>
      </c>
      <c r="D93" s="529">
        <f t="shared" si="79"/>
        <v>0.73199772786856598</v>
      </c>
      <c r="E93" s="529">
        <f t="shared" si="79"/>
        <v>0.73300086730268865</v>
      </c>
      <c r="F93" s="530">
        <f t="shared" si="79"/>
        <v>0.73100107757471</v>
      </c>
      <c r="G93" s="528">
        <f t="shared" si="79"/>
        <v>0.72999726494287931</v>
      </c>
      <c r="H93" s="529">
        <f t="shared" si="79"/>
        <v>0.72899955146192108</v>
      </c>
      <c r="I93" s="529">
        <f t="shared" si="79"/>
        <v>0.72799809825018347</v>
      </c>
      <c r="J93" s="529">
        <f t="shared" si="79"/>
        <v>0.7269972874763293</v>
      </c>
      <c r="K93" s="530">
        <f t="shared" si="79"/>
        <v>0.7259942736313878</v>
      </c>
      <c r="M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c r="BA93" s="82"/>
      <c r="BB93" s="82"/>
      <c r="BC93" s="82"/>
      <c r="BD93" s="82"/>
      <c r="BE93" s="82"/>
      <c r="BF93" s="82"/>
      <c r="BG93" s="82"/>
      <c r="BH93" s="82"/>
    </row>
    <row r="94" spans="1:86" s="93" customFormat="1">
      <c r="A94" s="157" t="s">
        <v>50</v>
      </c>
      <c r="B94" s="523">
        <f>B80/B$79</f>
        <v>0.62100287467030202</v>
      </c>
      <c r="C94" s="524">
        <f t="shared" ref="C94:K94" si="80">C80/C$79</f>
        <v>0.6199978946418635</v>
      </c>
      <c r="D94" s="524">
        <f t="shared" si="80"/>
        <v>0.61899716460229814</v>
      </c>
      <c r="E94" s="524">
        <f t="shared" si="80"/>
        <v>0.61799680530083412</v>
      </c>
      <c r="F94" s="250">
        <f t="shared" si="80"/>
        <v>0.61800163465467917</v>
      </c>
      <c r="G94" s="523">
        <f t="shared" si="80"/>
        <v>0.61799841487138851</v>
      </c>
      <c r="H94" s="524">
        <f t="shared" si="80"/>
        <v>0.61799762473707553</v>
      </c>
      <c r="I94" s="524">
        <f t="shared" si="80"/>
        <v>0.61699982963257427</v>
      </c>
      <c r="J94" s="524">
        <f t="shared" si="80"/>
        <v>0.61700270331155671</v>
      </c>
      <c r="K94" s="250">
        <f t="shared" si="80"/>
        <v>0.61600100337244634</v>
      </c>
      <c r="M94" s="82"/>
      <c r="W94" s="82"/>
      <c r="X94" s="82"/>
      <c r="Y94" s="82"/>
      <c r="Z94" s="82"/>
      <c r="AA94" s="82"/>
      <c r="AB94" s="82"/>
      <c r="AC94" s="82"/>
      <c r="AD94" s="82"/>
      <c r="AE94" s="82"/>
      <c r="AF94" s="82"/>
      <c r="AG94" s="82"/>
      <c r="AH94" s="82"/>
      <c r="AI94" s="82"/>
      <c r="AJ94" s="82"/>
      <c r="AK94" s="82"/>
      <c r="AL94" s="82"/>
      <c r="AM94" s="82"/>
      <c r="AN94" s="82"/>
      <c r="AO94" s="82"/>
      <c r="AP94" s="82"/>
      <c r="AQ94" s="82"/>
      <c r="AR94" s="82"/>
      <c r="AS94" s="82"/>
      <c r="AT94" s="82"/>
      <c r="AU94" s="82"/>
      <c r="AV94" s="82"/>
      <c r="AW94" s="82"/>
      <c r="AX94" s="82"/>
      <c r="AY94" s="82"/>
      <c r="AZ94" s="82"/>
      <c r="BA94" s="82"/>
      <c r="BB94" s="82"/>
      <c r="BC94" s="82"/>
      <c r="BD94" s="82"/>
      <c r="BE94" s="82"/>
      <c r="BF94" s="82"/>
      <c r="BG94" s="82"/>
      <c r="BH94" s="82"/>
    </row>
    <row r="95" spans="1:86" s="93" customFormat="1">
      <c r="A95" s="157" t="s">
        <v>79</v>
      </c>
      <c r="B95" s="523">
        <f>B81/B$79</f>
        <v>0.37899712532969804</v>
      </c>
      <c r="C95" s="524">
        <f t="shared" ref="C95:K95" si="81">C81/C$79</f>
        <v>0.38000210535813644</v>
      </c>
      <c r="D95" s="524">
        <f t="shared" si="81"/>
        <v>0.3810028353977018</v>
      </c>
      <c r="E95" s="524">
        <f t="shared" si="81"/>
        <v>0.38200319469916588</v>
      </c>
      <c r="F95" s="250">
        <f t="shared" si="81"/>
        <v>0.38199836534532083</v>
      </c>
      <c r="G95" s="523">
        <f t="shared" si="81"/>
        <v>0.3820015851286116</v>
      </c>
      <c r="H95" s="524">
        <f t="shared" si="81"/>
        <v>0.38200237526292441</v>
      </c>
      <c r="I95" s="524">
        <f t="shared" si="81"/>
        <v>0.38300017036742573</v>
      </c>
      <c r="J95" s="524">
        <f t="shared" si="81"/>
        <v>0.38299729668844334</v>
      </c>
      <c r="K95" s="250">
        <f t="shared" si="81"/>
        <v>0.38399899662755371</v>
      </c>
      <c r="M95" s="82"/>
      <c r="W95" s="82"/>
      <c r="X95" s="82"/>
      <c r="Y95" s="82"/>
      <c r="Z95" s="82"/>
      <c r="AA95" s="82"/>
      <c r="AB95" s="82"/>
      <c r="AC95" s="82"/>
      <c r="AD95" s="82"/>
      <c r="AE95" s="82"/>
      <c r="AF95" s="82"/>
      <c r="AG95" s="82"/>
      <c r="AH95" s="82"/>
      <c r="AI95" s="82"/>
      <c r="AJ95" s="82"/>
      <c r="AK95" s="82"/>
      <c r="AL95" s="82"/>
      <c r="AM95" s="82"/>
      <c r="AN95" s="82"/>
      <c r="AO95" s="82"/>
      <c r="AP95" s="82"/>
      <c r="AQ95" s="82"/>
      <c r="AR95" s="82"/>
      <c r="AS95" s="82"/>
      <c r="AT95" s="82"/>
      <c r="AU95" s="82"/>
      <c r="AV95" s="82"/>
      <c r="AW95" s="82"/>
      <c r="AX95" s="82"/>
      <c r="AY95" s="82"/>
      <c r="AZ95" s="82"/>
      <c r="BA95" s="82"/>
      <c r="BB95" s="82"/>
      <c r="BC95" s="82"/>
      <c r="BD95" s="82"/>
      <c r="BE95" s="82"/>
      <c r="BF95" s="82"/>
      <c r="BG95" s="82"/>
      <c r="BH95" s="82"/>
    </row>
    <row r="96" spans="1:86" s="93" customFormat="1">
      <c r="A96" s="159" t="s">
        <v>52</v>
      </c>
      <c r="B96" s="520">
        <f t="shared" ref="B96:B101" si="82">B82/B$85</f>
        <v>0.27600227436087243</v>
      </c>
      <c r="C96" s="521">
        <f t="shared" ref="C96:K96" si="83">C82/C$85</f>
        <v>0.27100211583367134</v>
      </c>
      <c r="D96" s="521">
        <f t="shared" si="83"/>
        <v>0.26800227213143407</v>
      </c>
      <c r="E96" s="521">
        <f t="shared" si="83"/>
        <v>0.2669991326973114</v>
      </c>
      <c r="F96" s="522">
        <f t="shared" si="83"/>
        <v>0.26899892242528989</v>
      </c>
      <c r="G96" s="520">
        <f t="shared" si="83"/>
        <v>0.27000273505712058</v>
      </c>
      <c r="H96" s="521">
        <f t="shared" si="83"/>
        <v>0.27100044853807875</v>
      </c>
      <c r="I96" s="521">
        <f t="shared" si="83"/>
        <v>0.27200190174981653</v>
      </c>
      <c r="J96" s="521">
        <f t="shared" si="83"/>
        <v>0.27300271252367064</v>
      </c>
      <c r="K96" s="522">
        <f t="shared" si="83"/>
        <v>0.2740057263686122</v>
      </c>
      <c r="M96" s="82"/>
      <c r="W96" s="82"/>
      <c r="X96" s="82"/>
      <c r="Y96" s="82"/>
      <c r="Z96" s="82"/>
      <c r="AA96" s="82"/>
      <c r="AB96" s="82"/>
      <c r="AC96" s="82"/>
      <c r="AD96" s="82"/>
      <c r="AE96" s="82"/>
      <c r="AF96" s="82"/>
      <c r="AG96" s="82"/>
      <c r="AH96" s="82"/>
      <c r="AI96" s="82"/>
      <c r="AJ96" s="82"/>
      <c r="AK96" s="82"/>
      <c r="AL96" s="82"/>
      <c r="AM96" s="82"/>
      <c r="AN96" s="82"/>
      <c r="AO96" s="82"/>
      <c r="AP96" s="82"/>
      <c r="AQ96" s="82"/>
      <c r="AR96" s="82"/>
      <c r="AS96" s="82"/>
      <c r="AT96" s="82"/>
      <c r="AU96" s="82"/>
      <c r="AV96" s="82"/>
      <c r="AW96" s="82"/>
      <c r="AX96" s="82"/>
      <c r="AY96" s="82"/>
      <c r="AZ96" s="82"/>
      <c r="BA96" s="82"/>
      <c r="BB96" s="82"/>
      <c r="BC96" s="82"/>
      <c r="BD96" s="82"/>
      <c r="BE96" s="82"/>
      <c r="BF96" s="82"/>
      <c r="BG96" s="82"/>
      <c r="BH96" s="82"/>
    </row>
    <row r="97" spans="1:86" s="93" customFormat="1">
      <c r="A97" s="157" t="s">
        <v>50</v>
      </c>
      <c r="B97" s="523">
        <f>B83/B$82</f>
        <v>0.56998484082870149</v>
      </c>
      <c r="C97" s="524">
        <f t="shared" ref="C97:K97" si="84">C83/C$82</f>
        <v>0.55999190938511323</v>
      </c>
      <c r="D97" s="524">
        <f t="shared" si="84"/>
        <v>0.55298769055188712</v>
      </c>
      <c r="E97" s="524">
        <f t="shared" si="84"/>
        <v>0.54498944291050833</v>
      </c>
      <c r="F97" s="250">
        <f t="shared" si="84"/>
        <v>0.53999920675841828</v>
      </c>
      <c r="G97" s="523">
        <f t="shared" si="84"/>
        <v>0.53800599992207898</v>
      </c>
      <c r="H97" s="524">
        <f t="shared" si="84"/>
        <v>0.53598922247882985</v>
      </c>
      <c r="I97" s="524">
        <f t="shared" si="84"/>
        <v>0.53398943648592168</v>
      </c>
      <c r="J97" s="524">
        <f t="shared" si="84"/>
        <v>0.53200104982940266</v>
      </c>
      <c r="K97" s="250">
        <f t="shared" si="84"/>
        <v>0.53000036923531368</v>
      </c>
      <c r="M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c r="BA97" s="82"/>
      <c r="BB97" s="82"/>
      <c r="BC97" s="82"/>
      <c r="BD97" s="82"/>
      <c r="BE97" s="82"/>
      <c r="BF97" s="82"/>
      <c r="BG97" s="82"/>
      <c r="BH97" s="82"/>
    </row>
    <row r="98" spans="1:86" s="93" customFormat="1">
      <c r="A98" s="157" t="s">
        <v>79</v>
      </c>
      <c r="B98" s="523">
        <f>B84/B$82</f>
        <v>0.43001515917129862</v>
      </c>
      <c r="C98" s="524">
        <f t="shared" ref="C98:K98" si="85">C84/C$82</f>
        <v>0.44000809061488677</v>
      </c>
      <c r="D98" s="524">
        <f t="shared" si="85"/>
        <v>0.44701230944811282</v>
      </c>
      <c r="E98" s="524">
        <f t="shared" si="85"/>
        <v>0.45501055708949156</v>
      </c>
      <c r="F98" s="250">
        <f t="shared" si="85"/>
        <v>0.46000079324158166</v>
      </c>
      <c r="G98" s="523">
        <f t="shared" si="85"/>
        <v>0.46199400007792107</v>
      </c>
      <c r="H98" s="524">
        <f t="shared" si="85"/>
        <v>0.46401077752117015</v>
      </c>
      <c r="I98" s="524">
        <f t="shared" si="85"/>
        <v>0.46601056351407844</v>
      </c>
      <c r="J98" s="524">
        <f t="shared" si="85"/>
        <v>0.46799895017059723</v>
      </c>
      <c r="K98" s="250">
        <f t="shared" si="85"/>
        <v>0.46999963076468632</v>
      </c>
      <c r="M98" s="82"/>
      <c r="W98" s="82"/>
      <c r="X98" s="82"/>
      <c r="Y98" s="82"/>
      <c r="Z98" s="82"/>
      <c r="AA98" s="82"/>
      <c r="AB98" s="82"/>
      <c r="AC98" s="82"/>
      <c r="AD98" s="82"/>
      <c r="AE98" s="82"/>
      <c r="AF98" s="82"/>
      <c r="AG98" s="82"/>
      <c r="AH98" s="82"/>
      <c r="AI98" s="82"/>
      <c r="AJ98" s="82"/>
      <c r="AK98" s="82"/>
      <c r="AL98" s="82"/>
      <c r="AM98" s="82"/>
      <c r="AN98" s="82"/>
      <c r="AO98" s="82"/>
      <c r="AP98" s="82"/>
      <c r="AQ98" s="82"/>
      <c r="AR98" s="82"/>
      <c r="AS98" s="82"/>
      <c r="AT98" s="82"/>
      <c r="AU98" s="82"/>
      <c r="AV98" s="82"/>
      <c r="AW98" s="82"/>
      <c r="AX98" s="82"/>
      <c r="AY98" s="82"/>
      <c r="AZ98" s="82"/>
      <c r="BA98" s="82"/>
      <c r="BB98" s="82"/>
      <c r="BC98" s="82"/>
      <c r="BD98" s="82"/>
      <c r="BE98" s="82"/>
      <c r="BF98" s="82"/>
      <c r="BG98" s="82"/>
      <c r="BH98" s="82"/>
    </row>
    <row r="99" spans="1:86" s="113" customFormat="1" ht="12.75">
      <c r="A99" s="159" t="s">
        <v>80</v>
      </c>
      <c r="B99" s="520">
        <f>B93+B96</f>
        <v>1</v>
      </c>
      <c r="C99" s="521">
        <f t="shared" ref="C99:K99" si="86">C93+C96</f>
        <v>1</v>
      </c>
      <c r="D99" s="521">
        <f t="shared" si="86"/>
        <v>1</v>
      </c>
      <c r="E99" s="521">
        <f t="shared" si="86"/>
        <v>1</v>
      </c>
      <c r="F99" s="522">
        <f t="shared" si="86"/>
        <v>0.99999999999999989</v>
      </c>
      <c r="G99" s="520">
        <f t="shared" si="86"/>
        <v>0.99999999999999989</v>
      </c>
      <c r="H99" s="521">
        <f t="shared" si="86"/>
        <v>0.99999999999999978</v>
      </c>
      <c r="I99" s="521">
        <f t="shared" si="86"/>
        <v>1</v>
      </c>
      <c r="J99" s="521">
        <f t="shared" si="86"/>
        <v>1</v>
      </c>
      <c r="K99" s="522">
        <f t="shared" si="86"/>
        <v>1</v>
      </c>
      <c r="M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row>
    <row r="100" spans="1:86" s="93" customFormat="1">
      <c r="A100" s="157" t="s">
        <v>50</v>
      </c>
      <c r="B100" s="523">
        <f t="shared" si="82"/>
        <v>0.60692178129660024</v>
      </c>
      <c r="C100" s="524">
        <f t="shared" ref="C100:K100" si="87">C86/C$85</f>
        <v>0.6037361456746001</v>
      </c>
      <c r="D100" s="524">
        <f t="shared" si="87"/>
        <v>0.60130647557458705</v>
      </c>
      <c r="E100" s="524">
        <f t="shared" si="87"/>
        <v>0.59850390286209887</v>
      </c>
      <c r="F100" s="250">
        <f t="shared" si="87"/>
        <v>0.59701906560402851</v>
      </c>
      <c r="G100" s="523">
        <f t="shared" si="87"/>
        <v>0.59640024405125069</v>
      </c>
      <c r="H100" s="524">
        <f t="shared" si="87"/>
        <v>0.59577331094119979</v>
      </c>
      <c r="I100" s="524">
        <f t="shared" si="87"/>
        <v>0.59442084483168478</v>
      </c>
      <c r="J100" s="524">
        <f t="shared" si="87"/>
        <v>0.59379702134193157</v>
      </c>
      <c r="K100" s="250">
        <f t="shared" si="87"/>
        <v>0.59243633714754007</v>
      </c>
      <c r="M100" s="82"/>
      <c r="W100" s="82"/>
      <c r="X100" s="82"/>
      <c r="Y100" s="82"/>
      <c r="Z100" s="82"/>
      <c r="AA100" s="82"/>
      <c r="AB100" s="82"/>
      <c r="AC100" s="82"/>
      <c r="AD100" s="82"/>
      <c r="AE100" s="82"/>
      <c r="AF100" s="82"/>
      <c r="AG100" s="82"/>
      <c r="AH100" s="82"/>
      <c r="AI100" s="82"/>
      <c r="AJ100" s="82"/>
      <c r="AK100" s="82"/>
      <c r="AL100" s="82"/>
      <c r="AM100" s="82"/>
      <c r="AN100" s="82"/>
      <c r="AO100" s="82"/>
      <c r="AP100" s="82"/>
      <c r="AQ100" s="82"/>
      <c r="AR100" s="82"/>
      <c r="AS100" s="82"/>
      <c r="AT100" s="82"/>
      <c r="AU100" s="82"/>
      <c r="AV100" s="82"/>
      <c r="AW100" s="82"/>
      <c r="AX100" s="82"/>
      <c r="AY100" s="82"/>
      <c r="AZ100" s="82"/>
      <c r="BA100" s="82"/>
      <c r="BB100" s="82"/>
      <c r="BC100" s="82"/>
      <c r="BD100" s="82"/>
      <c r="BE100" s="82"/>
      <c r="BF100" s="82"/>
      <c r="BG100" s="82"/>
      <c r="BH100" s="82"/>
    </row>
    <row r="101" spans="1:86" s="93" customFormat="1" ht="14.25" thickBot="1">
      <c r="A101" s="162" t="s">
        <v>79</v>
      </c>
      <c r="B101" s="531">
        <f t="shared" si="82"/>
        <v>0.39307821870339976</v>
      </c>
      <c r="C101" s="532">
        <f t="shared" ref="C101:K101" si="88">C87/C$85</f>
        <v>0.3962638543253999</v>
      </c>
      <c r="D101" s="532">
        <f t="shared" si="88"/>
        <v>0.39869352442541295</v>
      </c>
      <c r="E101" s="532">
        <f t="shared" si="88"/>
        <v>0.40149609713790113</v>
      </c>
      <c r="F101" s="533">
        <f t="shared" si="88"/>
        <v>0.40298093439597132</v>
      </c>
      <c r="G101" s="531">
        <f t="shared" si="88"/>
        <v>0.40359975594874919</v>
      </c>
      <c r="H101" s="532">
        <f t="shared" si="88"/>
        <v>0.40422668905880016</v>
      </c>
      <c r="I101" s="532">
        <f t="shared" si="88"/>
        <v>0.40557915516831522</v>
      </c>
      <c r="J101" s="532">
        <f t="shared" si="88"/>
        <v>0.40620297865806843</v>
      </c>
      <c r="K101" s="533">
        <f t="shared" si="88"/>
        <v>0.40756366285245998</v>
      </c>
      <c r="M101" s="82"/>
      <c r="W101" s="82"/>
      <c r="X101" s="82"/>
      <c r="Y101" s="82"/>
      <c r="Z101" s="82"/>
      <c r="AA101" s="82"/>
      <c r="AB101" s="82"/>
      <c r="AC101" s="82"/>
      <c r="AD101" s="82"/>
      <c r="AE101" s="82"/>
      <c r="AF101" s="82"/>
      <c r="AG101" s="82"/>
      <c r="AH101" s="82"/>
      <c r="AI101" s="82"/>
      <c r="AJ101" s="82"/>
      <c r="AK101" s="82"/>
      <c r="AL101" s="82"/>
      <c r="AM101" s="82"/>
      <c r="AN101" s="82"/>
      <c r="AO101" s="82"/>
      <c r="AP101" s="82"/>
      <c r="AQ101" s="82"/>
      <c r="AR101" s="82"/>
      <c r="AS101" s="82"/>
      <c r="AT101" s="82"/>
      <c r="AU101" s="82"/>
      <c r="AV101" s="82"/>
      <c r="AW101" s="82"/>
      <c r="AX101" s="82"/>
      <c r="AY101" s="82"/>
      <c r="AZ101" s="82"/>
      <c r="BA101" s="82"/>
      <c r="BB101" s="82"/>
      <c r="BC101" s="82"/>
      <c r="BD101" s="82"/>
      <c r="BE101" s="82"/>
      <c r="BF101" s="82"/>
      <c r="BG101" s="82"/>
      <c r="BH101" s="82"/>
    </row>
    <row r="102" spans="1:86" s="14" customFormat="1">
      <c r="B102" s="244"/>
      <c r="C102" s="244"/>
      <c r="D102" s="244"/>
      <c r="E102" s="244"/>
      <c r="F102" s="244"/>
      <c r="G102" s="244"/>
      <c r="H102" s="244"/>
      <c r="I102" s="244"/>
      <c r="J102" s="244"/>
      <c r="K102" s="244"/>
      <c r="N102" s="9"/>
      <c r="O102" s="9"/>
      <c r="P102" s="9"/>
      <c r="Q102" s="9"/>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row>
    <row r="103" spans="1:86" s="21" customFormat="1" ht="14.25" thickBot="1">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row>
    <row r="105" spans="1:86" s="14" customFormat="1">
      <c r="A105" s="32" t="s">
        <v>399</v>
      </c>
      <c r="B105" s="7" t="s">
        <v>220</v>
      </c>
      <c r="N105" s="9"/>
      <c r="O105" s="9"/>
      <c r="P105" s="9"/>
      <c r="Q105" s="9"/>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row>
    <row r="106" spans="1:86" s="14" customFormat="1" ht="14.25" thickBot="1">
      <c r="A106" s="16"/>
      <c r="B106" s="16"/>
      <c r="C106" s="16"/>
      <c r="D106" s="16"/>
      <c r="E106" s="16"/>
      <c r="F106" s="16"/>
      <c r="N106" s="9"/>
      <c r="O106" s="9"/>
      <c r="P106" s="9"/>
      <c r="Q106" s="9"/>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row>
    <row r="107" spans="1:86" s="93" customFormat="1" ht="14.25" thickBot="1">
      <c r="A107" s="87"/>
      <c r="B107" s="189">
        <v>2013</v>
      </c>
      <c r="C107" s="190">
        <v>2014</v>
      </c>
      <c r="D107" s="190">
        <v>2015</v>
      </c>
      <c r="E107" s="190">
        <v>2016</v>
      </c>
      <c r="F107" s="143">
        <v>2017</v>
      </c>
      <c r="H107" s="89" t="s">
        <v>11</v>
      </c>
      <c r="I107" s="2" t="s">
        <v>12</v>
      </c>
      <c r="J107" s="2" t="s">
        <v>13</v>
      </c>
      <c r="K107" s="151" t="s">
        <v>95</v>
      </c>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2"/>
      <c r="BD107" s="82"/>
      <c r="BE107" s="82"/>
      <c r="BF107" s="82"/>
      <c r="BG107" s="82"/>
      <c r="BH107" s="82"/>
      <c r="BI107" s="82"/>
      <c r="BJ107" s="82"/>
      <c r="BK107" s="82"/>
      <c r="BL107" s="82"/>
      <c r="BM107" s="82"/>
      <c r="BN107" s="82"/>
      <c r="BO107" s="82"/>
      <c r="BP107" s="82"/>
      <c r="BQ107" s="82"/>
      <c r="BR107" s="82"/>
      <c r="BS107" s="82"/>
      <c r="BT107" s="82"/>
      <c r="BU107" s="82"/>
      <c r="BV107" s="82"/>
      <c r="BW107" s="82"/>
      <c r="BX107" s="82"/>
      <c r="BY107" s="82"/>
      <c r="BZ107" s="82"/>
      <c r="CA107" s="82"/>
      <c r="CB107" s="82"/>
      <c r="CC107" s="82"/>
      <c r="CD107" s="82"/>
      <c r="CE107" s="82"/>
      <c r="CF107" s="82"/>
      <c r="CG107" s="82"/>
      <c r="CH107" s="82"/>
    </row>
    <row r="108" spans="1:86" s="93" customFormat="1">
      <c r="A108" s="92" t="s">
        <v>329</v>
      </c>
      <c r="B108" s="254">
        <v>8212.1</v>
      </c>
      <c r="C108" s="232">
        <v>8018</v>
      </c>
      <c r="D108" s="232">
        <v>8028.4</v>
      </c>
      <c r="E108" s="232">
        <v>8080.2</v>
      </c>
      <c r="F108" s="421">
        <v>8238.7999999999993</v>
      </c>
      <c r="H108" s="94">
        <f>(C108-B108)/B108</f>
        <v>-2.3635854409956084E-2</v>
      </c>
      <c r="I108" s="95">
        <f t="shared" ref="I108:K110" si="89">(D108-C108)/C108</f>
        <v>1.2970815664753849E-3</v>
      </c>
      <c r="J108" s="95">
        <f t="shared" si="89"/>
        <v>6.4520950625280484E-3</v>
      </c>
      <c r="K108" s="96">
        <f t="shared" si="89"/>
        <v>1.9628227024083494E-2</v>
      </c>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82"/>
      <c r="AS108" s="82"/>
      <c r="AT108" s="82"/>
      <c r="AU108" s="82"/>
      <c r="AV108" s="82"/>
      <c r="AW108" s="82"/>
      <c r="AX108" s="82"/>
      <c r="AY108" s="82"/>
      <c r="AZ108" s="82"/>
      <c r="BA108" s="82"/>
      <c r="BB108" s="82"/>
      <c r="BC108" s="82"/>
      <c r="BD108" s="82"/>
      <c r="BE108" s="82"/>
      <c r="BF108" s="82"/>
      <c r="BG108" s="82"/>
      <c r="BH108" s="82"/>
      <c r="BI108" s="82"/>
      <c r="BJ108" s="82"/>
      <c r="BK108" s="82"/>
      <c r="BL108" s="82"/>
      <c r="BM108" s="82"/>
      <c r="BN108" s="82"/>
      <c r="BO108" s="82"/>
      <c r="BP108" s="82"/>
      <c r="BQ108" s="82"/>
      <c r="BR108" s="82"/>
      <c r="BS108" s="82"/>
      <c r="BT108" s="82"/>
      <c r="BU108" s="82"/>
      <c r="BV108" s="82"/>
      <c r="BW108" s="82"/>
      <c r="BX108" s="82"/>
      <c r="BY108" s="82"/>
      <c r="BZ108" s="82"/>
      <c r="CA108" s="82"/>
      <c r="CB108" s="82"/>
      <c r="CC108" s="82"/>
      <c r="CD108" s="82"/>
      <c r="CE108" s="82"/>
      <c r="CF108" s="82"/>
      <c r="CG108" s="82"/>
      <c r="CH108" s="82"/>
    </row>
    <row r="109" spans="1:86" s="93" customFormat="1">
      <c r="A109" s="97" t="s">
        <v>53</v>
      </c>
      <c r="B109" s="65">
        <v>1109.2</v>
      </c>
      <c r="C109" s="40">
        <v>1103.7</v>
      </c>
      <c r="D109" s="40">
        <v>1126</v>
      </c>
      <c r="E109" s="40">
        <v>1143.8</v>
      </c>
      <c r="F109" s="67">
        <v>1134.0999999999999</v>
      </c>
      <c r="H109" s="98">
        <f t="shared" ref="H109:H110" si="90">(C109-B109)/B109</f>
        <v>-4.9585286693112152E-3</v>
      </c>
      <c r="I109" s="99">
        <f t="shared" si="89"/>
        <v>2.0204765787804616E-2</v>
      </c>
      <c r="J109" s="99">
        <f t="shared" si="89"/>
        <v>1.5808170515097652E-2</v>
      </c>
      <c r="K109" s="100">
        <f t="shared" si="89"/>
        <v>-8.480503584542793E-3</v>
      </c>
      <c r="V109" s="82"/>
      <c r="W109" s="82"/>
      <c r="X109" s="82"/>
      <c r="Y109" s="82"/>
      <c r="Z109" s="82"/>
      <c r="AA109" s="82"/>
      <c r="AB109" s="82"/>
      <c r="AC109" s="82"/>
      <c r="AD109" s="82"/>
      <c r="AE109" s="82"/>
      <c r="AF109" s="82"/>
      <c r="AG109" s="82"/>
      <c r="AH109" s="82"/>
      <c r="AI109" s="82"/>
      <c r="AJ109" s="82"/>
      <c r="AK109" s="82"/>
      <c r="AL109" s="82"/>
      <c r="AM109" s="82"/>
      <c r="AN109" s="82"/>
      <c r="AO109" s="82"/>
      <c r="AP109" s="82"/>
      <c r="AQ109" s="82"/>
      <c r="AR109" s="82"/>
      <c r="AS109" s="82"/>
      <c r="AT109" s="82"/>
      <c r="AU109" s="82"/>
      <c r="AV109" s="82"/>
      <c r="AW109" s="82"/>
      <c r="AX109" s="82"/>
      <c r="AY109" s="82"/>
      <c r="AZ109" s="82"/>
      <c r="BA109" s="82"/>
      <c r="BB109" s="82"/>
      <c r="BC109" s="82"/>
      <c r="BD109" s="82"/>
      <c r="BE109" s="82"/>
      <c r="BF109" s="82"/>
      <c r="BG109" s="82"/>
      <c r="BH109" s="82"/>
      <c r="BI109" s="82"/>
      <c r="BJ109" s="82"/>
      <c r="BK109" s="82"/>
      <c r="BL109" s="82"/>
      <c r="BM109" s="82"/>
      <c r="BN109" s="82"/>
      <c r="BO109" s="82"/>
      <c r="BP109" s="82"/>
      <c r="BQ109" s="82"/>
      <c r="BR109" s="82"/>
      <c r="BS109" s="82"/>
      <c r="BT109" s="82"/>
      <c r="BU109" s="82"/>
      <c r="BV109" s="82"/>
      <c r="BW109" s="82"/>
      <c r="BX109" s="82"/>
      <c r="BY109" s="82"/>
      <c r="BZ109" s="82"/>
      <c r="CA109" s="82"/>
      <c r="CB109" s="82"/>
      <c r="CC109" s="82"/>
      <c r="CD109" s="82"/>
      <c r="CE109" s="82"/>
      <c r="CF109" s="82"/>
      <c r="CG109" s="82"/>
      <c r="CH109" s="82"/>
    </row>
    <row r="110" spans="1:86" s="93" customFormat="1" ht="14.25" thickBot="1">
      <c r="A110" s="123" t="s">
        <v>3</v>
      </c>
      <c r="B110" s="72">
        <f>SUM(B108:B109)</f>
        <v>9321.3000000000011</v>
      </c>
      <c r="C110" s="73">
        <f t="shared" ref="C110:F110" si="91">SUM(C108:C109)</f>
        <v>9121.7000000000007</v>
      </c>
      <c r="D110" s="73">
        <f t="shared" si="91"/>
        <v>9154.4</v>
      </c>
      <c r="E110" s="73">
        <f t="shared" si="91"/>
        <v>9224</v>
      </c>
      <c r="F110" s="74">
        <f t="shared" si="91"/>
        <v>9372.9</v>
      </c>
      <c r="H110" s="124">
        <f t="shared" si="90"/>
        <v>-2.1413322176091355E-2</v>
      </c>
      <c r="I110" s="125">
        <f t="shared" si="89"/>
        <v>3.5848580856637367E-3</v>
      </c>
      <c r="J110" s="125">
        <f t="shared" si="89"/>
        <v>7.6029013370619994E-3</v>
      </c>
      <c r="K110" s="126">
        <f t="shared" si="89"/>
        <v>1.6142671292280968E-2</v>
      </c>
      <c r="N110" s="144"/>
      <c r="V110" s="82"/>
      <c r="W110" s="82"/>
      <c r="X110" s="82"/>
      <c r="Y110" s="82"/>
      <c r="Z110" s="82"/>
      <c r="AA110" s="82"/>
      <c r="AB110" s="82"/>
      <c r="AC110" s="82"/>
      <c r="AD110" s="82"/>
      <c r="AE110" s="82"/>
      <c r="AF110" s="82"/>
      <c r="AG110" s="82"/>
      <c r="AH110" s="82"/>
      <c r="AI110" s="82"/>
      <c r="AJ110" s="82"/>
      <c r="AK110" s="82"/>
      <c r="AL110" s="82"/>
      <c r="AM110" s="82"/>
      <c r="AN110" s="82"/>
      <c r="AO110" s="82"/>
      <c r="AP110" s="82"/>
      <c r="AQ110" s="82"/>
      <c r="AR110" s="82"/>
      <c r="AS110" s="82"/>
      <c r="AT110" s="82"/>
      <c r="AU110" s="82"/>
      <c r="AV110" s="82"/>
      <c r="AW110" s="82"/>
      <c r="AX110" s="82"/>
      <c r="AY110" s="82"/>
      <c r="AZ110" s="82"/>
      <c r="BA110" s="82"/>
      <c r="BB110" s="82"/>
      <c r="BC110" s="82"/>
      <c r="BD110" s="82"/>
      <c r="BE110" s="82"/>
      <c r="BF110" s="82"/>
      <c r="BG110" s="82"/>
      <c r="BH110" s="82"/>
      <c r="BI110" s="82"/>
      <c r="BJ110" s="82"/>
      <c r="BK110" s="82"/>
      <c r="BL110" s="82"/>
      <c r="BM110" s="82"/>
      <c r="BN110" s="82"/>
      <c r="BO110" s="82"/>
      <c r="BP110" s="82"/>
      <c r="BQ110" s="82"/>
      <c r="BR110" s="82"/>
      <c r="BS110" s="82"/>
      <c r="BT110" s="82"/>
      <c r="BU110" s="82"/>
      <c r="BV110" s="82"/>
      <c r="BW110" s="82"/>
      <c r="BX110" s="82"/>
      <c r="BY110" s="82"/>
      <c r="BZ110" s="82"/>
      <c r="CA110" s="82"/>
      <c r="CB110" s="82"/>
      <c r="CC110" s="82"/>
      <c r="CD110" s="82"/>
      <c r="CE110" s="82"/>
      <c r="CF110" s="82"/>
      <c r="CG110" s="82"/>
      <c r="CH110" s="82"/>
    </row>
    <row r="111" spans="1:86" s="14" customFormat="1">
      <c r="A111" s="5" t="s">
        <v>14</v>
      </c>
      <c r="B111" s="546"/>
      <c r="C111" s="546"/>
      <c r="D111" s="546"/>
      <c r="E111" s="546"/>
      <c r="F111" s="546"/>
      <c r="G111" s="60"/>
      <c r="N111" s="9"/>
      <c r="O111" s="9"/>
      <c r="P111" s="9"/>
      <c r="Q111" s="9"/>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row>
    <row r="112" spans="1:86" s="14" customFormat="1">
      <c r="A112" s="5" t="s">
        <v>377</v>
      </c>
      <c r="B112" s="59"/>
      <c r="C112" s="59"/>
      <c r="D112" s="59"/>
      <c r="E112" s="59"/>
      <c r="F112" s="59"/>
      <c r="N112" s="9"/>
      <c r="O112" s="9"/>
      <c r="P112" s="9"/>
      <c r="Q112" s="9"/>
      <c r="R112" s="9"/>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row>
    <row r="113" spans="1:86">
      <c r="A113" s="5"/>
      <c r="B113" s="59"/>
      <c r="C113" s="59"/>
      <c r="D113" s="59"/>
      <c r="E113" s="59"/>
      <c r="F113" s="59"/>
    </row>
    <row r="114" spans="1:86" ht="14.25" thickBot="1">
      <c r="A114" s="5"/>
      <c r="B114" s="59"/>
      <c r="C114" s="59"/>
      <c r="D114" s="59"/>
      <c r="E114" s="59"/>
      <c r="F114" s="59"/>
      <c r="G114" s="59"/>
    </row>
    <row r="115" spans="1:86" s="130" customFormat="1" ht="14.25" thickBot="1">
      <c r="A115" s="145"/>
      <c r="B115" s="333" t="s">
        <v>16</v>
      </c>
      <c r="C115" s="108" t="s">
        <v>17</v>
      </c>
      <c r="D115" s="108" t="s">
        <v>18</v>
      </c>
      <c r="E115" s="108" t="s">
        <v>19</v>
      </c>
      <c r="F115" s="143" t="s">
        <v>94</v>
      </c>
      <c r="V115" s="146"/>
      <c r="W115" s="146"/>
      <c r="X115" s="146"/>
      <c r="Y115" s="146"/>
      <c r="Z115" s="146"/>
      <c r="AA115" s="146"/>
      <c r="AB115" s="146"/>
      <c r="AC115" s="146"/>
      <c r="AD115" s="146"/>
      <c r="AE115" s="146"/>
      <c r="AF115" s="146"/>
      <c r="AG115" s="146"/>
      <c r="AH115" s="146"/>
      <c r="AI115" s="146"/>
      <c r="AJ115" s="146"/>
      <c r="AK115" s="146"/>
      <c r="AL115" s="146"/>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146"/>
      <c r="BJ115" s="146"/>
      <c r="BK115" s="146"/>
      <c r="BL115" s="146"/>
      <c r="BM115" s="146"/>
      <c r="BN115" s="146"/>
      <c r="BO115" s="146"/>
      <c r="BP115" s="146"/>
      <c r="BQ115" s="146"/>
      <c r="BR115" s="146"/>
      <c r="BS115" s="146"/>
      <c r="BT115" s="146"/>
      <c r="BU115" s="146"/>
      <c r="BV115" s="146"/>
      <c r="BW115" s="146"/>
      <c r="BX115" s="146"/>
      <c r="BY115" s="146"/>
      <c r="BZ115" s="146"/>
      <c r="CA115" s="146"/>
      <c r="CB115" s="146"/>
      <c r="CC115" s="146"/>
      <c r="CD115" s="146"/>
      <c r="CE115" s="146"/>
      <c r="CF115" s="146"/>
      <c r="CG115" s="146"/>
      <c r="CH115" s="146"/>
    </row>
    <row r="116" spans="1:86" s="130" customFormat="1">
      <c r="A116" s="92" t="s">
        <v>329</v>
      </c>
      <c r="B116" s="534">
        <f>B108/B$110</f>
        <v>0.8810037226567109</v>
      </c>
      <c r="C116" s="535">
        <f t="shared" ref="C116:F116" si="92">C108/C$110</f>
        <v>0.87900281745727216</v>
      </c>
      <c r="D116" s="535">
        <f t="shared" si="92"/>
        <v>0.87699903871362406</v>
      </c>
      <c r="E116" s="535">
        <f t="shared" si="92"/>
        <v>0.87599739809193411</v>
      </c>
      <c r="F116" s="251">
        <f t="shared" si="92"/>
        <v>0.87900222983281584</v>
      </c>
      <c r="V116" s="146"/>
      <c r="W116" s="146"/>
      <c r="X116" s="146"/>
      <c r="Y116" s="146"/>
      <c r="Z116" s="146"/>
      <c r="AA116" s="146"/>
      <c r="AB116" s="146"/>
      <c r="AC116" s="146"/>
      <c r="AD116" s="146"/>
      <c r="AE116" s="146"/>
      <c r="AF116" s="146"/>
      <c r="AG116" s="146"/>
      <c r="AH116" s="146"/>
      <c r="AI116" s="146"/>
      <c r="AJ116" s="146"/>
      <c r="AK116" s="146"/>
      <c r="AL116" s="146"/>
      <c r="AM116" s="146"/>
      <c r="AN116" s="146"/>
      <c r="AO116" s="146"/>
      <c r="AP116" s="146"/>
      <c r="AQ116" s="146"/>
      <c r="AR116" s="146"/>
      <c r="AS116" s="146"/>
      <c r="AT116" s="146"/>
      <c r="AU116" s="146"/>
      <c r="AV116" s="146"/>
      <c r="AW116" s="146"/>
      <c r="AX116" s="146"/>
      <c r="AY116" s="146"/>
      <c r="AZ116" s="146"/>
      <c r="BA116" s="146"/>
      <c r="BB116" s="146"/>
      <c r="BC116" s="146"/>
      <c r="BD116" s="146"/>
      <c r="BE116" s="146"/>
      <c r="BF116" s="146"/>
      <c r="BG116" s="146"/>
      <c r="BH116" s="146"/>
      <c r="BI116" s="146"/>
      <c r="BJ116" s="146"/>
      <c r="BK116" s="146"/>
      <c r="BL116" s="146"/>
      <c r="BM116" s="146"/>
      <c r="BN116" s="146"/>
      <c r="BO116" s="146"/>
      <c r="BP116" s="146"/>
      <c r="BQ116" s="146"/>
      <c r="BR116" s="146"/>
      <c r="BS116" s="146"/>
      <c r="BT116" s="146"/>
      <c r="BU116" s="146"/>
      <c r="BV116" s="146"/>
      <c r="BW116" s="146"/>
      <c r="BX116" s="146"/>
      <c r="BY116" s="146"/>
      <c r="BZ116" s="146"/>
      <c r="CA116" s="146"/>
      <c r="CB116" s="146"/>
      <c r="CC116" s="146"/>
      <c r="CD116" s="146"/>
      <c r="CE116" s="146"/>
      <c r="CF116" s="146"/>
      <c r="CG116" s="146"/>
      <c r="CH116" s="146"/>
    </row>
    <row r="117" spans="1:86" s="130" customFormat="1">
      <c r="A117" s="97" t="s">
        <v>53</v>
      </c>
      <c r="B117" s="523">
        <f>B109/B$110</f>
        <v>0.11899627734328902</v>
      </c>
      <c r="C117" s="524">
        <f t="shared" ref="C117:F117" si="93">C109/C$110</f>
        <v>0.12099718254272777</v>
      </c>
      <c r="D117" s="524">
        <f t="shared" si="93"/>
        <v>0.12300096128637596</v>
      </c>
      <c r="E117" s="524">
        <f t="shared" si="93"/>
        <v>0.1240026019080659</v>
      </c>
      <c r="F117" s="250">
        <f t="shared" si="93"/>
        <v>0.1209977701671841</v>
      </c>
      <c r="V117" s="146"/>
      <c r="W117" s="146"/>
      <c r="X117" s="146"/>
      <c r="Y117" s="146"/>
      <c r="Z117" s="146"/>
      <c r="AA117" s="146"/>
      <c r="AB117" s="146"/>
      <c r="AC117" s="146"/>
      <c r="AD117" s="146"/>
      <c r="AE117" s="146"/>
      <c r="AF117" s="146"/>
      <c r="AG117" s="146"/>
      <c r="AH117" s="146"/>
      <c r="AI117" s="146"/>
      <c r="AJ117" s="146"/>
      <c r="AK117" s="146"/>
      <c r="AL117" s="146"/>
      <c r="AM117" s="146"/>
      <c r="AN117" s="146"/>
      <c r="AO117" s="146"/>
      <c r="AP117" s="146"/>
      <c r="AQ117" s="146"/>
      <c r="AR117" s="146"/>
      <c r="AS117" s="146"/>
      <c r="AT117" s="146"/>
      <c r="AU117" s="146"/>
      <c r="AV117" s="146"/>
      <c r="AW117" s="146"/>
      <c r="AX117" s="146"/>
      <c r="AY117" s="146"/>
      <c r="AZ117" s="146"/>
      <c r="BA117" s="146"/>
      <c r="BB117" s="146"/>
      <c r="BC117" s="146"/>
      <c r="BD117" s="146"/>
      <c r="BE117" s="146"/>
      <c r="BF117" s="146"/>
      <c r="BG117" s="146"/>
      <c r="BH117" s="146"/>
      <c r="BI117" s="146"/>
      <c r="BJ117" s="146"/>
      <c r="BK117" s="146"/>
      <c r="BL117" s="146"/>
      <c r="BM117" s="146"/>
      <c r="BN117" s="146"/>
      <c r="BO117" s="146"/>
      <c r="BP117" s="146"/>
      <c r="BQ117" s="146"/>
      <c r="BR117" s="146"/>
      <c r="BS117" s="146"/>
      <c r="BT117" s="146"/>
      <c r="BU117" s="146"/>
      <c r="BV117" s="146"/>
      <c r="BW117" s="146"/>
      <c r="BX117" s="146"/>
      <c r="BY117" s="146"/>
      <c r="BZ117" s="146"/>
      <c r="CA117" s="146"/>
      <c r="CB117" s="146"/>
      <c r="CC117" s="146"/>
      <c r="CD117" s="146"/>
      <c r="CE117" s="146"/>
      <c r="CF117" s="146"/>
      <c r="CG117" s="146"/>
      <c r="CH117" s="146"/>
    </row>
    <row r="118" spans="1:86" s="130" customFormat="1" ht="14.25" thickBot="1">
      <c r="A118" s="123" t="s">
        <v>3</v>
      </c>
      <c r="B118" s="147">
        <f>SUM(B116:B117)</f>
        <v>0.99999999999999989</v>
      </c>
      <c r="C118" s="148">
        <f t="shared" ref="C118:F118" si="94">SUM(C116:C117)</f>
        <v>0.99999999999999989</v>
      </c>
      <c r="D118" s="148">
        <f t="shared" si="94"/>
        <v>1</v>
      </c>
      <c r="E118" s="148">
        <f t="shared" si="94"/>
        <v>1</v>
      </c>
      <c r="F118" s="149">
        <f t="shared" si="94"/>
        <v>1</v>
      </c>
      <c r="V118" s="146"/>
      <c r="W118" s="146"/>
      <c r="X118" s="146"/>
      <c r="Y118" s="146"/>
      <c r="Z118" s="146"/>
      <c r="AA118" s="146"/>
      <c r="AB118" s="146"/>
      <c r="AC118" s="146"/>
      <c r="AD118" s="146"/>
      <c r="AE118" s="146"/>
      <c r="AF118" s="146"/>
      <c r="AG118" s="146"/>
      <c r="AH118" s="146"/>
      <c r="AI118" s="146"/>
      <c r="AJ118" s="146"/>
      <c r="AK118" s="146"/>
      <c r="AL118" s="146"/>
      <c r="AM118" s="146"/>
      <c r="AN118" s="146"/>
      <c r="AO118" s="146"/>
      <c r="AP118" s="146"/>
      <c r="AQ118" s="146"/>
      <c r="AR118" s="146"/>
      <c r="AS118" s="146"/>
      <c r="AT118" s="146"/>
      <c r="AU118" s="146"/>
      <c r="AV118" s="146"/>
      <c r="AW118" s="146"/>
      <c r="AX118" s="146"/>
      <c r="AY118" s="146"/>
      <c r="AZ118" s="146"/>
      <c r="BA118" s="146"/>
      <c r="BB118" s="146"/>
      <c r="BC118" s="146"/>
      <c r="BD118" s="146"/>
      <c r="BE118" s="146"/>
      <c r="BF118" s="146"/>
      <c r="BG118" s="146"/>
      <c r="BH118" s="146"/>
      <c r="BI118" s="146"/>
      <c r="BJ118" s="146"/>
      <c r="BK118" s="146"/>
      <c r="BL118" s="146"/>
      <c r="BM118" s="146"/>
      <c r="BN118" s="146"/>
      <c r="BO118" s="146"/>
      <c r="BP118" s="146"/>
      <c r="BQ118" s="146"/>
      <c r="BR118" s="146"/>
      <c r="BS118" s="146"/>
      <c r="BT118" s="146"/>
      <c r="BU118" s="146"/>
      <c r="BV118" s="146"/>
      <c r="BW118" s="146"/>
      <c r="BX118" s="146"/>
      <c r="BY118" s="146"/>
      <c r="BZ118" s="146"/>
      <c r="CA118" s="146"/>
      <c r="CB118" s="146"/>
      <c r="CC118" s="146"/>
      <c r="CD118" s="146"/>
      <c r="CE118" s="146"/>
      <c r="CF118" s="146"/>
      <c r="CG118" s="146"/>
      <c r="CH118" s="146"/>
    </row>
    <row r="119" spans="1:86">
      <c r="A119" s="5"/>
      <c r="B119" s="59"/>
      <c r="C119" s="59"/>
      <c r="D119" s="59"/>
      <c r="E119" s="59"/>
      <c r="F119" s="59"/>
      <c r="G119" s="59"/>
    </row>
    <row r="120" spans="1:86" s="17" customFormat="1"/>
    <row r="121" spans="1:86" s="502" customFormat="1" ht="21.75" customHeight="1">
      <c r="A121" s="501" t="s">
        <v>339</v>
      </c>
    </row>
    <row r="122" spans="1:86" s="17" customFormat="1"/>
    <row r="123" spans="1:86" s="14" customFormat="1">
      <c r="A123" s="32" t="s">
        <v>400</v>
      </c>
      <c r="B123" s="7" t="s">
        <v>215</v>
      </c>
      <c r="L123" s="15"/>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row>
    <row r="124" spans="1:86" s="16" customFormat="1" ht="14.25" thickBot="1">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c r="BL124" s="45"/>
      <c r="BM124" s="45"/>
      <c r="BN124" s="45"/>
      <c r="BO124" s="45"/>
      <c r="BP124" s="45"/>
      <c r="BQ124" s="45"/>
      <c r="BR124" s="45"/>
      <c r="BS124" s="45"/>
      <c r="BT124" s="45"/>
      <c r="BU124" s="45"/>
      <c r="BV124" s="45"/>
      <c r="BW124" s="45"/>
      <c r="BX124" s="45"/>
      <c r="BY124" s="45"/>
      <c r="BZ124" s="45"/>
      <c r="CA124" s="45"/>
      <c r="CB124" s="45"/>
      <c r="CC124" s="45"/>
      <c r="CD124" s="45"/>
      <c r="CE124" s="45"/>
      <c r="CF124" s="45"/>
      <c r="CG124" s="45"/>
      <c r="CH124" s="45"/>
    </row>
    <row r="125" spans="1:86" s="93" customFormat="1" ht="13.5" customHeight="1" thickBot="1">
      <c r="B125" s="189">
        <v>2013</v>
      </c>
      <c r="C125" s="190">
        <v>2014</v>
      </c>
      <c r="D125" s="190">
        <v>2015</v>
      </c>
      <c r="E125" s="190">
        <v>2016</v>
      </c>
      <c r="F125" s="143">
        <v>2017</v>
      </c>
      <c r="G125" s="242">
        <v>2018</v>
      </c>
      <c r="H125" s="242">
        <v>2019</v>
      </c>
      <c r="I125" s="242">
        <v>2020</v>
      </c>
      <c r="J125" s="242">
        <v>2021</v>
      </c>
      <c r="K125" s="243">
        <v>2022</v>
      </c>
      <c r="M125" s="89" t="s">
        <v>11</v>
      </c>
      <c r="N125" s="2" t="s">
        <v>12</v>
      </c>
      <c r="O125" s="2" t="s">
        <v>13</v>
      </c>
      <c r="P125" s="151" t="s">
        <v>95</v>
      </c>
      <c r="Q125" s="90" t="s">
        <v>99</v>
      </c>
      <c r="R125" s="90" t="s">
        <v>100</v>
      </c>
      <c r="S125" s="90" t="s">
        <v>208</v>
      </c>
      <c r="T125" s="90" t="s">
        <v>209</v>
      </c>
      <c r="U125" s="91" t="s">
        <v>210</v>
      </c>
    </row>
    <row r="126" spans="1:86" s="93" customFormat="1">
      <c r="A126" s="176" t="s">
        <v>6</v>
      </c>
      <c r="B126" s="85">
        <v>3240.4</v>
      </c>
      <c r="C126" s="86">
        <v>3206.4</v>
      </c>
      <c r="D126" s="86">
        <v>3266.7</v>
      </c>
      <c r="E126" s="86">
        <v>3314.8</v>
      </c>
      <c r="F126" s="165">
        <v>3379.6</v>
      </c>
      <c r="G126" s="86">
        <v>3444.6</v>
      </c>
      <c r="H126" s="86">
        <v>3482</v>
      </c>
      <c r="I126" s="86">
        <v>3518.2</v>
      </c>
      <c r="J126" s="86">
        <v>3556.6</v>
      </c>
      <c r="K126" s="165">
        <v>3598.6</v>
      </c>
      <c r="M126" s="94">
        <f t="shared" ref="M126:U128" si="95">(C126-B126)/B126</f>
        <v>-1.0492531786199234E-2</v>
      </c>
      <c r="N126" s="95">
        <f t="shared" si="95"/>
        <v>1.8806137724550812E-2</v>
      </c>
      <c r="O126" s="95">
        <f t="shared" si="95"/>
        <v>1.472433954755575E-2</v>
      </c>
      <c r="P126" s="96">
        <f t="shared" si="95"/>
        <v>1.9548690720405371E-2</v>
      </c>
      <c r="Q126" s="95">
        <f t="shared" si="95"/>
        <v>1.9233045330808381E-2</v>
      </c>
      <c r="R126" s="95">
        <f t="shared" si="95"/>
        <v>1.0857574174069585E-2</v>
      </c>
      <c r="S126" s="95">
        <f t="shared" si="95"/>
        <v>1.0396323951751815E-2</v>
      </c>
      <c r="T126" s="95">
        <f t="shared" si="95"/>
        <v>1.0914672275595502E-2</v>
      </c>
      <c r="U126" s="96">
        <f t="shared" si="95"/>
        <v>1.1809031097115223E-2</v>
      </c>
      <c r="V126" s="82"/>
      <c r="W126" s="82"/>
      <c r="X126" s="82"/>
      <c r="Y126" s="82"/>
      <c r="Z126" s="82"/>
      <c r="AA126" s="82"/>
      <c r="AB126" s="82"/>
      <c r="AC126" s="82"/>
      <c r="AD126" s="82"/>
      <c r="AE126" s="82"/>
      <c r="AF126" s="82"/>
      <c r="AG126" s="82"/>
      <c r="AH126" s="82"/>
      <c r="AI126" s="82"/>
      <c r="AJ126" s="82"/>
      <c r="AK126" s="82"/>
      <c r="AL126" s="82"/>
      <c r="AM126" s="82"/>
      <c r="AN126" s="82"/>
      <c r="AO126" s="82"/>
      <c r="AP126" s="82"/>
      <c r="AQ126" s="82"/>
      <c r="AR126" s="82"/>
      <c r="AS126" s="82"/>
      <c r="AT126" s="82"/>
      <c r="AU126" s="82"/>
      <c r="AV126" s="82"/>
      <c r="AW126" s="82"/>
      <c r="AX126" s="82"/>
      <c r="AY126" s="82"/>
      <c r="AZ126" s="82"/>
      <c r="BA126" s="82"/>
      <c r="BB126" s="82"/>
      <c r="BC126" s="82"/>
      <c r="BD126" s="82"/>
      <c r="BE126" s="82"/>
      <c r="BF126" s="82"/>
      <c r="BG126" s="82"/>
      <c r="BH126" s="82"/>
      <c r="BI126" s="82"/>
      <c r="BJ126" s="82"/>
      <c r="BK126" s="82"/>
      <c r="BL126" s="82"/>
      <c r="BM126" s="82"/>
      <c r="BN126" s="82"/>
      <c r="BO126" s="82"/>
      <c r="BP126" s="82"/>
      <c r="BQ126" s="82"/>
      <c r="BR126" s="82"/>
      <c r="BS126" s="82"/>
      <c r="BT126" s="82"/>
      <c r="BU126" s="82"/>
      <c r="BV126" s="82"/>
      <c r="BW126" s="82"/>
      <c r="BX126" s="82"/>
      <c r="BY126" s="82"/>
      <c r="BZ126" s="82"/>
      <c r="CA126" s="82"/>
      <c r="CB126" s="82"/>
      <c r="CC126" s="82"/>
      <c r="CD126" s="82"/>
      <c r="CE126" s="82"/>
      <c r="CF126" s="82"/>
      <c r="CG126" s="82"/>
      <c r="CH126" s="82"/>
    </row>
    <row r="127" spans="1:86" s="93" customFormat="1">
      <c r="A127" s="157" t="s">
        <v>7</v>
      </c>
      <c r="B127" s="76">
        <v>654.4</v>
      </c>
      <c r="C127" s="66">
        <v>624.5</v>
      </c>
      <c r="D127" s="66">
        <v>599.20000000000005</v>
      </c>
      <c r="E127" s="66">
        <v>580.4</v>
      </c>
      <c r="F127" s="71">
        <v>568.5</v>
      </c>
      <c r="G127" s="66">
        <v>565.4</v>
      </c>
      <c r="H127" s="66">
        <v>562.1</v>
      </c>
      <c r="I127" s="66">
        <v>563.20000000000005</v>
      </c>
      <c r="J127" s="66">
        <v>564.6</v>
      </c>
      <c r="K127" s="71">
        <v>566.4</v>
      </c>
      <c r="M127" s="98">
        <f t="shared" si="95"/>
        <v>-4.5690709046454732E-2</v>
      </c>
      <c r="N127" s="99">
        <f t="shared" si="95"/>
        <v>-4.0512409927942278E-2</v>
      </c>
      <c r="O127" s="99">
        <f t="shared" si="95"/>
        <v>-3.1375166889185693E-2</v>
      </c>
      <c r="P127" s="100">
        <f t="shared" si="95"/>
        <v>-2.0503101309441725E-2</v>
      </c>
      <c r="Q127" s="99">
        <f t="shared" si="95"/>
        <v>-5.4529463500440157E-3</v>
      </c>
      <c r="R127" s="99">
        <f t="shared" si="95"/>
        <v>-5.8365758754863007E-3</v>
      </c>
      <c r="S127" s="99">
        <f t="shared" si="95"/>
        <v>1.9569471624266547E-3</v>
      </c>
      <c r="T127" s="99">
        <f t="shared" si="95"/>
        <v>2.4857954545454142E-3</v>
      </c>
      <c r="U127" s="100">
        <f t="shared" si="95"/>
        <v>3.1880977683314813E-3</v>
      </c>
      <c r="V127" s="82"/>
      <c r="W127" s="82"/>
      <c r="X127" s="82"/>
      <c r="Y127" s="82"/>
      <c r="Z127" s="82"/>
      <c r="AA127" s="82"/>
      <c r="AB127" s="82"/>
      <c r="AC127" s="82"/>
      <c r="AD127" s="82"/>
      <c r="AE127" s="82"/>
      <c r="AF127" s="82"/>
      <c r="AG127" s="82"/>
      <c r="AH127" s="82"/>
      <c r="AI127" s="82"/>
      <c r="AJ127" s="82"/>
      <c r="AK127" s="82"/>
      <c r="AL127" s="82"/>
      <c r="AM127" s="82"/>
      <c r="AN127" s="82"/>
      <c r="AO127" s="82"/>
      <c r="AP127" s="82"/>
      <c r="AQ127" s="82"/>
      <c r="AR127" s="82"/>
      <c r="AS127" s="82"/>
      <c r="AT127" s="82"/>
      <c r="AU127" s="82"/>
      <c r="AV127" s="82"/>
      <c r="AW127" s="82"/>
      <c r="AX127" s="82"/>
      <c r="AY127" s="82"/>
      <c r="AZ127" s="82"/>
      <c r="BA127" s="82"/>
      <c r="BB127" s="82"/>
      <c r="BC127" s="82"/>
      <c r="BD127" s="82"/>
      <c r="BE127" s="82"/>
      <c r="BF127" s="82"/>
      <c r="BG127" s="82"/>
      <c r="BH127" s="82"/>
      <c r="BI127" s="82"/>
      <c r="BJ127" s="82"/>
      <c r="BK127" s="82"/>
      <c r="BL127" s="82"/>
      <c r="BM127" s="82"/>
      <c r="BN127" s="82"/>
      <c r="BO127" s="82"/>
      <c r="BP127" s="82"/>
      <c r="BQ127" s="82"/>
      <c r="BR127" s="82"/>
      <c r="BS127" s="82"/>
      <c r="BT127" s="82"/>
      <c r="BU127" s="82"/>
      <c r="BV127" s="82"/>
      <c r="BW127" s="82"/>
      <c r="BX127" s="82"/>
      <c r="BY127" s="82"/>
      <c r="BZ127" s="82"/>
      <c r="CA127" s="82"/>
      <c r="CB127" s="82"/>
      <c r="CC127" s="82"/>
      <c r="CD127" s="82"/>
      <c r="CE127" s="82"/>
      <c r="CF127" s="82"/>
      <c r="CG127" s="82"/>
      <c r="CH127" s="82"/>
    </row>
    <row r="128" spans="1:86" s="113" customFormat="1" thickBot="1">
      <c r="A128" s="181" t="s">
        <v>3</v>
      </c>
      <c r="B128" s="72">
        <f t="shared" ref="B128:K128" si="96">SUM(B126:B127)</f>
        <v>3894.8</v>
      </c>
      <c r="C128" s="73">
        <f t="shared" si="96"/>
        <v>3830.9</v>
      </c>
      <c r="D128" s="73">
        <f t="shared" si="96"/>
        <v>3865.8999999999996</v>
      </c>
      <c r="E128" s="73">
        <f t="shared" si="96"/>
        <v>3895.2000000000003</v>
      </c>
      <c r="F128" s="74">
        <f t="shared" si="96"/>
        <v>3948.1</v>
      </c>
      <c r="G128" s="73">
        <f t="shared" si="96"/>
        <v>4010</v>
      </c>
      <c r="H128" s="73">
        <f t="shared" si="96"/>
        <v>4044.1</v>
      </c>
      <c r="I128" s="73">
        <f t="shared" si="96"/>
        <v>4081.3999999999996</v>
      </c>
      <c r="J128" s="73">
        <f t="shared" si="96"/>
        <v>4121.2</v>
      </c>
      <c r="K128" s="74">
        <f t="shared" si="96"/>
        <v>4165</v>
      </c>
      <c r="M128" s="124">
        <f t="shared" si="95"/>
        <v>-1.6406490705556147E-2</v>
      </c>
      <c r="N128" s="125">
        <f t="shared" si="95"/>
        <v>9.1362343052545213E-3</v>
      </c>
      <c r="O128" s="125">
        <f t="shared" si="95"/>
        <v>7.5790889572934219E-3</v>
      </c>
      <c r="P128" s="126">
        <f t="shared" si="95"/>
        <v>1.3580817416307156E-2</v>
      </c>
      <c r="Q128" s="125">
        <f t="shared" si="95"/>
        <v>1.5678427598085177E-2</v>
      </c>
      <c r="R128" s="125">
        <f t="shared" si="95"/>
        <v>8.5037406483790302E-3</v>
      </c>
      <c r="S128" s="125">
        <f t="shared" si="95"/>
        <v>9.2233129744565493E-3</v>
      </c>
      <c r="T128" s="125">
        <f t="shared" si="95"/>
        <v>9.7515558386828509E-3</v>
      </c>
      <c r="U128" s="126">
        <f t="shared" si="95"/>
        <v>1.0627972435213089E-2</v>
      </c>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84"/>
      <c r="BN128" s="84"/>
      <c r="BO128" s="84"/>
      <c r="BP128" s="84"/>
      <c r="BQ128" s="84"/>
      <c r="BR128" s="84"/>
      <c r="BS128" s="84"/>
      <c r="BT128" s="84"/>
      <c r="BU128" s="84"/>
      <c r="BV128" s="84"/>
      <c r="BW128" s="84"/>
      <c r="BX128" s="84"/>
      <c r="BY128" s="84"/>
      <c r="BZ128" s="84"/>
      <c r="CA128" s="84"/>
      <c r="CB128" s="84"/>
      <c r="CC128" s="84"/>
      <c r="CD128" s="84"/>
      <c r="CE128" s="84"/>
      <c r="CF128" s="84"/>
      <c r="CG128" s="84"/>
      <c r="CH128" s="84"/>
    </row>
    <row r="129" spans="1:86">
      <c r="A129" s="5" t="s">
        <v>14</v>
      </c>
      <c r="B129" s="546"/>
      <c r="C129" s="546"/>
      <c r="D129" s="546"/>
      <c r="E129" s="546"/>
      <c r="F129" s="546"/>
      <c r="G129" s="546"/>
      <c r="H129" s="546"/>
      <c r="I129" s="546"/>
      <c r="J129" s="546"/>
      <c r="K129" s="546"/>
      <c r="M129" s="44"/>
      <c r="N129" s="44"/>
      <c r="O129" s="44"/>
      <c r="P129" s="44"/>
      <c r="Q129" s="44"/>
      <c r="R129" s="44"/>
      <c r="S129" s="44"/>
      <c r="T129" s="44"/>
      <c r="U129" s="44"/>
    </row>
    <row r="130" spans="1:86">
      <c r="A130" s="5" t="s">
        <v>102</v>
      </c>
      <c r="B130" s="59"/>
      <c r="C130" s="59"/>
      <c r="D130" s="59"/>
      <c r="E130" s="59"/>
      <c r="F130" s="59"/>
      <c r="G130" s="59"/>
      <c r="H130" s="59"/>
      <c r="I130" s="59"/>
      <c r="J130" s="59"/>
      <c r="K130" s="59"/>
      <c r="M130" s="44"/>
      <c r="N130" s="44"/>
      <c r="O130" s="44"/>
      <c r="P130" s="44"/>
      <c r="Q130" s="44"/>
      <c r="R130" s="44"/>
      <c r="S130" s="44"/>
      <c r="T130" s="44"/>
      <c r="U130" s="44"/>
    </row>
    <row r="131" spans="1:86">
      <c r="A131" s="5" t="s">
        <v>388</v>
      </c>
      <c r="B131" s="10"/>
      <c r="C131" s="10"/>
      <c r="D131" s="53"/>
      <c r="E131" s="53"/>
      <c r="F131" s="53"/>
      <c r="G131" s="53"/>
    </row>
    <row r="132" spans="1:86" s="14" customFormat="1" ht="13.5" customHeight="1" thickBot="1">
      <c r="B132" s="35"/>
      <c r="C132" s="35"/>
      <c r="D132" s="35"/>
      <c r="E132" s="35"/>
      <c r="F132" s="35"/>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row>
    <row r="133" spans="1:86" s="93" customFormat="1" ht="13.5" customHeight="1" thickBot="1">
      <c r="B133" s="333" t="s">
        <v>16</v>
      </c>
      <c r="C133" s="108" t="s">
        <v>17</v>
      </c>
      <c r="D133" s="108" t="s">
        <v>18</v>
      </c>
      <c r="E133" s="108" t="s">
        <v>19</v>
      </c>
      <c r="F133" s="143" t="s">
        <v>94</v>
      </c>
      <c r="G133" s="334" t="s">
        <v>97</v>
      </c>
      <c r="H133" s="334" t="s">
        <v>98</v>
      </c>
      <c r="I133" s="334" t="s">
        <v>211</v>
      </c>
      <c r="J133" s="334" t="s">
        <v>212</v>
      </c>
      <c r="K133" s="335" t="s">
        <v>213</v>
      </c>
    </row>
    <row r="134" spans="1:86" s="93" customFormat="1" ht="13.5" customHeight="1">
      <c r="A134" s="92" t="s">
        <v>6</v>
      </c>
      <c r="B134" s="534">
        <f>B126/B$128</f>
        <v>0.83198110300914041</v>
      </c>
      <c r="C134" s="535">
        <f t="shared" ref="C134:K134" si="97">C126/C$128</f>
        <v>0.83698347646767079</v>
      </c>
      <c r="D134" s="535">
        <f t="shared" si="97"/>
        <v>0.84500375074368195</v>
      </c>
      <c r="E134" s="535">
        <f t="shared" si="97"/>
        <v>0.85099609776134733</v>
      </c>
      <c r="F134" s="251">
        <f t="shared" si="97"/>
        <v>0.85600668676072034</v>
      </c>
      <c r="G134" s="535">
        <f t="shared" si="97"/>
        <v>0.85900249376558602</v>
      </c>
      <c r="H134" s="535">
        <f t="shared" si="97"/>
        <v>0.86100739348680799</v>
      </c>
      <c r="I134" s="535">
        <f t="shared" si="97"/>
        <v>0.86200813446366442</v>
      </c>
      <c r="J134" s="535">
        <f t="shared" si="97"/>
        <v>0.86300106765019902</v>
      </c>
      <c r="K134" s="251">
        <f t="shared" si="97"/>
        <v>0.86400960384153658</v>
      </c>
      <c r="N134" s="141"/>
      <c r="O134" s="141"/>
      <c r="P134" s="141"/>
      <c r="V134" s="82"/>
      <c r="W134" s="82"/>
      <c r="X134" s="82"/>
      <c r="Y134" s="82"/>
      <c r="Z134" s="82"/>
      <c r="AA134" s="82"/>
      <c r="AB134" s="82"/>
      <c r="AC134" s="82"/>
      <c r="AD134" s="82"/>
      <c r="AE134" s="82"/>
      <c r="AF134" s="82"/>
      <c r="AG134" s="82"/>
      <c r="AH134" s="82"/>
      <c r="AI134" s="82"/>
      <c r="AJ134" s="82"/>
      <c r="AK134" s="82"/>
      <c r="AL134" s="82"/>
      <c r="AM134" s="82"/>
      <c r="AN134" s="82"/>
      <c r="AO134" s="82"/>
      <c r="AP134" s="82"/>
      <c r="AQ134" s="82"/>
      <c r="AR134" s="82"/>
      <c r="AS134" s="82"/>
      <c r="AT134" s="82"/>
      <c r="AU134" s="82"/>
      <c r="AV134" s="82"/>
      <c r="AW134" s="82"/>
      <c r="AX134" s="82"/>
      <c r="AY134" s="82"/>
      <c r="AZ134" s="82"/>
      <c r="BA134" s="82"/>
      <c r="BB134" s="82"/>
      <c r="BC134" s="82"/>
      <c r="BD134" s="82"/>
      <c r="BE134" s="82"/>
      <c r="BF134" s="82"/>
      <c r="BG134" s="82"/>
      <c r="BH134" s="82"/>
      <c r="BI134" s="82"/>
      <c r="BJ134" s="82"/>
      <c r="BK134" s="82"/>
      <c r="BL134" s="82"/>
      <c r="BM134" s="82"/>
      <c r="BN134" s="82"/>
      <c r="BO134" s="82"/>
      <c r="BP134" s="82"/>
      <c r="BQ134" s="82"/>
      <c r="BR134" s="82"/>
      <c r="BS134" s="82"/>
      <c r="BT134" s="82"/>
      <c r="BU134" s="82"/>
      <c r="BV134" s="82"/>
      <c r="BW134" s="82"/>
      <c r="BX134" s="82"/>
      <c r="BY134" s="82"/>
      <c r="BZ134" s="82"/>
      <c r="CA134" s="82"/>
      <c r="CB134" s="82"/>
      <c r="CC134" s="82"/>
      <c r="CD134" s="82"/>
      <c r="CE134" s="82"/>
      <c r="CF134" s="82"/>
      <c r="CG134" s="82"/>
      <c r="CH134" s="82"/>
    </row>
    <row r="135" spans="1:86" s="93" customFormat="1" ht="13.5" customHeight="1">
      <c r="A135" s="97" t="s">
        <v>7</v>
      </c>
      <c r="B135" s="523">
        <f>B127/B$128</f>
        <v>0.16801889699085959</v>
      </c>
      <c r="C135" s="524">
        <f t="shared" ref="C135:K135" si="98">C127/C$128</f>
        <v>0.16301652353232921</v>
      </c>
      <c r="D135" s="524">
        <f t="shared" si="98"/>
        <v>0.15499624925631808</v>
      </c>
      <c r="E135" s="524">
        <f t="shared" si="98"/>
        <v>0.14900390223865267</v>
      </c>
      <c r="F135" s="250">
        <f t="shared" si="98"/>
        <v>0.14399331323927966</v>
      </c>
      <c r="G135" s="524">
        <f t="shared" si="98"/>
        <v>0.14099750623441396</v>
      </c>
      <c r="H135" s="524">
        <f t="shared" si="98"/>
        <v>0.13899260651319206</v>
      </c>
      <c r="I135" s="524">
        <f t="shared" si="98"/>
        <v>0.13799186553633561</v>
      </c>
      <c r="J135" s="524">
        <f t="shared" si="98"/>
        <v>0.13699893234980104</v>
      </c>
      <c r="K135" s="250">
        <f t="shared" si="98"/>
        <v>0.13599039615846337</v>
      </c>
      <c r="N135" s="141"/>
      <c r="O135" s="141"/>
      <c r="P135" s="141"/>
      <c r="V135" s="82"/>
      <c r="W135" s="82"/>
      <c r="X135" s="82"/>
      <c r="Y135" s="82"/>
      <c r="Z135" s="82"/>
      <c r="AA135" s="82"/>
      <c r="AB135" s="82"/>
      <c r="AC135" s="82"/>
      <c r="AD135" s="82"/>
      <c r="AE135" s="82"/>
      <c r="AF135" s="82"/>
      <c r="AG135" s="82"/>
      <c r="AH135" s="82"/>
      <c r="AI135" s="82"/>
      <c r="AJ135" s="82"/>
      <c r="AK135" s="82"/>
      <c r="AL135" s="82"/>
      <c r="AM135" s="82"/>
      <c r="AN135" s="82"/>
      <c r="AO135" s="82"/>
      <c r="AP135" s="82"/>
      <c r="AQ135" s="82"/>
      <c r="AR135" s="82"/>
      <c r="AS135" s="82"/>
      <c r="AT135" s="82"/>
      <c r="AU135" s="82"/>
      <c r="AV135" s="82"/>
      <c r="AW135" s="82"/>
      <c r="AX135" s="82"/>
      <c r="AY135" s="82"/>
      <c r="AZ135" s="82"/>
      <c r="BA135" s="82"/>
      <c r="BB135" s="82"/>
      <c r="BC135" s="82"/>
      <c r="BD135" s="82"/>
      <c r="BE135" s="82"/>
      <c r="BF135" s="82"/>
      <c r="BG135" s="82"/>
      <c r="BH135" s="82"/>
      <c r="BI135" s="82"/>
      <c r="BJ135" s="82"/>
      <c r="BK135" s="82"/>
      <c r="BL135" s="82"/>
      <c r="BM135" s="82"/>
      <c r="BN135" s="82"/>
      <c r="BO135" s="82"/>
      <c r="BP135" s="82"/>
      <c r="BQ135" s="82"/>
      <c r="BR135" s="82"/>
      <c r="BS135" s="82"/>
      <c r="BT135" s="82"/>
      <c r="BU135" s="82"/>
      <c r="BV135" s="82"/>
      <c r="BW135" s="82"/>
      <c r="BX135" s="82"/>
      <c r="BY135" s="82"/>
      <c r="BZ135" s="82"/>
      <c r="CA135" s="82"/>
      <c r="CB135" s="82"/>
      <c r="CC135" s="82"/>
      <c r="CD135" s="82"/>
      <c r="CE135" s="82"/>
      <c r="CF135" s="82"/>
      <c r="CG135" s="82"/>
      <c r="CH135" s="82"/>
    </row>
    <row r="136" spans="1:86" s="93" customFormat="1" ht="13.5" customHeight="1" thickBot="1">
      <c r="A136" s="123" t="s">
        <v>3</v>
      </c>
      <c r="B136" s="147">
        <f t="shared" ref="B136:K136" si="99">B134+B135</f>
        <v>1</v>
      </c>
      <c r="C136" s="148">
        <f t="shared" si="99"/>
        <v>1</v>
      </c>
      <c r="D136" s="148">
        <f t="shared" si="99"/>
        <v>1</v>
      </c>
      <c r="E136" s="148">
        <f t="shared" si="99"/>
        <v>1</v>
      </c>
      <c r="F136" s="149">
        <f t="shared" si="99"/>
        <v>1</v>
      </c>
      <c r="G136" s="148">
        <f t="shared" si="99"/>
        <v>1</v>
      </c>
      <c r="H136" s="148">
        <f t="shared" si="99"/>
        <v>1</v>
      </c>
      <c r="I136" s="148">
        <f t="shared" si="99"/>
        <v>1</v>
      </c>
      <c r="J136" s="148">
        <f t="shared" si="99"/>
        <v>1</v>
      </c>
      <c r="K136" s="149">
        <f t="shared" si="99"/>
        <v>1</v>
      </c>
      <c r="V136" s="82"/>
      <c r="W136" s="82"/>
      <c r="X136" s="82"/>
      <c r="Y136" s="82"/>
      <c r="Z136" s="82"/>
      <c r="AA136" s="82"/>
      <c r="AB136" s="82"/>
      <c r="AC136" s="82"/>
      <c r="AD136" s="82"/>
      <c r="AE136" s="82"/>
      <c r="AF136" s="82"/>
      <c r="AG136" s="82"/>
      <c r="AH136" s="82"/>
      <c r="AI136" s="82"/>
      <c r="AJ136" s="82"/>
      <c r="AK136" s="82"/>
      <c r="AL136" s="82"/>
      <c r="AM136" s="82"/>
      <c r="AN136" s="82"/>
      <c r="AO136" s="82"/>
      <c r="AP136" s="82"/>
      <c r="AQ136" s="82"/>
      <c r="AR136" s="82"/>
      <c r="AS136" s="82"/>
      <c r="AT136" s="82"/>
      <c r="AU136" s="82"/>
      <c r="AV136" s="82"/>
      <c r="AW136" s="82"/>
      <c r="AX136" s="82"/>
      <c r="AY136" s="82"/>
      <c r="AZ136" s="82"/>
      <c r="BA136" s="82"/>
      <c r="BB136" s="82"/>
      <c r="BC136" s="82"/>
      <c r="BD136" s="82"/>
      <c r="BE136" s="82"/>
      <c r="BF136" s="82"/>
      <c r="BG136" s="82"/>
      <c r="BH136" s="82"/>
      <c r="BI136" s="82"/>
      <c r="BJ136" s="82"/>
      <c r="BK136" s="82"/>
      <c r="BL136" s="82"/>
      <c r="BM136" s="82"/>
      <c r="BN136" s="82"/>
      <c r="BO136" s="82"/>
      <c r="BP136" s="82"/>
      <c r="BQ136" s="82"/>
      <c r="BR136" s="82"/>
      <c r="BS136" s="82"/>
      <c r="BT136" s="82"/>
      <c r="BU136" s="82"/>
      <c r="BV136" s="82"/>
      <c r="BW136" s="82"/>
      <c r="BX136" s="82"/>
      <c r="BY136" s="82"/>
      <c r="BZ136" s="82"/>
      <c r="CA136" s="82"/>
      <c r="CB136" s="82"/>
      <c r="CC136" s="82"/>
      <c r="CD136" s="82"/>
      <c r="CE136" s="82"/>
      <c r="CF136" s="82"/>
      <c r="CG136" s="82"/>
      <c r="CH136" s="82"/>
    </row>
    <row r="138" spans="1:86" ht="14.25" thickBot="1">
      <c r="A138" s="21"/>
      <c r="B138" s="21"/>
      <c r="C138" s="21"/>
      <c r="D138" s="21"/>
      <c r="E138" s="21"/>
      <c r="F138" s="21"/>
      <c r="G138" s="21"/>
      <c r="H138" s="21"/>
      <c r="I138" s="21"/>
      <c r="J138" s="21"/>
      <c r="K138" s="21"/>
      <c r="L138" s="21"/>
      <c r="M138" s="21"/>
      <c r="N138" s="21"/>
      <c r="O138" s="21"/>
      <c r="P138" s="21"/>
      <c r="Q138" s="21"/>
      <c r="R138" s="21"/>
      <c r="S138" s="21"/>
      <c r="T138" s="21"/>
      <c r="U138" s="21"/>
    </row>
    <row r="140" spans="1:86">
      <c r="A140" s="32" t="s">
        <v>401</v>
      </c>
      <c r="B140" s="7" t="s">
        <v>330</v>
      </c>
    </row>
    <row r="141" spans="1:86" s="15" customFormat="1" ht="14.25" thickBot="1">
      <c r="G141" s="22"/>
      <c r="H141" s="22"/>
      <c r="I141" s="22"/>
      <c r="J141" s="22"/>
      <c r="K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row>
    <row r="142" spans="1:86" s="93" customFormat="1" ht="14.25" thickBot="1">
      <c r="B142" s="150" t="s">
        <v>86</v>
      </c>
      <c r="C142" s="151" t="s">
        <v>89</v>
      </c>
      <c r="D142" s="153"/>
      <c r="E142" s="167"/>
      <c r="F142" s="168"/>
      <c r="G142" s="168"/>
      <c r="H142" s="168"/>
      <c r="I142" s="168"/>
      <c r="J142" s="153"/>
      <c r="K142" s="168"/>
      <c r="L142" s="168"/>
      <c r="M142" s="168"/>
      <c r="N142" s="168"/>
      <c r="O142" s="168"/>
      <c r="P142" s="168"/>
      <c r="Q142" s="168"/>
      <c r="R142" s="168"/>
      <c r="S142" s="168"/>
      <c r="T142" s="82"/>
      <c r="U142" s="82"/>
      <c r="V142" s="82"/>
      <c r="W142" s="82"/>
      <c r="X142" s="82"/>
      <c r="Y142" s="82"/>
      <c r="Z142" s="82"/>
      <c r="AA142" s="82"/>
      <c r="AB142" s="82"/>
      <c r="AC142" s="82"/>
      <c r="AD142" s="82"/>
      <c r="AE142" s="82"/>
      <c r="AF142" s="82"/>
      <c r="AG142" s="82"/>
      <c r="AH142" s="82"/>
      <c r="AI142" s="82"/>
      <c r="AJ142" s="82"/>
      <c r="AK142" s="82"/>
      <c r="AL142" s="82"/>
      <c r="AM142" s="82"/>
      <c r="AN142" s="82"/>
      <c r="AO142" s="82"/>
      <c r="AP142" s="82"/>
      <c r="AQ142" s="82"/>
      <c r="AR142" s="82"/>
      <c r="AS142" s="82"/>
      <c r="AT142" s="82"/>
      <c r="AU142" s="82"/>
      <c r="AV142" s="82"/>
      <c r="AW142" s="82"/>
      <c r="AX142" s="82"/>
      <c r="AY142" s="82"/>
      <c r="AZ142" s="82"/>
      <c r="BA142" s="82"/>
      <c r="BB142" s="82"/>
      <c r="BC142" s="82"/>
      <c r="BD142" s="82"/>
      <c r="BE142" s="82"/>
      <c r="BF142" s="82"/>
      <c r="BG142" s="82"/>
      <c r="BH142" s="82"/>
      <c r="BI142" s="82"/>
      <c r="BJ142" s="82"/>
      <c r="BK142" s="82"/>
      <c r="BL142" s="82"/>
      <c r="BM142" s="82"/>
      <c r="BN142" s="82"/>
      <c r="BO142" s="82"/>
      <c r="BP142" s="82"/>
      <c r="BQ142" s="82"/>
      <c r="BR142" s="82"/>
      <c r="BS142" s="82"/>
      <c r="BT142" s="82"/>
      <c r="BU142" s="82"/>
      <c r="BV142" s="82"/>
      <c r="BW142" s="82"/>
      <c r="BX142" s="82"/>
      <c r="BY142" s="82"/>
      <c r="BZ142" s="82"/>
      <c r="CA142" s="82"/>
      <c r="CB142" s="82"/>
      <c r="CC142" s="82"/>
      <c r="CD142" s="82"/>
      <c r="CE142" s="82"/>
      <c r="CF142" s="82"/>
    </row>
    <row r="143" spans="1:86" s="93" customFormat="1">
      <c r="A143" s="92" t="s">
        <v>6</v>
      </c>
      <c r="B143" s="246">
        <v>76.099999999999994</v>
      </c>
      <c r="C143" s="536">
        <f>B143/B$145</f>
        <v>0.88488372093023249</v>
      </c>
      <c r="D143" s="169"/>
      <c r="E143" s="66"/>
      <c r="F143" s="129"/>
      <c r="G143" s="129"/>
      <c r="H143" s="129"/>
      <c r="I143" s="129"/>
      <c r="J143" s="153"/>
      <c r="K143" s="129"/>
      <c r="L143" s="129"/>
      <c r="M143" s="129"/>
      <c r="N143" s="129"/>
      <c r="O143" s="129"/>
      <c r="P143" s="170"/>
      <c r="Q143" s="170"/>
      <c r="R143" s="170"/>
      <c r="S143" s="170"/>
      <c r="T143" s="82"/>
      <c r="U143" s="82"/>
      <c r="V143" s="82"/>
      <c r="W143" s="82"/>
      <c r="X143" s="82"/>
      <c r="Y143" s="82"/>
      <c r="Z143" s="82"/>
      <c r="AA143" s="82"/>
      <c r="AB143" s="82"/>
      <c r="AC143" s="82"/>
      <c r="AD143" s="82"/>
      <c r="AE143" s="82"/>
      <c r="AF143" s="82"/>
      <c r="AG143" s="82"/>
      <c r="AH143" s="82"/>
      <c r="AI143" s="82"/>
      <c r="AJ143" s="82"/>
      <c r="AK143" s="82"/>
      <c r="AL143" s="82"/>
      <c r="AM143" s="82"/>
      <c r="AN143" s="82"/>
      <c r="AO143" s="82"/>
      <c r="AP143" s="82"/>
      <c r="AQ143" s="82"/>
      <c r="AR143" s="82"/>
      <c r="AS143" s="82"/>
      <c r="AT143" s="82"/>
      <c r="AU143" s="82"/>
      <c r="AV143" s="82"/>
      <c r="AW143" s="82"/>
      <c r="AX143" s="82"/>
      <c r="AY143" s="82"/>
      <c r="AZ143" s="82"/>
      <c r="BA143" s="82"/>
      <c r="BB143" s="82"/>
      <c r="BC143" s="82"/>
      <c r="BD143" s="82"/>
      <c r="BE143" s="82"/>
      <c r="BF143" s="82"/>
      <c r="BG143" s="82"/>
      <c r="BH143" s="82"/>
      <c r="BI143" s="82"/>
      <c r="BJ143" s="82"/>
      <c r="BK143" s="82"/>
      <c r="BL143" s="82"/>
      <c r="BM143" s="82"/>
      <c r="BN143" s="82"/>
      <c r="BO143" s="82"/>
      <c r="BP143" s="82"/>
      <c r="BQ143" s="82"/>
      <c r="BR143" s="82"/>
      <c r="BS143" s="82"/>
      <c r="BT143" s="82"/>
      <c r="BU143" s="82"/>
      <c r="BV143" s="82"/>
      <c r="BW143" s="82"/>
      <c r="BX143" s="82"/>
      <c r="BY143" s="82"/>
      <c r="BZ143" s="82"/>
      <c r="CA143" s="82"/>
      <c r="CB143" s="82"/>
      <c r="CC143" s="82"/>
      <c r="CD143" s="82"/>
      <c r="CE143" s="82"/>
      <c r="CF143" s="82"/>
    </row>
    <row r="144" spans="1:86" s="93" customFormat="1">
      <c r="A144" s="97" t="s">
        <v>7</v>
      </c>
      <c r="B144" s="247">
        <v>9.9</v>
      </c>
      <c r="C144" s="171">
        <f>B144/B$145</f>
        <v>0.11511627906976744</v>
      </c>
      <c r="D144" s="169"/>
      <c r="E144" s="66"/>
      <c r="F144" s="129"/>
      <c r="G144" s="129"/>
      <c r="H144" s="129"/>
      <c r="I144" s="129"/>
      <c r="J144" s="153"/>
      <c r="K144" s="129"/>
      <c r="L144" s="129"/>
      <c r="M144" s="129"/>
      <c r="N144" s="129"/>
      <c r="O144" s="129"/>
      <c r="P144" s="170"/>
      <c r="Q144" s="170"/>
      <c r="R144" s="170"/>
      <c r="S144" s="170"/>
      <c r="T144" s="82"/>
      <c r="U144" s="82"/>
      <c r="V144" s="82"/>
      <c r="W144" s="82"/>
      <c r="X144" s="82"/>
      <c r="Y144" s="82"/>
      <c r="Z144" s="82"/>
      <c r="AA144" s="82"/>
      <c r="AB144" s="82"/>
      <c r="AC144" s="82"/>
      <c r="AD144" s="82"/>
      <c r="AE144" s="82"/>
      <c r="AF144" s="82"/>
      <c r="AG144" s="82"/>
      <c r="AH144" s="82"/>
      <c r="AI144" s="82"/>
      <c r="AJ144" s="82"/>
      <c r="AK144" s="82"/>
      <c r="AL144" s="82"/>
      <c r="AM144" s="82"/>
      <c r="AN144" s="82"/>
      <c r="AO144" s="82"/>
      <c r="AP144" s="82"/>
      <c r="AQ144" s="82"/>
      <c r="AR144" s="82"/>
      <c r="AS144" s="82"/>
      <c r="AT144" s="82"/>
      <c r="AU144" s="82"/>
      <c r="AV144" s="82"/>
      <c r="AW144" s="82"/>
      <c r="AX144" s="82"/>
      <c r="AY144" s="82"/>
      <c r="AZ144" s="82"/>
      <c r="BA144" s="82"/>
      <c r="BB144" s="82"/>
      <c r="BC144" s="82"/>
      <c r="BD144" s="82"/>
      <c r="BE144" s="82"/>
      <c r="BF144" s="82"/>
      <c r="BG144" s="82"/>
      <c r="BH144" s="82"/>
      <c r="BI144" s="82"/>
      <c r="BJ144" s="82"/>
      <c r="BK144" s="82"/>
      <c r="BL144" s="82"/>
      <c r="BM144" s="82"/>
      <c r="BN144" s="82"/>
      <c r="BO144" s="82"/>
      <c r="BP144" s="82"/>
      <c r="BQ144" s="82"/>
      <c r="BR144" s="82"/>
      <c r="BS144" s="82"/>
      <c r="BT144" s="82"/>
      <c r="BU144" s="82"/>
      <c r="BV144" s="82"/>
      <c r="BW144" s="82"/>
      <c r="BX144" s="82"/>
      <c r="BY144" s="82"/>
      <c r="BZ144" s="82"/>
      <c r="CA144" s="82"/>
      <c r="CB144" s="82"/>
      <c r="CC144" s="82"/>
      <c r="CD144" s="82"/>
      <c r="CE144" s="82"/>
      <c r="CF144" s="82"/>
    </row>
    <row r="145" spans="1:86" s="113" customFormat="1" thickBot="1">
      <c r="A145" s="123" t="s">
        <v>3</v>
      </c>
      <c r="B145" s="248">
        <f>SUM(B143:B144)</f>
        <v>86</v>
      </c>
      <c r="C145" s="149">
        <f>SUM(C143:C144)</f>
        <v>0.99999999999999989</v>
      </c>
      <c r="D145" s="172"/>
      <c r="E145" s="75"/>
      <c r="F145" s="173"/>
      <c r="G145" s="173"/>
      <c r="H145" s="173"/>
      <c r="I145" s="173"/>
      <c r="J145" s="172"/>
      <c r="K145" s="173"/>
      <c r="L145" s="173"/>
      <c r="M145" s="173"/>
      <c r="N145" s="173"/>
      <c r="O145" s="173"/>
      <c r="P145" s="174"/>
      <c r="Q145" s="174"/>
      <c r="R145" s="174"/>
      <c r="S145" s="17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c r="AY145" s="84"/>
      <c r="AZ145" s="84"/>
      <c r="BA145" s="84"/>
      <c r="BB145" s="84"/>
      <c r="BC145" s="84"/>
      <c r="BD145" s="84"/>
      <c r="BE145" s="84"/>
      <c r="BF145" s="84"/>
      <c r="BG145" s="84"/>
      <c r="BH145" s="84"/>
      <c r="BI145" s="84"/>
      <c r="BJ145" s="84"/>
      <c r="BK145" s="84"/>
      <c r="BL145" s="84"/>
      <c r="BM145" s="84"/>
      <c r="BN145" s="84"/>
      <c r="BO145" s="84"/>
      <c r="BP145" s="84"/>
      <c r="BQ145" s="84"/>
      <c r="BR145" s="84"/>
      <c r="BS145" s="84"/>
      <c r="BT145" s="84"/>
      <c r="BU145" s="84"/>
      <c r="BV145" s="84"/>
      <c r="BW145" s="84"/>
      <c r="BX145" s="84"/>
      <c r="BY145" s="84"/>
      <c r="BZ145" s="84"/>
      <c r="CA145" s="84"/>
      <c r="CB145" s="84"/>
      <c r="CC145" s="84"/>
      <c r="CD145" s="84"/>
      <c r="CE145" s="84"/>
      <c r="CF145" s="84"/>
    </row>
    <row r="146" spans="1:86">
      <c r="A146" s="5" t="s">
        <v>172</v>
      </c>
      <c r="B146" s="306"/>
      <c r="C146" s="10"/>
      <c r="D146" s="10"/>
      <c r="E146" s="10"/>
      <c r="F146" s="10"/>
      <c r="G146" s="55"/>
      <c r="Q146" s="45"/>
      <c r="R146" s="45"/>
      <c r="S146" s="45"/>
      <c r="T146" s="45"/>
      <c r="U146" s="45"/>
    </row>
    <row r="147" spans="1:86">
      <c r="A147" s="5" t="s">
        <v>377</v>
      </c>
      <c r="B147" s="59"/>
      <c r="C147" s="10"/>
      <c r="D147" s="10"/>
      <c r="E147" s="10"/>
      <c r="F147" s="10"/>
      <c r="G147" s="55"/>
      <c r="H147" s="45"/>
      <c r="I147" s="45"/>
      <c r="J147" s="45"/>
      <c r="K147" s="45"/>
    </row>
    <row r="148" spans="1:86">
      <c r="G148" s="45"/>
      <c r="H148" s="45"/>
      <c r="I148" s="45"/>
      <c r="J148" s="45"/>
      <c r="K148" s="45"/>
    </row>
    <row r="149" spans="1:86" s="21" customFormat="1" ht="14.25" thickBot="1">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row>
    <row r="151" spans="1:86">
      <c r="A151" s="32" t="s">
        <v>402</v>
      </c>
      <c r="B151" s="7" t="s">
        <v>214</v>
      </c>
    </row>
    <row r="152" spans="1:86" s="15" customFormat="1" ht="14.25" thickBot="1">
      <c r="G152" s="22"/>
      <c r="H152" s="22"/>
      <c r="I152" s="22"/>
      <c r="J152" s="22"/>
      <c r="K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row>
    <row r="153" spans="1:86" s="93" customFormat="1" ht="14.25" thickBot="1">
      <c r="B153" s="150" t="s">
        <v>166</v>
      </c>
      <c r="C153" s="151" t="s">
        <v>89</v>
      </c>
      <c r="D153" s="153"/>
      <c r="E153" s="153"/>
      <c r="F153" s="153"/>
      <c r="G153" s="167"/>
      <c r="H153" s="168"/>
      <c r="I153" s="168"/>
      <c r="J153" s="168"/>
      <c r="K153" s="168"/>
      <c r="L153" s="153"/>
      <c r="M153" s="168"/>
      <c r="N153" s="168"/>
      <c r="O153" s="168"/>
      <c r="P153" s="168"/>
      <c r="Q153" s="168"/>
      <c r="R153" s="168"/>
      <c r="S153" s="168"/>
      <c r="T153" s="168"/>
      <c r="U153" s="168"/>
      <c r="V153" s="82"/>
      <c r="W153" s="82"/>
      <c r="X153" s="82"/>
      <c r="Y153" s="82"/>
      <c r="Z153" s="82"/>
      <c r="AA153" s="82"/>
      <c r="AB153" s="82"/>
      <c r="AC153" s="82"/>
      <c r="AD153" s="82"/>
      <c r="AE153" s="82"/>
      <c r="AF153" s="82"/>
      <c r="AG153" s="82"/>
      <c r="AH153" s="82"/>
      <c r="AI153" s="82"/>
      <c r="AJ153" s="82"/>
      <c r="AK153" s="82"/>
      <c r="AL153" s="82"/>
      <c r="AM153" s="82"/>
      <c r="AN153" s="82"/>
      <c r="AO153" s="82"/>
      <c r="AP153" s="82"/>
      <c r="AQ153" s="82"/>
      <c r="AR153" s="82"/>
      <c r="AS153" s="82"/>
      <c r="AT153" s="82"/>
      <c r="AU153" s="82"/>
      <c r="AV153" s="82"/>
      <c r="AW153" s="82"/>
      <c r="AX153" s="82"/>
      <c r="AY153" s="82"/>
      <c r="AZ153" s="82"/>
      <c r="BA153" s="82"/>
      <c r="BB153" s="82"/>
      <c r="BC153" s="82"/>
      <c r="BD153" s="82"/>
      <c r="BE153" s="82"/>
      <c r="BF153" s="82"/>
      <c r="BG153" s="82"/>
      <c r="BH153" s="82"/>
      <c r="BI153" s="82"/>
      <c r="BJ153" s="82"/>
      <c r="BK153" s="82"/>
      <c r="BL153" s="82"/>
      <c r="BM153" s="82"/>
      <c r="BN153" s="82"/>
      <c r="BO153" s="82"/>
      <c r="BP153" s="82"/>
      <c r="BQ153" s="82"/>
      <c r="BR153" s="82"/>
      <c r="BS153" s="82"/>
      <c r="BT153" s="82"/>
      <c r="BU153" s="82"/>
      <c r="BV153" s="82"/>
      <c r="BW153" s="82"/>
      <c r="BX153" s="82"/>
      <c r="BY153" s="82"/>
      <c r="BZ153" s="82"/>
      <c r="CA153" s="82"/>
      <c r="CB153" s="82"/>
      <c r="CC153" s="82"/>
      <c r="CD153" s="82"/>
      <c r="CE153" s="82"/>
      <c r="CF153" s="82"/>
      <c r="CG153" s="82"/>
      <c r="CH153" s="82"/>
    </row>
    <row r="154" spans="1:86" s="93" customFormat="1">
      <c r="A154" s="92" t="s">
        <v>361</v>
      </c>
      <c r="B154" s="85">
        <v>1674</v>
      </c>
      <c r="C154" s="536">
        <f>B154/B$157</f>
        <v>0.42400141840378919</v>
      </c>
      <c r="D154" s="169"/>
      <c r="E154" s="169"/>
      <c r="F154" s="169"/>
      <c r="G154" s="66"/>
      <c r="H154" s="129"/>
      <c r="I154" s="129"/>
      <c r="J154" s="129"/>
      <c r="K154" s="129"/>
      <c r="L154" s="153"/>
      <c r="M154" s="129"/>
      <c r="N154" s="129"/>
      <c r="O154" s="129"/>
      <c r="P154" s="129"/>
      <c r="Q154" s="129"/>
      <c r="R154" s="170"/>
      <c r="S154" s="170"/>
      <c r="T154" s="170"/>
      <c r="U154" s="170"/>
      <c r="V154" s="82"/>
      <c r="W154" s="82"/>
      <c r="X154" s="82"/>
      <c r="Y154" s="82"/>
      <c r="Z154" s="82"/>
      <c r="AA154" s="82"/>
      <c r="AB154" s="82"/>
      <c r="AC154" s="82"/>
      <c r="AD154" s="82"/>
      <c r="AE154" s="82"/>
      <c r="AF154" s="82"/>
      <c r="AG154" s="82"/>
      <c r="AH154" s="82"/>
      <c r="AI154" s="82"/>
      <c r="AJ154" s="82"/>
      <c r="AK154" s="82"/>
      <c r="AL154" s="82"/>
      <c r="AM154" s="82"/>
      <c r="AN154" s="82"/>
      <c r="AO154" s="82"/>
      <c r="AP154" s="82"/>
      <c r="AQ154" s="82"/>
      <c r="AR154" s="82"/>
      <c r="AS154" s="82"/>
      <c r="AT154" s="82"/>
      <c r="AU154" s="82"/>
      <c r="AV154" s="82"/>
      <c r="AW154" s="82"/>
      <c r="AX154" s="82"/>
      <c r="AY154" s="82"/>
      <c r="AZ154" s="82"/>
      <c r="BA154" s="82"/>
      <c r="BB154" s="82"/>
      <c r="BC154" s="82"/>
      <c r="BD154" s="82"/>
      <c r="BE154" s="82"/>
      <c r="BF154" s="82"/>
      <c r="BG154" s="82"/>
      <c r="BH154" s="82"/>
      <c r="BI154" s="82"/>
      <c r="BJ154" s="82"/>
      <c r="BK154" s="82"/>
      <c r="BL154" s="82"/>
      <c r="BM154" s="82"/>
      <c r="BN154" s="82"/>
      <c r="BO154" s="82"/>
      <c r="BP154" s="82"/>
      <c r="BQ154" s="82"/>
      <c r="BR154" s="82"/>
      <c r="BS154" s="82"/>
      <c r="BT154" s="82"/>
      <c r="BU154" s="82"/>
      <c r="BV154" s="82"/>
      <c r="BW154" s="82"/>
      <c r="BX154" s="82"/>
      <c r="BY154" s="82"/>
      <c r="BZ154" s="82"/>
      <c r="CA154" s="82"/>
      <c r="CB154" s="82"/>
      <c r="CC154" s="82"/>
      <c r="CD154" s="82"/>
      <c r="CE154" s="82"/>
      <c r="CF154" s="82"/>
      <c r="CG154" s="82"/>
      <c r="CH154" s="82"/>
    </row>
    <row r="155" spans="1:86" s="93" customFormat="1">
      <c r="A155" s="97" t="s">
        <v>331</v>
      </c>
      <c r="B155" s="76">
        <v>1930.6</v>
      </c>
      <c r="C155" s="171">
        <f t="shared" ref="C155:C156" si="100">B155/B$157</f>
        <v>0.48899470631442971</v>
      </c>
      <c r="D155" s="169"/>
      <c r="E155" s="169"/>
      <c r="F155" s="169"/>
      <c r="G155" s="66"/>
      <c r="H155" s="129"/>
      <c r="I155" s="129"/>
      <c r="J155" s="129"/>
      <c r="K155" s="129"/>
      <c r="L155" s="153"/>
      <c r="M155" s="129"/>
      <c r="N155" s="129"/>
      <c r="O155" s="129"/>
      <c r="P155" s="129"/>
      <c r="Q155" s="129"/>
      <c r="R155" s="170"/>
      <c r="S155" s="170"/>
      <c r="T155" s="170"/>
      <c r="U155" s="170"/>
      <c r="V155" s="82"/>
      <c r="W155" s="82"/>
      <c r="X155" s="82"/>
      <c r="Y155" s="82"/>
      <c r="Z155" s="82"/>
      <c r="AA155" s="82"/>
      <c r="AB155" s="82"/>
      <c r="AC155" s="82"/>
      <c r="AD155" s="82"/>
      <c r="AE155" s="82"/>
      <c r="AF155" s="82"/>
      <c r="AG155" s="82"/>
      <c r="AH155" s="82"/>
      <c r="AI155" s="82"/>
      <c r="AJ155" s="82"/>
      <c r="AK155" s="82"/>
      <c r="AL155" s="82"/>
      <c r="AM155" s="82"/>
      <c r="AN155" s="82"/>
      <c r="AO155" s="82"/>
      <c r="AP155" s="82"/>
      <c r="AQ155" s="82"/>
      <c r="AR155" s="82"/>
      <c r="AS155" s="82"/>
      <c r="AT155" s="82"/>
      <c r="AU155" s="82"/>
      <c r="AV155" s="82"/>
      <c r="AW155" s="82"/>
      <c r="AX155" s="82"/>
      <c r="AY155" s="82"/>
      <c r="AZ155" s="82"/>
      <c r="BA155" s="82"/>
      <c r="BB155" s="82"/>
      <c r="BC155" s="82"/>
      <c r="BD155" s="82"/>
      <c r="BE155" s="82"/>
      <c r="BF155" s="82"/>
      <c r="BG155" s="82"/>
      <c r="BH155" s="82"/>
      <c r="BI155" s="82"/>
      <c r="BJ155" s="82"/>
      <c r="BK155" s="82"/>
      <c r="BL155" s="82"/>
      <c r="BM155" s="82"/>
      <c r="BN155" s="82"/>
      <c r="BO155" s="82"/>
      <c r="BP155" s="82"/>
      <c r="BQ155" s="82"/>
      <c r="BR155" s="82"/>
      <c r="BS155" s="82"/>
      <c r="BT155" s="82"/>
      <c r="BU155" s="82"/>
      <c r="BV155" s="82"/>
      <c r="BW155" s="82"/>
      <c r="BX155" s="82"/>
      <c r="BY155" s="82"/>
      <c r="BZ155" s="82"/>
      <c r="CA155" s="82"/>
      <c r="CB155" s="82"/>
      <c r="CC155" s="82"/>
      <c r="CD155" s="82"/>
      <c r="CE155" s="82"/>
      <c r="CF155" s="82"/>
      <c r="CG155" s="82"/>
      <c r="CH155" s="82"/>
    </row>
    <row r="156" spans="1:86" s="93" customFormat="1">
      <c r="A156" s="97" t="s">
        <v>332</v>
      </c>
      <c r="B156" s="76">
        <v>343.5</v>
      </c>
      <c r="C156" s="171">
        <f t="shared" si="100"/>
        <v>8.7003875281781107E-2</v>
      </c>
      <c r="D156" s="169"/>
      <c r="E156" s="169"/>
      <c r="F156" s="169"/>
      <c r="G156" s="66"/>
      <c r="H156" s="129"/>
      <c r="I156" s="129"/>
      <c r="J156" s="129"/>
      <c r="K156" s="129"/>
      <c r="L156" s="153"/>
      <c r="M156" s="129"/>
      <c r="N156" s="129"/>
      <c r="O156" s="129"/>
      <c r="P156" s="129"/>
      <c r="Q156" s="129"/>
      <c r="R156" s="170"/>
      <c r="S156" s="170"/>
      <c r="T156" s="170"/>
      <c r="U156" s="170"/>
      <c r="V156" s="82"/>
      <c r="W156" s="82"/>
      <c r="X156" s="82"/>
      <c r="Y156" s="82"/>
      <c r="Z156" s="82"/>
      <c r="AA156" s="82"/>
      <c r="AB156" s="82"/>
      <c r="AC156" s="82"/>
      <c r="AD156" s="82"/>
      <c r="AE156" s="82"/>
      <c r="AF156" s="82"/>
      <c r="AG156" s="82"/>
      <c r="AH156" s="82"/>
      <c r="AI156" s="82"/>
      <c r="AJ156" s="82"/>
      <c r="AK156" s="82"/>
      <c r="AL156" s="82"/>
      <c r="AM156" s="82"/>
      <c r="AN156" s="82"/>
      <c r="AO156" s="82"/>
      <c r="AP156" s="82"/>
      <c r="AQ156" s="82"/>
      <c r="AR156" s="82"/>
      <c r="AS156" s="82"/>
      <c r="AT156" s="82"/>
      <c r="AU156" s="82"/>
      <c r="AV156" s="82"/>
      <c r="AW156" s="82"/>
      <c r="AX156" s="82"/>
      <c r="AY156" s="82"/>
      <c r="AZ156" s="82"/>
      <c r="BA156" s="82"/>
      <c r="BB156" s="82"/>
      <c r="BC156" s="82"/>
      <c r="BD156" s="82"/>
      <c r="BE156" s="82"/>
      <c r="BF156" s="82"/>
      <c r="BG156" s="82"/>
      <c r="BH156" s="82"/>
      <c r="BI156" s="82"/>
      <c r="BJ156" s="82"/>
      <c r="BK156" s="82"/>
      <c r="BL156" s="82"/>
      <c r="BM156" s="82"/>
      <c r="BN156" s="82"/>
      <c r="BO156" s="82"/>
      <c r="BP156" s="82"/>
      <c r="BQ156" s="82"/>
      <c r="BR156" s="82"/>
      <c r="BS156" s="82"/>
      <c r="BT156" s="82"/>
      <c r="BU156" s="82"/>
      <c r="BV156" s="82"/>
      <c r="BW156" s="82"/>
      <c r="BX156" s="82"/>
      <c r="BY156" s="82"/>
      <c r="BZ156" s="82"/>
      <c r="CA156" s="82"/>
      <c r="CB156" s="82"/>
      <c r="CC156" s="82"/>
      <c r="CD156" s="82"/>
      <c r="CE156" s="82"/>
      <c r="CF156" s="82"/>
      <c r="CG156" s="82"/>
      <c r="CH156" s="82"/>
    </row>
    <row r="157" spans="1:86" s="113" customFormat="1" thickBot="1">
      <c r="A157" s="123" t="s">
        <v>3</v>
      </c>
      <c r="B157" s="68">
        <f>SUM(B154:B156)</f>
        <v>3948.1</v>
      </c>
      <c r="C157" s="149">
        <f>SUM(C154:C156)</f>
        <v>1</v>
      </c>
      <c r="D157" s="172"/>
      <c r="E157" s="172"/>
      <c r="F157" s="172"/>
      <c r="G157" s="75"/>
      <c r="H157" s="173"/>
      <c r="I157" s="173"/>
      <c r="J157" s="173"/>
      <c r="K157" s="173"/>
      <c r="L157" s="172"/>
      <c r="M157" s="173"/>
      <c r="N157" s="173"/>
      <c r="O157" s="173"/>
      <c r="P157" s="173"/>
      <c r="Q157" s="173"/>
      <c r="R157" s="174"/>
      <c r="S157" s="174"/>
      <c r="T157" s="174"/>
      <c r="U157" s="174"/>
      <c r="V157" s="84"/>
      <c r="W157" s="84"/>
      <c r="X157" s="84"/>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c r="AV157" s="84"/>
      <c r="AW157" s="84"/>
      <c r="AX157" s="84"/>
      <c r="AY157" s="84"/>
      <c r="AZ157" s="84"/>
      <c r="BA157" s="84"/>
      <c r="BB157" s="84"/>
      <c r="BC157" s="84"/>
      <c r="BD157" s="84"/>
      <c r="BE157" s="84"/>
      <c r="BF157" s="84"/>
      <c r="BG157" s="84"/>
      <c r="BH157" s="84"/>
      <c r="BI157" s="84"/>
      <c r="BJ157" s="84"/>
      <c r="BK157" s="84"/>
      <c r="BL157" s="84"/>
      <c r="BM157" s="84"/>
      <c r="BN157" s="84"/>
      <c r="BO157" s="84"/>
      <c r="BP157" s="84"/>
      <c r="BQ157" s="84"/>
      <c r="BR157" s="84"/>
      <c r="BS157" s="84"/>
      <c r="BT157" s="84"/>
      <c r="BU157" s="84"/>
      <c r="BV157" s="84"/>
      <c r="BW157" s="84"/>
      <c r="BX157" s="84"/>
      <c r="BY157" s="84"/>
      <c r="BZ157" s="84"/>
      <c r="CA157" s="84"/>
      <c r="CB157" s="84"/>
      <c r="CC157" s="84"/>
      <c r="CD157" s="84"/>
      <c r="CE157" s="84"/>
      <c r="CF157" s="84"/>
      <c r="CG157" s="84"/>
      <c r="CH157" s="84"/>
    </row>
    <row r="158" spans="1:86">
      <c r="A158" s="5" t="s">
        <v>96</v>
      </c>
      <c r="B158" s="306"/>
      <c r="C158" s="10"/>
      <c r="D158" s="10"/>
      <c r="E158" s="10"/>
      <c r="F158" s="10"/>
      <c r="G158" s="55"/>
      <c r="Q158" s="45"/>
      <c r="R158" s="45"/>
      <c r="S158" s="45"/>
      <c r="T158" s="45"/>
      <c r="U158" s="45"/>
    </row>
    <row r="159" spans="1:86">
      <c r="A159" s="5" t="s">
        <v>377</v>
      </c>
      <c r="B159" s="59"/>
      <c r="C159" s="10"/>
      <c r="D159" s="10"/>
      <c r="E159" s="10"/>
      <c r="F159" s="10"/>
      <c r="G159" s="55"/>
      <c r="H159" s="45"/>
      <c r="I159" s="45"/>
      <c r="J159" s="45"/>
      <c r="K159" s="45"/>
    </row>
    <row r="160" spans="1:86">
      <c r="G160" s="45"/>
      <c r="H160" s="45"/>
      <c r="I160" s="45"/>
      <c r="J160" s="45"/>
      <c r="K160" s="45"/>
    </row>
    <row r="161" spans="1:86" s="21" customFormat="1" ht="14.25" thickBot="1">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row>
    <row r="163" spans="1:86">
      <c r="A163" s="32" t="s">
        <v>403</v>
      </c>
      <c r="B163" s="7" t="s">
        <v>333</v>
      </c>
    </row>
    <row r="164" spans="1:86" s="15" customFormat="1" ht="14.25" thickBot="1">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row>
    <row r="165" spans="1:86" s="93" customFormat="1" ht="14.25" thickBot="1">
      <c r="B165" s="150" t="s">
        <v>166</v>
      </c>
      <c r="C165" s="151" t="s">
        <v>89</v>
      </c>
      <c r="T165" s="82"/>
      <c r="U165" s="82"/>
      <c r="V165" s="82"/>
      <c r="W165" s="82"/>
      <c r="X165" s="82"/>
      <c r="Y165" s="82"/>
      <c r="Z165" s="82"/>
      <c r="AA165" s="82"/>
      <c r="AB165" s="82"/>
      <c r="AC165" s="82"/>
      <c r="AD165" s="82"/>
      <c r="AE165" s="82"/>
      <c r="AF165" s="82"/>
      <c r="AG165" s="82"/>
      <c r="AH165" s="82"/>
      <c r="AI165" s="82"/>
      <c r="AJ165" s="82"/>
      <c r="AK165" s="82"/>
      <c r="AL165" s="82"/>
      <c r="AM165" s="82"/>
      <c r="AN165" s="82"/>
      <c r="AO165" s="82"/>
      <c r="AP165" s="82"/>
      <c r="AQ165" s="82"/>
      <c r="AR165" s="82"/>
      <c r="AS165" s="82"/>
      <c r="AT165" s="82"/>
      <c r="AU165" s="82"/>
      <c r="AV165" s="82"/>
      <c r="AW165" s="82"/>
      <c r="AX165" s="82"/>
      <c r="AY165" s="82"/>
      <c r="AZ165" s="82"/>
      <c r="BA165" s="82"/>
      <c r="BB165" s="82"/>
      <c r="BC165" s="82"/>
      <c r="BD165" s="82"/>
      <c r="BE165" s="82"/>
      <c r="BF165" s="82"/>
      <c r="BG165" s="82"/>
      <c r="BH165" s="82"/>
      <c r="BI165" s="82"/>
      <c r="BJ165" s="82"/>
      <c r="BK165" s="82"/>
      <c r="BL165" s="82"/>
      <c r="BM165" s="82"/>
      <c r="BN165" s="82"/>
      <c r="BO165" s="82"/>
      <c r="BP165" s="82"/>
      <c r="BQ165" s="82"/>
      <c r="BR165" s="82"/>
      <c r="BS165" s="82"/>
      <c r="BT165" s="82"/>
      <c r="BU165" s="82"/>
      <c r="BV165" s="82"/>
      <c r="BW165" s="82"/>
      <c r="BX165" s="82"/>
      <c r="BY165" s="82"/>
      <c r="BZ165" s="82"/>
      <c r="CA165" s="82"/>
      <c r="CB165" s="82"/>
      <c r="CC165" s="82"/>
      <c r="CD165" s="82"/>
      <c r="CE165" s="82"/>
      <c r="CF165" s="82"/>
    </row>
    <row r="166" spans="1:86" s="93" customFormat="1">
      <c r="A166" s="176" t="s">
        <v>9</v>
      </c>
      <c r="B166" s="76">
        <v>1855.6</v>
      </c>
      <c r="C166" s="158">
        <f>B166/B$169</f>
        <v>0.4699982269952635</v>
      </c>
      <c r="T166" s="82"/>
      <c r="U166" s="82"/>
      <c r="V166" s="82"/>
      <c r="W166" s="82"/>
      <c r="X166" s="82"/>
      <c r="Y166" s="82"/>
      <c r="Z166" s="82"/>
      <c r="AA166" s="82"/>
      <c r="AB166" s="82"/>
      <c r="AC166" s="82"/>
      <c r="AD166" s="82"/>
      <c r="AE166" s="82"/>
      <c r="AF166" s="82"/>
      <c r="AG166" s="82"/>
      <c r="AH166" s="82"/>
      <c r="AI166" s="82"/>
      <c r="AJ166" s="82"/>
      <c r="AK166" s="82"/>
      <c r="AL166" s="82"/>
      <c r="AM166" s="82"/>
      <c r="AN166" s="82"/>
      <c r="AO166" s="82"/>
      <c r="AP166" s="82"/>
      <c r="AQ166" s="82"/>
      <c r="AR166" s="82"/>
      <c r="AS166" s="82"/>
      <c r="AT166" s="82"/>
      <c r="AU166" s="82"/>
      <c r="AV166" s="82"/>
      <c r="AW166" s="82"/>
      <c r="AX166" s="82"/>
      <c r="AY166" s="82"/>
      <c r="AZ166" s="82"/>
      <c r="BA166" s="82"/>
      <c r="BB166" s="82"/>
      <c r="BC166" s="82"/>
      <c r="BD166" s="82"/>
      <c r="BE166" s="82"/>
      <c r="BF166" s="82"/>
      <c r="BG166" s="82"/>
      <c r="BH166" s="82"/>
      <c r="BI166" s="82"/>
      <c r="BJ166" s="82"/>
      <c r="BK166" s="82"/>
      <c r="BL166" s="82"/>
      <c r="BM166" s="82"/>
      <c r="BN166" s="82"/>
      <c r="BO166" s="82"/>
      <c r="BP166" s="82"/>
      <c r="BQ166" s="82"/>
      <c r="BR166" s="82"/>
      <c r="BS166" s="82"/>
      <c r="BT166" s="82"/>
      <c r="BU166" s="82"/>
      <c r="BV166" s="82"/>
      <c r="BW166" s="82"/>
      <c r="BX166" s="82"/>
      <c r="BY166" s="82"/>
      <c r="BZ166" s="82"/>
      <c r="CA166" s="82"/>
      <c r="CB166" s="82"/>
      <c r="CC166" s="82"/>
      <c r="CD166" s="82"/>
      <c r="CE166" s="82"/>
      <c r="CF166" s="82"/>
    </row>
    <row r="167" spans="1:86" s="93" customFormat="1">
      <c r="A167" s="157" t="s">
        <v>8</v>
      </c>
      <c r="B167" s="76">
        <v>1579.2</v>
      </c>
      <c r="C167" s="158">
        <f t="shared" ref="C167:C168" si="101">B167/B$169</f>
        <v>0.39998986854436308</v>
      </c>
      <c r="T167" s="82"/>
      <c r="U167" s="82"/>
      <c r="V167" s="82"/>
      <c r="W167" s="82"/>
      <c r="X167" s="82"/>
      <c r="Y167" s="82"/>
      <c r="Z167" s="82"/>
      <c r="AA167" s="82"/>
      <c r="AB167" s="82"/>
      <c r="AC167" s="82"/>
      <c r="AD167" s="82"/>
      <c r="AE167" s="82"/>
      <c r="AF167" s="82"/>
      <c r="AG167" s="82"/>
      <c r="AH167" s="82"/>
      <c r="AI167" s="82"/>
      <c r="AJ167" s="82"/>
      <c r="AK167" s="82"/>
      <c r="AL167" s="82"/>
      <c r="AM167" s="82"/>
      <c r="AN167" s="82"/>
      <c r="AO167" s="82"/>
      <c r="AP167" s="82"/>
      <c r="AQ167" s="82"/>
      <c r="AR167" s="82"/>
      <c r="AS167" s="82"/>
      <c r="AT167" s="82"/>
      <c r="AU167" s="82"/>
      <c r="AV167" s="82"/>
      <c r="AW167" s="82"/>
      <c r="AX167" s="82"/>
      <c r="AY167" s="82"/>
      <c r="AZ167" s="82"/>
      <c r="BA167" s="82"/>
      <c r="BB167" s="82"/>
      <c r="BC167" s="82"/>
      <c r="BD167" s="82"/>
      <c r="BE167" s="82"/>
      <c r="BF167" s="82"/>
      <c r="BG167" s="82"/>
      <c r="BH167" s="82"/>
      <c r="BI167" s="82"/>
      <c r="BJ167" s="82"/>
      <c r="BK167" s="82"/>
      <c r="BL167" s="82"/>
      <c r="BM167" s="82"/>
      <c r="BN167" s="82"/>
      <c r="BO167" s="82"/>
      <c r="BP167" s="82"/>
      <c r="BQ167" s="82"/>
      <c r="BR167" s="82"/>
      <c r="BS167" s="82"/>
      <c r="BT167" s="82"/>
      <c r="BU167" s="82"/>
      <c r="BV167" s="82"/>
      <c r="BW167" s="82"/>
      <c r="BX167" s="82"/>
      <c r="BY167" s="82"/>
      <c r="BZ167" s="82"/>
      <c r="CA167" s="82"/>
      <c r="CB167" s="82"/>
      <c r="CC167" s="82"/>
      <c r="CD167" s="82"/>
      <c r="CE167" s="82"/>
      <c r="CF167" s="82"/>
    </row>
    <row r="168" spans="1:86" s="93" customFormat="1">
      <c r="A168" s="157" t="s">
        <v>10</v>
      </c>
      <c r="B168" s="76">
        <v>513.29999999999995</v>
      </c>
      <c r="C168" s="158">
        <f t="shared" si="101"/>
        <v>0.13001190446037333</v>
      </c>
      <c r="T168" s="82"/>
      <c r="U168" s="82"/>
      <c r="V168" s="82"/>
      <c r="W168" s="82"/>
      <c r="X168" s="82"/>
      <c r="Y168" s="82"/>
      <c r="Z168" s="82"/>
      <c r="AA168" s="82"/>
      <c r="AB168" s="82"/>
      <c r="AC168" s="82"/>
      <c r="AD168" s="82"/>
      <c r="AE168" s="82"/>
      <c r="AF168" s="82"/>
      <c r="AG168" s="82"/>
      <c r="AH168" s="82"/>
      <c r="AI168" s="82"/>
      <c r="AJ168" s="82"/>
      <c r="AK168" s="82"/>
      <c r="AL168" s="82"/>
      <c r="AM168" s="82"/>
      <c r="AN168" s="82"/>
      <c r="AO168" s="82"/>
      <c r="AP168" s="82"/>
      <c r="AQ168" s="82"/>
      <c r="AR168" s="82"/>
      <c r="AS168" s="82"/>
      <c r="AT168" s="82"/>
      <c r="AU168" s="82"/>
      <c r="AV168" s="82"/>
      <c r="AW168" s="82"/>
      <c r="AX168" s="82"/>
      <c r="AY168" s="82"/>
      <c r="AZ168" s="82"/>
      <c r="BA168" s="82"/>
      <c r="BB168" s="82"/>
      <c r="BC168" s="82"/>
      <c r="BD168" s="82"/>
      <c r="BE168" s="82"/>
      <c r="BF168" s="82"/>
      <c r="BG168" s="82"/>
      <c r="BH168" s="82"/>
      <c r="BI168" s="82"/>
      <c r="BJ168" s="82"/>
      <c r="BK168" s="82"/>
      <c r="BL168" s="82"/>
      <c r="BM168" s="82"/>
      <c r="BN168" s="82"/>
      <c r="BO168" s="82"/>
      <c r="BP168" s="82"/>
      <c r="BQ168" s="82"/>
      <c r="BR168" s="82"/>
      <c r="BS168" s="82"/>
      <c r="BT168" s="82"/>
      <c r="BU168" s="82"/>
      <c r="BV168" s="82"/>
      <c r="BW168" s="82"/>
      <c r="BX168" s="82"/>
      <c r="BY168" s="82"/>
      <c r="BZ168" s="82"/>
      <c r="CA168" s="82"/>
      <c r="CB168" s="82"/>
      <c r="CC168" s="82"/>
      <c r="CD168" s="82"/>
      <c r="CE168" s="82"/>
      <c r="CF168" s="82"/>
    </row>
    <row r="169" spans="1:86" s="113" customFormat="1" thickBot="1">
      <c r="A169" s="181" t="s">
        <v>3</v>
      </c>
      <c r="B169" s="72">
        <f>SUM(B166:B168)</f>
        <v>3948.1000000000004</v>
      </c>
      <c r="C169" s="149">
        <f>SUM(C166:C168)</f>
        <v>1</v>
      </c>
      <c r="T169" s="84"/>
      <c r="U169" s="84"/>
      <c r="V169" s="84"/>
      <c r="W169" s="84"/>
      <c r="X169" s="84"/>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84"/>
      <c r="AW169" s="84"/>
      <c r="AX169" s="84"/>
      <c r="AY169" s="84"/>
      <c r="AZ169" s="84"/>
      <c r="BA169" s="84"/>
      <c r="BB169" s="84"/>
      <c r="BC169" s="84"/>
      <c r="BD169" s="84"/>
      <c r="BE169" s="84"/>
      <c r="BF169" s="84"/>
      <c r="BG169" s="84"/>
      <c r="BH169" s="84"/>
      <c r="BI169" s="84"/>
      <c r="BJ169" s="84"/>
      <c r="BK169" s="84"/>
      <c r="BL169" s="84"/>
      <c r="BM169" s="84"/>
      <c r="BN169" s="84"/>
      <c r="BO169" s="84"/>
      <c r="BP169" s="84"/>
      <c r="BQ169" s="84"/>
      <c r="BR169" s="84"/>
      <c r="BS169" s="84"/>
      <c r="BT169" s="84"/>
      <c r="BU169" s="84"/>
      <c r="BV169" s="84"/>
      <c r="BW169" s="84"/>
      <c r="BX169" s="84"/>
      <c r="BY169" s="84"/>
      <c r="BZ169" s="84"/>
      <c r="CA169" s="84"/>
      <c r="CB169" s="84"/>
      <c r="CC169" s="84"/>
      <c r="CD169" s="84"/>
      <c r="CE169" s="84"/>
      <c r="CF169" s="84"/>
    </row>
    <row r="170" spans="1:86" s="6" customFormat="1" ht="12.75" customHeight="1">
      <c r="A170" s="5" t="s">
        <v>96</v>
      </c>
      <c r="B170" s="306"/>
      <c r="C170" s="5"/>
      <c r="D170" s="5"/>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row>
    <row r="171" spans="1:86" s="6" customFormat="1" ht="12.75" customHeight="1">
      <c r="A171" s="5" t="s">
        <v>377</v>
      </c>
      <c r="B171" s="59"/>
      <c r="C171" s="5"/>
      <c r="D171" s="5"/>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row>
    <row r="172" spans="1:86">
      <c r="G172" s="45"/>
      <c r="H172" s="45"/>
      <c r="I172" s="45"/>
      <c r="J172" s="45"/>
      <c r="K172" s="45"/>
    </row>
    <row r="173" spans="1:86" s="21" customFormat="1" ht="14.25" thickBot="1">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row>
    <row r="175" spans="1:86">
      <c r="A175" s="32" t="s">
        <v>404</v>
      </c>
      <c r="B175" s="7" t="s">
        <v>334</v>
      </c>
    </row>
    <row r="176" spans="1:86" s="15" customFormat="1" ht="14.25" thickBot="1">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row>
    <row r="177" spans="1:86" s="93" customFormat="1" ht="14.25" thickBot="1">
      <c r="B177" s="150" t="s">
        <v>166</v>
      </c>
      <c r="C177" s="151" t="s">
        <v>89</v>
      </c>
      <c r="D177" s="152"/>
      <c r="T177" s="82"/>
      <c r="U177" s="82"/>
      <c r="V177" s="82"/>
      <c r="W177" s="82"/>
      <c r="X177" s="82"/>
      <c r="Y177" s="82"/>
      <c r="Z177" s="82"/>
      <c r="AA177" s="82"/>
      <c r="AB177" s="82"/>
      <c r="AC177" s="82"/>
      <c r="AD177" s="82"/>
      <c r="AE177" s="82"/>
      <c r="AF177" s="82"/>
      <c r="AG177" s="82"/>
      <c r="AH177" s="82"/>
      <c r="AI177" s="82"/>
      <c r="AJ177" s="82"/>
      <c r="AK177" s="82"/>
      <c r="AL177" s="82"/>
      <c r="AM177" s="82"/>
      <c r="AN177" s="82"/>
      <c r="AO177" s="82"/>
      <c r="AP177" s="82"/>
      <c r="AQ177" s="82"/>
      <c r="AR177" s="82"/>
      <c r="AS177" s="82"/>
      <c r="AT177" s="82"/>
      <c r="AU177" s="82"/>
      <c r="AV177" s="82"/>
      <c r="AW177" s="82"/>
      <c r="AX177" s="82"/>
      <c r="AY177" s="82"/>
      <c r="AZ177" s="82"/>
      <c r="BA177" s="82"/>
      <c r="BB177" s="82"/>
      <c r="BC177" s="82"/>
      <c r="BD177" s="82"/>
      <c r="BE177" s="82"/>
      <c r="BF177" s="82"/>
      <c r="BG177" s="82"/>
      <c r="BH177" s="82"/>
      <c r="BI177" s="82"/>
      <c r="BJ177" s="82"/>
      <c r="BK177" s="82"/>
      <c r="BL177" s="82"/>
      <c r="BM177" s="82"/>
      <c r="BN177" s="82"/>
      <c r="BO177" s="82"/>
      <c r="BP177" s="82"/>
      <c r="BQ177" s="82"/>
      <c r="BR177" s="82"/>
      <c r="BS177" s="82"/>
      <c r="BT177" s="82"/>
      <c r="BU177" s="82"/>
      <c r="BV177" s="82"/>
      <c r="BW177" s="82"/>
      <c r="BX177" s="82"/>
      <c r="BY177" s="82"/>
      <c r="BZ177" s="82"/>
      <c r="CA177" s="82"/>
      <c r="CB177" s="82"/>
      <c r="CC177" s="82"/>
      <c r="CD177" s="82"/>
      <c r="CE177" s="82"/>
      <c r="CF177" s="82"/>
    </row>
    <row r="178" spans="1:86" s="93" customFormat="1">
      <c r="A178" s="92" t="s">
        <v>27</v>
      </c>
      <c r="B178" s="76">
        <v>3553.3</v>
      </c>
      <c r="C178" s="158">
        <f>B178/B$181</f>
        <v>0.90000253286390919</v>
      </c>
      <c r="T178" s="82"/>
      <c r="U178" s="82"/>
      <c r="V178" s="82"/>
      <c r="W178" s="82"/>
      <c r="X178" s="82"/>
      <c r="Y178" s="82"/>
      <c r="Z178" s="82"/>
      <c r="AA178" s="82"/>
      <c r="AB178" s="82"/>
      <c r="AC178" s="82"/>
      <c r="AD178" s="82"/>
      <c r="AE178" s="82"/>
      <c r="AF178" s="82"/>
      <c r="AG178" s="82"/>
      <c r="AH178" s="82"/>
      <c r="AI178" s="82"/>
      <c r="AJ178" s="82"/>
      <c r="AK178" s="82"/>
      <c r="AL178" s="82"/>
      <c r="AM178" s="82"/>
      <c r="AN178" s="82"/>
      <c r="AO178" s="82"/>
      <c r="AP178" s="82"/>
      <c r="AQ178" s="82"/>
      <c r="AR178" s="82"/>
      <c r="AS178" s="82"/>
      <c r="AT178" s="82"/>
      <c r="AU178" s="82"/>
      <c r="AV178" s="82"/>
      <c r="AW178" s="82"/>
      <c r="AX178" s="82"/>
      <c r="AY178" s="82"/>
      <c r="AZ178" s="82"/>
      <c r="BA178" s="82"/>
      <c r="BB178" s="82"/>
      <c r="BC178" s="82"/>
      <c r="BD178" s="82"/>
      <c r="BE178" s="82"/>
      <c r="BF178" s="82"/>
      <c r="BG178" s="82"/>
      <c r="BH178" s="82"/>
      <c r="BI178" s="82"/>
      <c r="BJ178" s="82"/>
      <c r="BK178" s="82"/>
      <c r="BL178" s="82"/>
      <c r="BM178" s="82"/>
      <c r="BN178" s="82"/>
      <c r="BO178" s="82"/>
      <c r="BP178" s="82"/>
      <c r="BQ178" s="82"/>
      <c r="BR178" s="82"/>
      <c r="BS178" s="82"/>
      <c r="BT178" s="82"/>
      <c r="BU178" s="82"/>
      <c r="BV178" s="82"/>
      <c r="BW178" s="82"/>
      <c r="BX178" s="82"/>
      <c r="BY178" s="82"/>
      <c r="BZ178" s="82"/>
      <c r="CA178" s="82"/>
      <c r="CB178" s="82"/>
      <c r="CC178" s="82"/>
      <c r="CD178" s="82"/>
      <c r="CE178" s="82"/>
      <c r="CF178" s="82"/>
    </row>
    <row r="179" spans="1:86" s="93" customFormat="1">
      <c r="A179" s="97" t="s">
        <v>28</v>
      </c>
      <c r="B179" s="76">
        <v>157.9</v>
      </c>
      <c r="C179" s="158">
        <f t="shared" ref="C179:C180" si="102">B179/B$181</f>
        <v>3.9993921126617864E-2</v>
      </c>
      <c r="T179" s="82"/>
      <c r="U179" s="82"/>
      <c r="V179" s="82"/>
      <c r="W179" s="82"/>
      <c r="X179" s="82"/>
      <c r="Y179" s="82"/>
      <c r="Z179" s="82"/>
      <c r="AA179" s="82"/>
      <c r="AB179" s="82"/>
      <c r="AC179" s="82"/>
      <c r="AD179" s="82"/>
      <c r="AE179" s="82"/>
      <c r="AF179" s="82"/>
      <c r="AG179" s="82"/>
      <c r="AH179" s="82"/>
      <c r="AI179" s="82"/>
      <c r="AJ179" s="82"/>
      <c r="AK179" s="82"/>
      <c r="AL179" s="82"/>
      <c r="AM179" s="82"/>
      <c r="AN179" s="82"/>
      <c r="AO179" s="82"/>
      <c r="AP179" s="82"/>
      <c r="AQ179" s="82"/>
      <c r="AR179" s="82"/>
      <c r="AS179" s="82"/>
      <c r="AT179" s="82"/>
      <c r="AU179" s="82"/>
      <c r="AV179" s="82"/>
      <c r="AW179" s="82"/>
      <c r="AX179" s="82"/>
      <c r="AY179" s="82"/>
      <c r="AZ179" s="82"/>
      <c r="BA179" s="82"/>
      <c r="BB179" s="82"/>
      <c r="BC179" s="82"/>
      <c r="BD179" s="82"/>
      <c r="BE179" s="82"/>
      <c r="BF179" s="82"/>
      <c r="BG179" s="82"/>
      <c r="BH179" s="82"/>
      <c r="BI179" s="82"/>
      <c r="BJ179" s="82"/>
      <c r="BK179" s="82"/>
      <c r="BL179" s="82"/>
      <c r="BM179" s="82"/>
      <c r="BN179" s="82"/>
      <c r="BO179" s="82"/>
      <c r="BP179" s="82"/>
      <c r="BQ179" s="82"/>
      <c r="BR179" s="82"/>
      <c r="BS179" s="82"/>
      <c r="BT179" s="82"/>
      <c r="BU179" s="82"/>
      <c r="BV179" s="82"/>
      <c r="BW179" s="82"/>
      <c r="BX179" s="82"/>
      <c r="BY179" s="82"/>
      <c r="BZ179" s="82"/>
      <c r="CA179" s="82"/>
      <c r="CB179" s="82"/>
      <c r="CC179" s="82"/>
      <c r="CD179" s="82"/>
      <c r="CE179" s="82"/>
      <c r="CF179" s="82"/>
    </row>
    <row r="180" spans="1:86" s="93" customFormat="1">
      <c r="A180" s="97" t="s">
        <v>389</v>
      </c>
      <c r="B180" s="76">
        <v>236.9</v>
      </c>
      <c r="C180" s="158">
        <f t="shared" si="102"/>
        <v>6.0003546009472906E-2</v>
      </c>
      <c r="T180" s="82"/>
      <c r="U180" s="82"/>
      <c r="V180" s="82"/>
      <c r="W180" s="82"/>
      <c r="X180" s="82"/>
      <c r="Y180" s="82"/>
      <c r="Z180" s="82"/>
      <c r="AA180" s="82"/>
      <c r="AB180" s="82"/>
      <c r="AC180" s="82"/>
      <c r="AD180" s="82"/>
      <c r="AE180" s="82"/>
      <c r="AF180" s="82"/>
      <c r="AG180" s="82"/>
      <c r="AH180" s="82"/>
      <c r="AI180" s="82"/>
      <c r="AJ180" s="82"/>
      <c r="AK180" s="82"/>
      <c r="AL180" s="82"/>
      <c r="AM180" s="82"/>
      <c r="AN180" s="82"/>
      <c r="AO180" s="82"/>
      <c r="AP180" s="82"/>
      <c r="AQ180" s="82"/>
      <c r="AR180" s="82"/>
      <c r="AS180" s="82"/>
      <c r="AT180" s="82"/>
      <c r="AU180" s="82"/>
      <c r="AV180" s="82"/>
      <c r="AW180" s="82"/>
      <c r="AX180" s="82"/>
      <c r="AY180" s="82"/>
      <c r="AZ180" s="82"/>
      <c r="BA180" s="82"/>
      <c r="BB180" s="82"/>
      <c r="BC180" s="82"/>
      <c r="BD180" s="82"/>
      <c r="BE180" s="82"/>
      <c r="BF180" s="82"/>
      <c r="BG180" s="82"/>
      <c r="BH180" s="82"/>
      <c r="BI180" s="82"/>
      <c r="BJ180" s="82"/>
      <c r="BK180" s="82"/>
      <c r="BL180" s="82"/>
      <c r="BM180" s="82"/>
      <c r="BN180" s="82"/>
      <c r="BO180" s="82"/>
      <c r="BP180" s="82"/>
      <c r="BQ180" s="82"/>
      <c r="BR180" s="82"/>
      <c r="BS180" s="82"/>
      <c r="BT180" s="82"/>
      <c r="BU180" s="82"/>
      <c r="BV180" s="82"/>
      <c r="BW180" s="82"/>
      <c r="BX180" s="82"/>
      <c r="BY180" s="82"/>
      <c r="BZ180" s="82"/>
      <c r="CA180" s="82"/>
      <c r="CB180" s="82"/>
      <c r="CC180" s="82"/>
      <c r="CD180" s="82"/>
      <c r="CE180" s="82"/>
      <c r="CF180" s="82"/>
    </row>
    <row r="181" spans="1:86" s="113" customFormat="1" ht="14.25" thickBot="1">
      <c r="A181" s="123" t="s">
        <v>3</v>
      </c>
      <c r="B181" s="72">
        <f>SUM(B178:B180)</f>
        <v>3948.1000000000004</v>
      </c>
      <c r="C181" s="149">
        <f>SUM(C178:C180)</f>
        <v>0.99999999999999989</v>
      </c>
      <c r="D181" s="93"/>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84"/>
      <c r="AW181" s="84"/>
      <c r="AX181" s="84"/>
      <c r="AY181" s="84"/>
      <c r="AZ181" s="84"/>
      <c r="BA181" s="84"/>
      <c r="BB181" s="84"/>
      <c r="BC181" s="84"/>
      <c r="BD181" s="84"/>
      <c r="BE181" s="84"/>
      <c r="BF181" s="84"/>
      <c r="BG181" s="84"/>
      <c r="BH181" s="84"/>
      <c r="BI181" s="84"/>
      <c r="BJ181" s="84"/>
      <c r="BK181" s="84"/>
      <c r="BL181" s="84"/>
      <c r="BM181" s="84"/>
      <c r="BN181" s="84"/>
      <c r="BO181" s="84"/>
      <c r="BP181" s="84"/>
      <c r="BQ181" s="84"/>
      <c r="BR181" s="84"/>
      <c r="BS181" s="84"/>
      <c r="BT181" s="84"/>
      <c r="BU181" s="84"/>
      <c r="BV181" s="84"/>
      <c r="BW181" s="84"/>
      <c r="BX181" s="84"/>
      <c r="BY181" s="84"/>
      <c r="BZ181" s="84"/>
      <c r="CA181" s="84"/>
      <c r="CB181" s="84"/>
      <c r="CC181" s="84"/>
      <c r="CD181" s="84"/>
      <c r="CE181" s="84"/>
      <c r="CF181" s="84"/>
    </row>
    <row r="182" spans="1:86" s="6" customFormat="1" ht="12.75" customHeight="1">
      <c r="A182" s="5" t="s">
        <v>96</v>
      </c>
      <c r="B182" s="306"/>
      <c r="C182" s="5"/>
      <c r="D182" s="5"/>
      <c r="E182" s="28"/>
      <c r="F182" s="28"/>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row>
    <row r="183" spans="1:86" s="6" customFormat="1" ht="12.75" customHeight="1">
      <c r="A183" s="5" t="s">
        <v>390</v>
      </c>
      <c r="B183" s="5"/>
      <c r="C183" s="5"/>
      <c r="D183" s="5"/>
      <c r="E183" s="28"/>
      <c r="F183" s="28"/>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row>
    <row r="184" spans="1:86" s="6" customFormat="1" ht="12.75" customHeight="1">
      <c r="A184" s="5" t="s">
        <v>377</v>
      </c>
      <c r="B184" s="59"/>
      <c r="C184" s="5"/>
      <c r="D184" s="5"/>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row>
    <row r="185" spans="1:86" s="6" customFormat="1" ht="12.75" customHeight="1">
      <c r="A185" s="5"/>
      <c r="B185" s="5"/>
      <c r="C185" s="5"/>
      <c r="D185" s="5"/>
      <c r="E185" s="5"/>
      <c r="F185" s="5"/>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row>
    <row r="186" spans="1:86" s="17" customFormat="1"/>
    <row r="187" spans="1:86" s="502" customFormat="1" ht="21.75" customHeight="1">
      <c r="A187" s="501" t="s">
        <v>340</v>
      </c>
    </row>
    <row r="188" spans="1:86">
      <c r="A188" s="14"/>
      <c r="B188" s="14"/>
      <c r="C188" s="14"/>
      <c r="D188" s="14"/>
      <c r="E188" s="14"/>
    </row>
    <row r="189" spans="1:86">
      <c r="A189" s="32" t="s">
        <v>405</v>
      </c>
      <c r="B189" s="7" t="s">
        <v>216</v>
      </c>
    </row>
    <row r="190" spans="1:86" ht="14.25" thickBot="1">
      <c r="A190" s="16"/>
      <c r="B190" s="16"/>
      <c r="C190" s="16"/>
      <c r="D190" s="16"/>
    </row>
    <row r="191" spans="1:86" s="93" customFormat="1" ht="13.5" customHeight="1" thickBot="1">
      <c r="B191" s="189">
        <v>2013</v>
      </c>
      <c r="C191" s="190">
        <v>2014</v>
      </c>
      <c r="D191" s="190">
        <v>2015</v>
      </c>
      <c r="E191" s="190">
        <v>2016</v>
      </c>
      <c r="F191" s="143">
        <v>2017</v>
      </c>
      <c r="G191" s="242">
        <v>2018</v>
      </c>
      <c r="H191" s="242">
        <v>2019</v>
      </c>
      <c r="I191" s="242">
        <v>2020</v>
      </c>
      <c r="J191" s="242">
        <v>2021</v>
      </c>
      <c r="K191" s="243">
        <v>2022</v>
      </c>
      <c r="M191" s="89" t="s">
        <v>11</v>
      </c>
      <c r="N191" s="2" t="s">
        <v>12</v>
      </c>
      <c r="O191" s="2" t="s">
        <v>13</v>
      </c>
      <c r="P191" s="151" t="s">
        <v>95</v>
      </c>
      <c r="Q191" s="90" t="s">
        <v>99</v>
      </c>
      <c r="R191" s="90" t="s">
        <v>100</v>
      </c>
      <c r="S191" s="90" t="s">
        <v>208</v>
      </c>
      <c r="T191" s="90" t="s">
        <v>209</v>
      </c>
      <c r="U191" s="91" t="s">
        <v>210</v>
      </c>
    </row>
    <row r="192" spans="1:86" s="130" customFormat="1">
      <c r="A192" s="176" t="s">
        <v>6</v>
      </c>
      <c r="B192" s="85">
        <v>1538.4</v>
      </c>
      <c r="C192" s="86">
        <v>1510</v>
      </c>
      <c r="D192" s="86">
        <v>1496.1</v>
      </c>
      <c r="E192" s="86">
        <v>1491.4</v>
      </c>
      <c r="F192" s="165">
        <v>1504.5</v>
      </c>
      <c r="G192" s="86">
        <v>1513.1</v>
      </c>
      <c r="H192" s="86">
        <v>1511.8</v>
      </c>
      <c r="I192" s="86">
        <v>1517.5</v>
      </c>
      <c r="J192" s="86">
        <v>1529.3</v>
      </c>
      <c r="K192" s="165">
        <v>1542.5</v>
      </c>
      <c r="M192" s="94">
        <f t="shared" ref="M192:U195" si="103">(C192-B192)/B192</f>
        <v>-1.846073842953724E-2</v>
      </c>
      <c r="N192" s="95">
        <f t="shared" si="103"/>
        <v>-9.2052980132450932E-3</v>
      </c>
      <c r="O192" s="95">
        <f t="shared" si="103"/>
        <v>-3.1415012365482377E-3</v>
      </c>
      <c r="P192" s="95">
        <f t="shared" si="103"/>
        <v>8.7836931741986785E-3</v>
      </c>
      <c r="Q192" s="94">
        <f t="shared" si="103"/>
        <v>5.7161847789962842E-3</v>
      </c>
      <c r="R192" s="95">
        <f t="shared" si="103"/>
        <v>-8.5916330711780756E-4</v>
      </c>
      <c r="S192" s="95">
        <f t="shared" si="103"/>
        <v>3.7703399920624723E-3</v>
      </c>
      <c r="T192" s="95">
        <f t="shared" si="103"/>
        <v>7.7759472817133142E-3</v>
      </c>
      <c r="U192" s="96">
        <f t="shared" si="103"/>
        <v>8.6313999869221513E-3</v>
      </c>
      <c r="V192" s="146"/>
      <c r="W192" s="146"/>
      <c r="X192" s="146"/>
      <c r="Y192" s="146"/>
      <c r="Z192" s="146"/>
      <c r="AA192" s="146"/>
      <c r="AB192" s="146"/>
      <c r="AC192" s="146"/>
      <c r="AD192" s="146"/>
      <c r="AE192" s="146"/>
      <c r="AF192" s="146"/>
      <c r="AG192" s="146"/>
      <c r="AH192" s="146"/>
      <c r="AI192" s="146"/>
      <c r="AJ192" s="146"/>
      <c r="AK192" s="146"/>
      <c r="AL192" s="146"/>
      <c r="AM192" s="146"/>
      <c r="AN192" s="146"/>
      <c r="AO192" s="146"/>
      <c r="AP192" s="146"/>
      <c r="AQ192" s="146"/>
      <c r="AR192" s="146"/>
      <c r="AS192" s="146"/>
      <c r="AT192" s="146"/>
      <c r="AU192" s="146"/>
      <c r="AV192" s="146"/>
      <c r="AW192" s="146"/>
      <c r="AX192" s="146"/>
      <c r="AY192" s="146"/>
      <c r="AZ192" s="146"/>
      <c r="BA192" s="146"/>
      <c r="BB192" s="146"/>
      <c r="BC192" s="146"/>
      <c r="BD192" s="146"/>
      <c r="BE192" s="146"/>
      <c r="BF192" s="146"/>
      <c r="BG192" s="146"/>
      <c r="BH192" s="146"/>
      <c r="BI192" s="146"/>
      <c r="BJ192" s="146"/>
      <c r="BK192" s="146"/>
      <c r="BL192" s="146"/>
      <c r="BM192" s="146"/>
      <c r="BN192" s="146"/>
      <c r="BO192" s="146"/>
      <c r="BP192" s="146"/>
      <c r="BQ192" s="146"/>
      <c r="BR192" s="146"/>
      <c r="BS192" s="146"/>
      <c r="BT192" s="146"/>
      <c r="BU192" s="146"/>
      <c r="BV192" s="146"/>
      <c r="BW192" s="146"/>
      <c r="BX192" s="146"/>
      <c r="BY192" s="146"/>
      <c r="BZ192" s="146"/>
      <c r="CA192" s="146"/>
      <c r="CB192" s="146"/>
      <c r="CC192" s="146"/>
      <c r="CD192" s="146"/>
      <c r="CE192" s="146"/>
      <c r="CF192" s="146"/>
      <c r="CG192" s="146"/>
      <c r="CH192" s="146"/>
    </row>
    <row r="193" spans="1:86" s="130" customFormat="1">
      <c r="A193" s="157" t="s">
        <v>78</v>
      </c>
      <c r="B193" s="76">
        <v>961.4</v>
      </c>
      <c r="C193" s="66">
        <v>964.6</v>
      </c>
      <c r="D193" s="66">
        <v>973.6</v>
      </c>
      <c r="E193" s="66">
        <v>988.6</v>
      </c>
      <c r="F193" s="71">
        <v>1012.6</v>
      </c>
      <c r="G193" s="66">
        <v>1034</v>
      </c>
      <c r="H193" s="66">
        <v>1053.9000000000001</v>
      </c>
      <c r="I193" s="66">
        <v>1065.8</v>
      </c>
      <c r="J193" s="66">
        <v>1082.0999999999999</v>
      </c>
      <c r="K193" s="71">
        <v>1099.7</v>
      </c>
      <c r="M193" s="98">
        <f t="shared" si="103"/>
        <v>3.3284793010193944E-3</v>
      </c>
      <c r="N193" s="99">
        <f t="shared" si="103"/>
        <v>9.3302923491602741E-3</v>
      </c>
      <c r="O193" s="99">
        <f t="shared" si="103"/>
        <v>1.5406737880032868E-2</v>
      </c>
      <c r="P193" s="99">
        <f t="shared" si="103"/>
        <v>2.4276755007080719E-2</v>
      </c>
      <c r="Q193" s="98">
        <f t="shared" si="103"/>
        <v>2.1133715188623323E-2</v>
      </c>
      <c r="R193" s="99">
        <f t="shared" si="103"/>
        <v>1.9245647969052312E-2</v>
      </c>
      <c r="S193" s="99">
        <f t="shared" si="103"/>
        <v>1.1291393870386053E-2</v>
      </c>
      <c r="T193" s="99">
        <f t="shared" si="103"/>
        <v>1.5293676111840829E-2</v>
      </c>
      <c r="U193" s="100">
        <f t="shared" si="103"/>
        <v>1.626467054800863E-2</v>
      </c>
      <c r="V193" s="146"/>
      <c r="W193" s="146"/>
      <c r="X193" s="146"/>
      <c r="Y193" s="146"/>
      <c r="Z193" s="146"/>
      <c r="AA193" s="146"/>
      <c r="AB193" s="146"/>
      <c r="AC193" s="146"/>
      <c r="AD193" s="146"/>
      <c r="AE193" s="146"/>
      <c r="AF193" s="146"/>
      <c r="AG193" s="146"/>
      <c r="AH193" s="146"/>
      <c r="AI193" s="146"/>
      <c r="AJ193" s="146"/>
      <c r="AK193" s="146"/>
      <c r="AL193" s="146"/>
      <c r="AM193" s="146"/>
      <c r="AN193" s="146"/>
      <c r="AO193" s="146"/>
      <c r="AP193" s="146"/>
      <c r="AQ193" s="146"/>
      <c r="AR193" s="146"/>
      <c r="AS193" s="146"/>
      <c r="AT193" s="146"/>
      <c r="AU193" s="146"/>
      <c r="AV193" s="146"/>
      <c r="AW193" s="146"/>
      <c r="AX193" s="146"/>
      <c r="AY193" s="146"/>
      <c r="AZ193" s="146"/>
      <c r="BA193" s="146"/>
      <c r="BB193" s="146"/>
      <c r="BC193" s="146"/>
      <c r="BD193" s="146"/>
      <c r="BE193" s="146"/>
      <c r="BF193" s="146"/>
      <c r="BG193" s="146"/>
      <c r="BH193" s="146"/>
      <c r="BI193" s="146"/>
      <c r="BJ193" s="146"/>
      <c r="BK193" s="146"/>
      <c r="BL193" s="146"/>
      <c r="BM193" s="146"/>
      <c r="BN193" s="146"/>
      <c r="BO193" s="146"/>
      <c r="BP193" s="146"/>
      <c r="BQ193" s="146"/>
      <c r="BR193" s="146"/>
      <c r="BS193" s="146"/>
      <c r="BT193" s="146"/>
      <c r="BU193" s="146"/>
      <c r="BV193" s="146"/>
      <c r="BW193" s="146"/>
      <c r="BX193" s="146"/>
      <c r="BY193" s="146"/>
      <c r="BZ193" s="146"/>
      <c r="CA193" s="146"/>
      <c r="CB193" s="146"/>
      <c r="CC193" s="146"/>
      <c r="CD193" s="146"/>
      <c r="CE193" s="146"/>
      <c r="CF193" s="146"/>
      <c r="CG193" s="146"/>
      <c r="CH193" s="146"/>
    </row>
    <row r="194" spans="1:86" s="130" customFormat="1">
      <c r="A194" s="157" t="s">
        <v>7</v>
      </c>
      <c r="B194" s="76">
        <v>413.7</v>
      </c>
      <c r="C194" s="66">
        <v>396.2</v>
      </c>
      <c r="D194" s="66">
        <v>385.5</v>
      </c>
      <c r="E194" s="66">
        <v>377.2</v>
      </c>
      <c r="F194" s="71">
        <v>376.1</v>
      </c>
      <c r="G194" s="66">
        <v>373.9</v>
      </c>
      <c r="H194" s="66">
        <v>369.9</v>
      </c>
      <c r="I194" s="66">
        <v>369</v>
      </c>
      <c r="J194" s="66">
        <v>369.7</v>
      </c>
      <c r="K194" s="71">
        <v>370.6</v>
      </c>
      <c r="M194" s="98">
        <f t="shared" si="103"/>
        <v>-4.2301184433164128E-2</v>
      </c>
      <c r="N194" s="99">
        <f t="shared" si="103"/>
        <v>-2.7006562342251361E-2</v>
      </c>
      <c r="O194" s="99">
        <f t="shared" si="103"/>
        <v>-2.1530479896238682E-2</v>
      </c>
      <c r="P194" s="99">
        <f t="shared" si="103"/>
        <v>-2.9162248144219667E-3</v>
      </c>
      <c r="Q194" s="98">
        <f t="shared" si="103"/>
        <v>-5.8495081095454541E-3</v>
      </c>
      <c r="R194" s="99">
        <f t="shared" si="103"/>
        <v>-1.0698047606311848E-2</v>
      </c>
      <c r="S194" s="99">
        <f t="shared" si="103"/>
        <v>-2.4330900243308387E-3</v>
      </c>
      <c r="T194" s="99">
        <f t="shared" si="103"/>
        <v>1.8970189701896711E-3</v>
      </c>
      <c r="U194" s="100">
        <f t="shared" si="103"/>
        <v>2.4344062753584909E-3</v>
      </c>
      <c r="V194" s="146"/>
      <c r="W194" s="146"/>
      <c r="X194" s="146"/>
      <c r="Y194" s="146"/>
      <c r="Z194" s="146"/>
      <c r="AA194" s="146"/>
      <c r="AB194" s="146"/>
      <c r="AC194" s="146"/>
      <c r="AD194" s="146"/>
      <c r="AE194" s="146"/>
      <c r="AF194" s="146"/>
      <c r="AG194" s="146"/>
      <c r="AH194" s="146"/>
      <c r="AI194" s="146"/>
      <c r="AJ194" s="146"/>
      <c r="AK194" s="146"/>
      <c r="AL194" s="146"/>
      <c r="AM194" s="146"/>
      <c r="AN194" s="146"/>
      <c r="AO194" s="146"/>
      <c r="AP194" s="146"/>
      <c r="AQ194" s="146"/>
      <c r="AR194" s="146"/>
      <c r="AS194" s="146"/>
      <c r="AT194" s="146"/>
      <c r="AU194" s="146"/>
      <c r="AV194" s="146"/>
      <c r="AW194" s="146"/>
      <c r="AX194" s="146"/>
      <c r="AY194" s="146"/>
      <c r="AZ194" s="146"/>
      <c r="BA194" s="146"/>
      <c r="BB194" s="146"/>
      <c r="BC194" s="146"/>
      <c r="BD194" s="146"/>
      <c r="BE194" s="146"/>
      <c r="BF194" s="146"/>
      <c r="BG194" s="146"/>
      <c r="BH194" s="146"/>
      <c r="BI194" s="146"/>
      <c r="BJ194" s="146"/>
      <c r="BK194" s="146"/>
      <c r="BL194" s="146"/>
      <c r="BM194" s="146"/>
      <c r="BN194" s="146"/>
      <c r="BO194" s="146"/>
      <c r="BP194" s="146"/>
      <c r="BQ194" s="146"/>
      <c r="BR194" s="146"/>
      <c r="BS194" s="146"/>
      <c r="BT194" s="146"/>
      <c r="BU194" s="146"/>
      <c r="BV194" s="146"/>
      <c r="BW194" s="146"/>
      <c r="BX194" s="146"/>
      <c r="BY194" s="146"/>
      <c r="BZ194" s="146"/>
      <c r="CA194" s="146"/>
      <c r="CB194" s="146"/>
      <c r="CC194" s="146"/>
      <c r="CD194" s="146"/>
      <c r="CE194" s="146"/>
      <c r="CF194" s="146"/>
      <c r="CG194" s="146"/>
      <c r="CH194" s="146"/>
    </row>
    <row r="195" spans="1:86" s="130" customFormat="1" ht="14.25" thickBot="1">
      <c r="A195" s="181" t="s">
        <v>3</v>
      </c>
      <c r="B195" s="72">
        <f t="shared" ref="B195:K195" si="104">SUM(B192:B194)</f>
        <v>2913.5</v>
      </c>
      <c r="C195" s="73">
        <f t="shared" si="104"/>
        <v>2870.7999999999997</v>
      </c>
      <c r="D195" s="73">
        <f t="shared" si="104"/>
        <v>2855.2</v>
      </c>
      <c r="E195" s="73">
        <f t="shared" si="104"/>
        <v>2857.2</v>
      </c>
      <c r="F195" s="74">
        <f t="shared" si="104"/>
        <v>2893.2</v>
      </c>
      <c r="G195" s="73">
        <f t="shared" si="104"/>
        <v>2921</v>
      </c>
      <c r="H195" s="73">
        <f t="shared" si="104"/>
        <v>2935.6</v>
      </c>
      <c r="I195" s="73">
        <f t="shared" si="104"/>
        <v>2952.3</v>
      </c>
      <c r="J195" s="73">
        <f t="shared" si="104"/>
        <v>2981.0999999999995</v>
      </c>
      <c r="K195" s="74">
        <f t="shared" si="104"/>
        <v>3012.7999999999997</v>
      </c>
      <c r="M195" s="124">
        <f t="shared" si="103"/>
        <v>-1.4655912133173254E-2</v>
      </c>
      <c r="N195" s="125">
        <f t="shared" si="103"/>
        <v>-5.4340253587849769E-3</v>
      </c>
      <c r="O195" s="125">
        <f t="shared" si="103"/>
        <v>7.0047632390025222E-4</v>
      </c>
      <c r="P195" s="125">
        <f t="shared" si="103"/>
        <v>1.25997480050399E-2</v>
      </c>
      <c r="Q195" s="124">
        <f t="shared" si="103"/>
        <v>9.6087377298493658E-3</v>
      </c>
      <c r="R195" s="125">
        <f t="shared" si="103"/>
        <v>4.9982882574460489E-3</v>
      </c>
      <c r="S195" s="125">
        <f t="shared" si="103"/>
        <v>5.6887859381388045E-3</v>
      </c>
      <c r="T195" s="125">
        <f t="shared" si="103"/>
        <v>9.7551061883952416E-3</v>
      </c>
      <c r="U195" s="126">
        <f t="shared" si="103"/>
        <v>1.063365871658122E-2</v>
      </c>
      <c r="V195" s="146"/>
      <c r="W195" s="146"/>
      <c r="X195" s="146"/>
      <c r="Y195" s="146"/>
      <c r="Z195" s="146"/>
      <c r="AA195" s="146"/>
      <c r="AB195" s="146"/>
      <c r="AC195" s="146"/>
      <c r="AD195" s="146"/>
      <c r="AE195" s="146"/>
      <c r="AF195" s="146"/>
      <c r="AG195" s="146"/>
      <c r="AH195" s="146"/>
      <c r="AI195" s="146"/>
      <c r="AJ195" s="146"/>
      <c r="AK195" s="146"/>
      <c r="AL195" s="146"/>
      <c r="AM195" s="146"/>
      <c r="AN195" s="146"/>
      <c r="AO195" s="146"/>
      <c r="AP195" s="146"/>
      <c r="AQ195" s="146"/>
      <c r="AR195" s="146"/>
      <c r="AS195" s="146"/>
      <c r="AT195" s="146"/>
      <c r="AU195" s="146"/>
      <c r="AV195" s="146"/>
      <c r="AW195" s="146"/>
      <c r="AX195" s="146"/>
      <c r="AY195" s="146"/>
      <c r="AZ195" s="146"/>
      <c r="BA195" s="146"/>
      <c r="BB195" s="146"/>
      <c r="BC195" s="146"/>
      <c r="BD195" s="146"/>
      <c r="BE195" s="146"/>
      <c r="BF195" s="146"/>
      <c r="BG195" s="146"/>
      <c r="BH195" s="146"/>
      <c r="BI195" s="146"/>
      <c r="BJ195" s="146"/>
      <c r="BK195" s="146"/>
      <c r="BL195" s="146"/>
      <c r="BM195" s="146"/>
      <c r="BN195" s="146"/>
      <c r="BO195" s="146"/>
      <c r="BP195" s="146"/>
      <c r="BQ195" s="146"/>
      <c r="BR195" s="146"/>
      <c r="BS195" s="146"/>
      <c r="BT195" s="146"/>
      <c r="BU195" s="146"/>
      <c r="BV195" s="146"/>
      <c r="BW195" s="146"/>
      <c r="BX195" s="146"/>
      <c r="BY195" s="146"/>
      <c r="BZ195" s="146"/>
      <c r="CA195" s="146"/>
      <c r="CB195" s="146"/>
      <c r="CC195" s="146"/>
      <c r="CD195" s="146"/>
      <c r="CE195" s="146"/>
      <c r="CF195" s="146"/>
      <c r="CG195" s="146"/>
      <c r="CH195" s="146"/>
    </row>
    <row r="196" spans="1:86">
      <c r="A196" s="5" t="s">
        <v>14</v>
      </c>
      <c r="B196" s="546"/>
      <c r="C196" s="546"/>
      <c r="D196" s="546"/>
      <c r="E196" s="546"/>
      <c r="F196" s="546"/>
      <c r="G196" s="546"/>
      <c r="H196" s="546"/>
      <c r="I196" s="546"/>
      <c r="J196" s="546"/>
      <c r="K196" s="546"/>
    </row>
    <row r="197" spans="1:86">
      <c r="A197" s="5" t="s">
        <v>377</v>
      </c>
      <c r="B197" s="59"/>
      <c r="C197" s="59"/>
      <c r="D197" s="59"/>
      <c r="E197" s="59"/>
      <c r="F197" s="59"/>
      <c r="G197" s="59"/>
      <c r="H197" s="59"/>
      <c r="I197" s="59"/>
      <c r="J197" s="59"/>
      <c r="K197" s="59"/>
    </row>
    <row r="198" spans="1:86">
      <c r="A198" s="5"/>
      <c r="B198" s="59"/>
      <c r="C198" s="59"/>
      <c r="D198" s="59"/>
      <c r="E198" s="59"/>
      <c r="F198" s="59"/>
      <c r="G198" s="59"/>
    </row>
    <row r="199" spans="1:86" ht="14.25" thickBot="1">
      <c r="A199" s="5"/>
      <c r="B199" s="59"/>
      <c r="C199" s="59"/>
      <c r="D199" s="59"/>
      <c r="E199" s="59"/>
      <c r="F199" s="59"/>
      <c r="G199" s="59"/>
    </row>
    <row r="200" spans="1:86" s="93" customFormat="1" ht="13.5" customHeight="1" thickBot="1">
      <c r="B200" s="333" t="s">
        <v>16</v>
      </c>
      <c r="C200" s="108" t="s">
        <v>17</v>
      </c>
      <c r="D200" s="108" t="s">
        <v>18</v>
      </c>
      <c r="E200" s="108" t="s">
        <v>19</v>
      </c>
      <c r="F200" s="143" t="s">
        <v>94</v>
      </c>
      <c r="G200" s="334" t="s">
        <v>97</v>
      </c>
      <c r="H200" s="334" t="s">
        <v>98</v>
      </c>
      <c r="I200" s="334" t="s">
        <v>211</v>
      </c>
      <c r="J200" s="334" t="s">
        <v>212</v>
      </c>
      <c r="K200" s="335" t="s">
        <v>213</v>
      </c>
    </row>
    <row r="201" spans="1:86" s="130" customFormat="1">
      <c r="A201" s="92" t="s">
        <v>6</v>
      </c>
      <c r="B201" s="534">
        <f>B192/B$195</f>
        <v>0.5280247125450489</v>
      </c>
      <c r="C201" s="535">
        <f t="shared" ref="C201:K201" si="105">C192/C$195</f>
        <v>0.52598578793367712</v>
      </c>
      <c r="D201" s="535">
        <f t="shared" si="105"/>
        <v>0.52399131409358368</v>
      </c>
      <c r="E201" s="535">
        <f t="shared" si="105"/>
        <v>0.5219795604087919</v>
      </c>
      <c r="F201" s="251">
        <f t="shared" si="105"/>
        <v>0.52001244296972216</v>
      </c>
      <c r="G201" s="535">
        <f t="shared" si="105"/>
        <v>0.51800753166723723</v>
      </c>
      <c r="H201" s="535">
        <f t="shared" si="105"/>
        <v>0.51498841804060502</v>
      </c>
      <c r="I201" s="535">
        <f t="shared" si="105"/>
        <v>0.51400602919757477</v>
      </c>
      <c r="J201" s="535">
        <f t="shared" si="105"/>
        <v>0.51299855757941704</v>
      </c>
      <c r="K201" s="251">
        <f t="shared" si="105"/>
        <v>0.51198220924057358</v>
      </c>
      <c r="V201" s="146"/>
      <c r="W201" s="146"/>
      <c r="X201" s="146"/>
      <c r="Y201" s="146"/>
      <c r="Z201" s="146"/>
      <c r="AA201" s="146"/>
      <c r="AB201" s="146"/>
      <c r="AC201" s="146"/>
      <c r="AD201" s="146"/>
      <c r="AE201" s="146"/>
      <c r="AF201" s="146"/>
      <c r="AG201" s="146"/>
      <c r="AH201" s="146"/>
      <c r="AI201" s="146"/>
      <c r="AJ201" s="146"/>
      <c r="AK201" s="146"/>
      <c r="AL201" s="146"/>
      <c r="AM201" s="146"/>
      <c r="AN201" s="146"/>
      <c r="AO201" s="146"/>
      <c r="AP201" s="146"/>
      <c r="AQ201" s="146"/>
      <c r="AR201" s="146"/>
      <c r="AS201" s="146"/>
      <c r="AT201" s="146"/>
      <c r="AU201" s="146"/>
      <c r="AV201" s="146"/>
      <c r="AW201" s="146"/>
      <c r="AX201" s="146"/>
      <c r="AY201" s="146"/>
      <c r="AZ201" s="146"/>
      <c r="BA201" s="146"/>
      <c r="BB201" s="146"/>
      <c r="BC201" s="146"/>
      <c r="BD201" s="146"/>
      <c r="BE201" s="146"/>
      <c r="BF201" s="146"/>
      <c r="BG201" s="146"/>
      <c r="BH201" s="146"/>
      <c r="BI201" s="146"/>
      <c r="BJ201" s="146"/>
      <c r="BK201" s="146"/>
      <c r="BL201" s="146"/>
      <c r="BM201" s="146"/>
      <c r="BN201" s="146"/>
      <c r="BO201" s="146"/>
      <c r="BP201" s="146"/>
      <c r="BQ201" s="146"/>
      <c r="BR201" s="146"/>
      <c r="BS201" s="146"/>
      <c r="BT201" s="146"/>
      <c r="BU201" s="146"/>
      <c r="BV201" s="146"/>
      <c r="BW201" s="146"/>
      <c r="BX201" s="146"/>
      <c r="BY201" s="146"/>
      <c r="BZ201" s="146"/>
      <c r="CA201" s="146"/>
      <c r="CB201" s="146"/>
      <c r="CC201" s="146"/>
      <c r="CD201" s="146"/>
      <c r="CE201" s="146"/>
      <c r="CF201" s="146"/>
      <c r="CG201" s="146"/>
      <c r="CH201" s="146"/>
    </row>
    <row r="202" spans="1:86" s="130" customFormat="1">
      <c r="A202" s="97" t="s">
        <v>78</v>
      </c>
      <c r="B202" s="523">
        <f t="shared" ref="B202:B203" si="106">B193/B$195</f>
        <v>0.32998112236142096</v>
      </c>
      <c r="C202" s="524">
        <f t="shared" ref="C202:K202" si="107">C193/C$195</f>
        <v>0.33600390135153968</v>
      </c>
      <c r="D202" s="524">
        <f t="shared" si="107"/>
        <v>0.3409918744746428</v>
      </c>
      <c r="E202" s="524">
        <f t="shared" si="107"/>
        <v>0.34600307993840124</v>
      </c>
      <c r="F202" s="250">
        <f t="shared" si="107"/>
        <v>0.34999308723904332</v>
      </c>
      <c r="G202" s="524">
        <f t="shared" si="107"/>
        <v>0.35398836015063334</v>
      </c>
      <c r="H202" s="524">
        <f t="shared" si="107"/>
        <v>0.35900667665894542</v>
      </c>
      <c r="I202" s="524">
        <f t="shared" si="107"/>
        <v>0.36100667276360798</v>
      </c>
      <c r="J202" s="524">
        <f t="shared" si="107"/>
        <v>0.36298681694676466</v>
      </c>
      <c r="K202" s="250">
        <f t="shared" si="107"/>
        <v>0.36500929368029744</v>
      </c>
      <c r="V202" s="146"/>
      <c r="W202" s="146"/>
      <c r="X202" s="146"/>
      <c r="Y202" s="146"/>
      <c r="Z202" s="146"/>
      <c r="AA202" s="146"/>
      <c r="AB202" s="146"/>
      <c r="AC202" s="146"/>
      <c r="AD202" s="146"/>
      <c r="AE202" s="146"/>
      <c r="AF202" s="146"/>
      <c r="AG202" s="146"/>
      <c r="AH202" s="146"/>
      <c r="AI202" s="146"/>
      <c r="AJ202" s="146"/>
      <c r="AK202" s="146"/>
      <c r="AL202" s="146"/>
      <c r="AM202" s="146"/>
      <c r="AN202" s="146"/>
      <c r="AO202" s="146"/>
      <c r="AP202" s="146"/>
      <c r="AQ202" s="146"/>
      <c r="AR202" s="146"/>
      <c r="AS202" s="146"/>
      <c r="AT202" s="146"/>
      <c r="AU202" s="146"/>
      <c r="AV202" s="146"/>
      <c r="AW202" s="146"/>
      <c r="AX202" s="146"/>
      <c r="AY202" s="146"/>
      <c r="AZ202" s="146"/>
      <c r="BA202" s="146"/>
      <c r="BB202" s="146"/>
      <c r="BC202" s="146"/>
      <c r="BD202" s="146"/>
      <c r="BE202" s="146"/>
      <c r="BF202" s="146"/>
      <c r="BG202" s="146"/>
      <c r="BH202" s="146"/>
      <c r="BI202" s="146"/>
      <c r="BJ202" s="146"/>
      <c r="BK202" s="146"/>
      <c r="BL202" s="146"/>
      <c r="BM202" s="146"/>
      <c r="BN202" s="146"/>
      <c r="BO202" s="146"/>
      <c r="BP202" s="146"/>
      <c r="BQ202" s="146"/>
      <c r="BR202" s="146"/>
      <c r="BS202" s="146"/>
      <c r="BT202" s="146"/>
      <c r="BU202" s="146"/>
      <c r="BV202" s="146"/>
      <c r="BW202" s="146"/>
      <c r="BX202" s="146"/>
      <c r="BY202" s="146"/>
      <c r="BZ202" s="146"/>
      <c r="CA202" s="146"/>
      <c r="CB202" s="146"/>
      <c r="CC202" s="146"/>
      <c r="CD202" s="146"/>
      <c r="CE202" s="146"/>
      <c r="CF202" s="146"/>
      <c r="CG202" s="146"/>
      <c r="CH202" s="146"/>
    </row>
    <row r="203" spans="1:86" s="130" customFormat="1">
      <c r="A203" s="97" t="s">
        <v>7</v>
      </c>
      <c r="B203" s="523">
        <f t="shared" si="106"/>
        <v>0.14199416509353011</v>
      </c>
      <c r="C203" s="524">
        <f t="shared" ref="C203:K203" si="108">C194/C$195</f>
        <v>0.13801031071478334</v>
      </c>
      <c r="D203" s="524">
        <f t="shared" si="108"/>
        <v>0.1350168114317736</v>
      </c>
      <c r="E203" s="524">
        <f t="shared" si="108"/>
        <v>0.13201735965280695</v>
      </c>
      <c r="F203" s="250">
        <f t="shared" si="108"/>
        <v>0.12999446979123463</v>
      </c>
      <c r="G203" s="524">
        <f t="shared" si="108"/>
        <v>0.1280041081821294</v>
      </c>
      <c r="H203" s="524">
        <f t="shared" si="108"/>
        <v>0.12600490530044964</v>
      </c>
      <c r="I203" s="524">
        <f t="shared" si="108"/>
        <v>0.12498729803881718</v>
      </c>
      <c r="J203" s="524">
        <f t="shared" si="108"/>
        <v>0.1240146254738184</v>
      </c>
      <c r="K203" s="250">
        <f t="shared" si="108"/>
        <v>0.12300849707912907</v>
      </c>
      <c r="V203" s="146"/>
      <c r="W203" s="146"/>
      <c r="X203" s="146"/>
      <c r="Y203" s="146"/>
      <c r="Z203" s="146"/>
      <c r="AA203" s="146"/>
      <c r="AB203" s="146"/>
      <c r="AC203" s="146"/>
      <c r="AD203" s="146"/>
      <c r="AE203" s="146"/>
      <c r="AF203" s="146"/>
      <c r="AG203" s="146"/>
      <c r="AH203" s="146"/>
      <c r="AI203" s="146"/>
      <c r="AJ203" s="146"/>
      <c r="AK203" s="146"/>
      <c r="AL203" s="146"/>
      <c r="AM203" s="146"/>
      <c r="AN203" s="146"/>
      <c r="AO203" s="146"/>
      <c r="AP203" s="146"/>
      <c r="AQ203" s="146"/>
      <c r="AR203" s="146"/>
      <c r="AS203" s="146"/>
      <c r="AT203" s="146"/>
      <c r="AU203" s="146"/>
      <c r="AV203" s="146"/>
      <c r="AW203" s="146"/>
      <c r="AX203" s="146"/>
      <c r="AY203" s="146"/>
      <c r="AZ203" s="146"/>
      <c r="BA203" s="146"/>
      <c r="BB203" s="146"/>
      <c r="BC203" s="146"/>
      <c r="BD203" s="146"/>
      <c r="BE203" s="146"/>
      <c r="BF203" s="146"/>
      <c r="BG203" s="146"/>
      <c r="BH203" s="146"/>
      <c r="BI203" s="146"/>
      <c r="BJ203" s="146"/>
      <c r="BK203" s="146"/>
      <c r="BL203" s="146"/>
      <c r="BM203" s="146"/>
      <c r="BN203" s="146"/>
      <c r="BO203" s="146"/>
      <c r="BP203" s="146"/>
      <c r="BQ203" s="146"/>
      <c r="BR203" s="146"/>
      <c r="BS203" s="146"/>
      <c r="BT203" s="146"/>
      <c r="BU203" s="146"/>
      <c r="BV203" s="146"/>
      <c r="BW203" s="146"/>
      <c r="BX203" s="146"/>
      <c r="BY203" s="146"/>
      <c r="BZ203" s="146"/>
      <c r="CA203" s="146"/>
      <c r="CB203" s="146"/>
      <c r="CC203" s="146"/>
      <c r="CD203" s="146"/>
      <c r="CE203" s="146"/>
      <c r="CF203" s="146"/>
      <c r="CG203" s="146"/>
      <c r="CH203" s="146"/>
    </row>
    <row r="204" spans="1:86" s="130" customFormat="1" ht="14.25" thickBot="1">
      <c r="A204" s="123" t="s">
        <v>3</v>
      </c>
      <c r="B204" s="147">
        <f t="shared" ref="B204:K204" si="109">SUM(B201:B203)</f>
        <v>1</v>
      </c>
      <c r="C204" s="148">
        <f t="shared" si="109"/>
        <v>1.0000000000000002</v>
      </c>
      <c r="D204" s="148">
        <f t="shared" si="109"/>
        <v>1</v>
      </c>
      <c r="E204" s="148">
        <f t="shared" si="109"/>
        <v>1</v>
      </c>
      <c r="F204" s="149">
        <f t="shared" si="109"/>
        <v>1</v>
      </c>
      <c r="G204" s="148">
        <f t="shared" si="109"/>
        <v>0.99999999999999989</v>
      </c>
      <c r="H204" s="148">
        <f t="shared" si="109"/>
        <v>1.0000000000000002</v>
      </c>
      <c r="I204" s="148">
        <f t="shared" si="109"/>
        <v>0.99999999999999989</v>
      </c>
      <c r="J204" s="148">
        <f t="shared" si="109"/>
        <v>1</v>
      </c>
      <c r="K204" s="149">
        <f t="shared" si="109"/>
        <v>1</v>
      </c>
      <c r="V204" s="146"/>
      <c r="W204" s="146"/>
      <c r="X204" s="146"/>
      <c r="Y204" s="146"/>
      <c r="Z204" s="146"/>
      <c r="AA204" s="146"/>
      <c r="AB204" s="146"/>
      <c r="AC204" s="146"/>
      <c r="AD204" s="146"/>
      <c r="AE204" s="146"/>
      <c r="AF204" s="146"/>
      <c r="AG204" s="146"/>
      <c r="AH204" s="146"/>
      <c r="AI204" s="146"/>
      <c r="AJ204" s="146"/>
      <c r="AK204" s="146"/>
      <c r="AL204" s="146"/>
      <c r="AM204" s="146"/>
      <c r="AN204" s="146"/>
      <c r="AO204" s="146"/>
      <c r="AP204" s="146"/>
      <c r="AQ204" s="146"/>
      <c r="AR204" s="146"/>
      <c r="AS204" s="146"/>
      <c r="AT204" s="146"/>
      <c r="AU204" s="146"/>
      <c r="AV204" s="146"/>
      <c r="AW204" s="146"/>
      <c r="AX204" s="146"/>
      <c r="AY204" s="146"/>
      <c r="AZ204" s="146"/>
      <c r="BA204" s="146"/>
      <c r="BB204" s="146"/>
      <c r="BC204" s="146"/>
      <c r="BD204" s="146"/>
      <c r="BE204" s="146"/>
      <c r="BF204" s="146"/>
      <c r="BG204" s="146"/>
      <c r="BH204" s="146"/>
      <c r="BI204" s="146"/>
      <c r="BJ204" s="146"/>
      <c r="BK204" s="146"/>
      <c r="BL204" s="146"/>
      <c r="BM204" s="146"/>
      <c r="BN204" s="146"/>
      <c r="BO204" s="146"/>
      <c r="BP204" s="146"/>
      <c r="BQ204" s="146"/>
      <c r="BR204" s="146"/>
      <c r="BS204" s="146"/>
      <c r="BT204" s="146"/>
      <c r="BU204" s="146"/>
      <c r="BV204" s="146"/>
      <c r="BW204" s="146"/>
      <c r="BX204" s="146"/>
      <c r="BY204" s="146"/>
      <c r="BZ204" s="146"/>
      <c r="CA204" s="146"/>
      <c r="CB204" s="146"/>
      <c r="CC204" s="146"/>
      <c r="CD204" s="146"/>
      <c r="CE204" s="146"/>
      <c r="CF204" s="146"/>
      <c r="CG204" s="146"/>
      <c r="CH204" s="146"/>
    </row>
    <row r="205" spans="1:86">
      <c r="A205" s="5"/>
      <c r="B205" s="59"/>
      <c r="C205" s="59"/>
      <c r="D205" s="59"/>
      <c r="E205" s="59"/>
      <c r="F205" s="59"/>
      <c r="G205" s="59"/>
    </row>
    <row r="206" spans="1:86" s="21" customFormat="1" ht="14.25" thickBot="1">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row>
    <row r="208" spans="1:86">
      <c r="A208" s="32" t="s">
        <v>406</v>
      </c>
      <c r="B208" s="7" t="s">
        <v>335</v>
      </c>
    </row>
    <row r="209" spans="1:86" s="15" customFormat="1" ht="14.25" thickBot="1">
      <c r="G209" s="22"/>
      <c r="H209" s="22"/>
      <c r="I209" s="22"/>
      <c r="J209" s="22"/>
      <c r="K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row>
    <row r="210" spans="1:86" s="93" customFormat="1" ht="14.25" thickBot="1">
      <c r="B210" s="150" t="s">
        <v>86</v>
      </c>
      <c r="C210" s="151" t="s">
        <v>89</v>
      </c>
      <c r="D210" s="153"/>
      <c r="E210" s="167"/>
      <c r="F210" s="168"/>
      <c r="G210" s="168"/>
      <c r="H210" s="168"/>
      <c r="I210" s="168"/>
      <c r="J210" s="153"/>
      <c r="K210" s="168"/>
      <c r="L210" s="168"/>
      <c r="M210" s="168"/>
      <c r="N210" s="168"/>
      <c r="O210" s="168"/>
      <c r="P210" s="168"/>
      <c r="Q210" s="168"/>
      <c r="R210" s="168"/>
      <c r="S210" s="168"/>
      <c r="T210" s="82"/>
      <c r="U210" s="82"/>
      <c r="V210" s="82"/>
      <c r="W210" s="82"/>
      <c r="X210" s="82"/>
      <c r="Y210" s="82"/>
      <c r="Z210" s="82"/>
      <c r="AA210" s="82"/>
      <c r="AB210" s="82"/>
      <c r="AC210" s="82"/>
      <c r="AD210" s="82"/>
      <c r="AE210" s="82"/>
      <c r="AF210" s="82"/>
      <c r="AG210" s="82"/>
      <c r="AH210" s="82"/>
      <c r="AI210" s="82"/>
      <c r="AJ210" s="82"/>
      <c r="AK210" s="82"/>
      <c r="AL210" s="82"/>
      <c r="AM210" s="82"/>
      <c r="AN210" s="82"/>
      <c r="AO210" s="82"/>
      <c r="AP210" s="82"/>
      <c r="AQ210" s="82"/>
      <c r="AR210" s="82"/>
      <c r="AS210" s="82"/>
      <c r="AT210" s="82"/>
      <c r="AU210" s="82"/>
      <c r="AV210" s="82"/>
      <c r="AW210" s="82"/>
      <c r="AX210" s="82"/>
      <c r="AY210" s="82"/>
      <c r="AZ210" s="82"/>
      <c r="BA210" s="82"/>
      <c r="BB210" s="82"/>
      <c r="BC210" s="82"/>
      <c r="BD210" s="82"/>
      <c r="BE210" s="82"/>
      <c r="BF210" s="82"/>
      <c r="BG210" s="82"/>
      <c r="BH210" s="82"/>
      <c r="BI210" s="82"/>
      <c r="BJ210" s="82"/>
      <c r="BK210" s="82"/>
      <c r="BL210" s="82"/>
      <c r="BM210" s="82"/>
      <c r="BN210" s="82"/>
      <c r="BO210" s="82"/>
      <c r="BP210" s="82"/>
      <c r="BQ210" s="82"/>
      <c r="BR210" s="82"/>
      <c r="BS210" s="82"/>
      <c r="BT210" s="82"/>
      <c r="BU210" s="82"/>
      <c r="BV210" s="82"/>
      <c r="BW210" s="82"/>
      <c r="BX210" s="82"/>
      <c r="BY210" s="82"/>
      <c r="BZ210" s="82"/>
      <c r="CA210" s="82"/>
      <c r="CB210" s="82"/>
      <c r="CC210" s="82"/>
      <c r="CD210" s="82"/>
      <c r="CE210" s="82"/>
      <c r="CF210" s="82"/>
    </row>
    <row r="211" spans="1:86" s="93" customFormat="1">
      <c r="A211" s="92" t="s">
        <v>6</v>
      </c>
      <c r="B211" s="246">
        <v>81.3</v>
      </c>
      <c r="C211" s="251">
        <f>B211/B$214</f>
        <v>0.49392466585662209</v>
      </c>
      <c r="D211" s="169"/>
      <c r="E211" s="66"/>
      <c r="F211" s="129"/>
      <c r="G211" s="129"/>
      <c r="H211" s="129"/>
      <c r="I211" s="129"/>
      <c r="J211" s="153"/>
      <c r="K211" s="129"/>
      <c r="L211" s="129"/>
      <c r="M211" s="129"/>
      <c r="N211" s="129"/>
      <c r="O211" s="129"/>
      <c r="P211" s="170"/>
      <c r="Q211" s="170"/>
      <c r="R211" s="170"/>
      <c r="S211" s="170"/>
      <c r="T211" s="82"/>
      <c r="U211" s="82"/>
      <c r="V211" s="82"/>
      <c r="W211" s="82"/>
      <c r="X211" s="82"/>
      <c r="Y211" s="82"/>
      <c r="Z211" s="82"/>
      <c r="AA211" s="82"/>
      <c r="AB211" s="82"/>
      <c r="AC211" s="82"/>
      <c r="AD211" s="82"/>
      <c r="AE211" s="82"/>
      <c r="AF211" s="82"/>
      <c r="AG211" s="82"/>
      <c r="AH211" s="82"/>
      <c r="AI211" s="82"/>
      <c r="AJ211" s="82"/>
      <c r="AK211" s="82"/>
      <c r="AL211" s="82"/>
      <c r="AM211" s="82"/>
      <c r="AN211" s="82"/>
      <c r="AO211" s="82"/>
      <c r="AP211" s="82"/>
      <c r="AQ211" s="82"/>
      <c r="AR211" s="82"/>
      <c r="AS211" s="82"/>
      <c r="AT211" s="82"/>
      <c r="AU211" s="82"/>
      <c r="AV211" s="82"/>
      <c r="AW211" s="82"/>
      <c r="AX211" s="82"/>
      <c r="AY211" s="82"/>
      <c r="AZ211" s="82"/>
      <c r="BA211" s="82"/>
      <c r="BB211" s="82"/>
      <c r="BC211" s="82"/>
      <c r="BD211" s="82"/>
      <c r="BE211" s="82"/>
      <c r="BF211" s="82"/>
      <c r="BG211" s="82"/>
      <c r="BH211" s="82"/>
      <c r="BI211" s="82"/>
      <c r="BJ211" s="82"/>
      <c r="BK211" s="82"/>
      <c r="BL211" s="82"/>
      <c r="BM211" s="82"/>
      <c r="BN211" s="82"/>
      <c r="BO211" s="82"/>
      <c r="BP211" s="82"/>
      <c r="BQ211" s="82"/>
      <c r="BR211" s="82"/>
      <c r="BS211" s="82"/>
      <c r="BT211" s="82"/>
      <c r="BU211" s="82"/>
      <c r="BV211" s="82"/>
      <c r="BW211" s="82"/>
      <c r="BX211" s="82"/>
      <c r="BY211" s="82"/>
      <c r="BZ211" s="82"/>
      <c r="CA211" s="82"/>
      <c r="CB211" s="82"/>
      <c r="CC211" s="82"/>
      <c r="CD211" s="82"/>
      <c r="CE211" s="82"/>
      <c r="CF211" s="82"/>
    </row>
    <row r="212" spans="1:86" s="93" customFormat="1">
      <c r="A212" s="157" t="s">
        <v>78</v>
      </c>
      <c r="B212" s="247">
        <v>62.2</v>
      </c>
      <c r="C212" s="250">
        <f t="shared" ref="C212:C213" si="110">B212/B$214</f>
        <v>0.37788578371810455</v>
      </c>
      <c r="D212" s="169"/>
      <c r="E212" s="66"/>
      <c r="F212" s="129"/>
      <c r="G212" s="129"/>
      <c r="H212" s="129"/>
      <c r="I212" s="129"/>
      <c r="J212" s="153"/>
      <c r="K212" s="129"/>
      <c r="L212" s="129"/>
      <c r="M212" s="129"/>
      <c r="N212" s="129"/>
      <c r="O212" s="129"/>
      <c r="P212" s="170"/>
      <c r="Q212" s="170"/>
      <c r="R212" s="170"/>
      <c r="S212" s="170"/>
      <c r="T212" s="82"/>
      <c r="U212" s="82"/>
      <c r="V212" s="82"/>
      <c r="W212" s="82"/>
      <c r="X212" s="82"/>
      <c r="Y212" s="82"/>
      <c r="Z212" s="82"/>
      <c r="AA212" s="82"/>
      <c r="AB212" s="82"/>
      <c r="AC212" s="82"/>
      <c r="AD212" s="82"/>
      <c r="AE212" s="82"/>
      <c r="AF212" s="82"/>
      <c r="AG212" s="82"/>
      <c r="AH212" s="82"/>
      <c r="AI212" s="82"/>
      <c r="AJ212" s="82"/>
      <c r="AK212" s="82"/>
      <c r="AL212" s="82"/>
      <c r="AM212" s="82"/>
      <c r="AN212" s="82"/>
      <c r="AO212" s="82"/>
      <c r="AP212" s="82"/>
      <c r="AQ212" s="82"/>
      <c r="AR212" s="82"/>
      <c r="AS212" s="82"/>
      <c r="AT212" s="82"/>
      <c r="AU212" s="82"/>
      <c r="AV212" s="82"/>
      <c r="AW212" s="82"/>
      <c r="AX212" s="82"/>
      <c r="AY212" s="82"/>
      <c r="AZ212" s="82"/>
      <c r="BA212" s="82"/>
      <c r="BB212" s="82"/>
      <c r="BC212" s="82"/>
      <c r="BD212" s="82"/>
      <c r="BE212" s="82"/>
      <c r="BF212" s="82"/>
      <c r="BG212" s="82"/>
      <c r="BH212" s="82"/>
      <c r="BI212" s="82"/>
      <c r="BJ212" s="82"/>
      <c r="BK212" s="82"/>
      <c r="BL212" s="82"/>
      <c r="BM212" s="82"/>
      <c r="BN212" s="82"/>
      <c r="BO212" s="82"/>
      <c r="BP212" s="82"/>
      <c r="BQ212" s="82"/>
      <c r="BR212" s="82"/>
      <c r="BS212" s="82"/>
      <c r="BT212" s="82"/>
      <c r="BU212" s="82"/>
      <c r="BV212" s="82"/>
      <c r="BW212" s="82"/>
      <c r="BX212" s="82"/>
      <c r="BY212" s="82"/>
      <c r="BZ212" s="82"/>
      <c r="CA212" s="82"/>
      <c r="CB212" s="82"/>
      <c r="CC212" s="82"/>
      <c r="CD212" s="82"/>
      <c r="CE212" s="82"/>
      <c r="CF212" s="82"/>
    </row>
    <row r="213" spans="1:86" s="93" customFormat="1">
      <c r="A213" s="97" t="s">
        <v>7</v>
      </c>
      <c r="B213" s="247">
        <v>21.1</v>
      </c>
      <c r="C213" s="250">
        <f t="shared" si="110"/>
        <v>0.12818955042527341</v>
      </c>
      <c r="D213" s="169"/>
      <c r="E213" s="66"/>
      <c r="F213" s="129"/>
      <c r="G213" s="129"/>
      <c r="H213" s="129"/>
      <c r="I213" s="129"/>
      <c r="J213" s="153"/>
      <c r="K213" s="129"/>
      <c r="L213" s="129"/>
      <c r="M213" s="129"/>
      <c r="N213" s="129"/>
      <c r="O213" s="129"/>
      <c r="P213" s="170"/>
      <c r="Q213" s="170"/>
      <c r="R213" s="170"/>
      <c r="S213" s="170"/>
      <c r="T213" s="82"/>
      <c r="U213" s="82"/>
      <c r="V213" s="82"/>
      <c r="W213" s="82"/>
      <c r="X213" s="82"/>
      <c r="Y213" s="82"/>
      <c r="Z213" s="82"/>
      <c r="AA213" s="82"/>
      <c r="AB213" s="82"/>
      <c r="AC213" s="82"/>
      <c r="AD213" s="82"/>
      <c r="AE213" s="82"/>
      <c r="AF213" s="82"/>
      <c r="AG213" s="82"/>
      <c r="AH213" s="82"/>
      <c r="AI213" s="82"/>
      <c r="AJ213" s="82"/>
      <c r="AK213" s="82"/>
      <c r="AL213" s="82"/>
      <c r="AM213" s="82"/>
      <c r="AN213" s="82"/>
      <c r="AO213" s="82"/>
      <c r="AP213" s="82"/>
      <c r="AQ213" s="82"/>
      <c r="AR213" s="82"/>
      <c r="AS213" s="82"/>
      <c r="AT213" s="82"/>
      <c r="AU213" s="82"/>
      <c r="AV213" s="82"/>
      <c r="AW213" s="82"/>
      <c r="AX213" s="82"/>
      <c r="AY213" s="82"/>
      <c r="AZ213" s="82"/>
      <c r="BA213" s="82"/>
      <c r="BB213" s="82"/>
      <c r="BC213" s="82"/>
      <c r="BD213" s="82"/>
      <c r="BE213" s="82"/>
      <c r="BF213" s="82"/>
      <c r="BG213" s="82"/>
      <c r="BH213" s="82"/>
      <c r="BI213" s="82"/>
      <c r="BJ213" s="82"/>
      <c r="BK213" s="82"/>
      <c r="BL213" s="82"/>
      <c r="BM213" s="82"/>
      <c r="BN213" s="82"/>
      <c r="BO213" s="82"/>
      <c r="BP213" s="82"/>
      <c r="BQ213" s="82"/>
      <c r="BR213" s="82"/>
      <c r="BS213" s="82"/>
      <c r="BT213" s="82"/>
      <c r="BU213" s="82"/>
      <c r="BV213" s="82"/>
      <c r="BW213" s="82"/>
      <c r="BX213" s="82"/>
      <c r="BY213" s="82"/>
      <c r="BZ213" s="82"/>
      <c r="CA213" s="82"/>
      <c r="CB213" s="82"/>
      <c r="CC213" s="82"/>
      <c r="CD213" s="82"/>
      <c r="CE213" s="82"/>
      <c r="CF213" s="82"/>
    </row>
    <row r="214" spans="1:86" s="113" customFormat="1" thickBot="1">
      <c r="A214" s="123" t="s">
        <v>3</v>
      </c>
      <c r="B214" s="248">
        <f>SUM(B211:B213)</f>
        <v>164.6</v>
      </c>
      <c r="C214" s="252">
        <f>SUM(C211:C213)</f>
        <v>1</v>
      </c>
      <c r="D214" s="172"/>
      <c r="E214" s="75"/>
      <c r="F214" s="173"/>
      <c r="G214" s="173"/>
      <c r="H214" s="173"/>
      <c r="I214" s="173"/>
      <c r="J214" s="172"/>
      <c r="K214" s="173"/>
      <c r="L214" s="173"/>
      <c r="M214" s="173"/>
      <c r="N214" s="173"/>
      <c r="O214" s="173"/>
      <c r="P214" s="174"/>
      <c r="Q214" s="174"/>
      <c r="R214" s="174"/>
      <c r="S214" s="174"/>
      <c r="T214" s="84"/>
      <c r="U214" s="84"/>
      <c r="V214" s="84"/>
      <c r="W214" s="84"/>
      <c r="X214" s="84"/>
      <c r="Y214" s="84"/>
      <c r="Z214" s="84"/>
      <c r="AA214" s="84"/>
      <c r="AB214" s="84"/>
      <c r="AC214" s="84"/>
      <c r="AD214" s="84"/>
      <c r="AE214" s="84"/>
      <c r="AF214" s="84"/>
      <c r="AG214" s="84"/>
      <c r="AH214" s="84"/>
      <c r="AI214" s="84"/>
      <c r="AJ214" s="84"/>
      <c r="AK214" s="84"/>
      <c r="AL214" s="84"/>
      <c r="AM214" s="84"/>
      <c r="AN214" s="84"/>
      <c r="AO214" s="84"/>
      <c r="AP214" s="84"/>
      <c r="AQ214" s="84"/>
      <c r="AR214" s="84"/>
      <c r="AS214" s="84"/>
      <c r="AT214" s="84"/>
      <c r="AU214" s="84"/>
      <c r="AV214" s="84"/>
      <c r="AW214" s="84"/>
      <c r="AX214" s="84"/>
      <c r="AY214" s="84"/>
      <c r="AZ214" s="84"/>
      <c r="BA214" s="84"/>
      <c r="BB214" s="84"/>
      <c r="BC214" s="84"/>
      <c r="BD214" s="84"/>
      <c r="BE214" s="84"/>
      <c r="BF214" s="84"/>
      <c r="BG214" s="84"/>
      <c r="BH214" s="84"/>
      <c r="BI214" s="84"/>
      <c r="BJ214" s="84"/>
      <c r="BK214" s="84"/>
      <c r="BL214" s="84"/>
      <c r="BM214" s="84"/>
      <c r="BN214" s="84"/>
      <c r="BO214" s="84"/>
      <c r="BP214" s="84"/>
      <c r="BQ214" s="84"/>
      <c r="BR214" s="84"/>
      <c r="BS214" s="84"/>
      <c r="BT214" s="84"/>
      <c r="BU214" s="84"/>
      <c r="BV214" s="84"/>
      <c r="BW214" s="84"/>
      <c r="BX214" s="84"/>
      <c r="BY214" s="84"/>
      <c r="BZ214" s="84"/>
      <c r="CA214" s="84"/>
      <c r="CB214" s="84"/>
      <c r="CC214" s="84"/>
      <c r="CD214" s="84"/>
      <c r="CE214" s="84"/>
      <c r="CF214" s="84"/>
    </row>
    <row r="215" spans="1:86">
      <c r="A215" s="5" t="s">
        <v>172</v>
      </c>
      <c r="B215" s="306"/>
      <c r="C215" s="10"/>
      <c r="D215" s="10"/>
      <c r="E215" s="10"/>
      <c r="F215" s="10"/>
      <c r="G215" s="55"/>
      <c r="Q215" s="45"/>
      <c r="R215" s="45"/>
      <c r="S215" s="45"/>
      <c r="T215" s="45"/>
      <c r="U215" s="45"/>
    </row>
    <row r="216" spans="1:86">
      <c r="A216" s="5" t="s">
        <v>377</v>
      </c>
      <c r="B216" s="59"/>
      <c r="C216" s="10"/>
      <c r="D216" s="10"/>
      <c r="E216" s="10"/>
      <c r="F216" s="10"/>
      <c r="G216" s="55"/>
      <c r="H216" s="45"/>
      <c r="I216" s="45"/>
      <c r="J216" s="45"/>
      <c r="K216" s="45"/>
    </row>
    <row r="217" spans="1:86">
      <c r="G217" s="45"/>
      <c r="H217" s="45"/>
      <c r="I217" s="45"/>
      <c r="J217" s="45"/>
      <c r="K217" s="45"/>
    </row>
    <row r="218" spans="1:86" s="21" customFormat="1" ht="14.25" thickBot="1">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row>
    <row r="220" spans="1:86">
      <c r="A220" s="32" t="s">
        <v>407</v>
      </c>
      <c r="B220" s="7" t="s">
        <v>217</v>
      </c>
    </row>
    <row r="221" spans="1:86" ht="14.25" thickBot="1">
      <c r="A221" s="5"/>
      <c r="B221" s="10"/>
      <c r="C221" s="10"/>
      <c r="D221" s="55"/>
      <c r="E221" s="55"/>
      <c r="F221" s="55"/>
      <c r="G221" s="55"/>
      <c r="H221" s="45"/>
      <c r="I221" s="45"/>
      <c r="J221" s="45"/>
      <c r="K221" s="45"/>
      <c r="L221" s="45"/>
      <c r="M221" s="45"/>
      <c r="N221" s="45"/>
      <c r="O221" s="45"/>
      <c r="P221" s="45"/>
      <c r="Q221" s="45"/>
      <c r="R221" s="45"/>
      <c r="S221" s="45"/>
      <c r="T221" s="45"/>
      <c r="U221" s="45"/>
    </row>
    <row r="222" spans="1:86" s="93" customFormat="1" ht="14.25" thickBot="1">
      <c r="B222" s="150" t="s">
        <v>166</v>
      </c>
      <c r="C222" s="151" t="s">
        <v>89</v>
      </c>
      <c r="D222" s="153"/>
      <c r="E222" s="153"/>
      <c r="F222" s="153"/>
      <c r="G222" s="167"/>
      <c r="H222" s="168"/>
      <c r="I222" s="168"/>
      <c r="J222" s="168"/>
      <c r="K222" s="168"/>
      <c r="L222" s="153"/>
      <c r="M222" s="168"/>
      <c r="N222" s="168"/>
      <c r="O222" s="168"/>
      <c r="P222" s="168"/>
      <c r="Q222" s="168"/>
      <c r="R222" s="168"/>
      <c r="S222" s="168"/>
      <c r="T222" s="168"/>
      <c r="U222" s="168"/>
      <c r="V222" s="82"/>
      <c r="W222" s="82"/>
      <c r="X222" s="82"/>
      <c r="Y222" s="82"/>
      <c r="Z222" s="82"/>
      <c r="AA222" s="82"/>
      <c r="AB222" s="82"/>
      <c r="AC222" s="82"/>
      <c r="AD222" s="82"/>
      <c r="AE222" s="82"/>
      <c r="AF222" s="82"/>
      <c r="AG222" s="82"/>
      <c r="AH222" s="82"/>
      <c r="AI222" s="82"/>
      <c r="AJ222" s="82"/>
      <c r="AK222" s="82"/>
      <c r="AL222" s="82"/>
      <c r="AM222" s="82"/>
      <c r="AN222" s="82"/>
      <c r="AO222" s="82"/>
      <c r="AP222" s="82"/>
      <c r="AQ222" s="82"/>
      <c r="AR222" s="82"/>
      <c r="AS222" s="82"/>
      <c r="AT222" s="82"/>
      <c r="AU222" s="82"/>
      <c r="AV222" s="82"/>
      <c r="AW222" s="82"/>
      <c r="AX222" s="82"/>
      <c r="AY222" s="82"/>
      <c r="AZ222" s="82"/>
      <c r="BA222" s="82"/>
      <c r="BB222" s="82"/>
      <c r="BC222" s="82"/>
      <c r="BD222" s="82"/>
      <c r="BE222" s="82"/>
      <c r="BF222" s="82"/>
      <c r="BG222" s="82"/>
      <c r="BH222" s="82"/>
      <c r="BI222" s="82"/>
      <c r="BJ222" s="82"/>
      <c r="BK222" s="82"/>
      <c r="BL222" s="82"/>
      <c r="BM222" s="82"/>
      <c r="BN222" s="82"/>
      <c r="BO222" s="82"/>
      <c r="BP222" s="82"/>
      <c r="BQ222" s="82"/>
      <c r="BR222" s="82"/>
      <c r="BS222" s="82"/>
      <c r="BT222" s="82"/>
      <c r="BU222" s="82"/>
      <c r="BV222" s="82"/>
      <c r="BW222" s="82"/>
      <c r="BX222" s="82"/>
      <c r="BY222" s="82"/>
      <c r="BZ222" s="82"/>
      <c r="CA222" s="82"/>
      <c r="CB222" s="82"/>
      <c r="CC222" s="82"/>
      <c r="CD222" s="82"/>
      <c r="CE222" s="82"/>
      <c r="CF222" s="82"/>
      <c r="CG222" s="82"/>
      <c r="CH222" s="82"/>
    </row>
    <row r="223" spans="1:86" s="93" customFormat="1">
      <c r="A223" s="92" t="s">
        <v>336</v>
      </c>
      <c r="B223" s="76">
        <v>868</v>
      </c>
      <c r="C223" s="171">
        <f>B223/B$226</f>
        <v>0.30001382552191347</v>
      </c>
      <c r="D223" s="153"/>
      <c r="E223" s="153"/>
      <c r="F223" s="153"/>
      <c r="G223" s="66"/>
      <c r="H223" s="170"/>
      <c r="I223" s="170"/>
      <c r="J223" s="170"/>
      <c r="K223" s="170"/>
      <c r="L223" s="153"/>
      <c r="M223" s="129"/>
      <c r="N223" s="129"/>
      <c r="O223" s="129"/>
      <c r="P223" s="129"/>
      <c r="Q223" s="129"/>
      <c r="R223" s="170"/>
      <c r="S223" s="170"/>
      <c r="T223" s="170"/>
      <c r="U223" s="170"/>
      <c r="V223" s="82"/>
      <c r="W223" s="82"/>
      <c r="X223" s="82"/>
      <c r="Y223" s="82"/>
      <c r="Z223" s="82"/>
      <c r="AA223" s="82"/>
      <c r="AB223" s="82"/>
      <c r="AC223" s="82"/>
      <c r="AD223" s="82"/>
      <c r="AE223" s="82"/>
      <c r="AF223" s="82"/>
      <c r="AG223" s="82"/>
      <c r="AH223" s="82"/>
      <c r="AI223" s="82"/>
      <c r="AJ223" s="82"/>
      <c r="AK223" s="82"/>
      <c r="AL223" s="82"/>
      <c r="AM223" s="82"/>
      <c r="AN223" s="82"/>
      <c r="AO223" s="82"/>
      <c r="AP223" s="82"/>
      <c r="AQ223" s="82"/>
      <c r="AR223" s="82"/>
      <c r="AS223" s="82"/>
      <c r="AT223" s="82"/>
      <c r="AU223" s="82"/>
      <c r="AV223" s="82"/>
      <c r="AW223" s="82"/>
      <c r="AX223" s="82"/>
      <c r="AY223" s="82"/>
      <c r="AZ223" s="82"/>
      <c r="BA223" s="82"/>
      <c r="BB223" s="82"/>
      <c r="BC223" s="82"/>
      <c r="BD223" s="82"/>
      <c r="BE223" s="82"/>
      <c r="BF223" s="82"/>
      <c r="BG223" s="82"/>
      <c r="BH223" s="82"/>
      <c r="BI223" s="82"/>
      <c r="BJ223" s="82"/>
      <c r="BK223" s="82"/>
      <c r="BL223" s="82"/>
      <c r="BM223" s="82"/>
      <c r="BN223" s="82"/>
      <c r="BO223" s="82"/>
      <c r="BP223" s="82"/>
      <c r="BQ223" s="82"/>
      <c r="BR223" s="82"/>
      <c r="BS223" s="82"/>
      <c r="BT223" s="82"/>
      <c r="BU223" s="82"/>
      <c r="BV223" s="82"/>
      <c r="BW223" s="82"/>
      <c r="BX223" s="82"/>
      <c r="BY223" s="82"/>
      <c r="BZ223" s="82"/>
      <c r="CA223" s="82"/>
      <c r="CB223" s="82"/>
      <c r="CC223" s="82"/>
      <c r="CD223" s="82"/>
      <c r="CE223" s="82"/>
      <c r="CF223" s="82"/>
      <c r="CG223" s="82"/>
      <c r="CH223" s="82"/>
    </row>
    <row r="224" spans="1:86" s="93" customFormat="1">
      <c r="A224" s="97" t="s">
        <v>337</v>
      </c>
      <c r="B224" s="76">
        <v>1446.5</v>
      </c>
      <c r="C224" s="171">
        <f t="shared" ref="C224:C225" si="111">B224/B$226</f>
        <v>0.49996543619521638</v>
      </c>
      <c r="D224" s="153"/>
      <c r="E224" s="153"/>
      <c r="F224" s="153"/>
      <c r="G224" s="66"/>
      <c r="H224" s="170"/>
      <c r="I224" s="170"/>
      <c r="J224" s="170"/>
      <c r="K224" s="170"/>
      <c r="L224" s="153"/>
      <c r="M224" s="129"/>
      <c r="N224" s="129"/>
      <c r="O224" s="129"/>
      <c r="P224" s="129"/>
      <c r="Q224" s="129"/>
      <c r="R224" s="170"/>
      <c r="S224" s="170"/>
      <c r="T224" s="170"/>
      <c r="U224" s="170"/>
      <c r="V224" s="82"/>
      <c r="W224" s="82"/>
      <c r="X224" s="82"/>
      <c r="Y224" s="82"/>
      <c r="Z224" s="82"/>
      <c r="AA224" s="82"/>
      <c r="AB224" s="82"/>
      <c r="AC224" s="82"/>
      <c r="AD224" s="82"/>
      <c r="AE224" s="82"/>
      <c r="AF224" s="82"/>
      <c r="AG224" s="82"/>
      <c r="AH224" s="82"/>
      <c r="AI224" s="82"/>
      <c r="AJ224" s="82"/>
      <c r="AK224" s="82"/>
      <c r="AL224" s="82"/>
      <c r="AM224" s="82"/>
      <c r="AN224" s="82"/>
      <c r="AO224" s="82"/>
      <c r="AP224" s="82"/>
      <c r="AQ224" s="82"/>
      <c r="AR224" s="82"/>
      <c r="AS224" s="82"/>
      <c r="AT224" s="82"/>
      <c r="AU224" s="82"/>
      <c r="AV224" s="82"/>
      <c r="AW224" s="82"/>
      <c r="AX224" s="82"/>
      <c r="AY224" s="82"/>
      <c r="AZ224" s="82"/>
      <c r="BA224" s="82"/>
      <c r="BB224" s="82"/>
      <c r="BC224" s="82"/>
      <c r="BD224" s="82"/>
      <c r="BE224" s="82"/>
      <c r="BF224" s="82"/>
      <c r="BG224" s="82"/>
      <c r="BH224" s="82"/>
      <c r="BI224" s="82"/>
      <c r="BJ224" s="82"/>
      <c r="BK224" s="82"/>
      <c r="BL224" s="82"/>
      <c r="BM224" s="82"/>
      <c r="BN224" s="82"/>
      <c r="BO224" s="82"/>
      <c r="BP224" s="82"/>
      <c r="BQ224" s="82"/>
      <c r="BR224" s="82"/>
      <c r="BS224" s="82"/>
      <c r="BT224" s="82"/>
      <c r="BU224" s="82"/>
      <c r="BV224" s="82"/>
      <c r="BW224" s="82"/>
      <c r="BX224" s="82"/>
      <c r="BY224" s="82"/>
      <c r="BZ224" s="82"/>
      <c r="CA224" s="82"/>
      <c r="CB224" s="82"/>
      <c r="CC224" s="82"/>
      <c r="CD224" s="82"/>
      <c r="CE224" s="82"/>
      <c r="CF224" s="82"/>
      <c r="CG224" s="82"/>
      <c r="CH224" s="82"/>
    </row>
    <row r="225" spans="1:86" s="93" customFormat="1">
      <c r="A225" s="97" t="s">
        <v>332</v>
      </c>
      <c r="B225" s="76">
        <v>578.70000000000005</v>
      </c>
      <c r="C225" s="171">
        <f t="shared" si="111"/>
        <v>0.2000207382828702</v>
      </c>
      <c r="D225" s="153"/>
      <c r="E225" s="153"/>
      <c r="F225" s="153"/>
      <c r="G225" s="66"/>
      <c r="H225" s="170"/>
      <c r="I225" s="170"/>
      <c r="J225" s="170"/>
      <c r="K225" s="170"/>
      <c r="L225" s="153"/>
      <c r="M225" s="129"/>
      <c r="N225" s="129"/>
      <c r="O225" s="129"/>
      <c r="P225" s="129"/>
      <c r="Q225" s="129"/>
      <c r="R225" s="170"/>
      <c r="S225" s="170"/>
      <c r="T225" s="170"/>
      <c r="U225" s="170"/>
      <c r="V225" s="82"/>
      <c r="W225" s="82"/>
      <c r="X225" s="82"/>
      <c r="Y225" s="82"/>
      <c r="Z225" s="82"/>
      <c r="AA225" s="82"/>
      <c r="AB225" s="82"/>
      <c r="AC225" s="82"/>
      <c r="AD225" s="82"/>
      <c r="AE225" s="82"/>
      <c r="AF225" s="82"/>
      <c r="AG225" s="82"/>
      <c r="AH225" s="82"/>
      <c r="AI225" s="82"/>
      <c r="AJ225" s="82"/>
      <c r="AK225" s="82"/>
      <c r="AL225" s="82"/>
      <c r="AM225" s="82"/>
      <c r="AN225" s="82"/>
      <c r="AO225" s="82"/>
      <c r="AP225" s="82"/>
      <c r="AQ225" s="82"/>
      <c r="AR225" s="82"/>
      <c r="AS225" s="82"/>
      <c r="AT225" s="82"/>
      <c r="AU225" s="82"/>
      <c r="AV225" s="82"/>
      <c r="AW225" s="82"/>
      <c r="AX225" s="82"/>
      <c r="AY225" s="82"/>
      <c r="AZ225" s="82"/>
      <c r="BA225" s="82"/>
      <c r="BB225" s="82"/>
      <c r="BC225" s="82"/>
      <c r="BD225" s="82"/>
      <c r="BE225" s="82"/>
      <c r="BF225" s="82"/>
      <c r="BG225" s="82"/>
      <c r="BH225" s="82"/>
      <c r="BI225" s="82"/>
      <c r="BJ225" s="82"/>
      <c r="BK225" s="82"/>
      <c r="BL225" s="82"/>
      <c r="BM225" s="82"/>
      <c r="BN225" s="82"/>
      <c r="BO225" s="82"/>
      <c r="BP225" s="82"/>
      <c r="BQ225" s="82"/>
      <c r="BR225" s="82"/>
      <c r="BS225" s="82"/>
      <c r="BT225" s="82"/>
      <c r="BU225" s="82"/>
      <c r="BV225" s="82"/>
      <c r="BW225" s="82"/>
      <c r="BX225" s="82"/>
      <c r="BY225" s="82"/>
      <c r="BZ225" s="82"/>
      <c r="CA225" s="82"/>
      <c r="CB225" s="82"/>
      <c r="CC225" s="82"/>
      <c r="CD225" s="82"/>
      <c r="CE225" s="82"/>
      <c r="CF225" s="82"/>
      <c r="CG225" s="82"/>
      <c r="CH225" s="82"/>
    </row>
    <row r="226" spans="1:86" s="113" customFormat="1" thickBot="1">
      <c r="A226" s="123" t="s">
        <v>3</v>
      </c>
      <c r="B226" s="68">
        <f>SUM(B223:B225)</f>
        <v>2893.2</v>
      </c>
      <c r="C226" s="149">
        <f>SUM(C223:C225)</f>
        <v>1</v>
      </c>
      <c r="D226" s="172"/>
      <c r="E226" s="172"/>
      <c r="F226" s="172"/>
      <c r="G226" s="75"/>
      <c r="H226" s="174"/>
      <c r="I226" s="174"/>
      <c r="J226" s="174"/>
      <c r="K226" s="174"/>
      <c r="L226" s="172"/>
      <c r="M226" s="173"/>
      <c r="N226" s="173"/>
      <c r="O226" s="173"/>
      <c r="P226" s="173"/>
      <c r="Q226" s="173"/>
      <c r="R226" s="174"/>
      <c r="S226" s="174"/>
      <c r="T226" s="174"/>
      <c r="U226" s="174"/>
      <c r="V226" s="84"/>
      <c r="W226" s="84"/>
      <c r="X226" s="84"/>
      <c r="Y226" s="84"/>
      <c r="Z226" s="84"/>
      <c r="AA226" s="84"/>
      <c r="AB226" s="84"/>
      <c r="AC226" s="84"/>
      <c r="AD226" s="84"/>
      <c r="AE226" s="84"/>
      <c r="AF226" s="84"/>
      <c r="AG226" s="84"/>
      <c r="AH226" s="84"/>
      <c r="AI226" s="84"/>
      <c r="AJ226" s="84"/>
      <c r="AK226" s="84"/>
      <c r="AL226" s="84"/>
      <c r="AM226" s="84"/>
      <c r="AN226" s="84"/>
      <c r="AO226" s="84"/>
      <c r="AP226" s="84"/>
      <c r="AQ226" s="84"/>
      <c r="AR226" s="84"/>
      <c r="AS226" s="84"/>
      <c r="AT226" s="84"/>
      <c r="AU226" s="84"/>
      <c r="AV226" s="84"/>
      <c r="AW226" s="84"/>
      <c r="AX226" s="84"/>
      <c r="AY226" s="84"/>
      <c r="AZ226" s="84"/>
      <c r="BA226" s="84"/>
      <c r="BB226" s="84"/>
      <c r="BC226" s="84"/>
      <c r="BD226" s="84"/>
      <c r="BE226" s="84"/>
      <c r="BF226" s="84"/>
      <c r="BG226" s="84"/>
      <c r="BH226" s="84"/>
      <c r="BI226" s="84"/>
      <c r="BJ226" s="84"/>
      <c r="BK226" s="84"/>
      <c r="BL226" s="84"/>
      <c r="BM226" s="84"/>
      <c r="BN226" s="84"/>
      <c r="BO226" s="84"/>
      <c r="BP226" s="84"/>
      <c r="BQ226" s="84"/>
      <c r="BR226" s="84"/>
      <c r="BS226" s="84"/>
      <c r="BT226" s="84"/>
      <c r="BU226" s="84"/>
      <c r="BV226" s="84"/>
      <c r="BW226" s="84"/>
      <c r="BX226" s="84"/>
      <c r="BY226" s="84"/>
      <c r="BZ226" s="84"/>
      <c r="CA226" s="84"/>
      <c r="CB226" s="84"/>
      <c r="CC226" s="84"/>
      <c r="CD226" s="84"/>
      <c r="CE226" s="84"/>
      <c r="CF226" s="84"/>
      <c r="CG226" s="84"/>
      <c r="CH226" s="84"/>
    </row>
    <row r="227" spans="1:86" ht="13.5" customHeight="1">
      <c r="A227" s="5" t="s">
        <v>96</v>
      </c>
      <c r="B227" s="306"/>
      <c r="C227" s="10"/>
      <c r="D227" s="55"/>
      <c r="E227" s="55"/>
      <c r="G227" s="55"/>
      <c r="H227" s="45"/>
      <c r="I227" s="45"/>
      <c r="J227" s="45"/>
      <c r="K227" s="45"/>
      <c r="L227" s="45"/>
      <c r="M227" s="45"/>
      <c r="N227" s="45"/>
      <c r="O227" s="45"/>
      <c r="P227" s="45"/>
      <c r="Q227" s="45"/>
      <c r="R227" s="45"/>
      <c r="S227" s="45"/>
      <c r="T227" s="45"/>
      <c r="U227" s="45"/>
    </row>
    <row r="228" spans="1:86" ht="13.5" customHeight="1">
      <c r="A228" s="5" t="s">
        <v>422</v>
      </c>
      <c r="B228" s="547"/>
      <c r="C228" s="10"/>
      <c r="D228" s="55"/>
      <c r="E228" s="55"/>
      <c r="F228" s="55"/>
      <c r="G228" s="55"/>
      <c r="H228" s="45"/>
      <c r="I228" s="45"/>
      <c r="J228" s="45"/>
      <c r="K228" s="45"/>
      <c r="L228" s="45"/>
      <c r="M228" s="45"/>
      <c r="N228" s="45"/>
      <c r="O228" s="45"/>
      <c r="P228" s="45"/>
      <c r="Q228" s="45"/>
      <c r="R228" s="45"/>
      <c r="S228" s="45"/>
      <c r="T228" s="45"/>
      <c r="U228" s="45"/>
    </row>
    <row r="229" spans="1:86" ht="13.5" customHeight="1">
      <c r="A229" s="5" t="s">
        <v>377</v>
      </c>
      <c r="B229" s="59"/>
      <c r="C229" s="10"/>
      <c r="D229" s="55"/>
      <c r="E229" s="55"/>
      <c r="F229" s="55"/>
      <c r="G229" s="55"/>
      <c r="H229" s="45"/>
      <c r="I229" s="45"/>
      <c r="J229" s="45"/>
      <c r="K229" s="45"/>
      <c r="L229" s="45"/>
      <c r="M229" s="45"/>
      <c r="N229" s="45"/>
      <c r="O229" s="45"/>
      <c r="P229" s="45"/>
      <c r="Q229" s="45"/>
      <c r="R229" s="45"/>
      <c r="S229" s="45"/>
      <c r="T229" s="45"/>
      <c r="U229" s="45"/>
    </row>
    <row r="230" spans="1:86" ht="13.5" customHeight="1"/>
    <row r="231" spans="1:86" ht="14.25" thickBot="1">
      <c r="A231" s="21"/>
      <c r="B231" s="21"/>
      <c r="C231" s="21"/>
      <c r="D231" s="21"/>
      <c r="E231" s="21"/>
      <c r="F231" s="21"/>
      <c r="G231" s="21"/>
      <c r="H231" s="21"/>
      <c r="I231" s="21"/>
      <c r="J231" s="21"/>
      <c r="K231" s="21"/>
      <c r="L231" s="21"/>
      <c r="M231" s="21"/>
      <c r="N231" s="21"/>
      <c r="O231" s="21"/>
      <c r="P231" s="21"/>
      <c r="Q231" s="21"/>
      <c r="R231" s="21"/>
      <c r="S231" s="21"/>
      <c r="T231" s="21"/>
      <c r="U231" s="21"/>
    </row>
    <row r="233" spans="1:86">
      <c r="A233" s="32" t="s">
        <v>408</v>
      </c>
      <c r="B233" s="7" t="s">
        <v>338</v>
      </c>
      <c r="C233" s="14"/>
      <c r="D233" s="14"/>
      <c r="E233" s="14"/>
      <c r="F233" s="14"/>
      <c r="G233" s="14"/>
      <c r="H233" s="14"/>
      <c r="I233" s="14"/>
      <c r="J233" s="14"/>
      <c r="K233" s="14"/>
      <c r="L233" s="14"/>
      <c r="M233" s="15"/>
      <c r="N233" s="14"/>
      <c r="O233" s="14"/>
      <c r="P233" s="14"/>
      <c r="Q233" s="14"/>
      <c r="R233" s="14"/>
      <c r="S233" s="14"/>
      <c r="T233" s="14"/>
      <c r="U233" s="14"/>
    </row>
    <row r="234" spans="1:86" s="16" customFormat="1" ht="14.25" thickBot="1">
      <c r="C234" s="18"/>
      <c r="D234" s="18"/>
      <c r="E234" s="18"/>
      <c r="F234" s="18"/>
      <c r="G234" s="18"/>
      <c r="H234" s="18"/>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c r="BN234" s="45"/>
      <c r="BO234" s="45"/>
      <c r="BP234" s="45"/>
      <c r="BQ234" s="45"/>
      <c r="BR234" s="45"/>
      <c r="BS234" s="45"/>
      <c r="BT234" s="45"/>
      <c r="BU234" s="45"/>
      <c r="BV234" s="45"/>
      <c r="BW234" s="45"/>
      <c r="BX234" s="45"/>
      <c r="BY234" s="45"/>
      <c r="BZ234" s="45"/>
      <c r="CA234" s="45"/>
      <c r="CB234" s="45"/>
      <c r="CC234" s="45"/>
      <c r="CD234" s="45"/>
      <c r="CE234" s="45"/>
      <c r="CF234" s="45"/>
      <c r="CG234" s="45"/>
      <c r="CH234" s="45"/>
    </row>
    <row r="235" spans="1:86" s="93" customFormat="1" ht="14.25" thickBot="1">
      <c r="B235" s="150" t="s">
        <v>166</v>
      </c>
      <c r="C235" s="151" t="s">
        <v>89</v>
      </c>
      <c r="T235" s="82"/>
      <c r="U235" s="82"/>
      <c r="V235" s="82"/>
      <c r="W235" s="82"/>
      <c r="X235" s="82"/>
      <c r="Y235" s="82"/>
      <c r="Z235" s="82"/>
      <c r="AA235" s="82"/>
      <c r="AB235" s="82"/>
      <c r="AC235" s="82"/>
      <c r="AD235" s="82"/>
      <c r="AE235" s="82"/>
      <c r="AF235" s="82"/>
      <c r="AG235" s="82"/>
      <c r="AH235" s="82"/>
      <c r="AI235" s="82"/>
      <c r="AJ235" s="82"/>
      <c r="AK235" s="82"/>
      <c r="AL235" s="82"/>
      <c r="AM235" s="82"/>
      <c r="AN235" s="82"/>
      <c r="AO235" s="82"/>
      <c r="AP235" s="82"/>
      <c r="AQ235" s="82"/>
      <c r="AR235" s="82"/>
      <c r="AS235" s="82"/>
      <c r="AT235" s="82"/>
      <c r="AU235" s="82"/>
      <c r="AV235" s="82"/>
      <c r="AW235" s="82"/>
      <c r="AX235" s="82"/>
      <c r="AY235" s="82"/>
      <c r="AZ235" s="82"/>
      <c r="BA235" s="82"/>
      <c r="BB235" s="82"/>
      <c r="BC235" s="82"/>
      <c r="BD235" s="82"/>
      <c r="BE235" s="82"/>
      <c r="BF235" s="82"/>
      <c r="BG235" s="82"/>
      <c r="BH235" s="82"/>
      <c r="BI235" s="82"/>
      <c r="BJ235" s="82"/>
      <c r="BK235" s="82"/>
      <c r="BL235" s="82"/>
      <c r="BM235" s="82"/>
      <c r="BN235" s="82"/>
      <c r="BO235" s="82"/>
      <c r="BP235" s="82"/>
      <c r="BQ235" s="82"/>
      <c r="BR235" s="82"/>
      <c r="BS235" s="82"/>
      <c r="BT235" s="82"/>
      <c r="BU235" s="82"/>
      <c r="BV235" s="82"/>
      <c r="BW235" s="82"/>
      <c r="BX235" s="82"/>
      <c r="BY235" s="82"/>
      <c r="BZ235" s="82"/>
      <c r="CA235" s="82"/>
      <c r="CB235" s="82"/>
      <c r="CC235" s="82"/>
      <c r="CD235" s="82"/>
      <c r="CE235" s="82"/>
      <c r="CF235" s="82"/>
    </row>
    <row r="236" spans="1:86" s="93" customFormat="1">
      <c r="A236" s="92" t="s">
        <v>9</v>
      </c>
      <c r="B236" s="76">
        <v>1330.8</v>
      </c>
      <c r="C236" s="158">
        <f>B236/B$239</f>
        <v>0.4599751140605558</v>
      </c>
      <c r="T236" s="82"/>
      <c r="U236" s="82"/>
      <c r="V236" s="82"/>
      <c r="W236" s="82"/>
      <c r="X236" s="82"/>
      <c r="Y236" s="82"/>
      <c r="Z236" s="82"/>
      <c r="AA236" s="82"/>
      <c r="AB236" s="82"/>
      <c r="AC236" s="82"/>
      <c r="AD236" s="82"/>
      <c r="AE236" s="82"/>
      <c r="AF236" s="82"/>
      <c r="AG236" s="82"/>
      <c r="AH236" s="82"/>
      <c r="AI236" s="82"/>
      <c r="AJ236" s="82"/>
      <c r="AK236" s="82"/>
      <c r="AL236" s="82"/>
      <c r="AM236" s="82"/>
      <c r="AN236" s="82"/>
      <c r="AO236" s="82"/>
      <c r="AP236" s="82"/>
      <c r="AQ236" s="82"/>
      <c r="AR236" s="82"/>
      <c r="AS236" s="82"/>
      <c r="AT236" s="82"/>
      <c r="AU236" s="82"/>
      <c r="AV236" s="82"/>
      <c r="AW236" s="82"/>
      <c r="AX236" s="82"/>
      <c r="AY236" s="82"/>
      <c r="AZ236" s="82"/>
      <c r="BA236" s="82"/>
      <c r="BB236" s="82"/>
      <c r="BC236" s="82"/>
      <c r="BD236" s="82"/>
      <c r="BE236" s="82"/>
      <c r="BF236" s="82"/>
      <c r="BG236" s="82"/>
      <c r="BH236" s="82"/>
      <c r="BI236" s="82"/>
      <c r="BJ236" s="82"/>
      <c r="BK236" s="82"/>
      <c r="BL236" s="82"/>
      <c r="BM236" s="82"/>
      <c r="BN236" s="82"/>
      <c r="BO236" s="82"/>
      <c r="BP236" s="82"/>
      <c r="BQ236" s="82"/>
      <c r="BR236" s="82"/>
      <c r="BS236" s="82"/>
      <c r="BT236" s="82"/>
      <c r="BU236" s="82"/>
      <c r="BV236" s="82"/>
      <c r="BW236" s="82"/>
      <c r="BX236" s="82"/>
      <c r="BY236" s="82"/>
      <c r="BZ236" s="82"/>
      <c r="CA236" s="82"/>
      <c r="CB236" s="82"/>
      <c r="CC236" s="82"/>
      <c r="CD236" s="82"/>
      <c r="CE236" s="82"/>
      <c r="CF236" s="82"/>
    </row>
    <row r="237" spans="1:86" s="93" customFormat="1">
      <c r="A237" s="97" t="s">
        <v>8</v>
      </c>
      <c r="B237" s="76">
        <v>1157.3</v>
      </c>
      <c r="C237" s="158">
        <f t="shared" ref="C237:C238" si="112">B237/B$239</f>
        <v>0.40000691276095673</v>
      </c>
      <c r="T237" s="82"/>
      <c r="U237" s="82"/>
      <c r="V237" s="82"/>
      <c r="W237" s="82"/>
      <c r="X237" s="82"/>
      <c r="Y237" s="82"/>
      <c r="Z237" s="82"/>
      <c r="AA237" s="82"/>
      <c r="AB237" s="82"/>
      <c r="AC237" s="82"/>
      <c r="AD237" s="82"/>
      <c r="AE237" s="82"/>
      <c r="AF237" s="82"/>
      <c r="AG237" s="82"/>
      <c r="AH237" s="82"/>
      <c r="AI237" s="82"/>
      <c r="AJ237" s="82"/>
      <c r="AK237" s="82"/>
      <c r="AL237" s="82"/>
      <c r="AM237" s="82"/>
      <c r="AN237" s="82"/>
      <c r="AO237" s="82"/>
      <c r="AP237" s="82"/>
      <c r="AQ237" s="82"/>
      <c r="AR237" s="82"/>
      <c r="AS237" s="82"/>
      <c r="AT237" s="82"/>
      <c r="AU237" s="82"/>
      <c r="AV237" s="82"/>
      <c r="AW237" s="82"/>
      <c r="AX237" s="82"/>
      <c r="AY237" s="82"/>
      <c r="AZ237" s="82"/>
      <c r="BA237" s="82"/>
      <c r="BB237" s="82"/>
      <c r="BC237" s="82"/>
      <c r="BD237" s="82"/>
      <c r="BE237" s="82"/>
      <c r="BF237" s="82"/>
      <c r="BG237" s="82"/>
      <c r="BH237" s="82"/>
      <c r="BI237" s="82"/>
      <c r="BJ237" s="82"/>
      <c r="BK237" s="82"/>
      <c r="BL237" s="82"/>
      <c r="BM237" s="82"/>
      <c r="BN237" s="82"/>
      <c r="BO237" s="82"/>
      <c r="BP237" s="82"/>
      <c r="BQ237" s="82"/>
      <c r="BR237" s="82"/>
      <c r="BS237" s="82"/>
      <c r="BT237" s="82"/>
      <c r="BU237" s="82"/>
      <c r="BV237" s="82"/>
      <c r="BW237" s="82"/>
      <c r="BX237" s="82"/>
      <c r="BY237" s="82"/>
      <c r="BZ237" s="82"/>
      <c r="CA237" s="82"/>
      <c r="CB237" s="82"/>
      <c r="CC237" s="82"/>
      <c r="CD237" s="82"/>
      <c r="CE237" s="82"/>
      <c r="CF237" s="82"/>
    </row>
    <row r="238" spans="1:86" s="93" customFormat="1">
      <c r="A238" s="97" t="s">
        <v>10</v>
      </c>
      <c r="B238" s="76">
        <v>405.1</v>
      </c>
      <c r="C238" s="158">
        <f t="shared" si="112"/>
        <v>0.14001797317848749</v>
      </c>
      <c r="T238" s="82"/>
      <c r="U238" s="82"/>
      <c r="V238" s="82"/>
      <c r="W238" s="82"/>
      <c r="X238" s="82"/>
      <c r="Y238" s="82"/>
      <c r="Z238" s="82"/>
      <c r="AA238" s="82"/>
      <c r="AB238" s="82"/>
      <c r="AC238" s="82"/>
      <c r="AD238" s="82"/>
      <c r="AE238" s="82"/>
      <c r="AF238" s="82"/>
      <c r="AG238" s="82"/>
      <c r="AH238" s="82"/>
      <c r="AI238" s="82"/>
      <c r="AJ238" s="82"/>
      <c r="AK238" s="82"/>
      <c r="AL238" s="82"/>
      <c r="AM238" s="82"/>
      <c r="AN238" s="82"/>
      <c r="AO238" s="82"/>
      <c r="AP238" s="82"/>
      <c r="AQ238" s="82"/>
      <c r="AR238" s="82"/>
      <c r="AS238" s="82"/>
      <c r="AT238" s="82"/>
      <c r="AU238" s="82"/>
      <c r="AV238" s="82"/>
      <c r="AW238" s="82"/>
      <c r="AX238" s="82"/>
      <c r="AY238" s="82"/>
      <c r="AZ238" s="82"/>
      <c r="BA238" s="82"/>
      <c r="BB238" s="82"/>
      <c r="BC238" s="82"/>
      <c r="BD238" s="82"/>
      <c r="BE238" s="82"/>
      <c r="BF238" s="82"/>
      <c r="BG238" s="82"/>
      <c r="BH238" s="82"/>
      <c r="BI238" s="82"/>
      <c r="BJ238" s="82"/>
      <c r="BK238" s="82"/>
      <c r="BL238" s="82"/>
      <c r="BM238" s="82"/>
      <c r="BN238" s="82"/>
      <c r="BO238" s="82"/>
      <c r="BP238" s="82"/>
      <c r="BQ238" s="82"/>
      <c r="BR238" s="82"/>
      <c r="BS238" s="82"/>
      <c r="BT238" s="82"/>
      <c r="BU238" s="82"/>
      <c r="BV238" s="82"/>
      <c r="BW238" s="82"/>
      <c r="BX238" s="82"/>
      <c r="BY238" s="82"/>
      <c r="BZ238" s="82"/>
      <c r="CA238" s="82"/>
      <c r="CB238" s="82"/>
      <c r="CC238" s="82"/>
      <c r="CD238" s="82"/>
      <c r="CE238" s="82"/>
      <c r="CF238" s="82"/>
    </row>
    <row r="239" spans="1:86" s="113" customFormat="1" thickBot="1">
      <c r="A239" s="123" t="s">
        <v>3</v>
      </c>
      <c r="B239" s="72">
        <f>SUM(B236:B238)</f>
        <v>2893.2</v>
      </c>
      <c r="C239" s="149">
        <f>SUM(C236:C238)</f>
        <v>1</v>
      </c>
      <c r="T239" s="84"/>
      <c r="U239" s="84"/>
      <c r="V239" s="84"/>
      <c r="W239" s="84"/>
      <c r="X239" s="84"/>
      <c r="Y239" s="84"/>
      <c r="Z239" s="84"/>
      <c r="AA239" s="84"/>
      <c r="AB239" s="84"/>
      <c r="AC239" s="84"/>
      <c r="AD239" s="84"/>
      <c r="AE239" s="84"/>
      <c r="AF239" s="84"/>
      <c r="AG239" s="84"/>
      <c r="AH239" s="84"/>
      <c r="AI239" s="84"/>
      <c r="AJ239" s="84"/>
      <c r="AK239" s="84"/>
      <c r="AL239" s="84"/>
      <c r="AM239" s="84"/>
      <c r="AN239" s="84"/>
      <c r="AO239" s="84"/>
      <c r="AP239" s="84"/>
      <c r="AQ239" s="84"/>
      <c r="AR239" s="84"/>
      <c r="AS239" s="84"/>
      <c r="AT239" s="84"/>
      <c r="AU239" s="84"/>
      <c r="AV239" s="84"/>
      <c r="AW239" s="84"/>
      <c r="AX239" s="84"/>
      <c r="AY239" s="84"/>
      <c r="AZ239" s="84"/>
      <c r="BA239" s="84"/>
      <c r="BB239" s="84"/>
      <c r="BC239" s="84"/>
      <c r="BD239" s="84"/>
      <c r="BE239" s="84"/>
      <c r="BF239" s="84"/>
      <c r="BG239" s="84"/>
      <c r="BH239" s="84"/>
      <c r="BI239" s="84"/>
      <c r="BJ239" s="84"/>
      <c r="BK239" s="84"/>
      <c r="BL239" s="84"/>
      <c r="BM239" s="84"/>
      <c r="BN239" s="84"/>
      <c r="BO239" s="84"/>
      <c r="BP239" s="84"/>
      <c r="BQ239" s="84"/>
      <c r="BR239" s="84"/>
      <c r="BS239" s="84"/>
      <c r="BT239" s="84"/>
      <c r="BU239" s="84"/>
      <c r="BV239" s="84"/>
      <c r="BW239" s="84"/>
      <c r="BX239" s="84"/>
      <c r="BY239" s="84"/>
      <c r="BZ239" s="84"/>
      <c r="CA239" s="84"/>
      <c r="CB239" s="84"/>
      <c r="CC239" s="84"/>
      <c r="CD239" s="84"/>
      <c r="CE239" s="84"/>
      <c r="CF239" s="84"/>
    </row>
    <row r="240" spans="1:86" s="6" customFormat="1" ht="13.5" customHeight="1">
      <c r="A240" s="5" t="s">
        <v>96</v>
      </c>
      <c r="B240" s="306"/>
      <c r="C240" s="5"/>
      <c r="D240" s="5"/>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row>
    <row r="241" spans="1:86" s="6" customFormat="1" ht="13.5" customHeight="1">
      <c r="A241" s="5" t="s">
        <v>377</v>
      </c>
      <c r="B241" s="59"/>
      <c r="C241" s="5"/>
      <c r="D241" s="5"/>
      <c r="E241" s="5"/>
      <c r="F241" s="5"/>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row>
    <row r="242" spans="1:86" s="6" customFormat="1" ht="13.5" customHeight="1">
      <c r="A242" s="5"/>
      <c r="B242" s="5"/>
      <c r="C242" s="5"/>
      <c r="D242" s="5"/>
      <c r="E242" s="5"/>
      <c r="F242" s="5"/>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row>
    <row r="243" spans="1:86" ht="13.5" customHeight="1"/>
    <row r="244" spans="1:86" s="503" customFormat="1" ht="26.25" customHeight="1">
      <c r="A244" s="501" t="s">
        <v>341</v>
      </c>
      <c r="B244" s="502"/>
      <c r="C244" s="502"/>
      <c r="D244" s="502"/>
      <c r="E244" s="502"/>
      <c r="F244" s="502"/>
      <c r="G244" s="502"/>
      <c r="H244" s="502"/>
      <c r="I244" s="502"/>
      <c r="J244" s="502"/>
      <c r="K244" s="502"/>
      <c r="L244" s="502"/>
      <c r="M244" s="502"/>
      <c r="N244" s="502"/>
      <c r="O244" s="502"/>
      <c r="P244" s="502"/>
      <c r="Q244" s="502"/>
      <c r="R244" s="502"/>
      <c r="S244" s="502"/>
      <c r="T244" s="502"/>
      <c r="U244" s="502"/>
    </row>
    <row r="246" spans="1:86">
      <c r="A246" s="32" t="s">
        <v>410</v>
      </c>
      <c r="B246" s="7" t="s">
        <v>393</v>
      </c>
      <c r="C246" s="14"/>
      <c r="D246" s="14"/>
      <c r="E246" s="14"/>
      <c r="F246" s="14"/>
      <c r="G246" s="14"/>
      <c r="H246" s="14"/>
      <c r="I246" s="14"/>
      <c r="J246" s="14"/>
      <c r="K246" s="14"/>
      <c r="L246" s="14"/>
      <c r="M246" s="14"/>
      <c r="N246" s="14"/>
      <c r="O246" s="14"/>
      <c r="P246" s="14"/>
      <c r="Q246" s="14"/>
      <c r="R246" s="14"/>
      <c r="S246" s="14"/>
      <c r="T246" s="14"/>
      <c r="U246" s="14"/>
    </row>
    <row r="247" spans="1:86" s="16" customFormat="1" ht="14.25" thickBot="1">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c r="BH247" s="45"/>
      <c r="BI247" s="45"/>
      <c r="BJ247" s="45"/>
      <c r="BK247" s="45"/>
      <c r="BL247" s="45"/>
      <c r="BM247" s="45"/>
      <c r="BN247" s="45"/>
      <c r="BO247" s="45"/>
      <c r="BP247" s="45"/>
      <c r="BQ247" s="45"/>
      <c r="BR247" s="45"/>
      <c r="BS247" s="45"/>
      <c r="BT247" s="45"/>
      <c r="BU247" s="45"/>
      <c r="BV247" s="45"/>
      <c r="BW247" s="45"/>
      <c r="BX247" s="45"/>
      <c r="BY247" s="45"/>
      <c r="BZ247" s="45"/>
      <c r="CA247" s="45"/>
      <c r="CB247" s="45"/>
      <c r="CC247" s="45"/>
      <c r="CD247" s="45"/>
      <c r="CE247" s="45"/>
      <c r="CF247" s="45"/>
      <c r="CG247" s="45"/>
      <c r="CH247" s="45"/>
    </row>
    <row r="248" spans="1:86" s="93" customFormat="1" ht="13.5" customHeight="1" thickBot="1">
      <c r="B248" s="189">
        <v>2013</v>
      </c>
      <c r="C248" s="190">
        <v>2014</v>
      </c>
      <c r="D248" s="190">
        <v>2015</v>
      </c>
      <c r="E248" s="190">
        <v>2016</v>
      </c>
      <c r="F248" s="143">
        <v>2017</v>
      </c>
      <c r="G248" s="242">
        <v>2018</v>
      </c>
      <c r="H248" s="242">
        <v>2019</v>
      </c>
      <c r="I248" s="242">
        <v>2020</v>
      </c>
      <c r="J248" s="242">
        <v>2021</v>
      </c>
      <c r="K248" s="243">
        <v>2022</v>
      </c>
      <c r="M248" s="89" t="s">
        <v>11</v>
      </c>
      <c r="N248" s="2" t="s">
        <v>12</v>
      </c>
      <c r="O248" s="2" t="s">
        <v>13</v>
      </c>
      <c r="P248" s="151" t="s">
        <v>95</v>
      </c>
      <c r="Q248" s="90" t="s">
        <v>99</v>
      </c>
      <c r="R248" s="90" t="s">
        <v>100</v>
      </c>
      <c r="S248" s="90" t="s">
        <v>208</v>
      </c>
      <c r="T248" s="90" t="s">
        <v>209</v>
      </c>
      <c r="U248" s="91" t="s">
        <v>210</v>
      </c>
    </row>
    <row r="249" spans="1:86" s="93" customFormat="1">
      <c r="A249" s="92" t="s">
        <v>6</v>
      </c>
      <c r="B249" s="85">
        <v>2209</v>
      </c>
      <c r="C249" s="86">
        <v>2139.3000000000002</v>
      </c>
      <c r="D249" s="86">
        <v>2163.1999999999998</v>
      </c>
      <c r="E249" s="86">
        <v>2212.1</v>
      </c>
      <c r="F249" s="165">
        <v>2278.5</v>
      </c>
      <c r="G249" s="86">
        <v>2332.9</v>
      </c>
      <c r="H249" s="86">
        <v>2377.6999999999998</v>
      </c>
      <c r="I249" s="86">
        <v>2414.4</v>
      </c>
      <c r="J249" s="86">
        <v>2443.1999999999998</v>
      </c>
      <c r="K249" s="165">
        <v>2484.3000000000002</v>
      </c>
      <c r="M249" s="94">
        <f t="shared" ref="M249:U251" si="113">(C249-B249)/B249</f>
        <v>-3.1552738795835138E-2</v>
      </c>
      <c r="N249" s="95">
        <f t="shared" si="113"/>
        <v>1.1171878651895308E-2</v>
      </c>
      <c r="O249" s="95">
        <f t="shared" si="113"/>
        <v>2.2605399408284068E-2</v>
      </c>
      <c r="P249" s="96">
        <f t="shared" si="113"/>
        <v>3.0016726187785406E-2</v>
      </c>
      <c r="Q249" s="95">
        <f t="shared" si="113"/>
        <v>2.3875356594250642E-2</v>
      </c>
      <c r="R249" s="95">
        <f t="shared" si="113"/>
        <v>1.920356637661268E-2</v>
      </c>
      <c r="S249" s="95">
        <f t="shared" si="113"/>
        <v>1.5435084325188322E-2</v>
      </c>
      <c r="T249" s="95">
        <f t="shared" si="113"/>
        <v>1.1928429423459131E-2</v>
      </c>
      <c r="U249" s="96">
        <f t="shared" si="113"/>
        <v>1.6822200392927457E-2</v>
      </c>
      <c r="V249" s="82"/>
      <c r="W249" s="82"/>
      <c r="X249" s="82"/>
      <c r="Y249" s="82"/>
      <c r="Z249" s="82"/>
      <c r="AA249" s="82"/>
      <c r="AB249" s="82"/>
      <c r="AC249" s="82"/>
      <c r="AD249" s="82"/>
      <c r="AE249" s="82"/>
      <c r="AF249" s="82"/>
      <c r="AG249" s="82"/>
      <c r="AH249" s="82"/>
      <c r="AI249" s="82"/>
      <c r="AJ249" s="82"/>
      <c r="AK249" s="82"/>
      <c r="AL249" s="82"/>
      <c r="AM249" s="82"/>
      <c r="AN249" s="82"/>
      <c r="AO249" s="82"/>
      <c r="AP249" s="82"/>
      <c r="AQ249" s="82"/>
      <c r="AR249" s="82"/>
      <c r="AS249" s="82"/>
      <c r="AT249" s="82"/>
      <c r="AU249" s="82"/>
      <c r="AV249" s="82"/>
      <c r="AW249" s="82"/>
      <c r="AX249" s="82"/>
      <c r="AY249" s="82"/>
      <c r="AZ249" s="82"/>
      <c r="BA249" s="82"/>
      <c r="BB249" s="82"/>
      <c r="BC249" s="82"/>
      <c r="BD249" s="82"/>
      <c r="BE249" s="82"/>
      <c r="BF249" s="82"/>
      <c r="BG249" s="82"/>
      <c r="BH249" s="82"/>
      <c r="BI249" s="82"/>
      <c r="BJ249" s="82"/>
      <c r="BK249" s="82"/>
      <c r="BL249" s="82"/>
      <c r="BM249" s="82"/>
      <c r="BN249" s="82"/>
      <c r="BO249" s="82"/>
      <c r="BP249" s="82"/>
      <c r="BQ249" s="82"/>
      <c r="BR249" s="82"/>
      <c r="BS249" s="82"/>
      <c r="BT249" s="82"/>
      <c r="BU249" s="82"/>
      <c r="BV249" s="82"/>
      <c r="BW249" s="82"/>
      <c r="BX249" s="82"/>
      <c r="BY249" s="82"/>
      <c r="BZ249" s="82"/>
      <c r="CA249" s="82"/>
      <c r="CB249" s="82"/>
      <c r="CC249" s="82"/>
      <c r="CD249" s="82"/>
      <c r="CE249" s="82"/>
      <c r="CF249" s="82"/>
      <c r="CG249" s="82"/>
      <c r="CH249" s="82"/>
    </row>
    <row r="250" spans="1:86" s="93" customFormat="1">
      <c r="A250" s="97" t="s">
        <v>7</v>
      </c>
      <c r="B250" s="76">
        <v>304.10000000000002</v>
      </c>
      <c r="C250" s="66">
        <v>280.7</v>
      </c>
      <c r="D250" s="66">
        <v>270.10000000000002</v>
      </c>
      <c r="E250" s="66">
        <v>259.5</v>
      </c>
      <c r="F250" s="71">
        <v>253.2</v>
      </c>
      <c r="G250" s="66">
        <v>242</v>
      </c>
      <c r="H250" s="66">
        <v>229.4</v>
      </c>
      <c r="I250" s="66">
        <v>227.2</v>
      </c>
      <c r="J250" s="66">
        <v>224.1</v>
      </c>
      <c r="K250" s="71">
        <v>221.9</v>
      </c>
      <c r="M250" s="98">
        <f t="shared" si="113"/>
        <v>-7.6948372245971827E-2</v>
      </c>
      <c r="N250" s="99">
        <f t="shared" si="113"/>
        <v>-3.7762736017099986E-2</v>
      </c>
      <c r="O250" s="99">
        <f t="shared" si="113"/>
        <v>-3.9244724176231108E-2</v>
      </c>
      <c r="P250" s="100">
        <f t="shared" si="113"/>
        <v>-2.4277456647398887E-2</v>
      </c>
      <c r="Q250" s="99">
        <f t="shared" si="113"/>
        <v>-4.4233807266982582E-2</v>
      </c>
      <c r="R250" s="99">
        <f t="shared" si="113"/>
        <v>-5.2066115702479314E-2</v>
      </c>
      <c r="S250" s="99">
        <f t="shared" si="113"/>
        <v>-9.5902353966870833E-3</v>
      </c>
      <c r="T250" s="99">
        <f t="shared" si="113"/>
        <v>-1.3644366197183073E-2</v>
      </c>
      <c r="U250" s="100">
        <f t="shared" si="113"/>
        <v>-9.8170459616242246E-3</v>
      </c>
      <c r="V250" s="82"/>
      <c r="W250" s="82"/>
      <c r="X250" s="82"/>
      <c r="Y250" s="82"/>
      <c r="Z250" s="82"/>
      <c r="AA250" s="82"/>
      <c r="AB250" s="82"/>
      <c r="AC250" s="82"/>
      <c r="AD250" s="82"/>
      <c r="AE250" s="82"/>
      <c r="AF250" s="82"/>
      <c r="AG250" s="82"/>
      <c r="AH250" s="82"/>
      <c r="AI250" s="82"/>
      <c r="AJ250" s="82"/>
      <c r="AK250" s="82"/>
      <c r="AL250" s="82"/>
      <c r="AM250" s="82"/>
      <c r="AN250" s="82"/>
      <c r="AO250" s="82"/>
      <c r="AP250" s="82"/>
      <c r="AQ250" s="82"/>
      <c r="AR250" s="82"/>
      <c r="AS250" s="82"/>
      <c r="AT250" s="82"/>
      <c r="AU250" s="82"/>
      <c r="AV250" s="82"/>
      <c r="AW250" s="82"/>
      <c r="AX250" s="82"/>
      <c r="AY250" s="82"/>
      <c r="AZ250" s="82"/>
      <c r="BA250" s="82"/>
      <c r="BB250" s="82"/>
      <c r="BC250" s="82"/>
      <c r="BD250" s="82"/>
      <c r="BE250" s="82"/>
      <c r="BF250" s="82"/>
      <c r="BG250" s="82"/>
      <c r="BH250" s="82"/>
      <c r="BI250" s="82"/>
      <c r="BJ250" s="82"/>
      <c r="BK250" s="82"/>
      <c r="BL250" s="82"/>
      <c r="BM250" s="82"/>
      <c r="BN250" s="82"/>
      <c r="BO250" s="82"/>
      <c r="BP250" s="82"/>
      <c r="BQ250" s="82"/>
      <c r="BR250" s="82"/>
      <c r="BS250" s="82"/>
      <c r="BT250" s="82"/>
      <c r="BU250" s="82"/>
      <c r="BV250" s="82"/>
      <c r="BW250" s="82"/>
      <c r="BX250" s="82"/>
      <c r="BY250" s="82"/>
      <c r="BZ250" s="82"/>
      <c r="CA250" s="82"/>
      <c r="CB250" s="82"/>
      <c r="CC250" s="82"/>
      <c r="CD250" s="82"/>
      <c r="CE250" s="82"/>
      <c r="CF250" s="82"/>
      <c r="CG250" s="82"/>
      <c r="CH250" s="82"/>
    </row>
    <row r="251" spans="1:86" s="113" customFormat="1" thickBot="1">
      <c r="A251" s="123" t="s">
        <v>3</v>
      </c>
      <c r="B251" s="72">
        <f t="shared" ref="B251:K251" si="114">SUM(B249:B250)</f>
        <v>2513.1</v>
      </c>
      <c r="C251" s="73">
        <f t="shared" si="114"/>
        <v>2420</v>
      </c>
      <c r="D251" s="73">
        <f t="shared" si="114"/>
        <v>2433.2999999999997</v>
      </c>
      <c r="E251" s="73">
        <f t="shared" si="114"/>
        <v>2471.6</v>
      </c>
      <c r="F251" s="74">
        <f t="shared" si="114"/>
        <v>2531.6999999999998</v>
      </c>
      <c r="G251" s="73">
        <f t="shared" si="114"/>
        <v>2574.9</v>
      </c>
      <c r="H251" s="73">
        <f t="shared" si="114"/>
        <v>2607.1</v>
      </c>
      <c r="I251" s="73">
        <f t="shared" si="114"/>
        <v>2641.6</v>
      </c>
      <c r="J251" s="73">
        <f t="shared" si="114"/>
        <v>2667.2999999999997</v>
      </c>
      <c r="K251" s="74">
        <f t="shared" si="114"/>
        <v>2706.2000000000003</v>
      </c>
      <c r="M251" s="124">
        <f t="shared" si="113"/>
        <v>-3.7045879590943423E-2</v>
      </c>
      <c r="N251" s="125">
        <f t="shared" si="113"/>
        <v>5.4958677685949288E-3</v>
      </c>
      <c r="O251" s="125">
        <f t="shared" si="113"/>
        <v>1.5739941643036281E-2</v>
      </c>
      <c r="P251" s="126">
        <f t="shared" si="113"/>
        <v>2.43162324000647E-2</v>
      </c>
      <c r="Q251" s="125">
        <f t="shared" si="113"/>
        <v>1.7063633131887773E-2</v>
      </c>
      <c r="R251" s="125">
        <f t="shared" si="113"/>
        <v>1.2505340013204325E-2</v>
      </c>
      <c r="S251" s="125">
        <f t="shared" si="113"/>
        <v>1.3233094242645085E-2</v>
      </c>
      <c r="T251" s="125">
        <f t="shared" si="113"/>
        <v>9.7289521502119235E-3</v>
      </c>
      <c r="U251" s="126">
        <f t="shared" si="113"/>
        <v>1.4584036291381003E-2</v>
      </c>
      <c r="V251" s="84"/>
      <c r="W251" s="84"/>
      <c r="X251" s="84"/>
      <c r="Y251" s="84"/>
      <c r="Z251" s="84"/>
      <c r="AA251" s="84"/>
      <c r="AB251" s="84"/>
      <c r="AC251" s="84"/>
      <c r="AD251" s="84"/>
      <c r="AE251" s="84"/>
      <c r="AF251" s="84"/>
      <c r="AG251" s="84"/>
      <c r="AH251" s="84"/>
      <c r="AI251" s="84"/>
      <c r="AJ251" s="84"/>
      <c r="AK251" s="84"/>
      <c r="AL251" s="84"/>
      <c r="AM251" s="84"/>
      <c r="AN251" s="84"/>
      <c r="AO251" s="84"/>
      <c r="AP251" s="84"/>
      <c r="AQ251" s="84"/>
      <c r="AR251" s="84"/>
      <c r="AS251" s="84"/>
      <c r="AT251" s="84"/>
      <c r="AU251" s="84"/>
      <c r="AV251" s="84"/>
      <c r="AW251" s="84"/>
      <c r="AX251" s="84"/>
      <c r="AY251" s="84"/>
      <c r="AZ251" s="84"/>
      <c r="BA251" s="84"/>
      <c r="BB251" s="84"/>
      <c r="BC251" s="84"/>
      <c r="BD251" s="84"/>
      <c r="BE251" s="84"/>
      <c r="BF251" s="84"/>
      <c r="BG251" s="84"/>
      <c r="BH251" s="84"/>
      <c r="BI251" s="84"/>
      <c r="BJ251" s="84"/>
      <c r="BK251" s="84"/>
      <c r="BL251" s="84"/>
      <c r="BM251" s="84"/>
      <c r="BN251" s="84"/>
      <c r="BO251" s="84"/>
      <c r="BP251" s="84"/>
      <c r="BQ251" s="84"/>
      <c r="BR251" s="84"/>
      <c r="BS251" s="84"/>
      <c r="BT251" s="84"/>
      <c r="BU251" s="84"/>
      <c r="BV251" s="84"/>
      <c r="BW251" s="84"/>
      <c r="BX251" s="84"/>
      <c r="BY251" s="84"/>
      <c r="BZ251" s="84"/>
      <c r="CA251" s="84"/>
      <c r="CB251" s="84"/>
      <c r="CC251" s="84"/>
      <c r="CD251" s="84"/>
      <c r="CE251" s="84"/>
      <c r="CF251" s="84"/>
      <c r="CG251" s="84"/>
      <c r="CH251" s="84"/>
    </row>
    <row r="252" spans="1:86">
      <c r="A252" s="5" t="s">
        <v>14</v>
      </c>
      <c r="B252" s="546"/>
      <c r="C252" s="546"/>
      <c r="D252" s="546"/>
      <c r="E252" s="546"/>
      <c r="F252" s="546"/>
      <c r="G252" s="546"/>
      <c r="H252" s="546"/>
      <c r="I252" s="546"/>
      <c r="J252" s="546"/>
      <c r="K252" s="546"/>
      <c r="M252" s="141"/>
      <c r="N252" s="141"/>
      <c r="O252" s="141"/>
      <c r="P252" s="141"/>
      <c r="Q252" s="93"/>
      <c r="R252" s="93"/>
      <c r="S252" s="93"/>
      <c r="T252" s="93"/>
      <c r="U252" s="93"/>
    </row>
    <row r="253" spans="1:86">
      <c r="A253" s="5" t="s">
        <v>388</v>
      </c>
      <c r="B253" s="10"/>
      <c r="C253" s="10"/>
      <c r="E253" s="10"/>
      <c r="F253" s="10"/>
      <c r="G253" s="10"/>
    </row>
    <row r="254" spans="1:86" s="14" customFormat="1" ht="13.5" customHeight="1" thickBot="1">
      <c r="B254" s="35"/>
      <c r="C254" s="35"/>
      <c r="D254" s="35"/>
      <c r="E254" s="35"/>
      <c r="F254" s="35"/>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row>
    <row r="255" spans="1:86" s="93" customFormat="1" ht="13.5" customHeight="1" thickBot="1">
      <c r="B255" s="333" t="s">
        <v>16</v>
      </c>
      <c r="C255" s="108" t="s">
        <v>17</v>
      </c>
      <c r="D255" s="108" t="s">
        <v>18</v>
      </c>
      <c r="E255" s="108" t="s">
        <v>19</v>
      </c>
      <c r="F255" s="143" t="s">
        <v>94</v>
      </c>
      <c r="G255" s="334" t="s">
        <v>97</v>
      </c>
      <c r="H255" s="334" t="s">
        <v>98</v>
      </c>
      <c r="I255" s="334" t="s">
        <v>211</v>
      </c>
      <c r="J255" s="334" t="s">
        <v>212</v>
      </c>
      <c r="K255" s="335" t="s">
        <v>213</v>
      </c>
    </row>
    <row r="256" spans="1:86" s="93" customFormat="1" ht="13.5" customHeight="1">
      <c r="A256" s="92" t="s">
        <v>6</v>
      </c>
      <c r="B256" s="534">
        <f>B249/B$251</f>
        <v>0.87899407106760574</v>
      </c>
      <c r="C256" s="535">
        <f t="shared" ref="C256:K256" si="115">C249/C$251</f>
        <v>0.88400826446281</v>
      </c>
      <c r="D256" s="535">
        <f t="shared" si="115"/>
        <v>0.88899847943122512</v>
      </c>
      <c r="E256" s="535">
        <f t="shared" si="115"/>
        <v>0.89500728273183361</v>
      </c>
      <c r="F256" s="251">
        <f t="shared" si="115"/>
        <v>0.89998815025476964</v>
      </c>
      <c r="G256" s="535">
        <f t="shared" si="115"/>
        <v>0.90601576760262537</v>
      </c>
      <c r="H256" s="535">
        <f t="shared" si="115"/>
        <v>0.91200951248513673</v>
      </c>
      <c r="I256" s="535">
        <f t="shared" si="115"/>
        <v>0.91399152029073294</v>
      </c>
      <c r="J256" s="535">
        <f t="shared" si="115"/>
        <v>0.91598245416713531</v>
      </c>
      <c r="K256" s="251">
        <f t="shared" si="115"/>
        <v>0.91800310398344542</v>
      </c>
      <c r="N256" s="141"/>
      <c r="O256" s="141"/>
      <c r="P256" s="141"/>
      <c r="V256" s="82"/>
      <c r="W256" s="82"/>
      <c r="X256" s="82"/>
      <c r="Y256" s="82"/>
      <c r="Z256" s="82"/>
      <c r="AA256" s="82"/>
      <c r="AB256" s="82"/>
      <c r="AC256" s="82"/>
      <c r="AD256" s="82"/>
      <c r="AE256" s="82"/>
      <c r="AF256" s="82"/>
      <c r="AG256" s="82"/>
      <c r="AH256" s="82"/>
      <c r="AI256" s="82"/>
      <c r="AJ256" s="82"/>
      <c r="AK256" s="82"/>
      <c r="AL256" s="82"/>
      <c r="AM256" s="82"/>
      <c r="AN256" s="82"/>
      <c r="AO256" s="82"/>
      <c r="AP256" s="82"/>
      <c r="AQ256" s="82"/>
      <c r="AR256" s="82"/>
      <c r="AS256" s="82"/>
      <c r="AT256" s="82"/>
      <c r="AU256" s="82"/>
      <c r="AV256" s="82"/>
      <c r="AW256" s="82"/>
      <c r="AX256" s="82"/>
      <c r="AY256" s="82"/>
      <c r="AZ256" s="82"/>
      <c r="BA256" s="82"/>
      <c r="BB256" s="82"/>
      <c r="BC256" s="82"/>
      <c r="BD256" s="82"/>
      <c r="BE256" s="82"/>
      <c r="BF256" s="82"/>
      <c r="BG256" s="82"/>
      <c r="BH256" s="82"/>
      <c r="BI256" s="82"/>
      <c r="BJ256" s="82"/>
      <c r="BK256" s="82"/>
      <c r="BL256" s="82"/>
      <c r="BM256" s="82"/>
      <c r="BN256" s="82"/>
      <c r="BO256" s="82"/>
      <c r="BP256" s="82"/>
      <c r="BQ256" s="82"/>
      <c r="BR256" s="82"/>
      <c r="BS256" s="82"/>
      <c r="BT256" s="82"/>
      <c r="BU256" s="82"/>
      <c r="BV256" s="82"/>
      <c r="BW256" s="82"/>
      <c r="BX256" s="82"/>
      <c r="BY256" s="82"/>
      <c r="BZ256" s="82"/>
      <c r="CA256" s="82"/>
      <c r="CB256" s="82"/>
      <c r="CC256" s="82"/>
      <c r="CD256" s="82"/>
      <c r="CE256" s="82"/>
      <c r="CF256" s="82"/>
      <c r="CG256" s="82"/>
      <c r="CH256" s="82"/>
    </row>
    <row r="257" spans="1:86" s="93" customFormat="1" ht="13.5" customHeight="1">
      <c r="A257" s="97" t="s">
        <v>7</v>
      </c>
      <c r="B257" s="523">
        <f>B250/B$251</f>
        <v>0.12100592893239427</v>
      </c>
      <c r="C257" s="524">
        <f t="shared" ref="C257:K257" si="116">C250/C$251</f>
        <v>0.11599173553719008</v>
      </c>
      <c r="D257" s="524">
        <f t="shared" si="116"/>
        <v>0.11100152056877494</v>
      </c>
      <c r="E257" s="524">
        <f t="shared" si="116"/>
        <v>0.10499271726816638</v>
      </c>
      <c r="F257" s="250">
        <f t="shared" si="116"/>
        <v>0.10001184974523047</v>
      </c>
      <c r="G257" s="524">
        <f t="shared" si="116"/>
        <v>9.3984232397374648E-2</v>
      </c>
      <c r="H257" s="524">
        <f t="shared" si="116"/>
        <v>8.7990487514863269E-2</v>
      </c>
      <c r="I257" s="524">
        <f t="shared" si="116"/>
        <v>8.6008479709267116E-2</v>
      </c>
      <c r="J257" s="524">
        <f t="shared" si="116"/>
        <v>8.4017545832864707E-2</v>
      </c>
      <c r="K257" s="250">
        <f t="shared" si="116"/>
        <v>8.1996896016554577E-2</v>
      </c>
      <c r="N257" s="141"/>
      <c r="O257" s="141"/>
      <c r="P257" s="141"/>
      <c r="V257" s="82"/>
      <c r="W257" s="82"/>
      <c r="X257" s="82"/>
      <c r="Y257" s="82"/>
      <c r="Z257" s="82"/>
      <c r="AA257" s="82"/>
      <c r="AB257" s="82"/>
      <c r="AC257" s="82"/>
      <c r="AD257" s="82"/>
      <c r="AE257" s="82"/>
      <c r="AF257" s="82"/>
      <c r="AG257" s="82"/>
      <c r="AH257" s="82"/>
      <c r="AI257" s="82"/>
      <c r="AJ257" s="82"/>
      <c r="AK257" s="82"/>
      <c r="AL257" s="82"/>
      <c r="AM257" s="82"/>
      <c r="AN257" s="82"/>
      <c r="AO257" s="82"/>
      <c r="AP257" s="82"/>
      <c r="AQ257" s="82"/>
      <c r="AR257" s="82"/>
      <c r="AS257" s="82"/>
      <c r="AT257" s="82"/>
      <c r="AU257" s="82"/>
      <c r="AV257" s="82"/>
      <c r="AW257" s="82"/>
      <c r="AX257" s="82"/>
      <c r="AY257" s="82"/>
      <c r="AZ257" s="82"/>
      <c r="BA257" s="82"/>
      <c r="BB257" s="82"/>
      <c r="BC257" s="82"/>
      <c r="BD257" s="82"/>
      <c r="BE257" s="82"/>
      <c r="BF257" s="82"/>
      <c r="BG257" s="82"/>
      <c r="BH257" s="82"/>
      <c r="BI257" s="82"/>
      <c r="BJ257" s="82"/>
      <c r="BK257" s="82"/>
      <c r="BL257" s="82"/>
      <c r="BM257" s="82"/>
      <c r="BN257" s="82"/>
      <c r="BO257" s="82"/>
      <c r="BP257" s="82"/>
      <c r="BQ257" s="82"/>
      <c r="BR257" s="82"/>
      <c r="BS257" s="82"/>
      <c r="BT257" s="82"/>
      <c r="BU257" s="82"/>
      <c r="BV257" s="82"/>
      <c r="BW257" s="82"/>
      <c r="BX257" s="82"/>
      <c r="BY257" s="82"/>
      <c r="BZ257" s="82"/>
      <c r="CA257" s="82"/>
      <c r="CB257" s="82"/>
      <c r="CC257" s="82"/>
      <c r="CD257" s="82"/>
      <c r="CE257" s="82"/>
      <c r="CF257" s="82"/>
      <c r="CG257" s="82"/>
      <c r="CH257" s="82"/>
    </row>
    <row r="258" spans="1:86" s="93" customFormat="1" ht="13.5" customHeight="1" thickBot="1">
      <c r="A258" s="123" t="s">
        <v>3</v>
      </c>
      <c r="B258" s="147">
        <f t="shared" ref="B258:K258" si="117">SUM(B256:B257)</f>
        <v>1</v>
      </c>
      <c r="C258" s="148">
        <f t="shared" si="117"/>
        <v>1</v>
      </c>
      <c r="D258" s="148">
        <f t="shared" si="117"/>
        <v>1</v>
      </c>
      <c r="E258" s="148">
        <f t="shared" si="117"/>
        <v>1</v>
      </c>
      <c r="F258" s="149">
        <f t="shared" si="117"/>
        <v>1</v>
      </c>
      <c r="G258" s="148">
        <f t="shared" si="117"/>
        <v>1</v>
      </c>
      <c r="H258" s="148">
        <f t="shared" si="117"/>
        <v>1</v>
      </c>
      <c r="I258" s="148">
        <f t="shared" si="117"/>
        <v>1</v>
      </c>
      <c r="J258" s="148">
        <f t="shared" si="117"/>
        <v>1</v>
      </c>
      <c r="K258" s="149">
        <f t="shared" si="117"/>
        <v>1</v>
      </c>
      <c r="V258" s="82"/>
      <c r="W258" s="82"/>
      <c r="X258" s="82"/>
      <c r="Y258" s="82"/>
      <c r="Z258" s="82"/>
      <c r="AA258" s="82"/>
      <c r="AB258" s="82"/>
      <c r="AC258" s="82"/>
      <c r="AD258" s="82"/>
      <c r="AE258" s="82"/>
      <c r="AF258" s="82"/>
      <c r="AG258" s="82"/>
      <c r="AH258" s="82"/>
      <c r="AI258" s="82"/>
      <c r="AJ258" s="82"/>
      <c r="AK258" s="82"/>
      <c r="AL258" s="82"/>
      <c r="AM258" s="82"/>
      <c r="AN258" s="82"/>
      <c r="AO258" s="82"/>
      <c r="AP258" s="82"/>
      <c r="AQ258" s="82"/>
      <c r="AR258" s="82"/>
      <c r="AS258" s="82"/>
      <c r="AT258" s="82"/>
      <c r="AU258" s="82"/>
      <c r="AV258" s="82"/>
      <c r="AW258" s="82"/>
      <c r="AX258" s="82"/>
      <c r="AY258" s="82"/>
      <c r="AZ258" s="82"/>
      <c r="BA258" s="82"/>
      <c r="BB258" s="82"/>
      <c r="BC258" s="82"/>
      <c r="BD258" s="82"/>
      <c r="BE258" s="82"/>
      <c r="BF258" s="82"/>
      <c r="BG258" s="82"/>
      <c r="BH258" s="82"/>
      <c r="BI258" s="82"/>
      <c r="BJ258" s="82"/>
      <c r="BK258" s="82"/>
      <c r="BL258" s="82"/>
      <c r="BM258" s="82"/>
      <c r="BN258" s="82"/>
      <c r="BO258" s="82"/>
      <c r="BP258" s="82"/>
      <c r="BQ258" s="82"/>
      <c r="BR258" s="82"/>
      <c r="BS258" s="82"/>
      <c r="BT258" s="82"/>
      <c r="BU258" s="82"/>
      <c r="BV258" s="82"/>
      <c r="BW258" s="82"/>
      <c r="BX258" s="82"/>
      <c r="BY258" s="82"/>
      <c r="BZ258" s="82"/>
      <c r="CA258" s="82"/>
      <c r="CB258" s="82"/>
      <c r="CC258" s="82"/>
      <c r="CD258" s="82"/>
      <c r="CE258" s="82"/>
      <c r="CF258" s="82"/>
      <c r="CG258" s="82"/>
      <c r="CH258" s="82"/>
    </row>
    <row r="259" spans="1:86" s="14" customFormat="1">
      <c r="B259" s="35"/>
      <c r="C259" s="35"/>
      <c r="D259" s="35"/>
      <c r="E259" s="35"/>
      <c r="F259" s="35"/>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row>
    <row r="260" spans="1:86" s="21" customFormat="1" ht="14.25" thickBot="1">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row>
    <row r="262" spans="1:86">
      <c r="A262" s="32" t="s">
        <v>409</v>
      </c>
      <c r="B262" s="7" t="s">
        <v>342</v>
      </c>
    </row>
    <row r="263" spans="1:86" s="15" customFormat="1" ht="14.25" thickBot="1">
      <c r="G263" s="22"/>
      <c r="H263" s="22"/>
      <c r="I263" s="22"/>
      <c r="J263" s="22"/>
      <c r="K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row>
    <row r="264" spans="1:86" s="93" customFormat="1" ht="14.25" thickBot="1">
      <c r="B264" s="150" t="s">
        <v>86</v>
      </c>
      <c r="C264" s="151" t="s">
        <v>89</v>
      </c>
      <c r="D264" s="153"/>
      <c r="E264" s="167"/>
      <c r="F264" s="168"/>
      <c r="G264" s="168"/>
      <c r="H264" s="168"/>
      <c r="I264" s="168"/>
      <c r="J264" s="153"/>
      <c r="K264" s="168"/>
      <c r="L264" s="168"/>
      <c r="M264" s="168"/>
      <c r="N264" s="168"/>
      <c r="O264" s="168"/>
      <c r="P264" s="168"/>
      <c r="Q264" s="168"/>
      <c r="R264" s="168"/>
      <c r="S264" s="168"/>
      <c r="T264" s="82"/>
      <c r="U264" s="82"/>
      <c r="V264" s="82"/>
      <c r="W264" s="82"/>
      <c r="X264" s="82"/>
      <c r="Y264" s="82"/>
      <c r="Z264" s="82"/>
      <c r="AA264" s="82"/>
      <c r="AB264" s="82"/>
      <c r="AC264" s="82"/>
      <c r="AD264" s="82"/>
      <c r="AE264" s="82"/>
      <c r="AF264" s="82"/>
      <c r="AG264" s="82"/>
      <c r="AH264" s="82"/>
      <c r="AI264" s="82"/>
      <c r="AJ264" s="82"/>
      <c r="AK264" s="82"/>
      <c r="AL264" s="82"/>
      <c r="AM264" s="82"/>
      <c r="AN264" s="82"/>
      <c r="AO264" s="82"/>
      <c r="AP264" s="82"/>
      <c r="AQ264" s="82"/>
      <c r="AR264" s="82"/>
      <c r="AS264" s="82"/>
      <c r="AT264" s="82"/>
      <c r="AU264" s="82"/>
      <c r="AV264" s="82"/>
      <c r="AW264" s="82"/>
      <c r="AX264" s="82"/>
      <c r="AY264" s="82"/>
      <c r="AZ264" s="82"/>
      <c r="BA264" s="82"/>
      <c r="BB264" s="82"/>
      <c r="BC264" s="82"/>
      <c r="BD264" s="82"/>
      <c r="BE264" s="82"/>
      <c r="BF264" s="82"/>
      <c r="BG264" s="82"/>
      <c r="BH264" s="82"/>
      <c r="BI264" s="82"/>
      <c r="BJ264" s="82"/>
      <c r="BK264" s="82"/>
      <c r="BL264" s="82"/>
      <c r="BM264" s="82"/>
      <c r="BN264" s="82"/>
      <c r="BO264" s="82"/>
      <c r="BP264" s="82"/>
      <c r="BQ264" s="82"/>
      <c r="BR264" s="82"/>
      <c r="BS264" s="82"/>
      <c r="BT264" s="82"/>
      <c r="BU264" s="82"/>
      <c r="BV264" s="82"/>
      <c r="BW264" s="82"/>
      <c r="BX264" s="82"/>
      <c r="BY264" s="82"/>
      <c r="BZ264" s="82"/>
      <c r="CA264" s="82"/>
      <c r="CB264" s="82"/>
      <c r="CC264" s="82"/>
      <c r="CD264" s="82"/>
      <c r="CE264" s="82"/>
      <c r="CF264" s="82"/>
    </row>
    <row r="265" spans="1:86" s="93" customFormat="1">
      <c r="A265" s="92" t="s">
        <v>6</v>
      </c>
      <c r="B265" s="246">
        <v>94.6</v>
      </c>
      <c r="C265" s="251">
        <f>B265/B$267</f>
        <v>0.94035785288270379</v>
      </c>
      <c r="D265" s="169"/>
      <c r="E265" s="66"/>
      <c r="F265" s="129"/>
      <c r="G265" s="129"/>
      <c r="H265" s="129"/>
      <c r="I265" s="129"/>
      <c r="J265" s="153"/>
      <c r="K265" s="129"/>
      <c r="L265" s="129"/>
      <c r="M265" s="129"/>
      <c r="N265" s="129"/>
      <c r="O265" s="129"/>
      <c r="P265" s="170"/>
      <c r="Q265" s="170"/>
      <c r="R265" s="170"/>
      <c r="S265" s="170"/>
      <c r="T265" s="82"/>
      <c r="U265" s="82"/>
      <c r="V265" s="82"/>
      <c r="W265" s="82"/>
      <c r="X265" s="82"/>
      <c r="Y265" s="82"/>
      <c r="Z265" s="82"/>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c r="AW265" s="82"/>
      <c r="AX265" s="82"/>
      <c r="AY265" s="82"/>
      <c r="AZ265" s="82"/>
      <c r="BA265" s="82"/>
      <c r="BB265" s="82"/>
      <c r="BC265" s="82"/>
      <c r="BD265" s="82"/>
      <c r="BE265" s="82"/>
      <c r="BF265" s="82"/>
      <c r="BG265" s="82"/>
      <c r="BH265" s="82"/>
      <c r="BI265" s="82"/>
      <c r="BJ265" s="82"/>
      <c r="BK265" s="82"/>
      <c r="BL265" s="82"/>
      <c r="BM265" s="82"/>
      <c r="BN265" s="82"/>
      <c r="BO265" s="82"/>
      <c r="BP265" s="82"/>
      <c r="BQ265" s="82"/>
      <c r="BR265" s="82"/>
      <c r="BS265" s="82"/>
      <c r="BT265" s="82"/>
      <c r="BU265" s="82"/>
      <c r="BV265" s="82"/>
      <c r="BW265" s="82"/>
      <c r="BX265" s="82"/>
      <c r="BY265" s="82"/>
      <c r="BZ265" s="82"/>
      <c r="CA265" s="82"/>
      <c r="CB265" s="82"/>
      <c r="CC265" s="82"/>
      <c r="CD265" s="82"/>
      <c r="CE265" s="82"/>
      <c r="CF265" s="82"/>
    </row>
    <row r="266" spans="1:86" s="93" customFormat="1">
      <c r="A266" s="97" t="s">
        <v>7</v>
      </c>
      <c r="B266" s="247">
        <v>6</v>
      </c>
      <c r="C266" s="250">
        <f>B266/B$267</f>
        <v>5.9642147117296228E-2</v>
      </c>
      <c r="D266" s="169"/>
      <c r="E266" s="66"/>
      <c r="F266" s="129"/>
      <c r="G266" s="129"/>
      <c r="H266" s="129"/>
      <c r="I266" s="129"/>
      <c r="J266" s="153"/>
      <c r="K266" s="129"/>
      <c r="L266" s="129"/>
      <c r="M266" s="129"/>
      <c r="N266" s="129"/>
      <c r="O266" s="129"/>
      <c r="P266" s="170"/>
      <c r="Q266" s="170"/>
      <c r="R266" s="170"/>
      <c r="S266" s="170"/>
      <c r="T266" s="82"/>
      <c r="U266" s="82"/>
      <c r="V266" s="82"/>
      <c r="W266" s="82"/>
      <c r="X266" s="82"/>
      <c r="Y266" s="82"/>
      <c r="Z266" s="82"/>
      <c r="AA266" s="82"/>
      <c r="AB266" s="82"/>
      <c r="AC266" s="82"/>
      <c r="AD266" s="82"/>
      <c r="AE266" s="82"/>
      <c r="AF266" s="82"/>
      <c r="AG266" s="82"/>
      <c r="AH266" s="82"/>
      <c r="AI266" s="82"/>
      <c r="AJ266" s="82"/>
      <c r="AK266" s="82"/>
      <c r="AL266" s="82"/>
      <c r="AM266" s="82"/>
      <c r="AN266" s="82"/>
      <c r="AO266" s="82"/>
      <c r="AP266" s="82"/>
      <c r="AQ266" s="82"/>
      <c r="AR266" s="82"/>
      <c r="AS266" s="82"/>
      <c r="AT266" s="82"/>
      <c r="AU266" s="82"/>
      <c r="AV266" s="82"/>
      <c r="AW266" s="82"/>
      <c r="AX266" s="82"/>
      <c r="AY266" s="82"/>
      <c r="AZ266" s="82"/>
      <c r="BA266" s="82"/>
      <c r="BB266" s="82"/>
      <c r="BC266" s="82"/>
      <c r="BD266" s="82"/>
      <c r="BE266" s="82"/>
      <c r="BF266" s="82"/>
      <c r="BG266" s="82"/>
      <c r="BH266" s="82"/>
      <c r="BI266" s="82"/>
      <c r="BJ266" s="82"/>
      <c r="BK266" s="82"/>
      <c r="BL266" s="82"/>
      <c r="BM266" s="82"/>
      <c r="BN266" s="82"/>
      <c r="BO266" s="82"/>
      <c r="BP266" s="82"/>
      <c r="BQ266" s="82"/>
      <c r="BR266" s="82"/>
      <c r="BS266" s="82"/>
      <c r="BT266" s="82"/>
      <c r="BU266" s="82"/>
      <c r="BV266" s="82"/>
      <c r="BW266" s="82"/>
      <c r="BX266" s="82"/>
      <c r="BY266" s="82"/>
      <c r="BZ266" s="82"/>
      <c r="CA266" s="82"/>
      <c r="CB266" s="82"/>
      <c r="CC266" s="82"/>
      <c r="CD266" s="82"/>
      <c r="CE266" s="82"/>
      <c r="CF266" s="82"/>
    </row>
    <row r="267" spans="1:86" s="113" customFormat="1" thickBot="1">
      <c r="A267" s="123" t="s">
        <v>3</v>
      </c>
      <c r="B267" s="248">
        <f>SUM(B265:B266)</f>
        <v>100.6</v>
      </c>
      <c r="C267" s="252">
        <f>SUM(C265:C266)</f>
        <v>1</v>
      </c>
      <c r="D267" s="172"/>
      <c r="E267" s="75"/>
      <c r="F267" s="173"/>
      <c r="G267" s="173"/>
      <c r="H267" s="173"/>
      <c r="I267" s="173"/>
      <c r="J267" s="172"/>
      <c r="K267" s="173"/>
      <c r="L267" s="173"/>
      <c r="M267" s="173"/>
      <c r="N267" s="173"/>
      <c r="O267" s="173"/>
      <c r="P267" s="174"/>
      <c r="Q267" s="174"/>
      <c r="R267" s="174"/>
      <c r="S267" s="174"/>
      <c r="T267" s="84"/>
      <c r="U267" s="84"/>
      <c r="V267" s="84"/>
      <c r="W267" s="84"/>
      <c r="X267" s="84"/>
      <c r="Y267" s="84"/>
      <c r="Z267" s="84"/>
      <c r="AA267" s="84"/>
      <c r="AB267" s="84"/>
      <c r="AC267" s="84"/>
      <c r="AD267" s="84"/>
      <c r="AE267" s="84"/>
      <c r="AF267" s="84"/>
      <c r="AG267" s="84"/>
      <c r="AH267" s="84"/>
      <c r="AI267" s="84"/>
      <c r="AJ267" s="84"/>
      <c r="AK267" s="84"/>
      <c r="AL267" s="84"/>
      <c r="AM267" s="84"/>
      <c r="AN267" s="84"/>
      <c r="AO267" s="84"/>
      <c r="AP267" s="84"/>
      <c r="AQ267" s="84"/>
      <c r="AR267" s="84"/>
      <c r="AS267" s="84"/>
      <c r="AT267" s="84"/>
      <c r="AU267" s="84"/>
      <c r="AV267" s="84"/>
      <c r="AW267" s="84"/>
      <c r="AX267" s="84"/>
      <c r="AY267" s="84"/>
      <c r="AZ267" s="84"/>
      <c r="BA267" s="84"/>
      <c r="BB267" s="84"/>
      <c r="BC267" s="84"/>
      <c r="BD267" s="84"/>
      <c r="BE267" s="84"/>
      <c r="BF267" s="84"/>
      <c r="BG267" s="84"/>
      <c r="BH267" s="84"/>
      <c r="BI267" s="84"/>
      <c r="BJ267" s="84"/>
      <c r="BK267" s="84"/>
      <c r="BL267" s="84"/>
      <c r="BM267" s="84"/>
      <c r="BN267" s="84"/>
      <c r="BO267" s="84"/>
      <c r="BP267" s="84"/>
      <c r="BQ267" s="84"/>
      <c r="BR267" s="84"/>
      <c r="BS267" s="84"/>
      <c r="BT267" s="84"/>
      <c r="BU267" s="84"/>
      <c r="BV267" s="84"/>
      <c r="BW267" s="84"/>
      <c r="BX267" s="84"/>
      <c r="BY267" s="84"/>
      <c r="BZ267" s="84"/>
      <c r="CA267" s="84"/>
      <c r="CB267" s="84"/>
      <c r="CC267" s="84"/>
      <c r="CD267" s="84"/>
      <c r="CE267" s="84"/>
      <c r="CF267" s="84"/>
    </row>
    <row r="268" spans="1:86">
      <c r="A268" s="5" t="s">
        <v>172</v>
      </c>
      <c r="B268" s="306"/>
      <c r="C268" s="10"/>
      <c r="D268" s="10"/>
      <c r="E268" s="10"/>
      <c r="F268" s="10"/>
      <c r="G268" s="55"/>
      <c r="Q268" s="45"/>
      <c r="R268" s="45"/>
      <c r="S268" s="45"/>
      <c r="T268" s="45"/>
      <c r="U268" s="45"/>
    </row>
    <row r="269" spans="1:86">
      <c r="A269" s="5" t="s">
        <v>377</v>
      </c>
      <c r="B269" s="59"/>
      <c r="C269" s="10"/>
      <c r="D269" s="10"/>
      <c r="E269" s="10"/>
      <c r="F269" s="10"/>
      <c r="G269" s="55"/>
      <c r="H269" s="45"/>
      <c r="I269" s="45"/>
      <c r="J269" s="45"/>
      <c r="K269" s="45"/>
    </row>
    <row r="270" spans="1:86">
      <c r="G270" s="45"/>
      <c r="H270" s="45"/>
      <c r="I270" s="45"/>
      <c r="J270" s="45"/>
      <c r="K270" s="45"/>
    </row>
    <row r="271" spans="1:86" s="21" customFormat="1" ht="14.25" thickBot="1">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row>
    <row r="273" spans="1:86">
      <c r="A273" s="32" t="s">
        <v>411</v>
      </c>
      <c r="B273" s="7" t="s">
        <v>343</v>
      </c>
      <c r="C273" s="14"/>
    </row>
    <row r="274" spans="1:86" s="16" customFormat="1" ht="14.25" thickBot="1">
      <c r="C274" s="18"/>
      <c r="D274" s="18"/>
      <c r="E274" s="18"/>
      <c r="F274" s="18"/>
      <c r="G274" s="18"/>
      <c r="H274" s="18"/>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5"/>
      <c r="BE274" s="45"/>
      <c r="BF274" s="45"/>
      <c r="BG274" s="45"/>
      <c r="BH274" s="45"/>
      <c r="BI274" s="45"/>
      <c r="BJ274" s="45"/>
      <c r="BK274" s="45"/>
      <c r="BL274" s="45"/>
      <c r="BM274" s="45"/>
      <c r="BN274" s="45"/>
      <c r="BO274" s="45"/>
      <c r="BP274" s="45"/>
      <c r="BQ274" s="45"/>
      <c r="BR274" s="45"/>
      <c r="BS274" s="45"/>
      <c r="BT274" s="45"/>
      <c r="BU274" s="45"/>
      <c r="BV274" s="45"/>
      <c r="BW274" s="45"/>
      <c r="BX274" s="45"/>
      <c r="BY274" s="45"/>
      <c r="BZ274" s="45"/>
      <c r="CA274" s="45"/>
      <c r="CB274" s="45"/>
      <c r="CC274" s="45"/>
      <c r="CD274" s="45"/>
      <c r="CE274" s="45"/>
      <c r="CF274" s="45"/>
      <c r="CG274" s="45"/>
      <c r="CH274" s="45"/>
    </row>
    <row r="275" spans="1:86" s="93" customFormat="1" ht="14.25" thickBot="1">
      <c r="B275" s="150" t="s">
        <v>166</v>
      </c>
      <c r="C275" s="151" t="s">
        <v>89</v>
      </c>
      <c r="T275" s="82"/>
      <c r="U275" s="82"/>
      <c r="V275" s="82"/>
      <c r="W275" s="82"/>
      <c r="X275" s="82"/>
      <c r="Y275" s="82"/>
      <c r="Z275" s="82"/>
      <c r="AA275" s="82"/>
      <c r="AB275" s="82"/>
      <c r="AC275" s="82"/>
      <c r="AD275" s="82"/>
      <c r="AE275" s="82"/>
      <c r="AF275" s="82"/>
      <c r="AG275" s="82"/>
      <c r="AH275" s="82"/>
      <c r="AI275" s="82"/>
      <c r="AJ275" s="82"/>
      <c r="AK275" s="82"/>
      <c r="AL275" s="82"/>
      <c r="AM275" s="82"/>
      <c r="AN275" s="82"/>
      <c r="AO275" s="82"/>
      <c r="AP275" s="82"/>
      <c r="AQ275" s="82"/>
      <c r="AR275" s="82"/>
      <c r="AS275" s="82"/>
      <c r="AT275" s="82"/>
      <c r="AU275" s="82"/>
      <c r="AV275" s="82"/>
      <c r="AW275" s="82"/>
      <c r="AX275" s="82"/>
      <c r="AY275" s="82"/>
      <c r="AZ275" s="82"/>
      <c r="BA275" s="82"/>
      <c r="BB275" s="82"/>
      <c r="BC275" s="82"/>
      <c r="BD275" s="82"/>
      <c r="BE275" s="82"/>
      <c r="BF275" s="82"/>
      <c r="BG275" s="82"/>
      <c r="BH275" s="82"/>
      <c r="BI275" s="82"/>
      <c r="BJ275" s="82"/>
      <c r="BK275" s="82"/>
      <c r="BL275" s="82"/>
      <c r="BM275" s="82"/>
      <c r="BN275" s="82"/>
      <c r="BO275" s="82"/>
      <c r="BP275" s="82"/>
      <c r="BQ275" s="82"/>
      <c r="BR275" s="82"/>
      <c r="BS275" s="82"/>
      <c r="BT275" s="82"/>
      <c r="BU275" s="82"/>
      <c r="BV275" s="82"/>
      <c r="BW275" s="82"/>
      <c r="BX275" s="82"/>
      <c r="BY275" s="82"/>
      <c r="BZ275" s="82"/>
      <c r="CA275" s="82"/>
      <c r="CB275" s="82"/>
      <c r="CC275" s="82"/>
      <c r="CD275" s="82"/>
      <c r="CE275" s="82"/>
      <c r="CF275" s="82"/>
    </row>
    <row r="276" spans="1:86" s="93" customFormat="1">
      <c r="A276" s="92" t="s">
        <v>81</v>
      </c>
      <c r="B276" s="76">
        <v>1721.6</v>
      </c>
      <c r="C276" s="158">
        <f>B276/B$278</f>
        <v>0.68001737962633801</v>
      </c>
      <c r="T276" s="82"/>
      <c r="U276" s="82"/>
      <c r="V276" s="82"/>
      <c r="W276" s="82"/>
      <c r="X276" s="82"/>
      <c r="Y276" s="82"/>
      <c r="Z276" s="82"/>
      <c r="AA276" s="82"/>
      <c r="AB276" s="82"/>
      <c r="AC276" s="82"/>
      <c r="AD276" s="82"/>
      <c r="AE276" s="82"/>
      <c r="AF276" s="82"/>
      <c r="AG276" s="82"/>
      <c r="AH276" s="82"/>
      <c r="AI276" s="82"/>
      <c r="AJ276" s="82"/>
      <c r="AK276" s="82"/>
      <c r="AL276" s="82"/>
      <c r="AM276" s="82"/>
      <c r="AN276" s="82"/>
      <c r="AO276" s="82"/>
      <c r="AP276" s="82"/>
      <c r="AQ276" s="82"/>
      <c r="AR276" s="82"/>
      <c r="AS276" s="82"/>
      <c r="AT276" s="82"/>
      <c r="AU276" s="82"/>
      <c r="AV276" s="82"/>
      <c r="AW276" s="82"/>
      <c r="AX276" s="82"/>
      <c r="AY276" s="82"/>
      <c r="AZ276" s="82"/>
      <c r="BA276" s="82"/>
      <c r="BB276" s="82"/>
      <c r="BC276" s="82"/>
      <c r="BD276" s="82"/>
      <c r="BE276" s="82"/>
      <c r="BF276" s="82"/>
      <c r="BG276" s="82"/>
      <c r="BH276" s="82"/>
      <c r="BI276" s="82"/>
      <c r="BJ276" s="82"/>
      <c r="BK276" s="82"/>
      <c r="BL276" s="82"/>
      <c r="BM276" s="82"/>
      <c r="BN276" s="82"/>
      <c r="BO276" s="82"/>
      <c r="BP276" s="82"/>
      <c r="BQ276" s="82"/>
      <c r="BR276" s="82"/>
      <c r="BS276" s="82"/>
      <c r="BT276" s="82"/>
      <c r="BU276" s="82"/>
      <c r="BV276" s="82"/>
      <c r="BW276" s="82"/>
      <c r="BX276" s="82"/>
      <c r="BY276" s="82"/>
      <c r="BZ276" s="82"/>
      <c r="CA276" s="82"/>
      <c r="CB276" s="82"/>
      <c r="CC276" s="82"/>
      <c r="CD276" s="82"/>
      <c r="CE276" s="82"/>
      <c r="CF276" s="82"/>
    </row>
    <row r="277" spans="1:86" s="93" customFormat="1">
      <c r="A277" s="97" t="s">
        <v>82</v>
      </c>
      <c r="B277" s="76">
        <v>810.1</v>
      </c>
      <c r="C277" s="158">
        <f>B277/B$278</f>
        <v>0.31998262037366199</v>
      </c>
      <c r="T277" s="82"/>
      <c r="U277" s="82"/>
      <c r="V277" s="82"/>
      <c r="W277" s="82"/>
      <c r="X277" s="82"/>
      <c r="Y277" s="82"/>
      <c r="Z277" s="82"/>
      <c r="AA277" s="82"/>
      <c r="AB277" s="82"/>
      <c r="AC277" s="82"/>
      <c r="AD277" s="82"/>
      <c r="AE277" s="82"/>
      <c r="AF277" s="82"/>
      <c r="AG277" s="82"/>
      <c r="AH277" s="82"/>
      <c r="AI277" s="82"/>
      <c r="AJ277" s="82"/>
      <c r="AK277" s="82"/>
      <c r="AL277" s="82"/>
      <c r="AM277" s="82"/>
      <c r="AN277" s="82"/>
      <c r="AO277" s="82"/>
      <c r="AP277" s="82"/>
      <c r="AQ277" s="82"/>
      <c r="AR277" s="82"/>
      <c r="AS277" s="82"/>
      <c r="AT277" s="82"/>
      <c r="AU277" s="82"/>
      <c r="AV277" s="82"/>
      <c r="AW277" s="82"/>
      <c r="AX277" s="82"/>
      <c r="AY277" s="82"/>
      <c r="AZ277" s="82"/>
      <c r="BA277" s="82"/>
      <c r="BB277" s="82"/>
      <c r="BC277" s="82"/>
      <c r="BD277" s="82"/>
      <c r="BE277" s="82"/>
      <c r="BF277" s="82"/>
      <c r="BG277" s="82"/>
      <c r="BH277" s="82"/>
      <c r="BI277" s="82"/>
      <c r="BJ277" s="82"/>
      <c r="BK277" s="82"/>
      <c r="BL277" s="82"/>
      <c r="BM277" s="82"/>
      <c r="BN277" s="82"/>
      <c r="BO277" s="82"/>
      <c r="BP277" s="82"/>
      <c r="BQ277" s="82"/>
      <c r="BR277" s="82"/>
      <c r="BS277" s="82"/>
      <c r="BT277" s="82"/>
      <c r="BU277" s="82"/>
      <c r="BV277" s="82"/>
      <c r="BW277" s="82"/>
      <c r="BX277" s="82"/>
      <c r="BY277" s="82"/>
      <c r="BZ277" s="82"/>
      <c r="CA277" s="82"/>
      <c r="CB277" s="82"/>
      <c r="CC277" s="82"/>
      <c r="CD277" s="82"/>
      <c r="CE277" s="82"/>
      <c r="CF277" s="82"/>
    </row>
    <row r="278" spans="1:86" s="113" customFormat="1" thickBot="1">
      <c r="A278" s="123" t="s">
        <v>3</v>
      </c>
      <c r="B278" s="72">
        <f>SUM(B276:B277)</f>
        <v>2531.6999999999998</v>
      </c>
      <c r="C278" s="149">
        <f>SUM(C276:C277)</f>
        <v>1</v>
      </c>
      <c r="T278" s="84"/>
      <c r="U278" s="84"/>
      <c r="V278" s="84"/>
      <c r="W278" s="84"/>
      <c r="X278" s="84"/>
      <c r="Y278" s="84"/>
      <c r="Z278" s="84"/>
      <c r="AA278" s="84"/>
      <c r="AB278" s="84"/>
      <c r="AC278" s="84"/>
      <c r="AD278" s="84"/>
      <c r="AE278" s="84"/>
      <c r="AF278" s="84"/>
      <c r="AG278" s="84"/>
      <c r="AH278" s="84"/>
      <c r="AI278" s="84"/>
      <c r="AJ278" s="84"/>
      <c r="AK278" s="84"/>
      <c r="AL278" s="84"/>
      <c r="AM278" s="84"/>
      <c r="AN278" s="84"/>
      <c r="AO278" s="84"/>
      <c r="AP278" s="84"/>
      <c r="AQ278" s="84"/>
      <c r="AR278" s="84"/>
      <c r="AS278" s="84"/>
      <c r="AT278" s="84"/>
      <c r="AU278" s="84"/>
      <c r="AV278" s="84"/>
      <c r="AW278" s="84"/>
      <c r="AX278" s="84"/>
      <c r="AY278" s="84"/>
      <c r="AZ278" s="84"/>
      <c r="BA278" s="84"/>
      <c r="BB278" s="84"/>
      <c r="BC278" s="84"/>
      <c r="BD278" s="84"/>
      <c r="BE278" s="84"/>
      <c r="BF278" s="84"/>
      <c r="BG278" s="84"/>
      <c r="BH278" s="84"/>
      <c r="BI278" s="84"/>
      <c r="BJ278" s="84"/>
      <c r="BK278" s="84"/>
      <c r="BL278" s="84"/>
      <c r="BM278" s="84"/>
      <c r="BN278" s="84"/>
      <c r="BO278" s="84"/>
      <c r="BP278" s="84"/>
      <c r="BQ278" s="84"/>
      <c r="BR278" s="84"/>
      <c r="BS278" s="84"/>
      <c r="BT278" s="84"/>
      <c r="BU278" s="84"/>
      <c r="BV278" s="84"/>
      <c r="BW278" s="84"/>
      <c r="BX278" s="84"/>
      <c r="BY278" s="84"/>
      <c r="BZ278" s="84"/>
      <c r="CA278" s="84"/>
      <c r="CB278" s="84"/>
      <c r="CC278" s="84"/>
      <c r="CD278" s="84"/>
      <c r="CE278" s="84"/>
      <c r="CF278" s="84"/>
    </row>
    <row r="279" spans="1:86" s="6" customFormat="1" ht="12.75" customHeight="1">
      <c r="A279" s="5" t="s">
        <v>96</v>
      </c>
      <c r="B279" s="546"/>
      <c r="C279" s="5"/>
      <c r="D279" s="5"/>
      <c r="E279" s="5"/>
      <c r="F279" s="5"/>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row>
    <row r="280" spans="1:86" s="6" customFormat="1" ht="12.75" customHeight="1">
      <c r="A280" s="5" t="s">
        <v>377</v>
      </c>
      <c r="B280" s="59"/>
      <c r="C280" s="5"/>
      <c r="D280" s="5"/>
      <c r="E280" s="5"/>
      <c r="F280" s="5"/>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c r="BY280" s="52"/>
      <c r="BZ280" s="52"/>
      <c r="CA280" s="52"/>
      <c r="CB280" s="52"/>
      <c r="CC280" s="52"/>
      <c r="CD280" s="52"/>
      <c r="CE280" s="52"/>
      <c r="CF280" s="52"/>
      <c r="CG280" s="52"/>
      <c r="CH280" s="52"/>
    </row>
    <row r="281" spans="1:86" s="14" customFormat="1">
      <c r="B281" s="35"/>
      <c r="C281" s="35"/>
      <c r="D281" s="35"/>
      <c r="E281" s="35"/>
      <c r="F281" s="35"/>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c r="BO281" s="32"/>
      <c r="BP281" s="32"/>
      <c r="BQ281" s="32"/>
      <c r="BR281" s="32"/>
      <c r="BS281" s="32"/>
      <c r="BT281" s="32"/>
      <c r="BU281" s="32"/>
      <c r="BV281" s="32"/>
      <c r="BW281" s="32"/>
      <c r="BX281" s="32"/>
      <c r="BY281" s="32"/>
      <c r="BZ281" s="32"/>
      <c r="CA281" s="32"/>
      <c r="CB281" s="32"/>
      <c r="CC281" s="32"/>
      <c r="CD281" s="32"/>
      <c r="CE281" s="32"/>
      <c r="CF281" s="32"/>
      <c r="CG281" s="32"/>
      <c r="CH281" s="32"/>
    </row>
    <row r="282" spans="1:86" s="21" customFormat="1" ht="14.25" thickBot="1">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row>
    <row r="284" spans="1:86">
      <c r="A284" s="32" t="s">
        <v>412</v>
      </c>
      <c r="B284" s="7" t="s">
        <v>344</v>
      </c>
      <c r="C284" s="14"/>
    </row>
    <row r="285" spans="1:86" s="16" customFormat="1" ht="14.25" thickBot="1">
      <c r="C285" s="18"/>
      <c r="D285" s="18"/>
      <c r="E285" s="18"/>
      <c r="F285" s="18"/>
      <c r="G285" s="18"/>
      <c r="H285" s="18"/>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c r="AY285" s="45"/>
      <c r="AZ285" s="45"/>
      <c r="BA285" s="45"/>
      <c r="BB285" s="45"/>
      <c r="BC285" s="45"/>
      <c r="BD285" s="45"/>
      <c r="BE285" s="45"/>
      <c r="BF285" s="45"/>
      <c r="BG285" s="45"/>
      <c r="BH285" s="45"/>
      <c r="BI285" s="45"/>
      <c r="BJ285" s="45"/>
      <c r="BK285" s="45"/>
      <c r="BL285" s="45"/>
      <c r="BM285" s="45"/>
      <c r="BN285" s="45"/>
      <c r="BO285" s="45"/>
      <c r="BP285" s="45"/>
      <c r="BQ285" s="45"/>
      <c r="BR285" s="45"/>
      <c r="BS285" s="45"/>
      <c r="BT285" s="45"/>
      <c r="BU285" s="45"/>
      <c r="BV285" s="45"/>
      <c r="BW285" s="45"/>
      <c r="BX285" s="45"/>
      <c r="BY285" s="45"/>
      <c r="BZ285" s="45"/>
      <c r="CA285" s="45"/>
      <c r="CB285" s="45"/>
      <c r="CC285" s="45"/>
      <c r="CD285" s="45"/>
      <c r="CE285" s="45"/>
      <c r="CF285" s="45"/>
      <c r="CG285" s="45"/>
      <c r="CH285" s="45"/>
    </row>
    <row r="286" spans="1:86" s="93" customFormat="1" ht="14.25" thickBot="1">
      <c r="B286" s="150" t="s">
        <v>86</v>
      </c>
      <c r="C286" s="151" t="s">
        <v>89</v>
      </c>
      <c r="T286" s="82"/>
      <c r="U286" s="82"/>
      <c r="V286" s="82"/>
      <c r="W286" s="82"/>
      <c r="X286" s="82"/>
      <c r="Y286" s="82"/>
      <c r="Z286" s="82"/>
      <c r="AA286" s="82"/>
      <c r="AB286" s="82"/>
      <c r="AC286" s="82"/>
      <c r="AD286" s="82"/>
      <c r="AE286" s="82"/>
      <c r="AF286" s="82"/>
      <c r="AG286" s="82"/>
      <c r="AH286" s="82"/>
      <c r="AI286" s="82"/>
      <c r="AJ286" s="82"/>
      <c r="AK286" s="82"/>
      <c r="AL286" s="82"/>
      <c r="AM286" s="82"/>
      <c r="AN286" s="82"/>
      <c r="AO286" s="82"/>
      <c r="AP286" s="82"/>
      <c r="AQ286" s="82"/>
      <c r="AR286" s="82"/>
      <c r="AS286" s="82"/>
      <c r="AT286" s="82"/>
      <c r="AU286" s="82"/>
      <c r="AV286" s="82"/>
      <c r="AW286" s="82"/>
      <c r="AX286" s="82"/>
      <c r="AY286" s="82"/>
      <c r="AZ286" s="82"/>
      <c r="BA286" s="82"/>
      <c r="BB286" s="82"/>
      <c r="BC286" s="82"/>
      <c r="BD286" s="82"/>
      <c r="BE286" s="82"/>
      <c r="BF286" s="82"/>
      <c r="BG286" s="82"/>
      <c r="BH286" s="82"/>
      <c r="BI286" s="82"/>
      <c r="BJ286" s="82"/>
      <c r="BK286" s="82"/>
      <c r="BL286" s="82"/>
      <c r="BM286" s="82"/>
      <c r="BN286" s="82"/>
      <c r="BO286" s="82"/>
      <c r="BP286" s="82"/>
      <c r="BQ286" s="82"/>
      <c r="BR286" s="82"/>
      <c r="BS286" s="82"/>
      <c r="BT286" s="82"/>
      <c r="BU286" s="82"/>
      <c r="BV286" s="82"/>
      <c r="BW286" s="82"/>
      <c r="BX286" s="82"/>
      <c r="BY286" s="82"/>
      <c r="BZ286" s="82"/>
      <c r="CA286" s="82"/>
      <c r="CB286" s="82"/>
      <c r="CC286" s="82"/>
      <c r="CD286" s="82"/>
      <c r="CE286" s="82"/>
      <c r="CF286" s="82"/>
    </row>
    <row r="287" spans="1:86" s="93" customFormat="1">
      <c r="A287" s="92" t="s">
        <v>81</v>
      </c>
      <c r="B287" s="247">
        <v>62.4</v>
      </c>
      <c r="C287" s="253">
        <f>B287/B$289</f>
        <v>0.62027833001988075</v>
      </c>
      <c r="T287" s="82"/>
      <c r="U287" s="82"/>
      <c r="V287" s="82"/>
      <c r="W287" s="82"/>
      <c r="X287" s="82"/>
      <c r="Y287" s="82"/>
      <c r="Z287" s="82"/>
      <c r="AA287" s="82"/>
      <c r="AB287" s="82"/>
      <c r="AC287" s="82"/>
      <c r="AD287" s="82"/>
      <c r="AE287" s="82"/>
      <c r="AF287" s="82"/>
      <c r="AG287" s="82"/>
      <c r="AH287" s="82"/>
      <c r="AI287" s="82"/>
      <c r="AJ287" s="82"/>
      <c r="AK287" s="82"/>
      <c r="AL287" s="82"/>
      <c r="AM287" s="82"/>
      <c r="AN287" s="82"/>
      <c r="AO287" s="82"/>
      <c r="AP287" s="82"/>
      <c r="AQ287" s="82"/>
      <c r="AR287" s="82"/>
      <c r="AS287" s="82"/>
      <c r="AT287" s="82"/>
      <c r="AU287" s="82"/>
      <c r="AV287" s="82"/>
      <c r="AW287" s="82"/>
      <c r="AX287" s="82"/>
      <c r="AY287" s="82"/>
      <c r="AZ287" s="82"/>
      <c r="BA287" s="82"/>
      <c r="BB287" s="82"/>
      <c r="BC287" s="82"/>
      <c r="BD287" s="82"/>
      <c r="BE287" s="82"/>
      <c r="BF287" s="82"/>
      <c r="BG287" s="82"/>
      <c r="BH287" s="82"/>
      <c r="BI287" s="82"/>
      <c r="BJ287" s="82"/>
      <c r="BK287" s="82"/>
      <c r="BL287" s="82"/>
      <c r="BM287" s="82"/>
      <c r="BN287" s="82"/>
      <c r="BO287" s="82"/>
      <c r="BP287" s="82"/>
      <c r="BQ287" s="82"/>
      <c r="BR287" s="82"/>
      <c r="BS287" s="82"/>
      <c r="BT287" s="82"/>
      <c r="BU287" s="82"/>
      <c r="BV287" s="82"/>
      <c r="BW287" s="82"/>
      <c r="BX287" s="82"/>
      <c r="BY287" s="82"/>
      <c r="BZ287" s="82"/>
      <c r="CA287" s="82"/>
      <c r="CB287" s="82"/>
      <c r="CC287" s="82"/>
      <c r="CD287" s="82"/>
      <c r="CE287" s="82"/>
      <c r="CF287" s="82"/>
    </row>
    <row r="288" spans="1:86" s="93" customFormat="1">
      <c r="A288" s="97" t="s">
        <v>82</v>
      </c>
      <c r="B288" s="247">
        <v>38.200000000000003</v>
      </c>
      <c r="C288" s="253">
        <f>B288/B$289</f>
        <v>0.37972166998011936</v>
      </c>
      <c r="T288" s="82"/>
      <c r="U288" s="82"/>
      <c r="V288" s="82"/>
      <c r="W288" s="82"/>
      <c r="X288" s="82"/>
      <c r="Y288" s="82"/>
      <c r="Z288" s="82"/>
      <c r="AA288" s="82"/>
      <c r="AB288" s="82"/>
      <c r="AC288" s="82"/>
      <c r="AD288" s="82"/>
      <c r="AE288" s="82"/>
      <c r="AF288" s="82"/>
      <c r="AG288" s="82"/>
      <c r="AH288" s="82"/>
      <c r="AI288" s="82"/>
      <c r="AJ288" s="82"/>
      <c r="AK288" s="82"/>
      <c r="AL288" s="82"/>
      <c r="AM288" s="82"/>
      <c r="AN288" s="82"/>
      <c r="AO288" s="82"/>
      <c r="AP288" s="82"/>
      <c r="AQ288" s="82"/>
      <c r="AR288" s="82"/>
      <c r="AS288" s="82"/>
      <c r="AT288" s="82"/>
      <c r="AU288" s="82"/>
      <c r="AV288" s="82"/>
      <c r="AW288" s="82"/>
      <c r="AX288" s="82"/>
      <c r="AY288" s="82"/>
      <c r="AZ288" s="82"/>
      <c r="BA288" s="82"/>
      <c r="BB288" s="82"/>
      <c r="BC288" s="82"/>
      <c r="BD288" s="82"/>
      <c r="BE288" s="82"/>
      <c r="BF288" s="82"/>
      <c r="BG288" s="82"/>
      <c r="BH288" s="82"/>
      <c r="BI288" s="82"/>
      <c r="BJ288" s="82"/>
      <c r="BK288" s="82"/>
      <c r="BL288" s="82"/>
      <c r="BM288" s="82"/>
      <c r="BN288" s="82"/>
      <c r="BO288" s="82"/>
      <c r="BP288" s="82"/>
      <c r="BQ288" s="82"/>
      <c r="BR288" s="82"/>
      <c r="BS288" s="82"/>
      <c r="BT288" s="82"/>
      <c r="BU288" s="82"/>
      <c r="BV288" s="82"/>
      <c r="BW288" s="82"/>
      <c r="BX288" s="82"/>
      <c r="BY288" s="82"/>
      <c r="BZ288" s="82"/>
      <c r="CA288" s="82"/>
      <c r="CB288" s="82"/>
      <c r="CC288" s="82"/>
      <c r="CD288" s="82"/>
      <c r="CE288" s="82"/>
      <c r="CF288" s="82"/>
    </row>
    <row r="289" spans="1:86" s="113" customFormat="1" thickBot="1">
      <c r="A289" s="123" t="s">
        <v>3</v>
      </c>
      <c r="B289" s="249">
        <f>SUM(B287:B288)</f>
        <v>100.6</v>
      </c>
      <c r="C289" s="252">
        <f>SUM(C287:C288)</f>
        <v>1</v>
      </c>
      <c r="T289" s="84"/>
      <c r="U289" s="84"/>
      <c r="V289" s="84"/>
      <c r="W289" s="84"/>
      <c r="X289" s="84"/>
      <c r="Y289" s="84"/>
      <c r="Z289" s="84"/>
      <c r="AA289" s="84"/>
      <c r="AB289" s="84"/>
      <c r="AC289" s="84"/>
      <c r="AD289" s="84"/>
      <c r="AE289" s="84"/>
      <c r="AF289" s="84"/>
      <c r="AG289" s="84"/>
      <c r="AH289" s="84"/>
      <c r="AI289" s="84"/>
      <c r="AJ289" s="84"/>
      <c r="AK289" s="84"/>
      <c r="AL289" s="84"/>
      <c r="AM289" s="84"/>
      <c r="AN289" s="84"/>
      <c r="AO289" s="84"/>
      <c r="AP289" s="84"/>
      <c r="AQ289" s="84"/>
      <c r="AR289" s="84"/>
      <c r="AS289" s="84"/>
      <c r="AT289" s="84"/>
      <c r="AU289" s="84"/>
      <c r="AV289" s="84"/>
      <c r="AW289" s="84"/>
      <c r="AX289" s="84"/>
      <c r="AY289" s="84"/>
      <c r="AZ289" s="84"/>
      <c r="BA289" s="84"/>
      <c r="BB289" s="84"/>
      <c r="BC289" s="84"/>
      <c r="BD289" s="84"/>
      <c r="BE289" s="84"/>
      <c r="BF289" s="84"/>
      <c r="BG289" s="84"/>
      <c r="BH289" s="84"/>
      <c r="BI289" s="84"/>
      <c r="BJ289" s="84"/>
      <c r="BK289" s="84"/>
      <c r="BL289" s="84"/>
      <c r="BM289" s="84"/>
      <c r="BN289" s="84"/>
      <c r="BO289" s="84"/>
      <c r="BP289" s="84"/>
      <c r="BQ289" s="84"/>
      <c r="BR289" s="84"/>
      <c r="BS289" s="84"/>
      <c r="BT289" s="84"/>
      <c r="BU289" s="84"/>
      <c r="BV289" s="84"/>
      <c r="BW289" s="84"/>
      <c r="BX289" s="84"/>
      <c r="BY289" s="84"/>
      <c r="BZ289" s="84"/>
      <c r="CA289" s="84"/>
      <c r="CB289" s="84"/>
      <c r="CC289" s="84"/>
      <c r="CD289" s="84"/>
      <c r="CE289" s="84"/>
      <c r="CF289" s="84"/>
    </row>
    <row r="290" spans="1:86" s="6" customFormat="1" ht="12.75" customHeight="1">
      <c r="A290" s="5" t="s">
        <v>172</v>
      </c>
      <c r="B290" s="546"/>
      <c r="C290" s="5"/>
      <c r="D290" s="5"/>
      <c r="E290" s="5"/>
      <c r="F290" s="5"/>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row>
    <row r="291" spans="1:86" s="6" customFormat="1" ht="12.75" customHeight="1">
      <c r="A291" s="5" t="s">
        <v>377</v>
      </c>
      <c r="B291" s="59"/>
      <c r="C291" s="5"/>
      <c r="D291" s="5"/>
      <c r="E291" s="5"/>
      <c r="F291" s="5"/>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row>
    <row r="292" spans="1:86" s="14" customFormat="1">
      <c r="B292" s="35"/>
      <c r="C292" s="35"/>
      <c r="D292" s="35"/>
      <c r="E292" s="35"/>
      <c r="F292" s="35"/>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c r="BO292" s="32"/>
      <c r="BP292" s="32"/>
      <c r="BQ292" s="32"/>
      <c r="BR292" s="32"/>
      <c r="BS292" s="32"/>
      <c r="BT292" s="32"/>
      <c r="BU292" s="32"/>
      <c r="BV292" s="32"/>
      <c r="BW292" s="32"/>
      <c r="BX292" s="32"/>
      <c r="BY292" s="32"/>
      <c r="BZ292" s="32"/>
      <c r="CA292" s="32"/>
      <c r="CB292" s="32"/>
      <c r="CC292" s="32"/>
      <c r="CD292" s="32"/>
      <c r="CE292" s="32"/>
      <c r="CF292" s="32"/>
      <c r="CG292" s="32"/>
      <c r="CH292" s="32"/>
    </row>
    <row r="293" spans="1:86" s="21" customFormat="1" ht="14.25" thickBot="1">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row>
    <row r="295" spans="1:86">
      <c r="A295" s="32" t="s">
        <v>413</v>
      </c>
      <c r="B295" s="7" t="s">
        <v>218</v>
      </c>
    </row>
    <row r="296" spans="1:86" s="16" customFormat="1" ht="14.25" thickBot="1">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5"/>
      <c r="BY296" s="45"/>
      <c r="BZ296" s="45"/>
      <c r="CA296" s="45"/>
      <c r="CB296" s="45"/>
      <c r="CC296" s="45"/>
      <c r="CD296" s="45"/>
      <c r="CE296" s="45"/>
      <c r="CF296" s="45"/>
      <c r="CG296" s="45"/>
      <c r="CH296" s="45"/>
    </row>
    <row r="297" spans="1:86" s="93" customFormat="1" ht="14.25" thickBot="1">
      <c r="B297" s="150" t="s">
        <v>166</v>
      </c>
      <c r="C297" s="151" t="s">
        <v>89</v>
      </c>
      <c r="D297" s="153"/>
      <c r="E297" s="153"/>
      <c r="F297" s="153"/>
      <c r="G297" s="167"/>
      <c r="H297" s="168"/>
      <c r="I297" s="168"/>
      <c r="J297" s="168"/>
      <c r="K297" s="168"/>
      <c r="L297" s="153"/>
      <c r="M297" s="168"/>
      <c r="N297" s="168"/>
      <c r="O297" s="168"/>
      <c r="P297" s="168"/>
      <c r="Q297" s="168"/>
      <c r="R297" s="168"/>
      <c r="S297" s="168"/>
      <c r="T297" s="168"/>
      <c r="U297" s="168"/>
      <c r="V297" s="82"/>
      <c r="W297" s="82"/>
      <c r="X297" s="82"/>
      <c r="Y297" s="82"/>
      <c r="Z297" s="82"/>
      <c r="AA297" s="82"/>
      <c r="AB297" s="82"/>
      <c r="AC297" s="82"/>
      <c r="AD297" s="82"/>
      <c r="AE297" s="82"/>
      <c r="AF297" s="82"/>
      <c r="AG297" s="82"/>
      <c r="AH297" s="82"/>
      <c r="AI297" s="82"/>
      <c r="AJ297" s="82"/>
      <c r="AK297" s="82"/>
      <c r="AL297" s="82"/>
      <c r="AM297" s="82"/>
      <c r="AN297" s="82"/>
      <c r="AO297" s="82"/>
      <c r="AP297" s="82"/>
      <c r="AQ297" s="82"/>
      <c r="AR297" s="82"/>
      <c r="AS297" s="82"/>
      <c r="AT297" s="82"/>
      <c r="AU297" s="82"/>
      <c r="AV297" s="82"/>
      <c r="AW297" s="82"/>
      <c r="AX297" s="82"/>
      <c r="AY297" s="82"/>
      <c r="AZ297" s="82"/>
      <c r="BA297" s="82"/>
      <c r="BB297" s="82"/>
      <c r="BC297" s="82"/>
      <c r="BD297" s="82"/>
      <c r="BE297" s="82"/>
      <c r="BF297" s="82"/>
      <c r="BG297" s="82"/>
      <c r="BH297" s="82"/>
      <c r="BI297" s="82"/>
      <c r="BJ297" s="82"/>
      <c r="BK297" s="82"/>
      <c r="BL297" s="82"/>
      <c r="BM297" s="82"/>
      <c r="BN297" s="82"/>
      <c r="BO297" s="82"/>
      <c r="BP297" s="82"/>
      <c r="BQ297" s="82"/>
      <c r="BR297" s="82"/>
      <c r="BS297" s="82"/>
      <c r="BT297" s="82"/>
      <c r="BU297" s="82"/>
      <c r="BV297" s="82"/>
      <c r="BW297" s="82"/>
      <c r="BX297" s="82"/>
      <c r="BY297" s="82"/>
      <c r="BZ297" s="82"/>
      <c r="CA297" s="82"/>
      <c r="CB297" s="82"/>
      <c r="CC297" s="82"/>
      <c r="CD297" s="82"/>
      <c r="CE297" s="82"/>
      <c r="CF297" s="82"/>
      <c r="CG297" s="82"/>
      <c r="CH297" s="82"/>
    </row>
    <row r="298" spans="1:86" s="93" customFormat="1">
      <c r="A298" s="92" t="s">
        <v>345</v>
      </c>
      <c r="B298" s="76">
        <v>1215.3</v>
      </c>
      <c r="C298" s="171">
        <f>B298/B$301</f>
        <v>0.48003317928664535</v>
      </c>
      <c r="D298" s="175"/>
      <c r="E298" s="175"/>
      <c r="F298" s="175"/>
      <c r="G298" s="66"/>
      <c r="H298" s="170"/>
      <c r="I298" s="170"/>
      <c r="J298" s="170"/>
      <c r="K298" s="170"/>
      <c r="L298" s="153"/>
      <c r="M298" s="129"/>
      <c r="N298" s="129"/>
      <c r="O298" s="129"/>
      <c r="P298" s="129"/>
      <c r="Q298" s="129"/>
      <c r="R298" s="170"/>
      <c r="S298" s="170"/>
      <c r="T298" s="170"/>
      <c r="U298" s="170"/>
      <c r="V298" s="82"/>
      <c r="W298" s="82"/>
      <c r="X298" s="82"/>
      <c r="Y298" s="82"/>
      <c r="Z298" s="82"/>
      <c r="AA298" s="82"/>
      <c r="AB298" s="82"/>
      <c r="AC298" s="82"/>
      <c r="AD298" s="82"/>
      <c r="AE298" s="82"/>
      <c r="AF298" s="82"/>
      <c r="AG298" s="82"/>
      <c r="AH298" s="82"/>
      <c r="AI298" s="82"/>
      <c r="AJ298" s="82"/>
      <c r="AK298" s="82"/>
      <c r="AL298" s="82"/>
      <c r="AM298" s="82"/>
      <c r="AN298" s="82"/>
      <c r="AO298" s="82"/>
      <c r="AP298" s="82"/>
      <c r="AQ298" s="82"/>
      <c r="AR298" s="82"/>
      <c r="AS298" s="82"/>
      <c r="AT298" s="82"/>
      <c r="AU298" s="82"/>
      <c r="AV298" s="82"/>
      <c r="AW298" s="82"/>
      <c r="AX298" s="82"/>
      <c r="AY298" s="82"/>
      <c r="AZ298" s="82"/>
      <c r="BA298" s="82"/>
      <c r="BB298" s="82"/>
      <c r="BC298" s="82"/>
      <c r="BD298" s="82"/>
      <c r="BE298" s="82"/>
      <c r="BF298" s="82"/>
      <c r="BG298" s="82"/>
      <c r="BH298" s="82"/>
      <c r="BI298" s="82"/>
      <c r="BJ298" s="82"/>
      <c r="BK298" s="82"/>
      <c r="BL298" s="82"/>
      <c r="BM298" s="82"/>
      <c r="BN298" s="82"/>
      <c r="BO298" s="82"/>
      <c r="BP298" s="82"/>
      <c r="BQ298" s="82"/>
      <c r="BR298" s="82"/>
      <c r="BS298" s="82"/>
      <c r="BT298" s="82"/>
      <c r="BU298" s="82"/>
      <c r="BV298" s="82"/>
      <c r="BW298" s="82"/>
      <c r="BX298" s="82"/>
      <c r="BY298" s="82"/>
      <c r="BZ298" s="82"/>
      <c r="CA298" s="82"/>
      <c r="CB298" s="82"/>
      <c r="CC298" s="82"/>
      <c r="CD298" s="82"/>
      <c r="CE298" s="82"/>
      <c r="CF298" s="82"/>
      <c r="CG298" s="82"/>
      <c r="CH298" s="82"/>
    </row>
    <row r="299" spans="1:86" s="93" customFormat="1">
      <c r="A299" s="97" t="s">
        <v>70</v>
      </c>
      <c r="B299" s="76">
        <v>936.7</v>
      </c>
      <c r="C299" s="171">
        <f t="shared" ref="C299:C300" si="118">B299/B$301</f>
        <v>0.36998854524627722</v>
      </c>
      <c r="D299" s="175"/>
      <c r="E299" s="175"/>
      <c r="F299" s="175"/>
      <c r="G299" s="66"/>
      <c r="H299" s="170"/>
      <c r="I299" s="170"/>
      <c r="J299" s="170"/>
      <c r="K299" s="170"/>
      <c r="L299" s="153"/>
      <c r="M299" s="129"/>
      <c r="N299" s="129"/>
      <c r="O299" s="129"/>
      <c r="P299" s="129"/>
      <c r="Q299" s="129"/>
      <c r="R299" s="170"/>
      <c r="S299" s="170"/>
      <c r="T299" s="170"/>
      <c r="U299" s="170"/>
      <c r="V299" s="82"/>
      <c r="W299" s="82"/>
      <c r="X299" s="82"/>
      <c r="Y299" s="82"/>
      <c r="Z299" s="82"/>
      <c r="AA299" s="82"/>
      <c r="AB299" s="82"/>
      <c r="AC299" s="82"/>
      <c r="AD299" s="82"/>
      <c r="AE299" s="82"/>
      <c r="AF299" s="82"/>
      <c r="AG299" s="82"/>
      <c r="AH299" s="82"/>
      <c r="AI299" s="82"/>
      <c r="AJ299" s="82"/>
      <c r="AK299" s="82"/>
      <c r="AL299" s="82"/>
      <c r="AM299" s="82"/>
      <c r="AN299" s="82"/>
      <c r="AO299" s="82"/>
      <c r="AP299" s="82"/>
      <c r="AQ299" s="82"/>
      <c r="AR299" s="82"/>
      <c r="AS299" s="82"/>
      <c r="AT299" s="82"/>
      <c r="AU299" s="82"/>
      <c r="AV299" s="82"/>
      <c r="AW299" s="82"/>
      <c r="AX299" s="82"/>
      <c r="AY299" s="82"/>
      <c r="AZ299" s="82"/>
      <c r="BA299" s="82"/>
      <c r="BB299" s="82"/>
      <c r="BC299" s="82"/>
      <c r="BD299" s="82"/>
      <c r="BE299" s="82"/>
      <c r="BF299" s="82"/>
      <c r="BG299" s="82"/>
      <c r="BH299" s="82"/>
      <c r="BI299" s="82"/>
      <c r="BJ299" s="82"/>
      <c r="BK299" s="82"/>
      <c r="BL299" s="82"/>
      <c r="BM299" s="82"/>
      <c r="BN299" s="82"/>
      <c r="BO299" s="82"/>
      <c r="BP299" s="82"/>
      <c r="BQ299" s="82"/>
      <c r="BR299" s="82"/>
      <c r="BS299" s="82"/>
      <c r="BT299" s="82"/>
      <c r="BU299" s="82"/>
      <c r="BV299" s="82"/>
      <c r="BW299" s="82"/>
      <c r="BX299" s="82"/>
      <c r="BY299" s="82"/>
      <c r="BZ299" s="82"/>
      <c r="CA299" s="82"/>
      <c r="CB299" s="82"/>
      <c r="CC299" s="82"/>
      <c r="CD299" s="82"/>
      <c r="CE299" s="82"/>
      <c r="CF299" s="82"/>
      <c r="CG299" s="82"/>
      <c r="CH299" s="82"/>
    </row>
    <row r="300" spans="1:86" s="93" customFormat="1">
      <c r="A300" s="97" t="s">
        <v>77</v>
      </c>
      <c r="B300" s="76">
        <v>379.7</v>
      </c>
      <c r="C300" s="171">
        <f t="shared" si="118"/>
        <v>0.14997827546707745</v>
      </c>
      <c r="D300" s="175"/>
      <c r="E300" s="175"/>
      <c r="F300" s="175"/>
      <c r="G300" s="66"/>
      <c r="H300" s="170"/>
      <c r="I300" s="170"/>
      <c r="J300" s="170"/>
      <c r="K300" s="170"/>
      <c r="L300" s="153"/>
      <c r="M300" s="129"/>
      <c r="N300" s="129"/>
      <c r="O300" s="129"/>
      <c r="P300" s="129"/>
      <c r="Q300" s="129"/>
      <c r="R300" s="170"/>
      <c r="S300" s="170"/>
      <c r="T300" s="170"/>
      <c r="U300" s="170"/>
      <c r="V300" s="82"/>
      <c r="W300" s="82"/>
      <c r="X300" s="82"/>
      <c r="Y300" s="82"/>
      <c r="Z300" s="82"/>
      <c r="AA300" s="82"/>
      <c r="AB300" s="82"/>
      <c r="AC300" s="82"/>
      <c r="AD300" s="82"/>
      <c r="AE300" s="82"/>
      <c r="AF300" s="82"/>
      <c r="AG300" s="82"/>
      <c r="AH300" s="82"/>
      <c r="AI300" s="82"/>
      <c r="AJ300" s="82"/>
      <c r="AK300" s="82"/>
      <c r="AL300" s="82"/>
      <c r="AM300" s="82"/>
      <c r="AN300" s="82"/>
      <c r="AO300" s="82"/>
      <c r="AP300" s="82"/>
      <c r="AQ300" s="82"/>
      <c r="AR300" s="82"/>
      <c r="AS300" s="82"/>
      <c r="AT300" s="82"/>
      <c r="AU300" s="82"/>
      <c r="AV300" s="82"/>
      <c r="AW300" s="82"/>
      <c r="AX300" s="82"/>
      <c r="AY300" s="82"/>
      <c r="AZ300" s="82"/>
      <c r="BA300" s="82"/>
      <c r="BB300" s="82"/>
      <c r="BC300" s="82"/>
      <c r="BD300" s="82"/>
      <c r="BE300" s="82"/>
      <c r="BF300" s="82"/>
      <c r="BG300" s="82"/>
      <c r="BH300" s="82"/>
      <c r="BI300" s="82"/>
      <c r="BJ300" s="82"/>
      <c r="BK300" s="82"/>
      <c r="BL300" s="82"/>
      <c r="BM300" s="82"/>
      <c r="BN300" s="82"/>
      <c r="BO300" s="82"/>
      <c r="BP300" s="82"/>
      <c r="BQ300" s="82"/>
      <c r="BR300" s="82"/>
      <c r="BS300" s="82"/>
      <c r="BT300" s="82"/>
      <c r="BU300" s="82"/>
      <c r="BV300" s="82"/>
      <c r="BW300" s="82"/>
      <c r="BX300" s="82"/>
      <c r="BY300" s="82"/>
      <c r="BZ300" s="82"/>
      <c r="CA300" s="82"/>
      <c r="CB300" s="82"/>
      <c r="CC300" s="82"/>
      <c r="CD300" s="82"/>
      <c r="CE300" s="82"/>
      <c r="CF300" s="82"/>
      <c r="CG300" s="82"/>
      <c r="CH300" s="82"/>
    </row>
    <row r="301" spans="1:86" s="113" customFormat="1" thickBot="1">
      <c r="A301" s="123" t="s">
        <v>3</v>
      </c>
      <c r="B301" s="68">
        <f>SUM(B298:B300)</f>
        <v>2531.6999999999998</v>
      </c>
      <c r="C301" s="149">
        <f>SUM(C298:C300)</f>
        <v>1</v>
      </c>
      <c r="D301" s="172"/>
      <c r="E301" s="172"/>
      <c r="F301" s="172"/>
      <c r="G301" s="75"/>
      <c r="H301" s="174"/>
      <c r="I301" s="174"/>
      <c r="J301" s="174"/>
      <c r="K301" s="174"/>
      <c r="L301" s="172"/>
      <c r="M301" s="173"/>
      <c r="N301" s="173"/>
      <c r="O301" s="173"/>
      <c r="P301" s="173"/>
      <c r="Q301" s="173"/>
      <c r="R301" s="174"/>
      <c r="S301" s="174"/>
      <c r="T301" s="174"/>
      <c r="U301" s="174"/>
      <c r="V301" s="84"/>
      <c r="W301" s="84"/>
      <c r="X301" s="84"/>
      <c r="Y301" s="84"/>
      <c r="Z301" s="84"/>
      <c r="AA301" s="84"/>
      <c r="AB301" s="84"/>
      <c r="AC301" s="84"/>
      <c r="AD301" s="84"/>
      <c r="AE301" s="84"/>
      <c r="AF301" s="84"/>
      <c r="AG301" s="84"/>
      <c r="AH301" s="84"/>
      <c r="AI301" s="84"/>
      <c r="AJ301" s="84"/>
      <c r="AK301" s="84"/>
      <c r="AL301" s="84"/>
      <c r="AM301" s="84"/>
      <c r="AN301" s="84"/>
      <c r="AO301" s="84"/>
      <c r="AP301" s="84"/>
      <c r="AQ301" s="84"/>
      <c r="AR301" s="84"/>
      <c r="AS301" s="84"/>
      <c r="AT301" s="84"/>
      <c r="AU301" s="84"/>
      <c r="AV301" s="84"/>
      <c r="AW301" s="84"/>
      <c r="AX301" s="84"/>
      <c r="AY301" s="84"/>
      <c r="AZ301" s="84"/>
      <c r="BA301" s="84"/>
      <c r="BB301" s="84"/>
      <c r="BC301" s="84"/>
      <c r="BD301" s="84"/>
      <c r="BE301" s="84"/>
      <c r="BF301" s="84"/>
      <c r="BG301" s="84"/>
      <c r="BH301" s="84"/>
      <c r="BI301" s="84"/>
      <c r="BJ301" s="84"/>
      <c r="BK301" s="84"/>
      <c r="BL301" s="84"/>
      <c r="BM301" s="84"/>
      <c r="BN301" s="84"/>
      <c r="BO301" s="84"/>
      <c r="BP301" s="84"/>
      <c r="BQ301" s="84"/>
      <c r="BR301" s="84"/>
      <c r="BS301" s="84"/>
      <c r="BT301" s="84"/>
      <c r="BU301" s="84"/>
      <c r="BV301" s="84"/>
      <c r="BW301" s="84"/>
      <c r="BX301" s="84"/>
      <c r="BY301" s="84"/>
      <c r="BZ301" s="84"/>
      <c r="CA301" s="84"/>
      <c r="CB301" s="84"/>
      <c r="CC301" s="84"/>
      <c r="CD301" s="84"/>
      <c r="CE301" s="84"/>
      <c r="CF301" s="84"/>
      <c r="CG301" s="84"/>
      <c r="CH301" s="84"/>
    </row>
    <row r="302" spans="1:86">
      <c r="A302" s="5" t="s">
        <v>96</v>
      </c>
      <c r="B302" s="546"/>
      <c r="C302" s="10"/>
      <c r="D302" s="10"/>
      <c r="E302" s="10"/>
      <c r="F302" s="10"/>
      <c r="G302" s="55"/>
      <c r="H302" s="45"/>
      <c r="I302" s="45"/>
      <c r="J302" s="45"/>
      <c r="K302" s="45"/>
      <c r="Q302" s="45"/>
      <c r="R302" s="45"/>
      <c r="S302" s="45"/>
      <c r="T302" s="45"/>
      <c r="U302" s="45"/>
    </row>
    <row r="303" spans="1:86" ht="13.5" customHeight="1">
      <c r="A303" s="5" t="s">
        <v>422</v>
      </c>
      <c r="B303" s="547"/>
      <c r="C303" s="10"/>
      <c r="D303" s="55"/>
      <c r="E303" s="55"/>
      <c r="F303" s="55"/>
      <c r="G303" s="55"/>
      <c r="H303" s="45"/>
      <c r="I303" s="45"/>
      <c r="J303" s="45"/>
      <c r="K303" s="45"/>
      <c r="L303" s="45"/>
      <c r="M303" s="45"/>
      <c r="N303" s="45"/>
      <c r="O303" s="45"/>
      <c r="P303" s="45"/>
      <c r="Q303" s="45"/>
      <c r="R303" s="45"/>
      <c r="S303" s="45"/>
      <c r="T303" s="45"/>
      <c r="U303" s="45"/>
    </row>
    <row r="304" spans="1:86">
      <c r="A304" s="5" t="s">
        <v>377</v>
      </c>
      <c r="B304" s="59"/>
      <c r="C304" s="10"/>
      <c r="D304" s="10"/>
      <c r="E304" s="10"/>
      <c r="F304" s="10"/>
      <c r="G304" s="55"/>
      <c r="H304" s="45"/>
      <c r="I304" s="45"/>
      <c r="J304" s="45"/>
      <c r="K304" s="45"/>
      <c r="Q304" s="45"/>
      <c r="R304" s="45"/>
      <c r="S304" s="45"/>
      <c r="T304" s="45"/>
      <c r="U304" s="45"/>
    </row>
    <row r="305" spans="1:86">
      <c r="G305" s="45"/>
      <c r="H305" s="45"/>
      <c r="I305" s="45"/>
      <c r="J305" s="45"/>
      <c r="K305" s="45"/>
    </row>
    <row r="306" spans="1:86" s="21" customFormat="1" ht="14.25" thickBot="1">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row>
    <row r="308" spans="1:86">
      <c r="A308" s="32" t="s">
        <v>414</v>
      </c>
      <c r="B308" s="7" t="s">
        <v>346</v>
      </c>
    </row>
    <row r="309" spans="1:86" ht="14.25" thickBot="1">
      <c r="B309" s="10"/>
      <c r="C309" s="10"/>
      <c r="D309" s="10"/>
      <c r="E309" s="10"/>
    </row>
    <row r="310" spans="1:86" s="93" customFormat="1" ht="14.25" thickBot="1">
      <c r="B310" s="150" t="s">
        <v>166</v>
      </c>
      <c r="C310" s="151" t="s">
        <v>89</v>
      </c>
      <c r="T310" s="82"/>
      <c r="U310" s="82"/>
      <c r="V310" s="82"/>
      <c r="W310" s="82"/>
      <c r="X310" s="82"/>
      <c r="Y310" s="82"/>
      <c r="Z310" s="82"/>
      <c r="AA310" s="82"/>
      <c r="AB310" s="82"/>
      <c r="AC310" s="82"/>
      <c r="AD310" s="82"/>
      <c r="AE310" s="82"/>
      <c r="AF310" s="82"/>
      <c r="AG310" s="82"/>
      <c r="AH310" s="82"/>
      <c r="AI310" s="82"/>
      <c r="AJ310" s="82"/>
      <c r="AK310" s="82"/>
      <c r="AL310" s="82"/>
      <c r="AM310" s="82"/>
      <c r="AN310" s="82"/>
      <c r="AO310" s="82"/>
      <c r="AP310" s="82"/>
      <c r="AQ310" s="82"/>
      <c r="AR310" s="82"/>
      <c r="AS310" s="82"/>
      <c r="AT310" s="82"/>
      <c r="AU310" s="82"/>
      <c r="AV310" s="82"/>
      <c r="AW310" s="82"/>
      <c r="AX310" s="82"/>
      <c r="AY310" s="82"/>
      <c r="AZ310" s="82"/>
      <c r="BA310" s="82"/>
      <c r="BB310" s="82"/>
      <c r="BC310" s="82"/>
      <c r="BD310" s="82"/>
      <c r="BE310" s="82"/>
      <c r="BF310" s="82"/>
      <c r="BG310" s="82"/>
      <c r="BH310" s="82"/>
      <c r="BI310" s="82"/>
      <c r="BJ310" s="82"/>
      <c r="BK310" s="82"/>
      <c r="BL310" s="82"/>
      <c r="BM310" s="82"/>
      <c r="BN310" s="82"/>
      <c r="BO310" s="82"/>
      <c r="BP310" s="82"/>
      <c r="BQ310" s="82"/>
      <c r="BR310" s="82"/>
      <c r="BS310" s="82"/>
      <c r="BT310" s="82"/>
      <c r="BU310" s="82"/>
      <c r="BV310" s="82"/>
      <c r="BW310" s="82"/>
      <c r="BX310" s="82"/>
      <c r="BY310" s="82"/>
      <c r="BZ310" s="82"/>
      <c r="CA310" s="82"/>
      <c r="CB310" s="82"/>
      <c r="CC310" s="82"/>
      <c r="CD310" s="82"/>
      <c r="CE310" s="82"/>
      <c r="CF310" s="82"/>
    </row>
    <row r="311" spans="1:86" s="93" customFormat="1">
      <c r="A311" s="92" t="s">
        <v>9</v>
      </c>
      <c r="B311" s="76">
        <v>1215.3</v>
      </c>
      <c r="C311" s="158">
        <f>B311/B$314</f>
        <v>0.48003317928664535</v>
      </c>
      <c r="T311" s="82"/>
      <c r="U311" s="82"/>
      <c r="V311" s="82"/>
      <c r="W311" s="82"/>
      <c r="X311" s="82"/>
      <c r="Y311" s="82"/>
      <c r="Z311" s="82"/>
      <c r="AA311" s="82"/>
      <c r="AB311" s="82"/>
      <c r="AC311" s="82"/>
      <c r="AD311" s="82"/>
      <c r="AE311" s="82"/>
      <c r="AF311" s="82"/>
      <c r="AG311" s="82"/>
      <c r="AH311" s="82"/>
      <c r="AI311" s="82"/>
      <c r="AJ311" s="82"/>
      <c r="AK311" s="82"/>
      <c r="AL311" s="82"/>
      <c r="AM311" s="82"/>
      <c r="AN311" s="82"/>
      <c r="AO311" s="82"/>
      <c r="AP311" s="82"/>
      <c r="AQ311" s="82"/>
      <c r="AR311" s="82"/>
      <c r="AS311" s="82"/>
      <c r="AT311" s="82"/>
      <c r="AU311" s="82"/>
      <c r="AV311" s="82"/>
      <c r="AW311" s="82"/>
      <c r="AX311" s="82"/>
      <c r="AY311" s="82"/>
      <c r="AZ311" s="82"/>
      <c r="BA311" s="82"/>
      <c r="BB311" s="82"/>
      <c r="BC311" s="82"/>
      <c r="BD311" s="82"/>
      <c r="BE311" s="82"/>
      <c r="BF311" s="82"/>
      <c r="BG311" s="82"/>
      <c r="BH311" s="82"/>
      <c r="BI311" s="82"/>
      <c r="BJ311" s="82"/>
      <c r="BK311" s="82"/>
      <c r="BL311" s="82"/>
      <c r="BM311" s="82"/>
      <c r="BN311" s="82"/>
      <c r="BO311" s="82"/>
      <c r="BP311" s="82"/>
      <c r="BQ311" s="82"/>
      <c r="BR311" s="82"/>
      <c r="BS311" s="82"/>
      <c r="BT311" s="82"/>
      <c r="BU311" s="82"/>
      <c r="BV311" s="82"/>
      <c r="BW311" s="82"/>
      <c r="BX311" s="82"/>
      <c r="BY311" s="82"/>
      <c r="BZ311" s="82"/>
      <c r="CA311" s="82"/>
      <c r="CB311" s="82"/>
      <c r="CC311" s="82"/>
      <c r="CD311" s="82"/>
      <c r="CE311" s="82"/>
      <c r="CF311" s="82"/>
    </row>
    <row r="312" spans="1:86" s="93" customFormat="1">
      <c r="A312" s="97" t="s">
        <v>8</v>
      </c>
      <c r="B312" s="76">
        <v>987.3</v>
      </c>
      <c r="C312" s="158">
        <f t="shared" ref="C312:C313" si="119">B312/B$314</f>
        <v>0.38997511553501601</v>
      </c>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BM312" s="82"/>
      <c r="BN312" s="82"/>
      <c r="BO312" s="82"/>
      <c r="BP312" s="82"/>
      <c r="BQ312" s="82"/>
      <c r="BR312" s="82"/>
      <c r="BS312" s="82"/>
      <c r="BT312" s="82"/>
      <c r="BU312" s="82"/>
      <c r="BV312" s="82"/>
      <c r="BW312" s="82"/>
      <c r="BX312" s="82"/>
      <c r="BY312" s="82"/>
      <c r="BZ312" s="82"/>
      <c r="CA312" s="82"/>
      <c r="CB312" s="82"/>
      <c r="CC312" s="82"/>
      <c r="CD312" s="82"/>
      <c r="CE312" s="82"/>
      <c r="CF312" s="82"/>
    </row>
    <row r="313" spans="1:86" s="93" customFormat="1">
      <c r="A313" s="97" t="s">
        <v>10</v>
      </c>
      <c r="B313" s="76">
        <v>329.1</v>
      </c>
      <c r="C313" s="158">
        <f t="shared" si="119"/>
        <v>0.12999170517833869</v>
      </c>
      <c r="T313" s="82"/>
      <c r="U313" s="82"/>
      <c r="V313" s="82"/>
      <c r="W313" s="82"/>
      <c r="X313" s="82"/>
      <c r="Y313" s="82"/>
      <c r="Z313" s="82"/>
      <c r="AA313" s="82"/>
      <c r="AB313" s="82"/>
      <c r="AC313" s="82"/>
      <c r="AD313" s="82"/>
      <c r="AE313" s="82"/>
      <c r="AF313" s="82"/>
      <c r="AG313" s="82"/>
      <c r="AH313" s="82"/>
      <c r="AI313" s="82"/>
      <c r="AJ313" s="82"/>
      <c r="AK313" s="82"/>
      <c r="AL313" s="82"/>
      <c r="AM313" s="82"/>
      <c r="AN313" s="82"/>
      <c r="AO313" s="82"/>
      <c r="AP313" s="82"/>
      <c r="AQ313" s="82"/>
      <c r="AR313" s="82"/>
      <c r="AS313" s="82"/>
      <c r="AT313" s="82"/>
      <c r="AU313" s="82"/>
      <c r="AV313" s="82"/>
      <c r="AW313" s="82"/>
      <c r="AX313" s="82"/>
      <c r="AY313" s="82"/>
      <c r="AZ313" s="82"/>
      <c r="BA313" s="82"/>
      <c r="BB313" s="82"/>
      <c r="BC313" s="82"/>
      <c r="BD313" s="82"/>
      <c r="BE313" s="82"/>
      <c r="BF313" s="82"/>
      <c r="BG313" s="82"/>
      <c r="BH313" s="82"/>
      <c r="BI313" s="82"/>
      <c r="BJ313" s="82"/>
      <c r="BK313" s="82"/>
      <c r="BL313" s="82"/>
      <c r="BM313" s="82"/>
      <c r="BN313" s="82"/>
      <c r="BO313" s="82"/>
      <c r="BP313" s="82"/>
      <c r="BQ313" s="82"/>
      <c r="BR313" s="82"/>
      <c r="BS313" s="82"/>
      <c r="BT313" s="82"/>
      <c r="BU313" s="82"/>
      <c r="BV313" s="82"/>
      <c r="BW313" s="82"/>
      <c r="BX313" s="82"/>
      <c r="BY313" s="82"/>
      <c r="BZ313" s="82"/>
      <c r="CA313" s="82"/>
      <c r="CB313" s="82"/>
      <c r="CC313" s="82"/>
      <c r="CD313" s="82"/>
      <c r="CE313" s="82"/>
      <c r="CF313" s="82"/>
    </row>
    <row r="314" spans="1:86" s="113" customFormat="1" thickBot="1">
      <c r="A314" s="123" t="s">
        <v>3</v>
      </c>
      <c r="B314" s="72">
        <f>SUM(B311:B313)</f>
        <v>2531.6999999999998</v>
      </c>
      <c r="C314" s="149">
        <f>SUM(C311:C313)</f>
        <v>1</v>
      </c>
      <c r="T314" s="84"/>
      <c r="U314" s="84"/>
      <c r="V314" s="84"/>
      <c r="W314" s="84"/>
      <c r="X314" s="84"/>
      <c r="Y314" s="84"/>
      <c r="Z314" s="84"/>
      <c r="AA314" s="84"/>
      <c r="AB314" s="84"/>
      <c r="AC314" s="84"/>
      <c r="AD314" s="84"/>
      <c r="AE314" s="84"/>
      <c r="AF314" s="84"/>
      <c r="AG314" s="84"/>
      <c r="AH314" s="84"/>
      <c r="AI314" s="84"/>
      <c r="AJ314" s="84"/>
      <c r="AK314" s="84"/>
      <c r="AL314" s="84"/>
      <c r="AM314" s="84"/>
      <c r="AN314" s="84"/>
      <c r="AO314" s="84"/>
      <c r="AP314" s="84"/>
      <c r="AQ314" s="84"/>
      <c r="AR314" s="84"/>
      <c r="AS314" s="84"/>
      <c r="AT314" s="84"/>
      <c r="AU314" s="84"/>
      <c r="AV314" s="84"/>
      <c r="AW314" s="84"/>
      <c r="AX314" s="84"/>
      <c r="AY314" s="84"/>
      <c r="AZ314" s="84"/>
      <c r="BA314" s="84"/>
      <c r="BB314" s="84"/>
      <c r="BC314" s="84"/>
      <c r="BD314" s="84"/>
      <c r="BE314" s="84"/>
      <c r="BF314" s="84"/>
      <c r="BG314" s="84"/>
      <c r="BH314" s="84"/>
      <c r="BI314" s="84"/>
      <c r="BJ314" s="84"/>
      <c r="BK314" s="84"/>
      <c r="BL314" s="84"/>
      <c r="BM314" s="84"/>
      <c r="BN314" s="84"/>
      <c r="BO314" s="84"/>
      <c r="BP314" s="84"/>
      <c r="BQ314" s="84"/>
      <c r="BR314" s="84"/>
      <c r="BS314" s="84"/>
      <c r="BT314" s="84"/>
      <c r="BU314" s="84"/>
      <c r="BV314" s="84"/>
      <c r="BW314" s="84"/>
      <c r="BX314" s="84"/>
      <c r="BY314" s="84"/>
      <c r="BZ314" s="84"/>
      <c r="CA314" s="84"/>
      <c r="CB314" s="84"/>
      <c r="CC314" s="84"/>
      <c r="CD314" s="84"/>
      <c r="CE314" s="84"/>
      <c r="CF314" s="84"/>
    </row>
    <row r="315" spans="1:86" s="6" customFormat="1" ht="13.5" customHeight="1">
      <c r="A315" s="5" t="s">
        <v>96</v>
      </c>
      <c r="B315" s="546"/>
      <c r="C315" s="5"/>
      <c r="D315" s="5"/>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c r="BY315" s="52"/>
      <c r="BZ315" s="52"/>
      <c r="CA315" s="52"/>
      <c r="CB315" s="52"/>
      <c r="CC315" s="52"/>
      <c r="CD315" s="52"/>
      <c r="CE315" s="52"/>
      <c r="CF315" s="52"/>
      <c r="CG315" s="52"/>
      <c r="CH315" s="52"/>
    </row>
    <row r="316" spans="1:86" s="6" customFormat="1" ht="13.5" customHeight="1">
      <c r="A316" s="5" t="s">
        <v>377</v>
      </c>
      <c r="B316" s="59"/>
      <c r="C316" s="5"/>
      <c r="D316" s="5"/>
      <c r="E316" s="5"/>
      <c r="F316" s="5"/>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row>
    <row r="317" spans="1:86" ht="13.5" customHeight="1"/>
    <row r="319" spans="1:86" s="17" customFormat="1" ht="22.5" customHeight="1">
      <c r="A319" s="260" t="s">
        <v>171</v>
      </c>
      <c r="B319" s="261"/>
      <c r="C319" s="261"/>
      <c r="D319" s="261"/>
      <c r="E319" s="261"/>
      <c r="F319" s="261"/>
      <c r="G319" s="261"/>
      <c r="H319" s="261"/>
      <c r="I319" s="261"/>
      <c r="J319" s="261"/>
      <c r="K319" s="261"/>
      <c r="L319" s="261"/>
      <c r="M319" s="261"/>
      <c r="N319" s="261"/>
      <c r="O319" s="261"/>
      <c r="P319" s="261"/>
      <c r="Q319" s="261"/>
      <c r="R319" s="261"/>
      <c r="S319" s="261"/>
      <c r="T319" s="261"/>
      <c r="U319" s="261"/>
    </row>
    <row r="321" spans="1:86" s="14" customFormat="1">
      <c r="A321" s="32" t="s">
        <v>415</v>
      </c>
      <c r="B321" s="7" t="s">
        <v>347</v>
      </c>
      <c r="J321" s="15"/>
      <c r="K321" s="15"/>
      <c r="L321" s="15"/>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c r="BK321" s="32"/>
      <c r="BL321" s="32"/>
      <c r="BM321" s="32"/>
      <c r="BN321" s="32"/>
      <c r="BO321" s="32"/>
      <c r="BP321" s="32"/>
      <c r="BQ321" s="32"/>
      <c r="BR321" s="32"/>
      <c r="BS321" s="32"/>
      <c r="BT321" s="32"/>
      <c r="BU321" s="32"/>
      <c r="BV321" s="32"/>
      <c r="BW321" s="32"/>
      <c r="BX321" s="32"/>
      <c r="BY321" s="32"/>
      <c r="BZ321" s="32"/>
      <c r="CA321" s="32"/>
      <c r="CB321" s="32"/>
      <c r="CC321" s="32"/>
      <c r="CD321" s="32"/>
      <c r="CE321" s="32"/>
      <c r="CF321" s="32"/>
      <c r="CG321" s="32"/>
      <c r="CH321" s="32"/>
    </row>
    <row r="322" spans="1:86" s="16" customFormat="1" ht="14.25" thickBot="1">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c r="AY322" s="45"/>
      <c r="AZ322" s="45"/>
      <c r="BA322" s="45"/>
      <c r="BB322" s="45"/>
      <c r="BC322" s="45"/>
      <c r="BD322" s="45"/>
      <c r="BE322" s="45"/>
      <c r="BF322" s="45"/>
      <c r="BG322" s="45"/>
      <c r="BH322" s="45"/>
      <c r="BI322" s="45"/>
      <c r="BJ322" s="45"/>
      <c r="BK322" s="45"/>
      <c r="BL322" s="45"/>
      <c r="BM322" s="45"/>
      <c r="BN322" s="45"/>
      <c r="BO322" s="45"/>
      <c r="BP322" s="45"/>
      <c r="BQ322" s="45"/>
      <c r="BR322" s="45"/>
      <c r="BS322" s="45"/>
      <c r="BT322" s="45"/>
      <c r="BU322" s="45"/>
      <c r="BV322" s="45"/>
      <c r="BW322" s="45"/>
      <c r="BX322" s="45"/>
      <c r="BY322" s="45"/>
      <c r="BZ322" s="45"/>
      <c r="CA322" s="45"/>
      <c r="CB322" s="45"/>
      <c r="CC322" s="45"/>
      <c r="CD322" s="45"/>
      <c r="CE322" s="45"/>
      <c r="CF322" s="45"/>
      <c r="CG322" s="45"/>
      <c r="CH322" s="45"/>
    </row>
    <row r="323" spans="1:86" s="93" customFormat="1" ht="13.5" customHeight="1" thickBot="1">
      <c r="B323" s="189">
        <v>2013</v>
      </c>
      <c r="C323" s="190">
        <v>2014</v>
      </c>
      <c r="D323" s="190">
        <v>2015</v>
      </c>
      <c r="E323" s="190">
        <v>2016</v>
      </c>
      <c r="F323" s="143">
        <v>2017</v>
      </c>
      <c r="G323" s="242">
        <v>2018</v>
      </c>
      <c r="H323" s="242">
        <v>2019</v>
      </c>
      <c r="I323" s="242">
        <v>2020</v>
      </c>
      <c r="J323" s="242">
        <v>2021</v>
      </c>
      <c r="K323" s="243">
        <v>2022</v>
      </c>
      <c r="M323" s="333" t="s">
        <v>11</v>
      </c>
      <c r="N323" s="108" t="s">
        <v>12</v>
      </c>
      <c r="O323" s="108" t="s">
        <v>13</v>
      </c>
      <c r="P323" s="143" t="s">
        <v>95</v>
      </c>
      <c r="Q323" s="334" t="s">
        <v>99</v>
      </c>
      <c r="R323" s="334" t="s">
        <v>100</v>
      </c>
      <c r="S323" s="334" t="s">
        <v>208</v>
      </c>
      <c r="T323" s="334" t="s">
        <v>209</v>
      </c>
      <c r="U323" s="335" t="s">
        <v>210</v>
      </c>
    </row>
    <row r="324" spans="1:86" s="93" customFormat="1">
      <c r="A324" s="92" t="s">
        <v>166</v>
      </c>
      <c r="B324" s="254">
        <f>B339</f>
        <v>691.1</v>
      </c>
      <c r="C324" s="232">
        <f t="shared" ref="C324:K324" si="120">C339</f>
        <v>673</v>
      </c>
      <c r="D324" s="232">
        <f t="shared" si="120"/>
        <v>660.9</v>
      </c>
      <c r="E324" s="232">
        <f t="shared" si="120"/>
        <v>662.9</v>
      </c>
      <c r="F324" s="421">
        <f t="shared" si="120"/>
        <v>670.19999999999993</v>
      </c>
      <c r="G324" s="232">
        <f t="shared" si="120"/>
        <v>674.2</v>
      </c>
      <c r="H324" s="232">
        <f t="shared" si="120"/>
        <v>677.59999999999991</v>
      </c>
      <c r="I324" s="232">
        <f t="shared" si="120"/>
        <v>680.3</v>
      </c>
      <c r="J324" s="232">
        <f t="shared" si="120"/>
        <v>685.80000000000007</v>
      </c>
      <c r="K324" s="421">
        <f t="shared" si="120"/>
        <v>690.59999999999991</v>
      </c>
      <c r="M324" s="94">
        <f t="shared" ref="M324" si="121">(C324-B324)/B324</f>
        <v>-2.6190131674142702E-2</v>
      </c>
      <c r="N324" s="95">
        <f t="shared" ref="N324" si="122">(D324-C324)/C324</f>
        <v>-1.7979197622585472E-2</v>
      </c>
      <c r="O324" s="95">
        <f t="shared" ref="O324" si="123">(E324-D324)/D324</f>
        <v>3.0261764260856409E-3</v>
      </c>
      <c r="P324" s="96">
        <f t="shared" ref="P324" si="124">(F324-E324)/E324</f>
        <v>1.1012219037562158E-2</v>
      </c>
      <c r="Q324" s="95">
        <f t="shared" ref="Q324" si="125">(G324-F324)/F324</f>
        <v>5.9683676514474997E-3</v>
      </c>
      <c r="R324" s="95">
        <f t="shared" ref="R324" si="126">(H324-G324)/G324</f>
        <v>5.0430139424501091E-3</v>
      </c>
      <c r="S324" s="95">
        <f t="shared" ref="S324" si="127">(I324-H324)/H324</f>
        <v>3.9846517119245068E-3</v>
      </c>
      <c r="T324" s="95">
        <f t="shared" ref="T324" si="128">(J324-I324)/I324</f>
        <v>8.0846685285904957E-3</v>
      </c>
      <c r="U324" s="96">
        <f t="shared" ref="U324" si="129">(K324-J324)/J324</f>
        <v>6.9991251093610967E-3</v>
      </c>
      <c r="V324" s="82"/>
      <c r="W324" s="82"/>
      <c r="X324" s="82"/>
      <c r="Y324" s="82"/>
      <c r="Z324" s="82"/>
      <c r="AA324" s="82"/>
      <c r="AB324" s="82"/>
      <c r="AC324" s="82"/>
      <c r="AD324" s="82"/>
      <c r="AE324" s="82"/>
      <c r="AF324" s="82"/>
      <c r="AG324" s="82"/>
      <c r="AH324" s="82"/>
      <c r="AI324" s="82"/>
      <c r="AJ324" s="82"/>
      <c r="AK324" s="82"/>
      <c r="AL324" s="82"/>
      <c r="AM324" s="82"/>
      <c r="AN324" s="82"/>
      <c r="AO324" s="82"/>
      <c r="AP324" s="82"/>
      <c r="AQ324" s="82"/>
      <c r="AR324" s="82"/>
      <c r="AS324" s="82"/>
      <c r="AT324" s="82"/>
      <c r="AU324" s="82"/>
      <c r="AV324" s="82"/>
      <c r="AW324" s="82"/>
      <c r="AX324" s="82"/>
      <c r="AY324" s="82"/>
      <c r="AZ324" s="82"/>
      <c r="BA324" s="82"/>
      <c r="BB324" s="82"/>
      <c r="BC324" s="82"/>
      <c r="BD324" s="82"/>
      <c r="BE324" s="82"/>
      <c r="BF324" s="82"/>
      <c r="BG324" s="82"/>
      <c r="BH324" s="82"/>
      <c r="BI324" s="82"/>
      <c r="BJ324" s="82"/>
      <c r="BK324" s="82"/>
      <c r="BL324" s="82"/>
      <c r="BM324" s="82"/>
      <c r="BN324" s="82"/>
      <c r="BO324" s="82"/>
      <c r="BP324" s="82"/>
      <c r="BQ324" s="82"/>
      <c r="BR324" s="82"/>
      <c r="BS324" s="82"/>
      <c r="BT324" s="82"/>
      <c r="BU324" s="82"/>
      <c r="BV324" s="82"/>
      <c r="BW324" s="82"/>
      <c r="BX324" s="82"/>
      <c r="BY324" s="82"/>
      <c r="BZ324" s="82"/>
      <c r="CA324" s="82"/>
      <c r="CB324" s="82"/>
      <c r="CC324" s="82"/>
      <c r="CD324" s="82"/>
      <c r="CE324" s="82"/>
      <c r="CF324" s="82"/>
      <c r="CG324" s="82"/>
      <c r="CH324" s="82"/>
    </row>
    <row r="325" spans="1:86" s="93" customFormat="1">
      <c r="A325" s="97" t="s">
        <v>86</v>
      </c>
      <c r="B325" s="540">
        <v>79.5</v>
      </c>
      <c r="C325" s="539">
        <v>77.8</v>
      </c>
      <c r="D325" s="539">
        <v>76.7</v>
      </c>
      <c r="E325" s="539">
        <v>77.3</v>
      </c>
      <c r="F325" s="541">
        <v>78.7</v>
      </c>
      <c r="G325" s="539">
        <v>79.2</v>
      </c>
      <c r="H325" s="539">
        <v>79.5</v>
      </c>
      <c r="I325" s="539">
        <v>79.900000000000006</v>
      </c>
      <c r="J325" s="539">
        <v>80.5</v>
      </c>
      <c r="K325" s="541">
        <v>81.099999999999994</v>
      </c>
      <c r="M325" s="98">
        <f t="shared" ref="M325" si="130">(C325-B325)/B325</f>
        <v>-2.1383647798742175E-2</v>
      </c>
      <c r="N325" s="99">
        <f t="shared" ref="N325" si="131">(D325-C325)/C325</f>
        <v>-1.4138817480719722E-2</v>
      </c>
      <c r="O325" s="99">
        <f t="shared" ref="O325" si="132">(E325-D325)/D325</f>
        <v>7.8226857887874097E-3</v>
      </c>
      <c r="P325" s="100">
        <f t="shared" ref="P325" si="133">(F325-E325)/E325</f>
        <v>1.8111254851229053E-2</v>
      </c>
      <c r="Q325" s="99">
        <f t="shared" ref="Q325" si="134">(G325-F325)/F325</f>
        <v>6.3532401524777635E-3</v>
      </c>
      <c r="R325" s="99">
        <f t="shared" ref="R325" si="135">(H325-G325)/G325</f>
        <v>3.787878787878752E-3</v>
      </c>
      <c r="S325" s="99">
        <f t="shared" ref="S325" si="136">(I325-H325)/H325</f>
        <v>5.0314465408805749E-3</v>
      </c>
      <c r="T325" s="99">
        <f t="shared" ref="T325" si="137">(J325-I325)/I325</f>
        <v>7.5093867334166996E-3</v>
      </c>
      <c r="U325" s="100">
        <f t="shared" ref="U325" si="138">(K325-J325)/J325</f>
        <v>7.4534161490682526E-3</v>
      </c>
      <c r="V325" s="82"/>
      <c r="W325" s="82"/>
      <c r="X325" s="82"/>
      <c r="Y325" s="82"/>
      <c r="Z325" s="82"/>
      <c r="AA325" s="82"/>
      <c r="AB325" s="82"/>
      <c r="AC325" s="82"/>
      <c r="AD325" s="82"/>
      <c r="AE325" s="82"/>
      <c r="AF325" s="82"/>
      <c r="AG325" s="82"/>
      <c r="AH325" s="82"/>
      <c r="AI325" s="82"/>
      <c r="AJ325" s="82"/>
      <c r="AK325" s="82"/>
      <c r="AL325" s="82"/>
      <c r="AM325" s="82"/>
      <c r="AN325" s="82"/>
      <c r="AO325" s="82"/>
      <c r="AP325" s="82"/>
      <c r="AQ325" s="82"/>
      <c r="AR325" s="82"/>
      <c r="AS325" s="82"/>
      <c r="AT325" s="82"/>
      <c r="AU325" s="82"/>
      <c r="AV325" s="82"/>
      <c r="AW325" s="82"/>
      <c r="AX325" s="82"/>
      <c r="AY325" s="82"/>
      <c r="AZ325" s="82"/>
      <c r="BA325" s="82"/>
      <c r="BB325" s="82"/>
      <c r="BC325" s="82"/>
      <c r="BD325" s="82"/>
      <c r="BE325" s="82"/>
      <c r="BF325" s="82"/>
      <c r="BG325" s="82"/>
      <c r="BH325" s="82"/>
      <c r="BI325" s="82"/>
      <c r="BJ325" s="82"/>
      <c r="BK325" s="82"/>
      <c r="BL325" s="82"/>
      <c r="BM325" s="82"/>
      <c r="BN325" s="82"/>
      <c r="BO325" s="82"/>
      <c r="BP325" s="82"/>
      <c r="BQ325" s="82"/>
      <c r="BR325" s="82"/>
      <c r="BS325" s="82"/>
      <c r="BT325" s="82"/>
      <c r="BU325" s="82"/>
      <c r="BV325" s="82"/>
      <c r="BW325" s="82"/>
      <c r="BX325" s="82"/>
      <c r="BY325" s="82"/>
      <c r="BZ325" s="82"/>
      <c r="CA325" s="82"/>
      <c r="CB325" s="82"/>
      <c r="CC325" s="82"/>
      <c r="CD325" s="82"/>
      <c r="CE325" s="82"/>
      <c r="CF325" s="82"/>
      <c r="CG325" s="82"/>
      <c r="CH325" s="82"/>
    </row>
    <row r="326" spans="1:86" s="93" customFormat="1" ht="14.25" thickBot="1">
      <c r="A326" s="101" t="s">
        <v>93</v>
      </c>
      <c r="B326" s="102">
        <f t="shared" ref="B326:K326" si="139">(B325*1000)/B324</f>
        <v>115.03400376211836</v>
      </c>
      <c r="C326" s="103">
        <f t="shared" si="139"/>
        <v>115.60178306092125</v>
      </c>
      <c r="D326" s="103">
        <f t="shared" si="139"/>
        <v>116.05386594038433</v>
      </c>
      <c r="E326" s="103">
        <f t="shared" si="139"/>
        <v>116.60883994569318</v>
      </c>
      <c r="F326" s="104">
        <f t="shared" si="139"/>
        <v>117.42763354222622</v>
      </c>
      <c r="G326" s="103">
        <f t="shared" si="139"/>
        <v>117.47256007119549</v>
      </c>
      <c r="H326" s="103">
        <f t="shared" si="139"/>
        <v>117.32585596221962</v>
      </c>
      <c r="I326" s="103">
        <f t="shared" si="139"/>
        <v>117.44818462443041</v>
      </c>
      <c r="J326" s="103">
        <f t="shared" si="139"/>
        <v>117.38116068824729</v>
      </c>
      <c r="K326" s="104">
        <f t="shared" si="139"/>
        <v>117.43411526209096</v>
      </c>
      <c r="M326" s="105">
        <f>(C326-B326)/B326</f>
        <v>4.9357518667003412E-3</v>
      </c>
      <c r="N326" s="106">
        <f t="shared" ref="N326" si="140">(D326-C326)/C326</f>
        <v>3.910691232373407E-3</v>
      </c>
      <c r="O326" s="106">
        <f t="shared" ref="O326" si="141">(E326-D326)/D326</f>
        <v>4.7820380718203246E-3</v>
      </c>
      <c r="P326" s="107">
        <f t="shared" ref="P326" si="142">(F326-E326)/E326</f>
        <v>7.0217111920019776E-3</v>
      </c>
      <c r="Q326" s="106">
        <f t="shared" ref="Q326" si="143">(G326-F326)/F326</f>
        <v>3.8258906880819598E-4</v>
      </c>
      <c r="R326" s="106">
        <f t="shared" ref="R326" si="144">(H326-G326)/G326</f>
        <v>-1.2488372509031596E-3</v>
      </c>
      <c r="S326" s="106">
        <f t="shared" ref="S326" si="145">(I326-H326)/H326</f>
        <v>1.0426402706167513E-3</v>
      </c>
      <c r="T326" s="106">
        <f t="shared" ref="T326" si="146">(J326-I326)/I326</f>
        <v>-5.7066813248280422E-4</v>
      </c>
      <c r="U326" s="107">
        <f t="shared" ref="U326" si="147">(K326-J326)/J326</f>
        <v>4.5113349990043083E-4</v>
      </c>
      <c r="V326" s="82"/>
      <c r="W326" s="82"/>
      <c r="X326" s="82"/>
      <c r="Y326" s="82"/>
      <c r="Z326" s="82"/>
      <c r="AA326" s="82"/>
      <c r="AB326" s="82"/>
      <c r="AC326" s="82"/>
      <c r="AD326" s="82"/>
      <c r="AE326" s="82"/>
      <c r="AF326" s="82"/>
      <c r="AG326" s="82"/>
      <c r="AH326" s="82"/>
      <c r="AI326" s="82"/>
      <c r="AJ326" s="82"/>
      <c r="AK326" s="82"/>
      <c r="AL326" s="82"/>
      <c r="AM326" s="82"/>
      <c r="AN326" s="82"/>
      <c r="AO326" s="82"/>
      <c r="AP326" s="82"/>
      <c r="AQ326" s="82"/>
      <c r="AR326" s="82"/>
      <c r="AS326" s="82"/>
      <c r="AT326" s="82"/>
      <c r="AU326" s="82"/>
      <c r="AV326" s="82"/>
      <c r="AW326" s="82"/>
      <c r="AX326" s="82"/>
      <c r="AY326" s="82"/>
      <c r="AZ326" s="82"/>
      <c r="BA326" s="82"/>
      <c r="BB326" s="82"/>
      <c r="BC326" s="82"/>
      <c r="BD326" s="82"/>
      <c r="BE326" s="82"/>
      <c r="BF326" s="82"/>
      <c r="BG326" s="82"/>
      <c r="BH326" s="82"/>
      <c r="BI326" s="82"/>
      <c r="BJ326" s="82"/>
      <c r="BK326" s="82"/>
      <c r="BL326" s="82"/>
      <c r="BM326" s="82"/>
      <c r="BN326" s="82"/>
      <c r="BO326" s="82"/>
      <c r="BP326" s="82"/>
      <c r="BQ326" s="82"/>
      <c r="BR326" s="82"/>
      <c r="BS326" s="82"/>
      <c r="BT326" s="82"/>
      <c r="BU326" s="82"/>
      <c r="BV326" s="82"/>
      <c r="BW326" s="82"/>
      <c r="BX326" s="82"/>
      <c r="BY326" s="82"/>
      <c r="BZ326" s="82"/>
      <c r="CA326" s="82"/>
      <c r="CB326" s="82"/>
      <c r="CC326" s="82"/>
      <c r="CD326" s="82"/>
      <c r="CE326" s="82"/>
      <c r="CF326" s="82"/>
      <c r="CG326" s="82"/>
      <c r="CH326" s="82"/>
    </row>
    <row r="327" spans="1:86">
      <c r="A327" s="5" t="s">
        <v>391</v>
      </c>
      <c r="B327" s="11"/>
      <c r="C327" s="11"/>
      <c r="D327" s="11"/>
      <c r="E327" s="11"/>
      <c r="F327" s="11"/>
      <c r="G327" s="11"/>
      <c r="H327" s="17"/>
      <c r="I327" s="17"/>
      <c r="J327" s="17"/>
      <c r="K327" s="17"/>
    </row>
    <row r="328" spans="1:86">
      <c r="A328" s="5" t="s">
        <v>219</v>
      </c>
      <c r="B328" s="10"/>
      <c r="C328" s="10"/>
      <c r="D328" s="46"/>
      <c r="E328" s="47"/>
      <c r="F328" s="47"/>
      <c r="G328" s="47"/>
      <c r="H328" s="48"/>
      <c r="I328" s="48"/>
      <c r="J328" s="48"/>
      <c r="K328" s="48"/>
      <c r="L328" s="48"/>
      <c r="M328" s="48"/>
      <c r="N328" s="48"/>
    </row>
    <row r="329" spans="1:86" s="16" customFormat="1">
      <c r="A329" s="13" t="s">
        <v>388</v>
      </c>
      <c r="B329" s="19"/>
      <c r="C329" s="19"/>
      <c r="D329" s="46"/>
      <c r="E329" s="62"/>
      <c r="F329" s="19"/>
      <c r="G329" s="19"/>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c r="AY329" s="45"/>
      <c r="AZ329" s="45"/>
      <c r="BA329" s="45"/>
      <c r="BB329" s="45"/>
      <c r="BC329" s="45"/>
      <c r="BD329" s="45"/>
      <c r="BE329" s="45"/>
      <c r="BF329" s="45"/>
      <c r="BG329" s="45"/>
      <c r="BH329" s="45"/>
      <c r="BI329" s="45"/>
      <c r="BJ329" s="45"/>
      <c r="BK329" s="45"/>
      <c r="BL329" s="45"/>
      <c r="BM329" s="45"/>
      <c r="BN329" s="45"/>
      <c r="BO329" s="45"/>
      <c r="BP329" s="45"/>
      <c r="BQ329" s="45"/>
      <c r="BR329" s="45"/>
      <c r="BS329" s="45"/>
      <c r="BT329" s="45"/>
      <c r="BU329" s="45"/>
      <c r="BV329" s="45"/>
      <c r="BW329" s="45"/>
      <c r="BX329" s="45"/>
      <c r="BY329" s="45"/>
      <c r="BZ329" s="45"/>
      <c r="CA329" s="45"/>
      <c r="CB329" s="45"/>
      <c r="CC329" s="45"/>
      <c r="CD329" s="45"/>
      <c r="CE329" s="45"/>
      <c r="CF329" s="45"/>
      <c r="CG329" s="45"/>
      <c r="CH329" s="45"/>
    </row>
    <row r="330" spans="1:86">
      <c r="A330" s="45"/>
      <c r="F330" s="58"/>
      <c r="K330" s="20"/>
    </row>
    <row r="331" spans="1:86" s="21" customFormat="1" ht="14.25" thickBot="1">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row>
    <row r="333" spans="1:86" s="14" customFormat="1">
      <c r="A333" s="32" t="s">
        <v>416</v>
      </c>
      <c r="B333" s="7" t="s">
        <v>348</v>
      </c>
      <c r="J333" s="15"/>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row>
    <row r="334" spans="1:86" ht="14.25" thickBot="1"/>
    <row r="335" spans="1:86" s="93" customFormat="1" ht="13.5" customHeight="1" thickBot="1">
      <c r="B335" s="188">
        <v>2013</v>
      </c>
      <c r="C335" s="36">
        <v>2014</v>
      </c>
      <c r="D335" s="36">
        <v>2015</v>
      </c>
      <c r="E335" s="36">
        <v>2016</v>
      </c>
      <c r="F335" s="151">
        <v>2017</v>
      </c>
      <c r="G335" s="197">
        <v>2018</v>
      </c>
      <c r="H335" s="197">
        <v>2019</v>
      </c>
      <c r="I335" s="197">
        <v>2020</v>
      </c>
      <c r="J335" s="197">
        <v>2021</v>
      </c>
      <c r="K335" s="198">
        <v>2022</v>
      </c>
      <c r="M335" s="89" t="s">
        <v>11</v>
      </c>
      <c r="N335" s="2" t="s">
        <v>12</v>
      </c>
      <c r="O335" s="2" t="s">
        <v>13</v>
      </c>
      <c r="P335" s="151" t="s">
        <v>95</v>
      </c>
      <c r="Q335" s="90" t="s">
        <v>99</v>
      </c>
      <c r="R335" s="90" t="s">
        <v>100</v>
      </c>
      <c r="S335" s="90" t="s">
        <v>208</v>
      </c>
      <c r="T335" s="90" t="s">
        <v>209</v>
      </c>
      <c r="U335" s="91" t="s">
        <v>210</v>
      </c>
    </row>
    <row r="336" spans="1:86" s="93" customFormat="1">
      <c r="A336" s="92" t="s">
        <v>349</v>
      </c>
      <c r="B336" s="65">
        <v>345.5</v>
      </c>
      <c r="C336" s="40">
        <v>333.8</v>
      </c>
      <c r="D336" s="40">
        <v>325.2</v>
      </c>
      <c r="E336" s="40">
        <v>323.5</v>
      </c>
      <c r="F336" s="67">
        <v>324.39999999999998</v>
      </c>
      <c r="G336" s="40">
        <v>324.3</v>
      </c>
      <c r="H336" s="40">
        <v>323.89999999999998</v>
      </c>
      <c r="I336" s="40">
        <v>323.10000000000002</v>
      </c>
      <c r="J336" s="40">
        <v>323.7</v>
      </c>
      <c r="K336" s="67">
        <v>323.89999999999998</v>
      </c>
      <c r="M336" s="94">
        <f>(C336-B336)/B336</f>
        <v>-3.3863965267727898E-2</v>
      </c>
      <c r="N336" s="95">
        <f t="shared" ref="N336:U339" si="148">(D336-C336)/C336</f>
        <v>-2.5763930497303841E-2</v>
      </c>
      <c r="O336" s="95">
        <f t="shared" si="148"/>
        <v>-5.2275522755227209E-3</v>
      </c>
      <c r="P336" s="96">
        <f t="shared" si="148"/>
        <v>2.782071097372418E-3</v>
      </c>
      <c r="Q336" s="95">
        <f t="shared" si="148"/>
        <v>-3.0826140567190475E-4</v>
      </c>
      <c r="R336" s="95">
        <f t="shared" si="148"/>
        <v>-1.2334258402714588E-3</v>
      </c>
      <c r="S336" s="95">
        <f t="shared" si="148"/>
        <v>-2.4698981167025459E-3</v>
      </c>
      <c r="T336" s="95">
        <f t="shared" si="148"/>
        <v>1.857010213556069E-3</v>
      </c>
      <c r="U336" s="96">
        <f t="shared" si="148"/>
        <v>6.1785603954275141E-4</v>
      </c>
      <c r="V336" s="82"/>
      <c r="W336" s="82"/>
      <c r="X336" s="82"/>
      <c r="Y336" s="82"/>
      <c r="Z336" s="82"/>
      <c r="AA336" s="82"/>
      <c r="AB336" s="82"/>
      <c r="AC336" s="82"/>
      <c r="AD336" s="82"/>
      <c r="AE336" s="82"/>
      <c r="AF336" s="82"/>
      <c r="AG336" s="82"/>
      <c r="AH336" s="82"/>
      <c r="AI336" s="82"/>
      <c r="AJ336" s="82"/>
      <c r="AK336" s="82"/>
      <c r="AL336" s="82"/>
      <c r="AM336" s="82"/>
      <c r="AN336" s="82"/>
      <c r="AO336" s="82"/>
      <c r="AP336" s="82"/>
      <c r="AQ336" s="82"/>
      <c r="AR336" s="82"/>
      <c r="AS336" s="82"/>
      <c r="AT336" s="82"/>
      <c r="AU336" s="82"/>
      <c r="AV336" s="82"/>
      <c r="AW336" s="82"/>
      <c r="AX336" s="82"/>
      <c r="AY336" s="82"/>
      <c r="AZ336" s="82"/>
      <c r="BA336" s="82"/>
      <c r="BB336" s="82"/>
      <c r="BC336" s="82"/>
      <c r="BD336" s="82"/>
      <c r="BE336" s="82"/>
      <c r="BF336" s="82"/>
      <c r="BG336" s="82"/>
      <c r="BH336" s="82"/>
      <c r="BI336" s="82"/>
      <c r="BJ336" s="82"/>
      <c r="BK336" s="82"/>
      <c r="BL336" s="82"/>
      <c r="BM336" s="82"/>
      <c r="BN336" s="82"/>
      <c r="BO336" s="82"/>
      <c r="BP336" s="82"/>
      <c r="BQ336" s="82"/>
      <c r="BR336" s="82"/>
      <c r="BS336" s="82"/>
      <c r="BT336" s="82"/>
      <c r="BU336" s="82"/>
      <c r="BV336" s="82"/>
      <c r="BW336" s="82"/>
      <c r="BX336" s="82"/>
      <c r="BY336" s="82"/>
      <c r="BZ336" s="82"/>
      <c r="CA336" s="82"/>
      <c r="CB336" s="82"/>
      <c r="CC336" s="82"/>
      <c r="CD336" s="82"/>
      <c r="CE336" s="82"/>
      <c r="CF336" s="82"/>
      <c r="CG336" s="82"/>
      <c r="CH336" s="82"/>
    </row>
    <row r="337" spans="1:86" s="93" customFormat="1">
      <c r="A337" s="97" t="s">
        <v>350</v>
      </c>
      <c r="B337" s="65">
        <v>241.9</v>
      </c>
      <c r="C337" s="40">
        <v>236.2</v>
      </c>
      <c r="D337" s="40">
        <v>232.6</v>
      </c>
      <c r="E337" s="40">
        <v>234</v>
      </c>
      <c r="F337" s="67">
        <v>237.2</v>
      </c>
      <c r="G337" s="40">
        <v>239.3</v>
      </c>
      <c r="H337" s="40">
        <v>241.2</v>
      </c>
      <c r="I337" s="40">
        <v>242.9</v>
      </c>
      <c r="J337" s="40">
        <v>245.5</v>
      </c>
      <c r="K337" s="67">
        <v>247.9</v>
      </c>
      <c r="M337" s="98">
        <f t="shared" ref="M337:M339" si="149">(C337-B337)/B337</f>
        <v>-2.3563455973542854E-2</v>
      </c>
      <c r="N337" s="99">
        <f t="shared" si="148"/>
        <v>-1.5241320914479231E-2</v>
      </c>
      <c r="O337" s="99">
        <f t="shared" si="148"/>
        <v>6.0189165950129226E-3</v>
      </c>
      <c r="P337" s="100">
        <f t="shared" si="148"/>
        <v>1.3675213675213627E-2</v>
      </c>
      <c r="Q337" s="99">
        <f t="shared" si="148"/>
        <v>8.8532883642496746E-3</v>
      </c>
      <c r="R337" s="99">
        <f t="shared" si="148"/>
        <v>7.9398244880901671E-3</v>
      </c>
      <c r="S337" s="99">
        <f t="shared" si="148"/>
        <v>7.0480928689884625E-3</v>
      </c>
      <c r="T337" s="99">
        <f t="shared" si="148"/>
        <v>1.0703993412927108E-2</v>
      </c>
      <c r="U337" s="100">
        <f t="shared" si="148"/>
        <v>9.7759674134419786E-3</v>
      </c>
      <c r="V337" s="82"/>
      <c r="W337" s="82"/>
      <c r="X337" s="82"/>
      <c r="Y337" s="82"/>
      <c r="Z337" s="82"/>
      <c r="AA337" s="82"/>
      <c r="AB337" s="82"/>
      <c r="AC337" s="82"/>
      <c r="AD337" s="82"/>
      <c r="AE337" s="82"/>
      <c r="AF337" s="82"/>
      <c r="AG337" s="82"/>
      <c r="AH337" s="82"/>
      <c r="AI337" s="82"/>
      <c r="AJ337" s="82"/>
      <c r="AK337" s="82"/>
      <c r="AL337" s="82"/>
      <c r="AM337" s="82"/>
      <c r="AN337" s="82"/>
      <c r="AO337" s="82"/>
      <c r="AP337" s="82"/>
      <c r="AQ337" s="82"/>
      <c r="AR337" s="82"/>
      <c r="AS337" s="82"/>
      <c r="AT337" s="82"/>
      <c r="AU337" s="82"/>
      <c r="AV337" s="82"/>
      <c r="AW337" s="82"/>
      <c r="AX337" s="82"/>
      <c r="AY337" s="82"/>
      <c r="AZ337" s="82"/>
      <c r="BA337" s="82"/>
      <c r="BB337" s="82"/>
      <c r="BC337" s="82"/>
      <c r="BD337" s="82"/>
      <c r="BE337" s="82"/>
      <c r="BF337" s="82"/>
      <c r="BG337" s="82"/>
      <c r="BH337" s="82"/>
      <c r="BI337" s="82"/>
      <c r="BJ337" s="82"/>
      <c r="BK337" s="82"/>
      <c r="BL337" s="82"/>
      <c r="BM337" s="82"/>
      <c r="BN337" s="82"/>
      <c r="BO337" s="82"/>
      <c r="BP337" s="82"/>
      <c r="BQ337" s="82"/>
      <c r="BR337" s="82"/>
      <c r="BS337" s="82"/>
      <c r="BT337" s="82"/>
      <c r="BU337" s="82"/>
      <c r="BV337" s="82"/>
      <c r="BW337" s="82"/>
      <c r="BX337" s="82"/>
      <c r="BY337" s="82"/>
      <c r="BZ337" s="82"/>
      <c r="CA337" s="82"/>
      <c r="CB337" s="82"/>
      <c r="CC337" s="82"/>
      <c r="CD337" s="82"/>
      <c r="CE337" s="82"/>
      <c r="CF337" s="82"/>
      <c r="CG337" s="82"/>
      <c r="CH337" s="82"/>
    </row>
    <row r="338" spans="1:86" s="93" customFormat="1">
      <c r="A338" s="97" t="s">
        <v>351</v>
      </c>
      <c r="B338" s="65">
        <v>103.7</v>
      </c>
      <c r="C338" s="40">
        <v>103</v>
      </c>
      <c r="D338" s="40">
        <v>103.1</v>
      </c>
      <c r="E338" s="40">
        <v>105.4</v>
      </c>
      <c r="F338" s="67">
        <v>108.6</v>
      </c>
      <c r="G338" s="40">
        <v>110.6</v>
      </c>
      <c r="H338" s="40">
        <v>112.5</v>
      </c>
      <c r="I338" s="40">
        <v>114.3</v>
      </c>
      <c r="J338" s="40">
        <v>116.6</v>
      </c>
      <c r="K338" s="67">
        <v>118.8</v>
      </c>
      <c r="M338" s="98">
        <f t="shared" si="149"/>
        <v>-6.7502410800386005E-3</v>
      </c>
      <c r="N338" s="99">
        <f t="shared" si="148"/>
        <v>9.7087378640771176E-4</v>
      </c>
      <c r="O338" s="99">
        <f t="shared" si="148"/>
        <v>2.230843840931146E-2</v>
      </c>
      <c r="P338" s="100">
        <f t="shared" si="148"/>
        <v>3.0360531309297802E-2</v>
      </c>
      <c r="Q338" s="99">
        <f t="shared" si="148"/>
        <v>1.841620626151013E-2</v>
      </c>
      <c r="R338" s="99">
        <f t="shared" si="148"/>
        <v>1.7179023508137485E-2</v>
      </c>
      <c r="S338" s="99">
        <f t="shared" si="148"/>
        <v>1.5999999999999976E-2</v>
      </c>
      <c r="T338" s="99">
        <f t="shared" si="148"/>
        <v>2.01224846894138E-2</v>
      </c>
      <c r="U338" s="100">
        <f t="shared" si="148"/>
        <v>1.886792452830191E-2</v>
      </c>
      <c r="V338" s="82"/>
      <c r="W338" s="82"/>
      <c r="X338" s="82"/>
      <c r="Y338" s="82"/>
      <c r="Z338" s="82"/>
      <c r="AA338" s="82"/>
      <c r="AB338" s="82"/>
      <c r="AC338" s="82"/>
      <c r="AD338" s="82"/>
      <c r="AE338" s="82"/>
      <c r="AF338" s="82"/>
      <c r="AG338" s="82"/>
      <c r="AH338" s="82"/>
      <c r="AI338" s="82"/>
      <c r="AJ338" s="82"/>
      <c r="AK338" s="82"/>
      <c r="AL338" s="82"/>
      <c r="AM338" s="82"/>
      <c r="AN338" s="82"/>
      <c r="AO338" s="82"/>
      <c r="AP338" s="82"/>
      <c r="AQ338" s="82"/>
      <c r="AR338" s="82"/>
      <c r="AS338" s="82"/>
      <c r="AT338" s="82"/>
      <c r="AU338" s="82"/>
      <c r="AV338" s="82"/>
      <c r="AW338" s="82"/>
      <c r="AX338" s="82"/>
      <c r="AY338" s="82"/>
      <c r="AZ338" s="82"/>
      <c r="BA338" s="82"/>
      <c r="BB338" s="82"/>
      <c r="BC338" s="82"/>
      <c r="BD338" s="82"/>
      <c r="BE338" s="82"/>
      <c r="BF338" s="82"/>
      <c r="BG338" s="82"/>
      <c r="BH338" s="82"/>
      <c r="BI338" s="82"/>
      <c r="BJ338" s="82"/>
      <c r="BK338" s="82"/>
      <c r="BL338" s="82"/>
      <c r="BM338" s="82"/>
      <c r="BN338" s="82"/>
      <c r="BO338" s="82"/>
      <c r="BP338" s="82"/>
      <c r="BQ338" s="82"/>
      <c r="BR338" s="82"/>
      <c r="BS338" s="82"/>
      <c r="BT338" s="82"/>
      <c r="BU338" s="82"/>
      <c r="BV338" s="82"/>
      <c r="BW338" s="82"/>
      <c r="BX338" s="82"/>
      <c r="BY338" s="82"/>
      <c r="BZ338" s="82"/>
      <c r="CA338" s="82"/>
      <c r="CB338" s="82"/>
      <c r="CC338" s="82"/>
      <c r="CD338" s="82"/>
      <c r="CE338" s="82"/>
      <c r="CF338" s="82"/>
      <c r="CG338" s="82"/>
      <c r="CH338" s="82"/>
    </row>
    <row r="339" spans="1:86" s="113" customFormat="1" thickBot="1">
      <c r="A339" s="123" t="s">
        <v>3</v>
      </c>
      <c r="B339" s="504">
        <f>SUM(B336:B338)</f>
        <v>691.1</v>
      </c>
      <c r="C339" s="505">
        <f t="shared" ref="C339" si="150">SUM(C336:C338)</f>
        <v>673</v>
      </c>
      <c r="D339" s="505">
        <f t="shared" ref="D339" si="151">SUM(D336:D338)</f>
        <v>660.9</v>
      </c>
      <c r="E339" s="505">
        <f t="shared" ref="E339" si="152">SUM(E336:E338)</f>
        <v>662.9</v>
      </c>
      <c r="F339" s="506">
        <f t="shared" ref="F339" si="153">SUM(F336:F338)</f>
        <v>670.19999999999993</v>
      </c>
      <c r="G339" s="505">
        <f t="shared" ref="G339" si="154">SUM(G336:G338)</f>
        <v>674.2</v>
      </c>
      <c r="H339" s="505">
        <f t="shared" ref="H339" si="155">SUM(H336:H338)</f>
        <v>677.59999999999991</v>
      </c>
      <c r="I339" s="505">
        <f t="shared" ref="I339" si="156">SUM(I336:I338)</f>
        <v>680.3</v>
      </c>
      <c r="J339" s="505">
        <f t="shared" ref="J339" si="157">SUM(J336:J338)</f>
        <v>685.80000000000007</v>
      </c>
      <c r="K339" s="506">
        <f t="shared" ref="K339" si="158">SUM(K336:K338)</f>
        <v>690.59999999999991</v>
      </c>
      <c r="M339" s="124">
        <f t="shared" si="149"/>
        <v>-2.6190131674142702E-2</v>
      </c>
      <c r="N339" s="125">
        <f t="shared" si="148"/>
        <v>-1.7979197622585472E-2</v>
      </c>
      <c r="O339" s="125">
        <f t="shared" si="148"/>
        <v>3.0261764260856409E-3</v>
      </c>
      <c r="P339" s="126">
        <f t="shared" si="148"/>
        <v>1.1012219037562158E-2</v>
      </c>
      <c r="Q339" s="125">
        <f t="shared" si="148"/>
        <v>5.9683676514474997E-3</v>
      </c>
      <c r="R339" s="125">
        <f t="shared" si="148"/>
        <v>5.0430139424501091E-3</v>
      </c>
      <c r="S339" s="125">
        <f t="shared" si="148"/>
        <v>3.9846517119245068E-3</v>
      </c>
      <c r="T339" s="125">
        <f t="shared" si="148"/>
        <v>8.0846685285904957E-3</v>
      </c>
      <c r="U339" s="126">
        <f t="shared" si="148"/>
        <v>6.9991251093610967E-3</v>
      </c>
      <c r="V339" s="84"/>
      <c r="W339" s="84"/>
      <c r="X339" s="84"/>
      <c r="Y339" s="84"/>
      <c r="Z339" s="84"/>
      <c r="AA339" s="84"/>
      <c r="AB339" s="84"/>
      <c r="AC339" s="84"/>
      <c r="AD339" s="84"/>
      <c r="AE339" s="84"/>
      <c r="AF339" s="84"/>
      <c r="AG339" s="84"/>
      <c r="AH339" s="84"/>
      <c r="AI339" s="84"/>
      <c r="AJ339" s="84"/>
      <c r="AK339" s="84"/>
      <c r="AL339" s="84"/>
      <c r="AM339" s="84"/>
      <c r="AN339" s="84"/>
      <c r="AO339" s="84"/>
      <c r="AP339" s="84"/>
      <c r="AQ339" s="84"/>
      <c r="AR339" s="84"/>
      <c r="AS339" s="84"/>
      <c r="AT339" s="84"/>
      <c r="AU339" s="84"/>
      <c r="AV339" s="84"/>
      <c r="AW339" s="84"/>
      <c r="AX339" s="84"/>
      <c r="AY339" s="84"/>
      <c r="AZ339" s="84"/>
      <c r="BA339" s="84"/>
      <c r="BB339" s="84"/>
      <c r="BC339" s="84"/>
      <c r="BD339" s="84"/>
      <c r="BE339" s="84"/>
      <c r="BF339" s="84"/>
      <c r="BG339" s="84"/>
      <c r="BH339" s="84"/>
      <c r="BI339" s="84"/>
      <c r="BJ339" s="84"/>
      <c r="BK339" s="84"/>
      <c r="BL339" s="84"/>
      <c r="BM339" s="84"/>
      <c r="BN339" s="84"/>
      <c r="BO339" s="84"/>
      <c r="BP339" s="84"/>
      <c r="BQ339" s="84"/>
      <c r="BR339" s="84"/>
      <c r="BS339" s="84"/>
      <c r="BT339" s="84"/>
      <c r="BU339" s="84"/>
      <c r="BV339" s="84"/>
      <c r="BW339" s="84"/>
      <c r="BX339" s="84"/>
      <c r="BY339" s="84"/>
      <c r="BZ339" s="84"/>
      <c r="CA339" s="84"/>
      <c r="CB339" s="84"/>
      <c r="CC339" s="84"/>
      <c r="CD339" s="84"/>
      <c r="CE339" s="84"/>
      <c r="CF339" s="84"/>
      <c r="CG339" s="84"/>
      <c r="CH339" s="84"/>
    </row>
    <row r="340" spans="1:86">
      <c r="A340" s="5" t="s">
        <v>14</v>
      </c>
    </row>
    <row r="341" spans="1:86">
      <c r="A341" s="13" t="s">
        <v>388</v>
      </c>
      <c r="B341" s="61"/>
      <c r="C341" s="61"/>
      <c r="D341" s="61"/>
      <c r="E341" s="61"/>
      <c r="F341" s="54"/>
      <c r="G341" s="54"/>
      <c r="H341" s="12"/>
      <c r="I341" s="12"/>
      <c r="J341" s="12"/>
      <c r="K341" s="12"/>
      <c r="L341" s="12"/>
      <c r="M341" s="12"/>
      <c r="N341" s="12"/>
      <c r="O341" s="23"/>
      <c r="P341" s="23"/>
      <c r="Q341" s="23"/>
    </row>
    <row r="342" spans="1:86">
      <c r="A342" s="13"/>
      <c r="K342" s="23"/>
      <c r="L342" s="12"/>
      <c r="M342" s="12"/>
      <c r="N342" s="12"/>
      <c r="O342" s="12"/>
      <c r="P342" s="12"/>
      <c r="Q342" s="54"/>
    </row>
    <row r="343" spans="1:86" ht="14.25" thickBot="1">
      <c r="A343" s="13"/>
      <c r="B343" s="54"/>
      <c r="C343" s="54"/>
      <c r="D343" s="54"/>
      <c r="E343" s="54"/>
      <c r="L343" s="14"/>
      <c r="M343" s="14"/>
      <c r="N343" s="14"/>
      <c r="O343" s="12"/>
      <c r="P343" s="12"/>
      <c r="Q343" s="54"/>
    </row>
    <row r="344" spans="1:86" s="93" customFormat="1" ht="13.5" customHeight="1" thickBot="1">
      <c r="B344" s="89" t="s">
        <v>16</v>
      </c>
      <c r="C344" s="2" t="s">
        <v>17</v>
      </c>
      <c r="D344" s="2" t="s">
        <v>18</v>
      </c>
      <c r="E344" s="2" t="s">
        <v>19</v>
      </c>
      <c r="F344" s="151" t="s">
        <v>94</v>
      </c>
      <c r="G344" s="90" t="s">
        <v>97</v>
      </c>
      <c r="H344" s="90" t="s">
        <v>98</v>
      </c>
      <c r="I344" s="90" t="s">
        <v>211</v>
      </c>
      <c r="J344" s="90" t="s">
        <v>212</v>
      </c>
      <c r="K344" s="91" t="s">
        <v>213</v>
      </c>
    </row>
    <row r="345" spans="1:86" s="93" customFormat="1" ht="13.5" customHeight="1">
      <c r="A345" s="92" t="s">
        <v>349</v>
      </c>
      <c r="B345" s="523">
        <f>B336/B$339</f>
        <v>0.49992765156996094</v>
      </c>
      <c r="C345" s="524">
        <f t="shared" ref="C345:K345" si="159">C336/C$339</f>
        <v>0.49598811292719169</v>
      </c>
      <c r="D345" s="524">
        <f t="shared" si="159"/>
        <v>0.4920562868815252</v>
      </c>
      <c r="E345" s="524">
        <f t="shared" si="159"/>
        <v>0.488007240911148</v>
      </c>
      <c r="F345" s="250">
        <f t="shared" si="159"/>
        <v>0.48403461653237839</v>
      </c>
      <c r="G345" s="524">
        <f t="shared" si="159"/>
        <v>0.48101453574606939</v>
      </c>
      <c r="H345" s="524">
        <f t="shared" si="159"/>
        <v>0.47801062573789849</v>
      </c>
      <c r="I345" s="524">
        <f t="shared" si="159"/>
        <v>0.47493752756137003</v>
      </c>
      <c r="J345" s="524">
        <f t="shared" si="159"/>
        <v>0.47200349956255461</v>
      </c>
      <c r="K345" s="250">
        <f t="shared" si="159"/>
        <v>0.46901245293947297</v>
      </c>
      <c r="M345" s="40"/>
      <c r="N345" s="40"/>
      <c r="O345" s="40"/>
      <c r="P345" s="40"/>
      <c r="Q345" s="127"/>
      <c r="V345" s="82"/>
      <c r="W345" s="82"/>
      <c r="X345" s="82"/>
      <c r="Y345" s="82"/>
      <c r="Z345" s="82"/>
      <c r="AA345" s="82"/>
      <c r="AB345" s="82"/>
      <c r="AC345" s="82"/>
      <c r="AD345" s="82"/>
      <c r="AE345" s="82"/>
      <c r="AF345" s="82"/>
      <c r="AG345" s="82"/>
      <c r="AH345" s="82"/>
      <c r="AI345" s="82"/>
      <c r="AJ345" s="82"/>
      <c r="AK345" s="82"/>
      <c r="AL345" s="82"/>
      <c r="AM345" s="82"/>
      <c r="AN345" s="82"/>
      <c r="AO345" s="82"/>
      <c r="AP345" s="82"/>
      <c r="AQ345" s="82"/>
      <c r="AR345" s="82"/>
      <c r="AS345" s="82"/>
      <c r="AT345" s="82"/>
      <c r="AU345" s="82"/>
      <c r="AV345" s="82"/>
      <c r="AW345" s="82"/>
      <c r="AX345" s="82"/>
      <c r="AY345" s="82"/>
      <c r="AZ345" s="82"/>
      <c r="BA345" s="82"/>
      <c r="BB345" s="82"/>
      <c r="BC345" s="82"/>
      <c r="BD345" s="82"/>
      <c r="BE345" s="82"/>
      <c r="BF345" s="82"/>
      <c r="BG345" s="82"/>
      <c r="BH345" s="82"/>
      <c r="BI345" s="82"/>
      <c r="BJ345" s="82"/>
      <c r="BK345" s="82"/>
      <c r="BL345" s="82"/>
      <c r="BM345" s="82"/>
      <c r="BN345" s="82"/>
      <c r="BO345" s="82"/>
      <c r="BP345" s="82"/>
      <c r="BQ345" s="82"/>
      <c r="BR345" s="82"/>
      <c r="BS345" s="82"/>
      <c r="BT345" s="82"/>
      <c r="BU345" s="82"/>
      <c r="BV345" s="82"/>
      <c r="BW345" s="82"/>
      <c r="BX345" s="82"/>
      <c r="BY345" s="82"/>
      <c r="BZ345" s="82"/>
      <c r="CA345" s="82"/>
      <c r="CB345" s="82"/>
      <c r="CC345" s="82"/>
      <c r="CD345" s="82"/>
      <c r="CE345" s="82"/>
      <c r="CF345" s="82"/>
      <c r="CG345" s="82"/>
      <c r="CH345" s="82"/>
    </row>
    <row r="346" spans="1:86" s="93" customFormat="1" ht="13.5" customHeight="1">
      <c r="A346" s="97" t="s">
        <v>350</v>
      </c>
      <c r="B346" s="523">
        <f t="shared" ref="B346:B347" si="160">B337/B$339</f>
        <v>0.35002170452901171</v>
      </c>
      <c r="C346" s="524">
        <f t="shared" ref="C346:K346" si="161">C337/C$339</f>
        <v>0.35096582466567605</v>
      </c>
      <c r="D346" s="524">
        <f t="shared" si="161"/>
        <v>0.35194431835376006</v>
      </c>
      <c r="E346" s="524">
        <f t="shared" si="161"/>
        <v>0.35299441846432345</v>
      </c>
      <c r="F346" s="250">
        <f t="shared" si="161"/>
        <v>0.35392420173082662</v>
      </c>
      <c r="G346" s="524">
        <f t="shared" si="161"/>
        <v>0.3549391871848116</v>
      </c>
      <c r="H346" s="524">
        <f t="shared" si="161"/>
        <v>0.35596221959858326</v>
      </c>
      <c r="I346" s="524">
        <f t="shared" si="161"/>
        <v>0.35704836101719833</v>
      </c>
      <c r="J346" s="524">
        <f t="shared" si="161"/>
        <v>0.35797608632254296</v>
      </c>
      <c r="K346" s="250">
        <f t="shared" si="161"/>
        <v>0.35896322038806838</v>
      </c>
      <c r="M346" s="40"/>
      <c r="N346" s="40"/>
      <c r="O346" s="40"/>
      <c r="P346" s="40"/>
      <c r="Q346" s="127"/>
      <c r="V346" s="82"/>
      <c r="W346" s="82"/>
      <c r="X346" s="82"/>
      <c r="Y346" s="82"/>
      <c r="Z346" s="82"/>
      <c r="AA346" s="82"/>
      <c r="AB346" s="82"/>
      <c r="AC346" s="82"/>
      <c r="AD346" s="82"/>
      <c r="AE346" s="82"/>
      <c r="AF346" s="82"/>
      <c r="AG346" s="82"/>
      <c r="AH346" s="82"/>
      <c r="AI346" s="82"/>
      <c r="AJ346" s="82"/>
      <c r="AK346" s="82"/>
      <c r="AL346" s="82"/>
      <c r="AM346" s="82"/>
      <c r="AN346" s="82"/>
      <c r="AO346" s="82"/>
      <c r="AP346" s="82"/>
      <c r="AQ346" s="82"/>
      <c r="AR346" s="82"/>
      <c r="AS346" s="82"/>
      <c r="AT346" s="82"/>
      <c r="AU346" s="82"/>
      <c r="AV346" s="82"/>
      <c r="AW346" s="82"/>
      <c r="AX346" s="82"/>
      <c r="AY346" s="82"/>
      <c r="AZ346" s="82"/>
      <c r="BA346" s="82"/>
      <c r="BB346" s="82"/>
      <c r="BC346" s="82"/>
      <c r="BD346" s="82"/>
      <c r="BE346" s="82"/>
      <c r="BF346" s="82"/>
      <c r="BG346" s="82"/>
      <c r="BH346" s="82"/>
      <c r="BI346" s="82"/>
      <c r="BJ346" s="82"/>
      <c r="BK346" s="82"/>
      <c r="BL346" s="82"/>
      <c r="BM346" s="82"/>
      <c r="BN346" s="82"/>
      <c r="BO346" s="82"/>
      <c r="BP346" s="82"/>
      <c r="BQ346" s="82"/>
      <c r="BR346" s="82"/>
      <c r="BS346" s="82"/>
      <c r="BT346" s="82"/>
      <c r="BU346" s="82"/>
      <c r="BV346" s="82"/>
      <c r="BW346" s="82"/>
      <c r="BX346" s="82"/>
      <c r="BY346" s="82"/>
      <c r="BZ346" s="82"/>
      <c r="CA346" s="82"/>
      <c r="CB346" s="82"/>
      <c r="CC346" s="82"/>
      <c r="CD346" s="82"/>
      <c r="CE346" s="82"/>
      <c r="CF346" s="82"/>
      <c r="CG346" s="82"/>
      <c r="CH346" s="82"/>
    </row>
    <row r="347" spans="1:86" s="93" customFormat="1" ht="13.5" customHeight="1">
      <c r="A347" s="97" t="s">
        <v>351</v>
      </c>
      <c r="B347" s="523">
        <f t="shared" si="160"/>
        <v>0.15005064390102735</v>
      </c>
      <c r="C347" s="524">
        <f t="shared" ref="C347:K347" si="162">C338/C$339</f>
        <v>0.15304606240713226</v>
      </c>
      <c r="D347" s="524">
        <f t="shared" si="162"/>
        <v>0.15599939476471478</v>
      </c>
      <c r="E347" s="524">
        <f t="shared" si="162"/>
        <v>0.15899834062452861</v>
      </c>
      <c r="F347" s="250">
        <f t="shared" si="162"/>
        <v>0.16204118173679499</v>
      </c>
      <c r="G347" s="524">
        <f t="shared" si="162"/>
        <v>0.16404627706911892</v>
      </c>
      <c r="H347" s="524">
        <f t="shared" si="162"/>
        <v>0.16602715466351833</v>
      </c>
      <c r="I347" s="524">
        <f t="shared" si="162"/>
        <v>0.16801411142143172</v>
      </c>
      <c r="J347" s="524">
        <f t="shared" si="162"/>
        <v>0.17002041411490229</v>
      </c>
      <c r="K347" s="250">
        <f t="shared" si="162"/>
        <v>0.17202432667245876</v>
      </c>
      <c r="V347" s="82"/>
      <c r="W347" s="82"/>
      <c r="X347" s="82"/>
      <c r="Y347" s="82"/>
      <c r="Z347" s="82"/>
      <c r="AA347" s="82"/>
      <c r="AB347" s="82"/>
      <c r="AC347" s="82"/>
      <c r="AD347" s="82"/>
      <c r="AE347" s="82"/>
      <c r="AF347" s="82"/>
      <c r="AG347" s="82"/>
      <c r="AH347" s="82"/>
      <c r="AI347" s="82"/>
      <c r="AJ347" s="82"/>
      <c r="AK347" s="82"/>
      <c r="AL347" s="82"/>
      <c r="AM347" s="82"/>
      <c r="AN347" s="82"/>
      <c r="AO347" s="82"/>
      <c r="AP347" s="82"/>
      <c r="AQ347" s="82"/>
      <c r="AR347" s="82"/>
      <c r="AS347" s="82"/>
      <c r="AT347" s="82"/>
      <c r="AU347" s="82"/>
      <c r="AV347" s="82"/>
      <c r="AW347" s="82"/>
      <c r="AX347" s="82"/>
      <c r="AY347" s="82"/>
      <c r="AZ347" s="82"/>
      <c r="BA347" s="82"/>
      <c r="BB347" s="82"/>
      <c r="BC347" s="82"/>
      <c r="BD347" s="82"/>
      <c r="BE347" s="82"/>
      <c r="BF347" s="82"/>
      <c r="BG347" s="82"/>
      <c r="BH347" s="82"/>
      <c r="BI347" s="82"/>
      <c r="BJ347" s="82"/>
      <c r="BK347" s="82"/>
      <c r="BL347" s="82"/>
      <c r="BM347" s="82"/>
      <c r="BN347" s="82"/>
      <c r="BO347" s="82"/>
      <c r="BP347" s="82"/>
      <c r="BQ347" s="82"/>
      <c r="BR347" s="82"/>
      <c r="BS347" s="82"/>
      <c r="BT347" s="82"/>
      <c r="BU347" s="82"/>
      <c r="BV347" s="82"/>
      <c r="BW347" s="82"/>
      <c r="BX347" s="82"/>
      <c r="BY347" s="82"/>
      <c r="BZ347" s="82"/>
      <c r="CA347" s="82"/>
      <c r="CB347" s="82"/>
      <c r="CC347" s="82"/>
      <c r="CD347" s="82"/>
      <c r="CE347" s="82"/>
      <c r="CF347" s="82"/>
      <c r="CG347" s="82"/>
      <c r="CH347" s="82"/>
    </row>
    <row r="348" spans="1:86" s="93" customFormat="1" ht="13.5" customHeight="1" thickBot="1">
      <c r="A348" s="123" t="s">
        <v>3</v>
      </c>
      <c r="B348" s="525">
        <f>SUM(B345:B347)</f>
        <v>1</v>
      </c>
      <c r="C348" s="526">
        <f t="shared" ref="C348:K348" si="163">SUM(C345:C347)</f>
        <v>1</v>
      </c>
      <c r="D348" s="526">
        <f t="shared" si="163"/>
        <v>1</v>
      </c>
      <c r="E348" s="526">
        <f t="shared" si="163"/>
        <v>1</v>
      </c>
      <c r="F348" s="527">
        <f t="shared" si="163"/>
        <v>1</v>
      </c>
      <c r="G348" s="526">
        <f t="shared" si="163"/>
        <v>0.99999999999999989</v>
      </c>
      <c r="H348" s="526">
        <f t="shared" si="163"/>
        <v>1</v>
      </c>
      <c r="I348" s="526">
        <f t="shared" si="163"/>
        <v>1</v>
      </c>
      <c r="J348" s="526">
        <f t="shared" si="163"/>
        <v>0.99999999999999989</v>
      </c>
      <c r="K348" s="527">
        <f t="shared" si="163"/>
        <v>1.0000000000000002</v>
      </c>
      <c r="M348" s="130"/>
      <c r="N348" s="130"/>
      <c r="O348" s="130"/>
      <c r="P348" s="130"/>
      <c r="Q348" s="130"/>
      <c r="V348" s="82"/>
      <c r="W348" s="82"/>
      <c r="X348" s="82"/>
      <c r="Y348" s="82"/>
      <c r="Z348" s="82"/>
      <c r="AA348" s="82"/>
      <c r="AB348" s="82"/>
      <c r="AC348" s="82"/>
      <c r="AD348" s="82"/>
      <c r="AE348" s="82"/>
      <c r="AF348" s="82"/>
      <c r="AG348" s="82"/>
      <c r="AH348" s="82"/>
      <c r="AI348" s="82"/>
      <c r="AJ348" s="82"/>
      <c r="AK348" s="82"/>
      <c r="AL348" s="82"/>
      <c r="AM348" s="82"/>
      <c r="AN348" s="82"/>
      <c r="AO348" s="82"/>
      <c r="AP348" s="82"/>
      <c r="AQ348" s="82"/>
      <c r="AR348" s="82"/>
      <c r="AS348" s="82"/>
      <c r="AT348" s="82"/>
      <c r="AU348" s="82"/>
      <c r="AV348" s="82"/>
      <c r="AW348" s="82"/>
      <c r="AX348" s="82"/>
      <c r="AY348" s="82"/>
      <c r="AZ348" s="82"/>
      <c r="BA348" s="82"/>
      <c r="BB348" s="82"/>
      <c r="BC348" s="82"/>
      <c r="BD348" s="82"/>
      <c r="BE348" s="82"/>
      <c r="BF348" s="82"/>
      <c r="BG348" s="82"/>
      <c r="BH348" s="82"/>
      <c r="BI348" s="82"/>
      <c r="BJ348" s="82"/>
      <c r="BK348" s="82"/>
      <c r="BL348" s="82"/>
      <c r="BM348" s="82"/>
      <c r="BN348" s="82"/>
      <c r="BO348" s="82"/>
      <c r="BP348" s="82"/>
      <c r="BQ348" s="82"/>
      <c r="BR348" s="82"/>
      <c r="BS348" s="82"/>
      <c r="BT348" s="82"/>
      <c r="BU348" s="82"/>
      <c r="BV348" s="82"/>
      <c r="BW348" s="82"/>
      <c r="BX348" s="82"/>
      <c r="BY348" s="82"/>
      <c r="BZ348" s="82"/>
      <c r="CA348" s="82"/>
      <c r="CB348" s="82"/>
      <c r="CC348" s="82"/>
      <c r="CD348" s="82"/>
      <c r="CE348" s="82"/>
      <c r="CF348" s="82"/>
      <c r="CG348" s="82"/>
      <c r="CH348" s="82"/>
    </row>
    <row r="349" spans="1:86">
      <c r="B349" s="20"/>
      <c r="C349" s="20"/>
      <c r="D349" s="20"/>
      <c r="E349" s="20"/>
      <c r="F349" s="20"/>
      <c r="G349" s="20"/>
      <c r="H349" s="20"/>
      <c r="I349" s="20"/>
      <c r="J349" s="20"/>
      <c r="K349" s="20"/>
    </row>
    <row r="350" spans="1:86" s="21" customFormat="1" ht="14.25" thickBot="1">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row>
    <row r="352" spans="1:86" s="14" customFormat="1">
      <c r="A352" s="32" t="s">
        <v>417</v>
      </c>
      <c r="B352" s="7" t="s">
        <v>352</v>
      </c>
      <c r="J352" s="15"/>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row>
    <row r="353" spans="1:86" ht="14.25" thickBot="1"/>
    <row r="354" spans="1:86" s="93" customFormat="1" ht="13.5" customHeight="1" thickBot="1">
      <c r="B354" s="188">
        <v>2013</v>
      </c>
      <c r="C354" s="36">
        <v>2014</v>
      </c>
      <c r="D354" s="36">
        <v>2015</v>
      </c>
      <c r="E354" s="36">
        <v>2016</v>
      </c>
      <c r="F354" s="151">
        <v>2017</v>
      </c>
      <c r="G354" s="197">
        <v>2018</v>
      </c>
      <c r="H354" s="197">
        <v>2019</v>
      </c>
      <c r="I354" s="197">
        <v>2020</v>
      </c>
      <c r="J354" s="197">
        <v>2021</v>
      </c>
      <c r="K354" s="198">
        <v>2022</v>
      </c>
      <c r="M354" s="89" t="s">
        <v>11</v>
      </c>
      <c r="N354" s="2" t="s">
        <v>12</v>
      </c>
      <c r="O354" s="2" t="s">
        <v>13</v>
      </c>
      <c r="P354" s="151" t="s">
        <v>95</v>
      </c>
      <c r="Q354" s="90" t="s">
        <v>99</v>
      </c>
      <c r="R354" s="90" t="s">
        <v>100</v>
      </c>
      <c r="S354" s="90" t="s">
        <v>208</v>
      </c>
      <c r="T354" s="90" t="s">
        <v>209</v>
      </c>
      <c r="U354" s="91" t="s">
        <v>210</v>
      </c>
    </row>
    <row r="355" spans="1:86" s="93" customFormat="1">
      <c r="A355" s="92" t="s">
        <v>353</v>
      </c>
      <c r="B355" s="65">
        <v>532.1</v>
      </c>
      <c r="C355" s="40">
        <v>511.5</v>
      </c>
      <c r="D355" s="40">
        <v>497</v>
      </c>
      <c r="E355" s="40">
        <v>494.5</v>
      </c>
      <c r="F355" s="67">
        <v>502.6</v>
      </c>
      <c r="G355" s="40">
        <v>509</v>
      </c>
      <c r="H355" s="40">
        <v>515</v>
      </c>
      <c r="I355" s="40">
        <v>515</v>
      </c>
      <c r="J355" s="40">
        <v>517.70000000000005</v>
      </c>
      <c r="K355" s="67">
        <v>523.4</v>
      </c>
      <c r="M355" s="94">
        <f>(C355-B355)/B355</f>
        <v>-3.8714527344484162E-2</v>
      </c>
      <c r="N355" s="95">
        <f t="shared" ref="N355:U357" si="164">(D355-C355)/C355</f>
        <v>-2.8347996089931573E-2</v>
      </c>
      <c r="O355" s="95">
        <f t="shared" si="164"/>
        <v>-5.0301810865191147E-3</v>
      </c>
      <c r="P355" s="96">
        <f t="shared" si="164"/>
        <v>1.6380182002022292E-2</v>
      </c>
      <c r="Q355" s="95">
        <f t="shared" si="164"/>
        <v>1.2733784321528009E-2</v>
      </c>
      <c r="R355" s="95">
        <f t="shared" si="164"/>
        <v>1.1787819253438114E-2</v>
      </c>
      <c r="S355" s="95">
        <f t="shared" si="164"/>
        <v>0</v>
      </c>
      <c r="T355" s="95">
        <f t="shared" si="164"/>
        <v>5.24271844660203E-3</v>
      </c>
      <c r="U355" s="96">
        <f t="shared" si="164"/>
        <v>1.1010237589337321E-2</v>
      </c>
      <c r="V355" s="82"/>
      <c r="W355" s="82"/>
      <c r="X355" s="82"/>
      <c r="Y355" s="82"/>
      <c r="Z355" s="82"/>
      <c r="AA355" s="82"/>
      <c r="AB355" s="82"/>
      <c r="AC355" s="82"/>
      <c r="AD355" s="82"/>
      <c r="AE355" s="82"/>
      <c r="AF355" s="82"/>
      <c r="AG355" s="82"/>
      <c r="AH355" s="82"/>
      <c r="AI355" s="82"/>
      <c r="AJ355" s="82"/>
      <c r="AK355" s="82"/>
      <c r="AL355" s="82"/>
      <c r="AM355" s="82"/>
      <c r="AN355" s="82"/>
      <c r="AO355" s="82"/>
      <c r="AP355" s="82"/>
      <c r="AQ355" s="82"/>
      <c r="AR355" s="82"/>
      <c r="AS355" s="82"/>
      <c r="AT355" s="82"/>
      <c r="AU355" s="82"/>
      <c r="AV355" s="82"/>
      <c r="AW355" s="82"/>
      <c r="AX355" s="82"/>
      <c r="AY355" s="82"/>
      <c r="AZ355" s="82"/>
      <c r="BA355" s="82"/>
      <c r="BB355" s="82"/>
      <c r="BC355" s="82"/>
      <c r="BD355" s="82"/>
      <c r="BE355" s="82"/>
      <c r="BF355" s="82"/>
      <c r="BG355" s="82"/>
      <c r="BH355" s="82"/>
      <c r="BI355" s="82"/>
      <c r="BJ355" s="82"/>
      <c r="BK355" s="82"/>
      <c r="BL355" s="82"/>
      <c r="BM355" s="82"/>
      <c r="BN355" s="82"/>
      <c r="BO355" s="82"/>
      <c r="BP355" s="82"/>
      <c r="BQ355" s="82"/>
      <c r="BR355" s="82"/>
      <c r="BS355" s="82"/>
      <c r="BT355" s="82"/>
      <c r="BU355" s="82"/>
      <c r="BV355" s="82"/>
      <c r="BW355" s="82"/>
      <c r="BX355" s="82"/>
      <c r="BY355" s="82"/>
      <c r="BZ355" s="82"/>
      <c r="CA355" s="82"/>
      <c r="CB355" s="82"/>
      <c r="CC355" s="82"/>
      <c r="CD355" s="82"/>
      <c r="CE355" s="82"/>
      <c r="CF355" s="82"/>
      <c r="CG355" s="82"/>
      <c r="CH355" s="82"/>
    </row>
    <row r="356" spans="1:86" s="93" customFormat="1">
      <c r="A356" s="97" t="s">
        <v>354</v>
      </c>
      <c r="B356" s="65">
        <v>158.9</v>
      </c>
      <c r="C356" s="40">
        <v>161.5</v>
      </c>
      <c r="D356" s="40">
        <v>163.9</v>
      </c>
      <c r="E356" s="40">
        <v>168.4</v>
      </c>
      <c r="F356" s="67">
        <v>167.5</v>
      </c>
      <c r="G356" s="40">
        <v>165.2</v>
      </c>
      <c r="H356" s="40">
        <v>162.6</v>
      </c>
      <c r="I356" s="40">
        <v>165.3</v>
      </c>
      <c r="J356" s="40">
        <v>168</v>
      </c>
      <c r="K356" s="67">
        <v>167.1</v>
      </c>
      <c r="M356" s="98">
        <f t="shared" ref="M356:M357" si="165">(C356-B356)/B356</f>
        <v>1.6362492133417207E-2</v>
      </c>
      <c r="N356" s="99">
        <f t="shared" si="164"/>
        <v>1.4860681114551119E-2</v>
      </c>
      <c r="O356" s="99">
        <f t="shared" si="164"/>
        <v>2.7455765710799267E-2</v>
      </c>
      <c r="P356" s="100">
        <f t="shared" si="164"/>
        <v>-5.3444180522565655E-3</v>
      </c>
      <c r="Q356" s="99">
        <f t="shared" si="164"/>
        <v>-1.3731343283582158E-2</v>
      </c>
      <c r="R356" s="99">
        <f t="shared" si="164"/>
        <v>-1.5738498789346213E-2</v>
      </c>
      <c r="S356" s="99">
        <f t="shared" si="164"/>
        <v>1.6605166051660621E-2</v>
      </c>
      <c r="T356" s="99">
        <f t="shared" si="164"/>
        <v>1.6333938294010818E-2</v>
      </c>
      <c r="U356" s="100">
        <f t="shared" si="164"/>
        <v>-5.357142857142891E-3</v>
      </c>
      <c r="V356" s="82"/>
      <c r="W356" s="82"/>
      <c r="X356" s="82"/>
      <c r="Y356" s="82"/>
      <c r="Z356" s="82"/>
      <c r="AA356" s="82"/>
      <c r="AB356" s="82"/>
      <c r="AC356" s="82"/>
      <c r="AD356" s="82"/>
      <c r="AE356" s="82"/>
      <c r="AF356" s="82"/>
      <c r="AG356" s="82"/>
      <c r="AH356" s="82"/>
      <c r="AI356" s="82"/>
      <c r="AJ356" s="82"/>
      <c r="AK356" s="82"/>
      <c r="AL356" s="82"/>
      <c r="AM356" s="82"/>
      <c r="AN356" s="82"/>
      <c r="AO356" s="82"/>
      <c r="AP356" s="82"/>
      <c r="AQ356" s="82"/>
      <c r="AR356" s="82"/>
      <c r="AS356" s="82"/>
      <c r="AT356" s="82"/>
      <c r="AU356" s="82"/>
      <c r="AV356" s="82"/>
      <c r="AW356" s="82"/>
      <c r="AX356" s="82"/>
      <c r="AY356" s="82"/>
      <c r="AZ356" s="82"/>
      <c r="BA356" s="82"/>
      <c r="BB356" s="82"/>
      <c r="BC356" s="82"/>
      <c r="BD356" s="82"/>
      <c r="BE356" s="82"/>
      <c r="BF356" s="82"/>
      <c r="BG356" s="82"/>
      <c r="BH356" s="82"/>
      <c r="BI356" s="82"/>
      <c r="BJ356" s="82"/>
      <c r="BK356" s="82"/>
      <c r="BL356" s="82"/>
      <c r="BM356" s="82"/>
      <c r="BN356" s="82"/>
      <c r="BO356" s="82"/>
      <c r="BP356" s="82"/>
      <c r="BQ356" s="82"/>
      <c r="BR356" s="82"/>
      <c r="BS356" s="82"/>
      <c r="BT356" s="82"/>
      <c r="BU356" s="82"/>
      <c r="BV356" s="82"/>
      <c r="BW356" s="82"/>
      <c r="BX356" s="82"/>
      <c r="BY356" s="82"/>
      <c r="BZ356" s="82"/>
      <c r="CA356" s="82"/>
      <c r="CB356" s="82"/>
      <c r="CC356" s="82"/>
      <c r="CD356" s="82"/>
      <c r="CE356" s="82"/>
      <c r="CF356" s="82"/>
      <c r="CG356" s="82"/>
      <c r="CH356" s="82"/>
    </row>
    <row r="357" spans="1:86" s="113" customFormat="1" thickBot="1">
      <c r="A357" s="123" t="s">
        <v>3</v>
      </c>
      <c r="B357" s="68">
        <f>SUM(B355:B356)</f>
        <v>691</v>
      </c>
      <c r="C357" s="69">
        <f t="shared" ref="C357:K357" si="166">SUM(C355:C356)</f>
        <v>673</v>
      </c>
      <c r="D357" s="69">
        <f t="shared" si="166"/>
        <v>660.9</v>
      </c>
      <c r="E357" s="69">
        <f t="shared" si="166"/>
        <v>662.9</v>
      </c>
      <c r="F357" s="70">
        <f t="shared" si="166"/>
        <v>670.1</v>
      </c>
      <c r="G357" s="69">
        <f t="shared" si="166"/>
        <v>674.2</v>
      </c>
      <c r="H357" s="69">
        <f t="shared" si="166"/>
        <v>677.6</v>
      </c>
      <c r="I357" s="69">
        <f t="shared" si="166"/>
        <v>680.3</v>
      </c>
      <c r="J357" s="69">
        <f t="shared" si="166"/>
        <v>685.7</v>
      </c>
      <c r="K357" s="70">
        <f t="shared" si="166"/>
        <v>690.5</v>
      </c>
      <c r="M357" s="124">
        <f t="shared" si="165"/>
        <v>-2.6049204052098408E-2</v>
      </c>
      <c r="N357" s="125">
        <f t="shared" si="164"/>
        <v>-1.7979197622585472E-2</v>
      </c>
      <c r="O357" s="125">
        <f t="shared" si="164"/>
        <v>3.0261764260856409E-3</v>
      </c>
      <c r="P357" s="126">
        <f t="shared" si="164"/>
        <v>1.0861366721979251E-2</v>
      </c>
      <c r="Q357" s="125">
        <f t="shared" si="164"/>
        <v>6.1184897776451613E-3</v>
      </c>
      <c r="R357" s="125">
        <f t="shared" si="164"/>
        <v>5.0430139424502774E-3</v>
      </c>
      <c r="S357" s="125">
        <f t="shared" si="164"/>
        <v>3.9846517119243386E-3</v>
      </c>
      <c r="T357" s="125">
        <f t="shared" si="164"/>
        <v>7.9376745553433655E-3</v>
      </c>
      <c r="U357" s="126">
        <f t="shared" si="164"/>
        <v>7.0001458363715243E-3</v>
      </c>
      <c r="V357" s="84"/>
      <c r="W357" s="84"/>
      <c r="X357" s="84"/>
      <c r="Y357" s="84"/>
      <c r="Z357" s="84"/>
      <c r="AA357" s="84"/>
      <c r="AB357" s="84"/>
      <c r="AC357" s="84"/>
      <c r="AD357" s="84"/>
      <c r="AE357" s="84"/>
      <c r="AF357" s="84"/>
      <c r="AG357" s="84"/>
      <c r="AH357" s="84"/>
      <c r="AI357" s="84"/>
      <c r="AJ357" s="84"/>
      <c r="AK357" s="84"/>
      <c r="AL357" s="84"/>
      <c r="AM357" s="84"/>
      <c r="AN357" s="84"/>
      <c r="AO357" s="84"/>
      <c r="AP357" s="84"/>
      <c r="AQ357" s="84"/>
      <c r="AR357" s="84"/>
      <c r="AS357" s="84"/>
      <c r="AT357" s="84"/>
      <c r="AU357" s="84"/>
      <c r="AV357" s="84"/>
      <c r="AW357" s="84"/>
      <c r="AX357" s="84"/>
      <c r="AY357" s="84"/>
      <c r="AZ357" s="84"/>
      <c r="BA357" s="84"/>
      <c r="BB357" s="84"/>
      <c r="BC357" s="84"/>
      <c r="BD357" s="84"/>
      <c r="BE357" s="84"/>
      <c r="BF357" s="84"/>
      <c r="BG357" s="84"/>
      <c r="BH357" s="84"/>
      <c r="BI357" s="84"/>
      <c r="BJ357" s="84"/>
      <c r="BK357" s="84"/>
      <c r="BL357" s="84"/>
      <c r="BM357" s="84"/>
      <c r="BN357" s="84"/>
      <c r="BO357" s="84"/>
      <c r="BP357" s="84"/>
      <c r="BQ357" s="84"/>
      <c r="BR357" s="84"/>
      <c r="BS357" s="84"/>
      <c r="BT357" s="84"/>
      <c r="BU357" s="84"/>
      <c r="BV357" s="84"/>
      <c r="BW357" s="84"/>
      <c r="BX357" s="84"/>
      <c r="BY357" s="84"/>
      <c r="BZ357" s="84"/>
      <c r="CA357" s="84"/>
      <c r="CB357" s="84"/>
      <c r="CC357" s="84"/>
      <c r="CD357" s="84"/>
      <c r="CE357" s="84"/>
      <c r="CF357" s="84"/>
      <c r="CG357" s="84"/>
      <c r="CH357" s="84"/>
    </row>
    <row r="358" spans="1:86">
      <c r="A358" s="5" t="s">
        <v>14</v>
      </c>
      <c r="B358" s="546"/>
      <c r="C358" s="546"/>
      <c r="D358" s="546"/>
      <c r="E358" s="546"/>
      <c r="F358" s="546"/>
      <c r="G358" s="546"/>
      <c r="H358" s="546"/>
      <c r="I358" s="546"/>
      <c r="J358" s="546"/>
      <c r="K358" s="546"/>
      <c r="L358" s="54"/>
    </row>
    <row r="359" spans="1:86">
      <c r="A359" s="13" t="s">
        <v>388</v>
      </c>
      <c r="B359" s="61"/>
      <c r="C359" s="61"/>
      <c r="D359" s="61"/>
      <c r="E359" s="61"/>
      <c r="F359" s="54"/>
      <c r="G359" s="54"/>
      <c r="H359" s="12"/>
      <c r="I359" s="12"/>
      <c r="J359" s="12"/>
      <c r="K359" s="12"/>
      <c r="L359" s="12"/>
      <c r="M359" s="12"/>
      <c r="N359" s="12"/>
      <c r="O359" s="23"/>
      <c r="P359" s="23"/>
      <c r="Q359" s="23"/>
    </row>
    <row r="360" spans="1:86">
      <c r="A360" s="13"/>
      <c r="K360" s="23"/>
      <c r="L360" s="12"/>
      <c r="M360" s="12"/>
      <c r="N360" s="12"/>
      <c r="O360" s="12"/>
      <c r="P360" s="12"/>
      <c r="Q360" s="54"/>
    </row>
    <row r="361" spans="1:86" ht="14.25" thickBot="1">
      <c r="A361" s="13"/>
      <c r="B361" s="54"/>
      <c r="C361" s="54"/>
      <c r="D361" s="54"/>
      <c r="E361" s="54"/>
      <c r="L361" s="14"/>
      <c r="M361" s="14"/>
      <c r="N361" s="14"/>
      <c r="O361" s="12"/>
      <c r="P361" s="12"/>
      <c r="Q361" s="54"/>
    </row>
    <row r="362" spans="1:86" s="93" customFormat="1" ht="13.5" customHeight="1" thickBot="1">
      <c r="B362" s="89" t="s">
        <v>16</v>
      </c>
      <c r="C362" s="2" t="s">
        <v>17</v>
      </c>
      <c r="D362" s="2" t="s">
        <v>18</v>
      </c>
      <c r="E362" s="2" t="s">
        <v>19</v>
      </c>
      <c r="F362" s="151" t="s">
        <v>94</v>
      </c>
      <c r="G362" s="90" t="s">
        <v>97</v>
      </c>
      <c r="H362" s="90" t="s">
        <v>98</v>
      </c>
      <c r="I362" s="90" t="s">
        <v>211</v>
      </c>
      <c r="J362" s="90" t="s">
        <v>212</v>
      </c>
      <c r="K362" s="91" t="s">
        <v>213</v>
      </c>
    </row>
    <row r="363" spans="1:86" s="93" customFormat="1" ht="13.5" customHeight="1">
      <c r="A363" s="92" t="s">
        <v>353</v>
      </c>
      <c r="B363" s="523">
        <f>B355/B$357</f>
        <v>0.77004341534008691</v>
      </c>
      <c r="C363" s="524">
        <f t="shared" ref="C363:K363" si="167">C355/C$357</f>
        <v>0.76002971768202077</v>
      </c>
      <c r="D363" s="524">
        <f t="shared" si="167"/>
        <v>0.75200484188228178</v>
      </c>
      <c r="E363" s="524">
        <f t="shared" si="167"/>
        <v>0.74596470055815356</v>
      </c>
      <c r="F363" s="250">
        <f t="shared" si="167"/>
        <v>0.75003730786449785</v>
      </c>
      <c r="G363" s="524">
        <f t="shared" si="167"/>
        <v>0.75496885197270835</v>
      </c>
      <c r="H363" s="524">
        <f t="shared" si="167"/>
        <v>0.76003541912632822</v>
      </c>
      <c r="I363" s="524">
        <f t="shared" si="167"/>
        <v>0.75701896222254894</v>
      </c>
      <c r="J363" s="524">
        <f t="shared" si="167"/>
        <v>0.7549948957269943</v>
      </c>
      <c r="K363" s="250">
        <f t="shared" si="167"/>
        <v>0.75800144822592319</v>
      </c>
      <c r="M363" s="40"/>
      <c r="N363" s="40"/>
      <c r="O363" s="40"/>
      <c r="P363" s="40"/>
      <c r="Q363" s="127"/>
      <c r="V363" s="82"/>
      <c r="W363" s="82"/>
      <c r="X363" s="82"/>
      <c r="Y363" s="82"/>
      <c r="Z363" s="82"/>
      <c r="AA363" s="82"/>
      <c r="AB363" s="82"/>
      <c r="AC363" s="82"/>
      <c r="AD363" s="82"/>
      <c r="AE363" s="82"/>
      <c r="AF363" s="82"/>
      <c r="AG363" s="82"/>
      <c r="AH363" s="82"/>
      <c r="AI363" s="82"/>
      <c r="AJ363" s="82"/>
      <c r="AK363" s="82"/>
      <c r="AL363" s="82"/>
      <c r="AM363" s="82"/>
      <c r="AN363" s="82"/>
      <c r="AO363" s="82"/>
      <c r="AP363" s="82"/>
      <c r="AQ363" s="82"/>
      <c r="AR363" s="82"/>
      <c r="AS363" s="82"/>
      <c r="AT363" s="82"/>
      <c r="AU363" s="82"/>
      <c r="AV363" s="82"/>
      <c r="AW363" s="82"/>
      <c r="AX363" s="82"/>
      <c r="AY363" s="82"/>
      <c r="AZ363" s="82"/>
      <c r="BA363" s="82"/>
      <c r="BB363" s="82"/>
      <c r="BC363" s="82"/>
      <c r="BD363" s="82"/>
      <c r="BE363" s="82"/>
      <c r="BF363" s="82"/>
      <c r="BG363" s="82"/>
      <c r="BH363" s="82"/>
      <c r="BI363" s="82"/>
      <c r="BJ363" s="82"/>
      <c r="BK363" s="82"/>
      <c r="BL363" s="82"/>
      <c r="BM363" s="82"/>
      <c r="BN363" s="82"/>
      <c r="BO363" s="82"/>
      <c r="BP363" s="82"/>
      <c r="BQ363" s="82"/>
      <c r="BR363" s="82"/>
      <c r="BS363" s="82"/>
      <c r="BT363" s="82"/>
      <c r="BU363" s="82"/>
      <c r="BV363" s="82"/>
      <c r="BW363" s="82"/>
      <c r="BX363" s="82"/>
      <c r="BY363" s="82"/>
      <c r="BZ363" s="82"/>
      <c r="CA363" s="82"/>
      <c r="CB363" s="82"/>
      <c r="CC363" s="82"/>
      <c r="CD363" s="82"/>
      <c r="CE363" s="82"/>
      <c r="CF363" s="82"/>
      <c r="CG363" s="82"/>
      <c r="CH363" s="82"/>
    </row>
    <row r="364" spans="1:86" s="93" customFormat="1" ht="13.5" customHeight="1">
      <c r="A364" s="97" t="s">
        <v>354</v>
      </c>
      <c r="B364" s="523">
        <f>B356/B$357</f>
        <v>0.22995658465991317</v>
      </c>
      <c r="C364" s="524">
        <f t="shared" ref="C364:K364" si="168">C356/C$357</f>
        <v>0.23997028231797921</v>
      </c>
      <c r="D364" s="524">
        <f t="shared" si="168"/>
        <v>0.24799515811771827</v>
      </c>
      <c r="E364" s="524">
        <f t="shared" si="168"/>
        <v>0.25403529944184644</v>
      </c>
      <c r="F364" s="250">
        <f t="shared" si="168"/>
        <v>0.24996269213550215</v>
      </c>
      <c r="G364" s="524">
        <f t="shared" si="168"/>
        <v>0.24503114802729156</v>
      </c>
      <c r="H364" s="524">
        <f t="shared" si="168"/>
        <v>0.23996458087367176</v>
      </c>
      <c r="I364" s="524">
        <f t="shared" si="168"/>
        <v>0.24298103777745117</v>
      </c>
      <c r="J364" s="524">
        <f t="shared" si="168"/>
        <v>0.24500510427300567</v>
      </c>
      <c r="K364" s="250">
        <f t="shared" si="168"/>
        <v>0.24199855177407675</v>
      </c>
      <c r="M364" s="40"/>
      <c r="N364" s="40"/>
      <c r="O364" s="40"/>
      <c r="P364" s="40"/>
      <c r="Q364" s="127"/>
      <c r="V364" s="82"/>
      <c r="W364" s="82"/>
      <c r="X364" s="82"/>
      <c r="Y364" s="82"/>
      <c r="Z364" s="82"/>
      <c r="AA364" s="82"/>
      <c r="AB364" s="82"/>
      <c r="AC364" s="82"/>
      <c r="AD364" s="82"/>
      <c r="AE364" s="82"/>
      <c r="AF364" s="82"/>
      <c r="AG364" s="82"/>
      <c r="AH364" s="82"/>
      <c r="AI364" s="82"/>
      <c r="AJ364" s="82"/>
      <c r="AK364" s="82"/>
      <c r="AL364" s="82"/>
      <c r="AM364" s="82"/>
      <c r="AN364" s="82"/>
      <c r="AO364" s="82"/>
      <c r="AP364" s="82"/>
      <c r="AQ364" s="82"/>
      <c r="AR364" s="82"/>
      <c r="AS364" s="82"/>
      <c r="AT364" s="82"/>
      <c r="AU364" s="82"/>
      <c r="AV364" s="82"/>
      <c r="AW364" s="82"/>
      <c r="AX364" s="82"/>
      <c r="AY364" s="82"/>
      <c r="AZ364" s="82"/>
      <c r="BA364" s="82"/>
      <c r="BB364" s="82"/>
      <c r="BC364" s="82"/>
      <c r="BD364" s="82"/>
      <c r="BE364" s="82"/>
      <c r="BF364" s="82"/>
      <c r="BG364" s="82"/>
      <c r="BH364" s="82"/>
      <c r="BI364" s="82"/>
      <c r="BJ364" s="82"/>
      <c r="BK364" s="82"/>
      <c r="BL364" s="82"/>
      <c r="BM364" s="82"/>
      <c r="BN364" s="82"/>
      <c r="BO364" s="82"/>
      <c r="BP364" s="82"/>
      <c r="BQ364" s="82"/>
      <c r="BR364" s="82"/>
      <c r="BS364" s="82"/>
      <c r="BT364" s="82"/>
      <c r="BU364" s="82"/>
      <c r="BV364" s="82"/>
      <c r="BW364" s="82"/>
      <c r="BX364" s="82"/>
      <c r="BY364" s="82"/>
      <c r="BZ364" s="82"/>
      <c r="CA364" s="82"/>
      <c r="CB364" s="82"/>
      <c r="CC364" s="82"/>
      <c r="CD364" s="82"/>
      <c r="CE364" s="82"/>
      <c r="CF364" s="82"/>
      <c r="CG364" s="82"/>
      <c r="CH364" s="82"/>
    </row>
    <row r="365" spans="1:86" s="93" customFormat="1" ht="13.5" customHeight="1" thickBot="1">
      <c r="A365" s="123" t="s">
        <v>3</v>
      </c>
      <c r="B365" s="525">
        <f>SUM(B363:B364)</f>
        <v>1</v>
      </c>
      <c r="C365" s="526">
        <f t="shared" ref="C365:K365" si="169">SUM(C363:C364)</f>
        <v>1</v>
      </c>
      <c r="D365" s="526">
        <f t="shared" si="169"/>
        <v>1</v>
      </c>
      <c r="E365" s="526">
        <f t="shared" si="169"/>
        <v>1</v>
      </c>
      <c r="F365" s="527">
        <f t="shared" si="169"/>
        <v>1</v>
      </c>
      <c r="G365" s="526">
        <f t="shared" si="169"/>
        <v>0.99999999999999989</v>
      </c>
      <c r="H365" s="526">
        <f t="shared" si="169"/>
        <v>1</v>
      </c>
      <c r="I365" s="526">
        <f t="shared" si="169"/>
        <v>1</v>
      </c>
      <c r="J365" s="526">
        <f t="shared" si="169"/>
        <v>1</v>
      </c>
      <c r="K365" s="527">
        <f t="shared" si="169"/>
        <v>1</v>
      </c>
      <c r="M365" s="130"/>
      <c r="N365" s="130"/>
      <c r="O365" s="130"/>
      <c r="P365" s="130"/>
      <c r="Q365" s="130"/>
      <c r="V365" s="82"/>
      <c r="W365" s="82"/>
      <c r="X365" s="82"/>
      <c r="Y365" s="82"/>
      <c r="Z365" s="82"/>
      <c r="AA365" s="82"/>
      <c r="AB365" s="82"/>
      <c r="AC365" s="82"/>
      <c r="AD365" s="82"/>
      <c r="AE365" s="82"/>
      <c r="AF365" s="82"/>
      <c r="AG365" s="82"/>
      <c r="AH365" s="82"/>
      <c r="AI365" s="82"/>
      <c r="AJ365" s="82"/>
      <c r="AK365" s="82"/>
      <c r="AL365" s="82"/>
      <c r="AM365" s="82"/>
      <c r="AN365" s="82"/>
      <c r="AO365" s="82"/>
      <c r="AP365" s="82"/>
      <c r="AQ365" s="82"/>
      <c r="AR365" s="82"/>
      <c r="AS365" s="82"/>
      <c r="AT365" s="82"/>
      <c r="AU365" s="82"/>
      <c r="AV365" s="82"/>
      <c r="AW365" s="82"/>
      <c r="AX365" s="82"/>
      <c r="AY365" s="82"/>
      <c r="AZ365" s="82"/>
      <c r="BA365" s="82"/>
      <c r="BB365" s="82"/>
      <c r="BC365" s="82"/>
      <c r="BD365" s="82"/>
      <c r="BE365" s="82"/>
      <c r="BF365" s="82"/>
      <c r="BG365" s="82"/>
      <c r="BH365" s="82"/>
      <c r="BI365" s="82"/>
      <c r="BJ365" s="82"/>
      <c r="BK365" s="82"/>
      <c r="BL365" s="82"/>
      <c r="BM365" s="82"/>
      <c r="BN365" s="82"/>
      <c r="BO365" s="82"/>
      <c r="BP365" s="82"/>
      <c r="BQ365" s="82"/>
      <c r="BR365" s="82"/>
      <c r="BS365" s="82"/>
      <c r="BT365" s="82"/>
      <c r="BU365" s="82"/>
      <c r="BV365" s="82"/>
      <c r="BW365" s="82"/>
      <c r="BX365" s="82"/>
      <c r="BY365" s="82"/>
      <c r="BZ365" s="82"/>
      <c r="CA365" s="82"/>
      <c r="CB365" s="82"/>
      <c r="CC365" s="82"/>
      <c r="CD365" s="82"/>
      <c r="CE365" s="82"/>
      <c r="CF365" s="82"/>
      <c r="CG365" s="82"/>
      <c r="CH365" s="82"/>
    </row>
    <row r="366" spans="1:86">
      <c r="B366" s="20"/>
      <c r="C366" s="20"/>
      <c r="D366" s="20"/>
      <c r="E366" s="20"/>
      <c r="F366" s="20"/>
      <c r="G366" s="20"/>
      <c r="H366" s="20"/>
      <c r="I366" s="20"/>
      <c r="J366" s="20"/>
      <c r="K366" s="20"/>
    </row>
    <row r="367" spans="1:86" s="21" customFormat="1" ht="14.25" thickBot="1">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row>
  </sheetData>
  <sheetProtection algorithmName="SHA-512" hashValue="sW5whWU7e0Hcj4JfJ0bHprYVkSVK4Os7Y4QOahASSvQ/wTkZFfWfTn26XKAEb3J19QM7oraYhrCmOYHRgu3sUA==" saltValue="RmR6VtWU0PhZXURmfI7zhA==" spinCount="100000" sheet="1" formatCells="0" formatColumns="0" formatRows="0" insertColumns="0" insertRows="0" insertHyperlinks="0" deleteColumns="0" deleteRows="0" sort="0" autoFilter="0" pivotTables="0"/>
  <customSheetViews>
    <customSheetView guid="{6EFF7B11-DE7E-4129-AF78-EEA0AB3489F2}" showRuler="0">
      <selection activeCell="M13" sqref="M13"/>
      <pageMargins left="0.75" right="0.75" top="1" bottom="1" header="0.5" footer="0.5"/>
      <pageSetup scale="61" orientation="landscape" r:id="rId1"/>
      <headerFooter alignWithMargins="0">
        <oddHeader>&amp;CMarché Équipements SDB</oddHeader>
        <oddFooter>&amp;LMSI Marketing Research for Industry&amp;CÉquipement de Salle de Bains&amp;Rwww.msi-etudes.fr</oddFooter>
      </headerFooter>
    </customSheetView>
  </customSheetViews>
  <phoneticPr fontId="0" type="noConversion"/>
  <pageMargins left="0.74803149606299213" right="0.74803149606299213" top="0.98425196850393704" bottom="0.98425196850393704" header="0.51181102362204722" footer="0.51181102362204722"/>
  <pageSetup paperSize="9" scale="65" orientation="landscape" r:id="rId2"/>
  <headerFooter alignWithMargins="0">
    <oddHeader>&amp;CTaille de Marché</oddHeader>
    <oddFooter>&amp;L&amp;"StopD,Normal"&amp;26MSI &amp;"Arial,Normal"&amp;10Reports
www.msi-reports.com&amp;RMarché de la Robinetterie Sanitaire en France
Octobre 2018</oddFooter>
  </headerFooter>
  <rowBreaks count="8" manualBreakCount="8">
    <brk id="37" max="16383" man="1"/>
    <brk id="61" max="16383" man="1"/>
    <brk id="104" max="16383" man="1"/>
    <brk id="150" max="16383" man="1"/>
    <brk id="186" max="16383" man="1"/>
    <brk id="232" max="16383" man="1"/>
    <brk id="283" max="16383" man="1"/>
    <brk id="318" max="16383" man="1"/>
  </rowBreaks>
  <ignoredErrors>
    <ignoredError sqref="E168:S169 V122 C240:C241 M10:V13 N294:U294 N131:X132 V223:W223 T222:U223 N196:Q196 C151:V152 N253:U254 C137:K137 N129:U129 I159:K159 V21:V23 V17:V19 I304:R305 C170 M8:U9 C52 I113:U113 F186:U188 L158:R159 L51:L52 C171:D171 E165:S165 C121:U124 L41:L47 C186:E187 K59 C132:M132 V126:X129 M23:U23 V6:V9 N256:U259 L60:U60 L134:U137 C159:H164 S158:U164 I160:R164 G170:U171 T229:W229 T224:W227 I302:R302" evalError="1"/>
    <ignoredError sqref="C302:H302 B131" formulaRange="1"/>
    <ignoredError sqref="C158 C229 C131 L129:M129 H131:M131 C226:C227" evalError="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41"/>
  <sheetViews>
    <sheetView zoomScaleNormal="100" workbookViewId="0"/>
  </sheetViews>
  <sheetFormatPr baseColWidth="10" defaultColWidth="11.42578125" defaultRowHeight="13.5"/>
  <cols>
    <col min="1" max="1" width="20.7109375" style="14" customWidth="1"/>
    <col min="2" max="21" width="9.140625" style="14" customWidth="1"/>
    <col min="22" max="65" width="9.140625" style="32" customWidth="1"/>
    <col min="66" max="260" width="9.140625" style="14" customWidth="1"/>
    <col min="261" max="16384" width="11.42578125" style="14"/>
  </cols>
  <sheetData>
    <row r="1" spans="1:65" s="33" customFormat="1" ht="21.75" customHeight="1">
      <c r="A1" s="260" t="s">
        <v>74</v>
      </c>
      <c r="B1" s="261"/>
      <c r="C1" s="261"/>
      <c r="D1" s="261"/>
      <c r="E1" s="261"/>
      <c r="F1" s="261"/>
      <c r="G1" s="261"/>
      <c r="H1" s="261"/>
      <c r="I1" s="261"/>
      <c r="J1" s="261"/>
      <c r="K1" s="261"/>
      <c r="L1" s="261"/>
      <c r="M1" s="261"/>
      <c r="N1" s="261"/>
      <c r="O1" s="261"/>
      <c r="P1" s="261"/>
      <c r="Q1" s="261"/>
      <c r="R1" s="261"/>
      <c r="S1" s="261"/>
      <c r="T1" s="261"/>
      <c r="U1" s="261"/>
      <c r="V1" s="261"/>
      <c r="W1" s="261"/>
      <c r="X1" s="261"/>
      <c r="Y1" s="261"/>
    </row>
    <row r="2" spans="1:65">
      <c r="A2" s="15"/>
    </row>
    <row r="3" spans="1:65">
      <c r="A3" s="15" t="s">
        <v>386</v>
      </c>
      <c r="B3" s="25" t="s">
        <v>311</v>
      </c>
    </row>
    <row r="5" spans="1:65" s="50" customFormat="1" ht="14.25" thickBot="1">
      <c r="B5" s="51" t="s">
        <v>86</v>
      </c>
      <c r="G5" s="51" t="s">
        <v>85</v>
      </c>
      <c r="R5" s="51"/>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row>
    <row r="6" spans="1:65" s="93" customFormat="1" ht="14.25" thickBot="1">
      <c r="B6" s="166">
        <v>2016</v>
      </c>
      <c r="C6" s="88">
        <v>2017</v>
      </c>
      <c r="D6" s="88" t="s">
        <v>310</v>
      </c>
      <c r="E6" s="142" t="s">
        <v>94</v>
      </c>
      <c r="G6" s="166">
        <v>2016</v>
      </c>
      <c r="H6" s="88">
        <v>2017</v>
      </c>
      <c r="I6" s="88" t="s">
        <v>310</v>
      </c>
      <c r="J6" s="142" t="s">
        <v>94</v>
      </c>
      <c r="L6" s="234" t="s">
        <v>75</v>
      </c>
      <c r="M6" s="82"/>
      <c r="N6" s="82"/>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row>
    <row r="7" spans="1:65" s="93" customFormat="1">
      <c r="A7" s="92" t="s">
        <v>29</v>
      </c>
      <c r="B7" s="63">
        <v>186476</v>
      </c>
      <c r="C7" s="37">
        <v>193619</v>
      </c>
      <c r="D7" s="236">
        <f>(C7-B7)/B7</f>
        <v>3.8305197451682788E-2</v>
      </c>
      <c r="E7" s="237">
        <f>C7/C$17</f>
        <v>0.41515733047440362</v>
      </c>
      <c r="G7" s="63">
        <v>8816</v>
      </c>
      <c r="H7" s="37">
        <v>9175</v>
      </c>
      <c r="I7" s="236">
        <f>(H7-G7)/G7</f>
        <v>4.0721415607985478E-2</v>
      </c>
      <c r="J7" s="237">
        <f>H7/H$17</f>
        <v>0.32978685165881888</v>
      </c>
      <c r="K7" s="177"/>
      <c r="L7" s="178">
        <f>C7*1000/H7</f>
        <v>21102.888283378747</v>
      </c>
      <c r="M7" s="39"/>
      <c r="N7" s="81"/>
      <c r="O7" s="82"/>
      <c r="P7" s="81"/>
      <c r="Q7" s="39"/>
      <c r="R7" s="81"/>
      <c r="S7" s="81"/>
      <c r="T7" s="81"/>
      <c r="U7" s="39"/>
      <c r="V7" s="39"/>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row>
    <row r="8" spans="1:65" s="93" customFormat="1">
      <c r="A8" s="97" t="s">
        <v>31</v>
      </c>
      <c r="B8" s="64">
        <v>107269</v>
      </c>
      <c r="C8" s="39">
        <v>117677</v>
      </c>
      <c r="D8" s="235">
        <f t="shared" ref="D8:D17" si="0">(C8-B8)/B8</f>
        <v>9.7027100094155813E-2</v>
      </c>
      <c r="E8" s="238">
        <f>C8/C$17</f>
        <v>0.25232270168855536</v>
      </c>
      <c r="G8" s="64">
        <v>10325</v>
      </c>
      <c r="H8" s="39">
        <v>11718</v>
      </c>
      <c r="I8" s="235">
        <f t="shared" ref="I8:I17" si="1">(H8-G8)/G8</f>
        <v>0.13491525423728815</v>
      </c>
      <c r="J8" s="238">
        <f>H8/H$17</f>
        <v>0.42119262427662557</v>
      </c>
      <c r="K8" s="177"/>
      <c r="L8" s="179">
        <f t="shared" ref="L8:L17" si="2">C8*1000/H8</f>
        <v>10042.413381123059</v>
      </c>
      <c r="M8" s="39"/>
      <c r="N8" s="81"/>
      <c r="O8" s="81"/>
      <c r="P8" s="81"/>
      <c r="Q8" s="82"/>
      <c r="R8" s="81"/>
      <c r="S8" s="81"/>
      <c r="T8" s="81"/>
      <c r="U8" s="79"/>
      <c r="V8" s="79"/>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row>
    <row r="9" spans="1:65" s="93" customFormat="1">
      <c r="A9" s="97" t="s">
        <v>30</v>
      </c>
      <c r="B9" s="64">
        <v>91384</v>
      </c>
      <c r="C9" s="39">
        <v>95027</v>
      </c>
      <c r="D9" s="235">
        <f t="shared" si="0"/>
        <v>3.9864746563949928E-2</v>
      </c>
      <c r="E9" s="238">
        <f>C9/C$17</f>
        <v>0.20375663361029214</v>
      </c>
      <c r="G9" s="64">
        <v>3807</v>
      </c>
      <c r="H9" s="39">
        <v>4069</v>
      </c>
      <c r="I9" s="235">
        <f t="shared" si="1"/>
        <v>6.8820593643288686E-2</v>
      </c>
      <c r="J9" s="238">
        <f>H9/H$17</f>
        <v>0.14625642500269581</v>
      </c>
      <c r="K9" s="177"/>
      <c r="L9" s="179">
        <f t="shared" si="2"/>
        <v>23353.895305971982</v>
      </c>
      <c r="M9" s="39"/>
      <c r="N9" s="81"/>
      <c r="O9" s="81"/>
      <c r="P9" s="81"/>
      <c r="Q9" s="82"/>
      <c r="R9" s="81"/>
      <c r="S9" s="81"/>
      <c r="T9" s="81"/>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row>
    <row r="10" spans="1:65" s="93" customFormat="1">
      <c r="A10" s="97" t="s">
        <v>32</v>
      </c>
      <c r="B10" s="64">
        <v>14516</v>
      </c>
      <c r="C10" s="39">
        <v>13676</v>
      </c>
      <c r="D10" s="235">
        <f t="shared" si="0"/>
        <v>-5.7867181041609261E-2</v>
      </c>
      <c r="E10" s="238">
        <f t="shared" ref="E10:E15" si="3">C10/C$17</f>
        <v>2.9324041811846689E-2</v>
      </c>
      <c r="G10" s="64">
        <v>771</v>
      </c>
      <c r="H10" s="39">
        <v>647</v>
      </c>
      <c r="I10" s="235">
        <f t="shared" si="1"/>
        <v>-0.1608300907911803</v>
      </c>
      <c r="J10" s="238">
        <f>H10/H$17</f>
        <v>2.3255813953488372E-2</v>
      </c>
      <c r="K10" s="177"/>
      <c r="L10" s="179">
        <f>C10*1000/H10</f>
        <v>21137.557959814527</v>
      </c>
      <c r="M10" s="39"/>
      <c r="N10" s="81"/>
      <c r="O10" s="81"/>
      <c r="P10" s="81"/>
      <c r="Q10" s="82"/>
      <c r="R10" s="81"/>
      <c r="S10" s="81"/>
      <c r="T10" s="81"/>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row>
    <row r="11" spans="1:65" s="93" customFormat="1">
      <c r="A11" s="97" t="s">
        <v>33</v>
      </c>
      <c r="B11" s="64">
        <v>12297</v>
      </c>
      <c r="C11" s="39">
        <v>12105</v>
      </c>
      <c r="D11" s="235">
        <f t="shared" si="0"/>
        <v>-1.56135642839717E-2</v>
      </c>
      <c r="E11" s="238">
        <f t="shared" si="3"/>
        <v>2.5955507906727418E-2</v>
      </c>
      <c r="G11" s="64">
        <v>890</v>
      </c>
      <c r="H11" s="39">
        <v>876</v>
      </c>
      <c r="I11" s="235">
        <f t="shared" si="1"/>
        <v>-1.5730337078651686E-2</v>
      </c>
      <c r="J11" s="238">
        <f>H11/H$17</f>
        <v>3.1487006218324287E-2</v>
      </c>
      <c r="K11" s="177"/>
      <c r="L11" s="179">
        <f t="shared" si="2"/>
        <v>13818.493150684932</v>
      </c>
      <c r="M11" s="39"/>
      <c r="N11" s="81"/>
      <c r="O11" s="81"/>
      <c r="P11" s="81"/>
      <c r="Q11" s="82"/>
      <c r="R11" s="81"/>
      <c r="S11" s="81"/>
      <c r="T11" s="81"/>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row>
    <row r="12" spans="1:65" s="93" customFormat="1">
      <c r="A12" s="97" t="s">
        <v>309</v>
      </c>
      <c r="B12" s="64">
        <v>6831</v>
      </c>
      <c r="C12" s="39">
        <v>5276</v>
      </c>
      <c r="D12" s="235">
        <f t="shared" si="0"/>
        <v>-0.22763870589957547</v>
      </c>
      <c r="E12" s="238">
        <f t="shared" si="3"/>
        <v>1.131278477619941E-2</v>
      </c>
      <c r="G12" s="64">
        <v>444</v>
      </c>
      <c r="H12" s="39">
        <v>374</v>
      </c>
      <c r="I12" s="235">
        <f t="shared" si="1"/>
        <v>-0.15765765765765766</v>
      </c>
      <c r="J12" s="238">
        <f t="shared" ref="J12:J15" si="4">H12/H$17</f>
        <v>1.3443082563531146E-2</v>
      </c>
      <c r="K12" s="177"/>
      <c r="L12" s="179">
        <f t="shared" si="2"/>
        <v>14106.951871657753</v>
      </c>
      <c r="M12" s="39"/>
      <c r="N12" s="81"/>
      <c r="O12" s="81"/>
      <c r="P12" s="81"/>
      <c r="Q12" s="82"/>
      <c r="R12" s="81"/>
      <c r="S12" s="81"/>
      <c r="T12" s="81"/>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row>
    <row r="13" spans="1:65" s="93" customFormat="1">
      <c r="A13" s="97" t="s">
        <v>35</v>
      </c>
      <c r="B13" s="64">
        <v>4713</v>
      </c>
      <c r="C13" s="39">
        <v>5054</v>
      </c>
      <c r="D13" s="235">
        <f t="shared" si="0"/>
        <v>7.2353065987693616E-2</v>
      </c>
      <c r="E13" s="238">
        <f t="shared" si="3"/>
        <v>1.0836772983114447E-2</v>
      </c>
      <c r="G13" s="64">
        <v>68</v>
      </c>
      <c r="H13" s="39">
        <v>69</v>
      </c>
      <c r="I13" s="235">
        <f t="shared" si="1"/>
        <v>1.4705882352941176E-2</v>
      </c>
      <c r="J13" s="238">
        <f t="shared" si="4"/>
        <v>2.4801409007584197E-3</v>
      </c>
      <c r="K13" s="177"/>
      <c r="L13" s="179">
        <f t="shared" si="2"/>
        <v>73246.376811594208</v>
      </c>
      <c r="M13" s="39"/>
      <c r="N13" s="81"/>
      <c r="O13" s="81"/>
      <c r="P13" s="81"/>
      <c r="Q13" s="82"/>
      <c r="R13" s="81"/>
      <c r="S13" s="81"/>
      <c r="T13" s="81"/>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row>
    <row r="14" spans="1:65" s="93" customFormat="1">
      <c r="A14" s="97" t="s">
        <v>62</v>
      </c>
      <c r="B14" s="64">
        <v>4152</v>
      </c>
      <c r="C14" s="39">
        <v>4633</v>
      </c>
      <c r="D14" s="235">
        <f t="shared" si="0"/>
        <v>0.11584778420038536</v>
      </c>
      <c r="E14" s="238">
        <f t="shared" si="3"/>
        <v>9.9340659340659346E-3</v>
      </c>
      <c r="G14" s="64">
        <v>250</v>
      </c>
      <c r="H14" s="39">
        <v>267</v>
      </c>
      <c r="I14" s="235">
        <f t="shared" si="1"/>
        <v>6.8000000000000005E-2</v>
      </c>
      <c r="J14" s="238">
        <f t="shared" si="4"/>
        <v>9.5970669638043207E-3</v>
      </c>
      <c r="K14" s="177"/>
      <c r="L14" s="179">
        <f t="shared" si="2"/>
        <v>17352.059925093632</v>
      </c>
      <c r="M14" s="39"/>
      <c r="N14" s="81"/>
      <c r="O14" s="81"/>
      <c r="P14" s="81"/>
      <c r="Q14" s="82"/>
      <c r="R14" s="81"/>
      <c r="S14" s="81"/>
      <c r="T14" s="81"/>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row>
    <row r="15" spans="1:65" s="93" customFormat="1">
      <c r="A15" s="97" t="s">
        <v>34</v>
      </c>
      <c r="B15" s="64">
        <v>6567</v>
      </c>
      <c r="C15" s="39">
        <v>3191</v>
      </c>
      <c r="D15" s="235">
        <f t="shared" si="0"/>
        <v>-0.51408557941221256</v>
      </c>
      <c r="E15" s="238">
        <f t="shared" si="3"/>
        <v>6.8421334762798179E-3</v>
      </c>
      <c r="G15" s="64">
        <v>34</v>
      </c>
      <c r="H15" s="39">
        <v>22</v>
      </c>
      <c r="I15" s="235">
        <f t="shared" si="1"/>
        <v>-0.35294117647058826</v>
      </c>
      <c r="J15" s="238">
        <f t="shared" si="4"/>
        <v>7.9076956256065559E-4</v>
      </c>
      <c r="K15" s="177"/>
      <c r="L15" s="179">
        <f t="shared" si="2"/>
        <v>145045.45454545456</v>
      </c>
      <c r="M15" s="39"/>
      <c r="N15" s="81"/>
      <c r="O15" s="81"/>
      <c r="P15" s="81"/>
      <c r="Q15" s="82"/>
      <c r="R15" s="81"/>
      <c r="S15" s="81"/>
      <c r="T15" s="81"/>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row>
    <row r="16" spans="1:65" s="93" customFormat="1">
      <c r="A16" s="97" t="s">
        <v>36</v>
      </c>
      <c r="B16" s="64">
        <f>B17-SUM(B7:B15)</f>
        <v>15131</v>
      </c>
      <c r="C16" s="39">
        <f>C17-SUM(C7:C15)</f>
        <v>16117</v>
      </c>
      <c r="D16" s="235">
        <f t="shared" si="0"/>
        <v>6.5164232370629835E-2</v>
      </c>
      <c r="E16" s="238">
        <f>C16/C$17</f>
        <v>3.4558027338515145E-2</v>
      </c>
      <c r="G16" s="64">
        <f>G17-SUM(G7:G15)</f>
        <v>563</v>
      </c>
      <c r="H16" s="39">
        <f>H17-SUM(H7:H15)</f>
        <v>604</v>
      </c>
      <c r="I16" s="235">
        <f t="shared" si="1"/>
        <v>7.2824156305506219E-2</v>
      </c>
      <c r="J16" s="238">
        <f>H16/H$17</f>
        <v>2.1710218899392546E-2</v>
      </c>
      <c r="K16" s="177"/>
      <c r="L16" s="179">
        <f t="shared" si="2"/>
        <v>26683.774834437085</v>
      </c>
      <c r="M16" s="39"/>
      <c r="N16" s="81"/>
      <c r="O16" s="81"/>
      <c r="P16" s="81"/>
      <c r="Q16" s="82"/>
      <c r="R16" s="81"/>
      <c r="S16" s="81"/>
      <c r="T16" s="81"/>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row>
    <row r="17" spans="1:65" s="93" customFormat="1" ht="14.25" thickBot="1">
      <c r="A17" s="123" t="s">
        <v>3</v>
      </c>
      <c r="B17" s="72">
        <v>449336</v>
      </c>
      <c r="C17" s="73">
        <v>466375</v>
      </c>
      <c r="D17" s="239">
        <f t="shared" si="0"/>
        <v>3.7920398098527604E-2</v>
      </c>
      <c r="E17" s="240">
        <f>SUM(E7:E16)</f>
        <v>1.0000000000000002</v>
      </c>
      <c r="F17" s="113"/>
      <c r="G17" s="72">
        <v>25968</v>
      </c>
      <c r="H17" s="73">
        <v>27821</v>
      </c>
      <c r="I17" s="239">
        <f t="shared" si="1"/>
        <v>7.1357054836722125E-2</v>
      </c>
      <c r="J17" s="240">
        <f>SUM(J7:J16)</f>
        <v>1.0000000000000002</v>
      </c>
      <c r="K17" s="177"/>
      <c r="L17" s="182">
        <f t="shared" si="2"/>
        <v>16763.416124510262</v>
      </c>
      <c r="M17" s="39"/>
      <c r="N17" s="183"/>
      <c r="O17" s="183"/>
      <c r="P17" s="183"/>
      <c r="Q17" s="82"/>
      <c r="R17" s="183"/>
      <c r="S17" s="183"/>
      <c r="T17" s="183"/>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row>
    <row r="18" spans="1:65">
      <c r="A18" s="5" t="s">
        <v>87</v>
      </c>
      <c r="B18" s="29"/>
      <c r="C18" s="29"/>
      <c r="R18" s="32"/>
      <c r="S18" s="32"/>
      <c r="T18" s="32"/>
      <c r="U18" s="32"/>
    </row>
    <row r="19" spans="1:65">
      <c r="A19" s="5" t="s">
        <v>37</v>
      </c>
      <c r="N19" s="29"/>
      <c r="O19" s="29"/>
      <c r="P19" s="29"/>
      <c r="S19" s="26"/>
      <c r="T19" s="26"/>
      <c r="V19" s="49"/>
    </row>
    <row r="20" spans="1:65">
      <c r="A20" s="5" t="s">
        <v>38</v>
      </c>
      <c r="F20" s="26"/>
      <c r="G20" s="26"/>
      <c r="H20" s="26"/>
      <c r="I20" s="26"/>
      <c r="J20" s="26"/>
      <c r="N20" s="26"/>
      <c r="O20" s="26"/>
      <c r="P20" s="26"/>
      <c r="Z20" s="49"/>
    </row>
    <row r="21" spans="1:65">
      <c r="A21" s="5" t="s">
        <v>385</v>
      </c>
      <c r="C21" s="27"/>
      <c r="D21" s="27"/>
      <c r="E21" s="27"/>
      <c r="F21" s="27"/>
      <c r="G21" s="537"/>
      <c r="H21" s="27"/>
      <c r="I21" s="27"/>
      <c r="J21" s="27"/>
      <c r="M21" s="26"/>
      <c r="N21" s="26"/>
      <c r="O21" s="26"/>
      <c r="P21" s="26"/>
    </row>
    <row r="22" spans="1:65">
      <c r="A22" s="5"/>
      <c r="C22" s="26"/>
      <c r="D22" s="26"/>
      <c r="E22" s="26"/>
      <c r="F22" s="26"/>
      <c r="G22" s="26"/>
      <c r="H22" s="26"/>
      <c r="I22" s="26"/>
      <c r="J22" s="26"/>
    </row>
    <row r="23" spans="1:65" s="34" customFormat="1" ht="13.5" customHeight="1" thickBot="1">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row>
    <row r="24" spans="1:65" ht="13.5" customHeight="1">
      <c r="V24" s="14"/>
      <c r="W24" s="14"/>
      <c r="X24" s="14"/>
      <c r="Y24" s="14"/>
    </row>
    <row r="25" spans="1:65">
      <c r="A25" s="15" t="s">
        <v>387</v>
      </c>
      <c r="B25" s="25" t="s">
        <v>315</v>
      </c>
    </row>
    <row r="27" spans="1:65" s="50" customFormat="1" ht="14.25" thickBot="1">
      <c r="B27" s="51" t="s">
        <v>88</v>
      </c>
      <c r="G27" s="51" t="s">
        <v>85</v>
      </c>
      <c r="P27" s="195"/>
      <c r="S27" s="31"/>
      <c r="T27" s="31"/>
      <c r="U27" s="31"/>
      <c r="V27" s="31"/>
      <c r="W27" s="31"/>
      <c r="X27" s="31"/>
      <c r="Y27" s="31"/>
      <c r="Z27" s="194"/>
      <c r="AA27" s="194"/>
      <c r="AB27" s="194"/>
      <c r="AC27" s="194"/>
      <c r="AD27" s="194"/>
      <c r="AE27" s="194"/>
      <c r="AF27" s="194"/>
      <c r="AG27" s="194"/>
      <c r="AH27" s="194"/>
      <c r="AI27" s="194"/>
      <c r="AJ27" s="194"/>
      <c r="AK27" s="194"/>
      <c r="AL27" s="194"/>
      <c r="AM27" s="194"/>
      <c r="AN27" s="194"/>
      <c r="AO27" s="194"/>
      <c r="AP27" s="194"/>
      <c r="AQ27" s="194"/>
      <c r="AR27" s="194"/>
      <c r="AS27" s="194"/>
      <c r="AT27" s="194"/>
      <c r="AU27" s="194"/>
      <c r="AV27" s="194"/>
      <c r="AW27" s="194"/>
      <c r="AX27" s="194"/>
      <c r="AY27" s="194"/>
      <c r="AZ27" s="194"/>
      <c r="BA27" s="194"/>
      <c r="BB27" s="194"/>
      <c r="BC27" s="194"/>
      <c r="BD27" s="194"/>
      <c r="BE27" s="194"/>
      <c r="BF27" s="194"/>
      <c r="BG27" s="194"/>
      <c r="BH27" s="194"/>
      <c r="BI27" s="194"/>
      <c r="BJ27" s="194"/>
    </row>
    <row r="28" spans="1:65" s="93" customFormat="1" ht="14.25" thickBot="1">
      <c r="B28" s="166">
        <v>2016</v>
      </c>
      <c r="C28" s="88">
        <v>2017</v>
      </c>
      <c r="D28" s="88" t="s">
        <v>310</v>
      </c>
      <c r="E28" s="142" t="s">
        <v>94</v>
      </c>
      <c r="G28" s="166">
        <v>2016</v>
      </c>
      <c r="H28" s="88">
        <v>2017</v>
      </c>
      <c r="I28" s="88" t="s">
        <v>310</v>
      </c>
      <c r="J28" s="142" t="s">
        <v>94</v>
      </c>
      <c r="L28" s="234" t="s">
        <v>75</v>
      </c>
      <c r="P28" s="152"/>
      <c r="S28" s="153"/>
      <c r="T28" s="153"/>
      <c r="U28" s="153"/>
      <c r="V28" s="153"/>
      <c r="W28" s="153"/>
      <c r="X28" s="153"/>
      <c r="Y28" s="153"/>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row>
    <row r="29" spans="1:65" s="93" customFormat="1">
      <c r="A29" s="92" t="s">
        <v>29</v>
      </c>
      <c r="B29" s="63">
        <v>12761</v>
      </c>
      <c r="C29" s="37">
        <v>12426</v>
      </c>
      <c r="D29" s="236">
        <f>(C29-B29)/B29</f>
        <v>-2.6251861139409138E-2</v>
      </c>
      <c r="E29" s="237">
        <f>C29/C$61</f>
        <v>0.27358594420837096</v>
      </c>
      <c r="G29" s="63">
        <v>284</v>
      </c>
      <c r="H29" s="37">
        <v>1381</v>
      </c>
      <c r="I29" s="236">
        <f>(H29-G29)/G29</f>
        <v>3.862676056338028</v>
      </c>
      <c r="J29" s="237">
        <f t="shared" ref="J29:J36" si="5">H29/H$61</f>
        <v>0.42636616239580116</v>
      </c>
      <c r="L29" s="178">
        <f t="shared" ref="L29:L60" si="6">C29*1000/H29</f>
        <v>8997.8276611151341</v>
      </c>
      <c r="O29" s="184"/>
      <c r="P29" s="184"/>
      <c r="Q29" s="184"/>
      <c r="S29" s="153"/>
      <c r="T29" s="153"/>
      <c r="U29" s="153"/>
      <c r="V29" s="153"/>
      <c r="W29" s="153"/>
      <c r="X29" s="153"/>
      <c r="Y29" s="153"/>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row>
    <row r="30" spans="1:65" s="93" customFormat="1">
      <c r="A30" s="97" t="s">
        <v>41</v>
      </c>
      <c r="B30" s="64">
        <v>3152</v>
      </c>
      <c r="C30" s="39">
        <v>3711</v>
      </c>
      <c r="D30" s="235">
        <f t="shared" ref="D30" si="7">(C30-B30)/B30</f>
        <v>0.17734771573604061</v>
      </c>
      <c r="E30" s="238">
        <f>C30/C$61</f>
        <v>8.1705894009115126E-2</v>
      </c>
      <c r="F30" s="80"/>
      <c r="G30" s="64">
        <v>121</v>
      </c>
      <c r="H30" s="39">
        <v>163</v>
      </c>
      <c r="I30" s="235">
        <f t="shared" ref="I30:I31" si="8">(H30-G30)/G30</f>
        <v>0.34710743801652894</v>
      </c>
      <c r="J30" s="238">
        <f t="shared" si="5"/>
        <v>5.0324174127817228E-2</v>
      </c>
      <c r="L30" s="179">
        <f t="shared" si="6"/>
        <v>22766.87116564417</v>
      </c>
      <c r="O30" s="184"/>
      <c r="P30" s="184"/>
      <c r="S30" s="153"/>
      <c r="T30" s="153"/>
      <c r="U30" s="153"/>
      <c r="V30" s="153"/>
      <c r="W30" s="153"/>
      <c r="X30" s="153"/>
      <c r="Y30" s="153"/>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row>
    <row r="31" spans="1:65" s="93" customFormat="1">
      <c r="A31" s="97" t="s">
        <v>49</v>
      </c>
      <c r="B31" s="64">
        <v>1714</v>
      </c>
      <c r="C31" s="39">
        <v>3002</v>
      </c>
      <c r="D31" s="235">
        <f t="shared" ref="D31:D60" si="9">(C31-B31)/B31</f>
        <v>0.75145857642940495</v>
      </c>
      <c r="E31" s="238">
        <f t="shared" ref="E31:E60" si="10">C31/C$61</f>
        <v>6.6095686827098793E-2</v>
      </c>
      <c r="G31" s="64">
        <v>54</v>
      </c>
      <c r="H31" s="39">
        <v>128</v>
      </c>
      <c r="I31" s="235">
        <f t="shared" si="8"/>
        <v>1.3703703703703705</v>
      </c>
      <c r="J31" s="238">
        <f t="shared" si="5"/>
        <v>3.9518369867242976E-2</v>
      </c>
      <c r="L31" s="179">
        <f t="shared" si="6"/>
        <v>23453.125</v>
      </c>
      <c r="O31" s="184"/>
      <c r="P31" s="184"/>
      <c r="S31" s="153"/>
      <c r="T31" s="153"/>
      <c r="U31" s="153"/>
      <c r="V31" s="153"/>
      <c r="W31" s="153"/>
      <c r="X31" s="153"/>
      <c r="Y31" s="153"/>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row>
    <row r="32" spans="1:65" s="93" customFormat="1">
      <c r="A32" s="97" t="s">
        <v>32</v>
      </c>
      <c r="B32" s="64">
        <v>2479</v>
      </c>
      <c r="C32" s="39">
        <v>2566</v>
      </c>
      <c r="D32" s="235">
        <f t="shared" si="9"/>
        <v>3.5094796288826141E-2</v>
      </c>
      <c r="E32" s="238">
        <f t="shared" si="10"/>
        <v>5.6496180012769986E-2</v>
      </c>
      <c r="G32" s="64">
        <v>85</v>
      </c>
      <c r="H32" s="39">
        <v>94</v>
      </c>
      <c r="I32" s="235">
        <f>(H32-G32)/G32</f>
        <v>0.10588235294117647</v>
      </c>
      <c r="J32" s="238">
        <f t="shared" si="5"/>
        <v>2.9021302871256562E-2</v>
      </c>
      <c r="L32" s="179">
        <f t="shared" si="6"/>
        <v>27297.872340425532</v>
      </c>
      <c r="O32" s="184"/>
      <c r="P32" s="184"/>
      <c r="S32" s="153"/>
      <c r="T32" s="153"/>
      <c r="U32" s="153"/>
      <c r="V32" s="153"/>
      <c r="W32" s="153"/>
      <c r="X32" s="153"/>
      <c r="Y32" s="153"/>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row>
    <row r="33" spans="1:62" s="93" customFormat="1">
      <c r="A33" s="97" t="s">
        <v>40</v>
      </c>
      <c r="B33" s="64">
        <v>2437</v>
      </c>
      <c r="C33" s="39">
        <v>2364</v>
      </c>
      <c r="D33" s="235">
        <f t="shared" si="9"/>
        <v>-2.9954862535904802E-2</v>
      </c>
      <c r="E33" s="238">
        <f t="shared" si="10"/>
        <v>5.2048702085030492E-2</v>
      </c>
      <c r="G33" s="64">
        <v>81</v>
      </c>
      <c r="H33" s="39">
        <v>304</v>
      </c>
      <c r="I33" s="235">
        <f t="shared" ref="I33:I36" si="11">(H33-G33)/G33</f>
        <v>2.7530864197530862</v>
      </c>
      <c r="J33" s="238">
        <f t="shared" si="5"/>
        <v>9.3856128434702063E-2</v>
      </c>
      <c r="L33" s="179">
        <f t="shared" si="6"/>
        <v>7776.3157894736842</v>
      </c>
      <c r="O33" s="184"/>
      <c r="P33" s="184"/>
      <c r="S33" s="153"/>
      <c r="T33" s="153"/>
      <c r="U33" s="153"/>
      <c r="V33" s="153"/>
      <c r="W33" s="153"/>
      <c r="X33" s="153"/>
      <c r="Y33" s="153"/>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row>
    <row r="34" spans="1:62" s="93" customFormat="1">
      <c r="A34" s="97" t="s">
        <v>39</v>
      </c>
      <c r="B34" s="64">
        <v>1787</v>
      </c>
      <c r="C34" s="39">
        <v>2348</v>
      </c>
      <c r="D34" s="235">
        <f t="shared" si="9"/>
        <v>0.31393396754336877</v>
      </c>
      <c r="E34" s="238">
        <f t="shared" si="10"/>
        <v>5.1696426605605583E-2</v>
      </c>
      <c r="G34" s="64">
        <v>190</v>
      </c>
      <c r="H34" s="39">
        <v>237</v>
      </c>
      <c r="I34" s="235">
        <f t="shared" si="11"/>
        <v>0.24736842105263157</v>
      </c>
      <c r="J34" s="238">
        <f t="shared" si="5"/>
        <v>7.3170731707317069E-2</v>
      </c>
      <c r="L34" s="179">
        <f t="shared" si="6"/>
        <v>9907.172995780591</v>
      </c>
      <c r="O34" s="184"/>
      <c r="P34" s="184"/>
      <c r="Q34" s="185"/>
      <c r="R34" s="185"/>
      <c r="S34" s="186"/>
      <c r="T34" s="186"/>
      <c r="U34" s="82"/>
      <c r="V34" s="153"/>
      <c r="W34" s="153"/>
      <c r="X34" s="153"/>
      <c r="Y34" s="153"/>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row>
    <row r="35" spans="1:62" s="93" customFormat="1">
      <c r="A35" s="97" t="s">
        <v>43</v>
      </c>
      <c r="B35" s="64">
        <v>1600</v>
      </c>
      <c r="C35" s="39">
        <v>2341</v>
      </c>
      <c r="D35" s="235">
        <f t="shared" si="9"/>
        <v>0.46312500000000001</v>
      </c>
      <c r="E35" s="238">
        <f t="shared" si="10"/>
        <v>5.1542306083357185E-2</v>
      </c>
      <c r="G35" s="64">
        <v>56</v>
      </c>
      <c r="H35" s="39">
        <v>106</v>
      </c>
      <c r="I35" s="235">
        <f t="shared" si="11"/>
        <v>0.8928571428571429</v>
      </c>
      <c r="J35" s="238">
        <f t="shared" si="5"/>
        <v>3.272615004631059E-2</v>
      </c>
      <c r="L35" s="179">
        <f t="shared" si="6"/>
        <v>22084.905660377357</v>
      </c>
      <c r="O35" s="184"/>
      <c r="P35" s="184"/>
      <c r="S35" s="153"/>
      <c r="T35" s="153"/>
      <c r="U35" s="153"/>
      <c r="V35" s="153"/>
      <c r="W35" s="153"/>
      <c r="X35" s="153"/>
      <c r="Y35" s="153"/>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row>
    <row r="36" spans="1:62" s="93" customFormat="1">
      <c r="A36" s="97" t="s">
        <v>312</v>
      </c>
      <c r="B36" s="64">
        <v>1148</v>
      </c>
      <c r="C36" s="39">
        <v>1936</v>
      </c>
      <c r="D36" s="235">
        <f t="shared" si="9"/>
        <v>0.68641114982578399</v>
      </c>
      <c r="E36" s="238">
        <f t="shared" si="10"/>
        <v>4.2625333010414143E-2</v>
      </c>
      <c r="G36" s="64">
        <v>15</v>
      </c>
      <c r="H36" s="39">
        <v>24</v>
      </c>
      <c r="I36" s="235">
        <f t="shared" si="11"/>
        <v>0.6</v>
      </c>
      <c r="J36" s="238">
        <f t="shared" si="5"/>
        <v>7.4096943501080577E-3</v>
      </c>
      <c r="L36" s="179">
        <f t="shared" si="6"/>
        <v>80666.666666666672</v>
      </c>
      <c r="O36" s="184"/>
      <c r="P36" s="184"/>
      <c r="S36" s="153"/>
      <c r="T36" s="153"/>
      <c r="U36" s="153"/>
      <c r="V36" s="153"/>
      <c r="W36" s="153"/>
      <c r="X36" s="153"/>
      <c r="Y36" s="153"/>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row>
    <row r="37" spans="1:62" s="93" customFormat="1">
      <c r="A37" s="97" t="s">
        <v>33</v>
      </c>
      <c r="B37" s="64">
        <v>2081</v>
      </c>
      <c r="C37" s="39">
        <v>1759</v>
      </c>
      <c r="D37" s="235">
        <f t="shared" si="9"/>
        <v>-0.15473330129745314</v>
      </c>
      <c r="E37" s="238">
        <f t="shared" si="10"/>
        <v>3.8728285519276075E-2</v>
      </c>
      <c r="G37" s="64">
        <v>94</v>
      </c>
      <c r="H37" s="39">
        <v>81</v>
      </c>
      <c r="I37" s="235">
        <f t="shared" ref="I37:I60" si="12">(H37-G37)/G37</f>
        <v>-0.13829787234042554</v>
      </c>
      <c r="J37" s="238">
        <f t="shared" ref="J37:J60" si="13">H37/H$61</f>
        <v>2.5007718431614697E-2</v>
      </c>
      <c r="L37" s="179">
        <f t="shared" si="6"/>
        <v>21716.04938271605</v>
      </c>
      <c r="O37" s="184"/>
      <c r="P37" s="184"/>
      <c r="S37" s="153"/>
      <c r="T37" s="153"/>
      <c r="U37" s="153"/>
      <c r="V37" s="153"/>
      <c r="W37" s="153"/>
      <c r="X37" s="153"/>
      <c r="Y37" s="153"/>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row>
    <row r="38" spans="1:62" s="93" customFormat="1">
      <c r="A38" s="97" t="s">
        <v>34</v>
      </c>
      <c r="B38" s="64">
        <v>859</v>
      </c>
      <c r="C38" s="39">
        <v>1463</v>
      </c>
      <c r="D38" s="235">
        <f t="shared" si="9"/>
        <v>0.7031431897555297</v>
      </c>
      <c r="E38" s="238">
        <f t="shared" si="10"/>
        <v>3.2211189149915234E-2</v>
      </c>
      <c r="G38" s="64">
        <v>33</v>
      </c>
      <c r="H38" s="39">
        <v>67</v>
      </c>
      <c r="I38" s="235">
        <f t="shared" si="12"/>
        <v>1.0303030303030303</v>
      </c>
      <c r="J38" s="238">
        <f t="shared" si="13"/>
        <v>2.0685396727384994E-2</v>
      </c>
      <c r="L38" s="179">
        <f t="shared" si="6"/>
        <v>21835.820895522389</v>
      </c>
      <c r="O38" s="184"/>
      <c r="P38" s="184"/>
      <c r="S38" s="153"/>
      <c r="T38" s="153"/>
      <c r="U38" s="153"/>
      <c r="V38" s="153"/>
      <c r="W38" s="153"/>
      <c r="X38" s="153"/>
      <c r="Y38" s="153"/>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row>
    <row r="39" spans="1:62" s="93" customFormat="1">
      <c r="A39" s="97" t="s">
        <v>44</v>
      </c>
      <c r="B39" s="64">
        <v>1315</v>
      </c>
      <c r="C39" s="39">
        <v>1098</v>
      </c>
      <c r="D39" s="235">
        <f t="shared" si="9"/>
        <v>-0.16501901140684411</v>
      </c>
      <c r="E39" s="238">
        <f t="shared" si="10"/>
        <v>2.4174904775534467E-2</v>
      </c>
      <c r="G39" s="64">
        <v>158</v>
      </c>
      <c r="H39" s="39">
        <v>106</v>
      </c>
      <c r="I39" s="235">
        <f t="shared" si="12"/>
        <v>-0.32911392405063289</v>
      </c>
      <c r="J39" s="238">
        <f t="shared" si="13"/>
        <v>3.272615004631059E-2</v>
      </c>
      <c r="L39" s="179">
        <f t="shared" si="6"/>
        <v>10358.490566037735</v>
      </c>
      <c r="O39" s="184"/>
      <c r="P39" s="184"/>
      <c r="S39" s="153"/>
      <c r="T39" s="153"/>
      <c r="U39" s="153"/>
      <c r="V39" s="153"/>
      <c r="W39" s="153"/>
      <c r="X39" s="153"/>
      <c r="Y39" s="153"/>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row>
    <row r="40" spans="1:62" s="93" customFormat="1">
      <c r="A40" s="97" t="s">
        <v>30</v>
      </c>
      <c r="B40" s="64">
        <v>1106</v>
      </c>
      <c r="C40" s="39">
        <v>1011</v>
      </c>
      <c r="D40" s="235">
        <f t="shared" si="9"/>
        <v>-8.5895117540687155E-2</v>
      </c>
      <c r="E40" s="238">
        <f t="shared" si="10"/>
        <v>2.2259406856161519E-2</v>
      </c>
      <c r="G40" s="64">
        <v>34</v>
      </c>
      <c r="H40" s="39">
        <v>37</v>
      </c>
      <c r="I40" s="235">
        <f t="shared" si="12"/>
        <v>8.8235294117647065E-2</v>
      </c>
      <c r="J40" s="238">
        <f t="shared" si="13"/>
        <v>1.1423278789749922E-2</v>
      </c>
      <c r="L40" s="179">
        <f t="shared" si="6"/>
        <v>27324.324324324323</v>
      </c>
      <c r="O40" s="184"/>
      <c r="P40" s="184"/>
      <c r="S40" s="153"/>
      <c r="T40" s="153"/>
      <c r="U40" s="153"/>
      <c r="V40" s="153"/>
      <c r="W40" s="153"/>
      <c r="X40" s="153"/>
      <c r="Y40" s="153"/>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row>
    <row r="41" spans="1:62" s="93" customFormat="1">
      <c r="A41" s="97" t="s">
        <v>42</v>
      </c>
      <c r="B41" s="64">
        <v>1201</v>
      </c>
      <c r="C41" s="39">
        <v>876</v>
      </c>
      <c r="D41" s="235">
        <f t="shared" si="9"/>
        <v>-0.27060782681099083</v>
      </c>
      <c r="E41" s="238">
        <f t="shared" si="10"/>
        <v>1.9287082498513838E-2</v>
      </c>
      <c r="G41" s="64">
        <v>90</v>
      </c>
      <c r="H41" s="39">
        <v>59</v>
      </c>
      <c r="I41" s="235">
        <f t="shared" si="12"/>
        <v>-0.34444444444444444</v>
      </c>
      <c r="J41" s="238">
        <f t="shared" si="13"/>
        <v>1.821549861068231E-2</v>
      </c>
      <c r="L41" s="179">
        <f t="shared" si="6"/>
        <v>14847.457627118643</v>
      </c>
      <c r="O41" s="184"/>
      <c r="P41" s="184"/>
      <c r="S41" s="153"/>
      <c r="T41" s="153"/>
      <c r="U41" s="153"/>
      <c r="V41" s="153"/>
      <c r="W41" s="153"/>
      <c r="X41" s="153"/>
      <c r="Y41" s="153"/>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82"/>
      <c r="BB41" s="82"/>
      <c r="BC41" s="82"/>
      <c r="BD41" s="82"/>
      <c r="BE41" s="82"/>
      <c r="BF41" s="82"/>
      <c r="BG41" s="82"/>
      <c r="BH41" s="82"/>
      <c r="BI41" s="82"/>
      <c r="BJ41" s="82"/>
    </row>
    <row r="42" spans="1:62" s="93" customFormat="1">
      <c r="A42" s="97" t="s">
        <v>45</v>
      </c>
      <c r="B42" s="64">
        <v>399</v>
      </c>
      <c r="C42" s="39">
        <v>748</v>
      </c>
      <c r="D42" s="235">
        <f t="shared" si="9"/>
        <v>0.87468671679197996</v>
      </c>
      <c r="E42" s="238">
        <f t="shared" si="10"/>
        <v>1.6468878663114556E-2</v>
      </c>
      <c r="G42" s="64">
        <v>6</v>
      </c>
      <c r="H42" s="39">
        <v>17</v>
      </c>
      <c r="I42" s="235">
        <f t="shared" si="12"/>
        <v>1.8333333333333333</v>
      </c>
      <c r="J42" s="238">
        <f t="shared" si="13"/>
        <v>5.248533497993208E-3</v>
      </c>
      <c r="L42" s="179">
        <f t="shared" si="6"/>
        <v>44000</v>
      </c>
      <c r="O42" s="184"/>
      <c r="P42" s="184"/>
      <c r="S42" s="153"/>
      <c r="T42" s="153"/>
      <c r="U42" s="153"/>
      <c r="V42" s="153"/>
      <c r="W42" s="153"/>
      <c r="X42" s="153"/>
      <c r="Y42" s="153"/>
      <c r="Z42" s="82"/>
      <c r="AA42" s="82"/>
      <c r="AB42" s="82"/>
      <c r="AC42" s="82"/>
      <c r="AD42" s="82"/>
      <c r="AE42" s="82"/>
      <c r="AF42" s="82"/>
      <c r="AG42" s="82"/>
      <c r="AH42" s="82"/>
      <c r="AI42" s="82"/>
      <c r="AJ42" s="82"/>
      <c r="AK42" s="82"/>
      <c r="AL42" s="82"/>
      <c r="AM42" s="82"/>
      <c r="AN42" s="82"/>
      <c r="AO42" s="82"/>
      <c r="AP42" s="82"/>
      <c r="AQ42" s="82"/>
      <c r="AR42" s="82"/>
      <c r="AS42" s="82"/>
      <c r="AT42" s="82"/>
      <c r="AU42" s="82"/>
      <c r="AV42" s="82"/>
      <c r="AW42" s="82"/>
      <c r="AX42" s="82"/>
      <c r="AY42" s="82"/>
      <c r="AZ42" s="82"/>
      <c r="BA42" s="82"/>
      <c r="BB42" s="82"/>
      <c r="BC42" s="82"/>
      <c r="BD42" s="82"/>
      <c r="BE42" s="82"/>
      <c r="BF42" s="82"/>
      <c r="BG42" s="82"/>
      <c r="BH42" s="82"/>
      <c r="BI42" s="82"/>
      <c r="BJ42" s="82"/>
    </row>
    <row r="43" spans="1:62" s="93" customFormat="1">
      <c r="A43" s="97" t="s">
        <v>47</v>
      </c>
      <c r="B43" s="64">
        <v>438</v>
      </c>
      <c r="C43" s="39">
        <v>557</v>
      </c>
      <c r="D43" s="235">
        <f t="shared" si="9"/>
        <v>0.27168949771689499</v>
      </c>
      <c r="E43" s="238">
        <f t="shared" si="10"/>
        <v>1.226359012747969E-2</v>
      </c>
      <c r="G43" s="64">
        <v>7</v>
      </c>
      <c r="H43" s="39">
        <v>7</v>
      </c>
      <c r="I43" s="235">
        <f t="shared" si="12"/>
        <v>0</v>
      </c>
      <c r="J43" s="238">
        <f t="shared" si="13"/>
        <v>2.1611608521148501E-3</v>
      </c>
      <c r="L43" s="179">
        <f t="shared" si="6"/>
        <v>79571.428571428565</v>
      </c>
      <c r="O43" s="184"/>
      <c r="P43" s="184"/>
      <c r="S43" s="153"/>
      <c r="T43" s="153"/>
      <c r="U43" s="153"/>
      <c r="V43" s="153"/>
      <c r="W43" s="153"/>
      <c r="X43" s="153"/>
      <c r="Y43" s="153"/>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row>
    <row r="44" spans="1:62" s="93" customFormat="1">
      <c r="A44" s="97" t="s">
        <v>60</v>
      </c>
      <c r="B44" s="64">
        <v>110</v>
      </c>
      <c r="C44" s="39">
        <v>518</v>
      </c>
      <c r="D44" s="235">
        <f t="shared" si="9"/>
        <v>3.709090909090909</v>
      </c>
      <c r="E44" s="238">
        <f t="shared" si="10"/>
        <v>1.1404918646381471E-2</v>
      </c>
      <c r="G44" s="64">
        <v>5</v>
      </c>
      <c r="H44" s="39">
        <v>34</v>
      </c>
      <c r="I44" s="235">
        <f t="shared" si="12"/>
        <v>5.8</v>
      </c>
      <c r="J44" s="238">
        <f t="shared" si="13"/>
        <v>1.0497066995986416E-2</v>
      </c>
      <c r="L44" s="179">
        <f t="shared" si="6"/>
        <v>15235.294117647059</v>
      </c>
      <c r="O44" s="184"/>
      <c r="P44" s="184"/>
      <c r="Q44" s="185"/>
      <c r="R44" s="185"/>
      <c r="S44" s="186"/>
      <c r="T44" s="186"/>
      <c r="U44" s="82"/>
      <c r="V44" s="153"/>
      <c r="W44" s="153"/>
      <c r="X44" s="153"/>
      <c r="Y44" s="153"/>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X44" s="82"/>
      <c r="AY44" s="82"/>
      <c r="AZ44" s="82"/>
      <c r="BA44" s="82"/>
      <c r="BB44" s="82"/>
      <c r="BC44" s="82"/>
      <c r="BD44" s="82"/>
      <c r="BE44" s="82"/>
      <c r="BF44" s="82"/>
      <c r="BG44" s="82"/>
      <c r="BH44" s="82"/>
      <c r="BI44" s="82"/>
      <c r="BJ44" s="82"/>
    </row>
    <row r="45" spans="1:62" s="93" customFormat="1">
      <c r="A45" s="97" t="s">
        <v>169</v>
      </c>
      <c r="B45" s="64">
        <v>973</v>
      </c>
      <c r="C45" s="39">
        <v>408</v>
      </c>
      <c r="D45" s="235">
        <f t="shared" si="9"/>
        <v>-0.58067831449126417</v>
      </c>
      <c r="E45" s="238">
        <f t="shared" si="10"/>
        <v>8.9830247253352129E-3</v>
      </c>
      <c r="G45" s="64">
        <v>3</v>
      </c>
      <c r="H45" s="39">
        <v>4</v>
      </c>
      <c r="I45" s="235">
        <f t="shared" si="12"/>
        <v>0.33333333333333331</v>
      </c>
      <c r="J45" s="238">
        <f t="shared" si="13"/>
        <v>1.234949058351343E-3</v>
      </c>
      <c r="L45" s="179">
        <f t="shared" si="6"/>
        <v>102000</v>
      </c>
      <c r="O45" s="184"/>
      <c r="P45" s="184"/>
      <c r="S45" s="82"/>
      <c r="T45" s="82"/>
      <c r="U45" s="82"/>
      <c r="V45" s="153"/>
      <c r="W45" s="153"/>
      <c r="X45" s="153"/>
      <c r="Y45" s="153"/>
      <c r="Z45" s="82"/>
      <c r="AA45" s="82"/>
      <c r="AB45" s="82"/>
      <c r="AC45" s="82"/>
      <c r="AD45" s="82"/>
      <c r="AE45" s="82"/>
      <c r="AF45" s="82"/>
      <c r="AG45" s="82"/>
      <c r="AH45" s="82"/>
      <c r="AI45" s="82"/>
      <c r="AJ45" s="82"/>
      <c r="AK45" s="82"/>
      <c r="AL45" s="82"/>
      <c r="AM45" s="82"/>
      <c r="AN45" s="82"/>
      <c r="AO45" s="82"/>
      <c r="AP45" s="82"/>
      <c r="AQ45" s="82"/>
      <c r="AR45" s="82"/>
      <c r="AS45" s="82"/>
      <c r="AT45" s="82"/>
      <c r="AU45" s="82"/>
      <c r="AV45" s="82"/>
      <c r="AW45" s="82"/>
      <c r="AX45" s="82"/>
      <c r="AY45" s="82"/>
      <c r="AZ45" s="82"/>
      <c r="BA45" s="82"/>
      <c r="BB45" s="82"/>
      <c r="BC45" s="82"/>
      <c r="BD45" s="82"/>
      <c r="BE45" s="82"/>
      <c r="BF45" s="82"/>
      <c r="BG45" s="82"/>
      <c r="BH45" s="82"/>
      <c r="BI45" s="82"/>
      <c r="BJ45" s="82"/>
    </row>
    <row r="46" spans="1:62" s="93" customFormat="1">
      <c r="A46" s="97" t="s">
        <v>309</v>
      </c>
      <c r="B46" s="64">
        <v>0</v>
      </c>
      <c r="C46" s="39">
        <v>321</v>
      </c>
      <c r="D46" s="538" t="s">
        <v>4</v>
      </c>
      <c r="E46" s="238">
        <f t="shared" si="10"/>
        <v>7.0675268059622624E-3</v>
      </c>
      <c r="G46" s="64">
        <v>0</v>
      </c>
      <c r="H46" s="39">
        <v>5</v>
      </c>
      <c r="I46" s="538" t="s">
        <v>4</v>
      </c>
      <c r="J46" s="238">
        <f t="shared" si="13"/>
        <v>1.5436863229391787E-3</v>
      </c>
      <c r="L46" s="179">
        <f t="shared" si="6"/>
        <v>64200</v>
      </c>
      <c r="O46" s="184"/>
      <c r="P46" s="184"/>
      <c r="S46" s="153"/>
      <c r="T46" s="153"/>
      <c r="U46" s="153"/>
      <c r="V46" s="153"/>
      <c r="W46" s="153"/>
      <c r="X46" s="153"/>
      <c r="Y46" s="153"/>
      <c r="Z46" s="82"/>
      <c r="AA46" s="82"/>
      <c r="AB46" s="82"/>
      <c r="AC46" s="82"/>
      <c r="AD46" s="82"/>
      <c r="AE46" s="82"/>
      <c r="AF46" s="82"/>
      <c r="AG46" s="82"/>
      <c r="AH46" s="82"/>
      <c r="AI46" s="82"/>
      <c r="AJ46" s="82"/>
      <c r="AK46" s="82"/>
      <c r="AL46" s="82"/>
      <c r="AM46" s="82"/>
      <c r="AN46" s="82"/>
      <c r="AO46" s="82"/>
      <c r="AP46" s="82"/>
      <c r="AQ46" s="82"/>
      <c r="AR46" s="82"/>
      <c r="AS46" s="82"/>
      <c r="AT46" s="82"/>
      <c r="AU46" s="82"/>
      <c r="AV46" s="82"/>
      <c r="AW46" s="82"/>
      <c r="AX46" s="82"/>
      <c r="AY46" s="82"/>
      <c r="AZ46" s="82"/>
      <c r="BA46" s="82"/>
      <c r="BB46" s="82"/>
      <c r="BC46" s="82"/>
      <c r="BD46" s="82"/>
      <c r="BE46" s="82"/>
      <c r="BF46" s="82"/>
      <c r="BG46" s="82"/>
      <c r="BH46" s="82"/>
      <c r="BI46" s="82"/>
      <c r="BJ46" s="82"/>
    </row>
    <row r="47" spans="1:62" s="93" customFormat="1">
      <c r="A47" s="97" t="s">
        <v>90</v>
      </c>
      <c r="B47" s="64">
        <v>49</v>
      </c>
      <c r="C47" s="39">
        <v>299</v>
      </c>
      <c r="D47" s="235">
        <f t="shared" si="9"/>
        <v>5.1020408163265305</v>
      </c>
      <c r="E47" s="238">
        <f t="shared" si="10"/>
        <v>6.5831480217530105E-3</v>
      </c>
      <c r="G47" s="64">
        <v>1</v>
      </c>
      <c r="H47" s="39">
        <v>14</v>
      </c>
      <c r="I47" s="235">
        <f t="shared" si="12"/>
        <v>13</v>
      </c>
      <c r="J47" s="238">
        <f t="shared" si="13"/>
        <v>4.3223217042297002E-3</v>
      </c>
      <c r="L47" s="179">
        <f t="shared" si="6"/>
        <v>21357.142857142859</v>
      </c>
      <c r="O47" s="184"/>
      <c r="P47" s="184"/>
      <c r="S47" s="153"/>
      <c r="T47" s="153"/>
      <c r="U47" s="153"/>
      <c r="V47" s="153"/>
      <c r="W47" s="153"/>
      <c r="X47" s="153"/>
      <c r="Y47" s="153"/>
      <c r="Z47" s="82"/>
      <c r="AA47" s="82"/>
      <c r="AB47" s="82"/>
      <c r="AC47" s="82"/>
      <c r="AD47" s="82"/>
      <c r="AE47" s="82"/>
      <c r="AF47" s="82"/>
      <c r="AG47" s="82"/>
      <c r="AH47" s="82"/>
      <c r="AI47" s="82"/>
      <c r="AJ47" s="82"/>
      <c r="AK47" s="82"/>
      <c r="AL47" s="82"/>
      <c r="AM47" s="82"/>
      <c r="AN47" s="82"/>
      <c r="AO47" s="82"/>
      <c r="AP47" s="82"/>
      <c r="AQ47" s="82"/>
      <c r="AR47" s="82"/>
      <c r="AS47" s="82"/>
      <c r="AT47" s="82"/>
      <c r="AU47" s="82"/>
      <c r="AV47" s="82"/>
      <c r="AW47" s="82"/>
      <c r="AX47" s="82"/>
      <c r="AY47" s="82"/>
      <c r="AZ47" s="82"/>
      <c r="BA47" s="82"/>
      <c r="BB47" s="82"/>
      <c r="BC47" s="82"/>
      <c r="BD47" s="82"/>
      <c r="BE47" s="82"/>
      <c r="BF47" s="82"/>
      <c r="BG47" s="82"/>
      <c r="BH47" s="82"/>
      <c r="BI47" s="82"/>
      <c r="BJ47" s="82"/>
    </row>
    <row r="48" spans="1:62" s="93" customFormat="1">
      <c r="A48" s="97" t="s">
        <v>57</v>
      </c>
      <c r="B48" s="64">
        <v>324</v>
      </c>
      <c r="C48" s="39">
        <v>297</v>
      </c>
      <c r="D48" s="235">
        <f t="shared" si="9"/>
        <v>-8.3333333333333329E-2</v>
      </c>
      <c r="E48" s="238">
        <f t="shared" si="10"/>
        <v>6.5391135868248969E-3</v>
      </c>
      <c r="G48" s="64">
        <v>5</v>
      </c>
      <c r="H48" s="39">
        <v>5</v>
      </c>
      <c r="I48" s="235">
        <f t="shared" si="12"/>
        <v>0</v>
      </c>
      <c r="J48" s="238">
        <f t="shared" si="13"/>
        <v>1.5436863229391787E-3</v>
      </c>
      <c r="L48" s="179">
        <f t="shared" si="6"/>
        <v>59400</v>
      </c>
      <c r="O48" s="184"/>
      <c r="P48" s="184"/>
      <c r="S48" s="153"/>
      <c r="T48" s="153"/>
      <c r="U48" s="153"/>
      <c r="V48" s="153"/>
      <c r="W48" s="153"/>
      <c r="X48" s="153"/>
      <c r="Y48" s="153"/>
      <c r="Z48" s="82"/>
      <c r="AA48" s="82"/>
      <c r="AB48" s="82"/>
      <c r="AC48" s="82"/>
      <c r="AD48" s="82"/>
      <c r="AE48" s="82"/>
      <c r="AF48" s="82"/>
      <c r="AG48" s="82"/>
      <c r="AH48" s="82"/>
      <c r="AI48" s="82"/>
      <c r="AJ48" s="82"/>
      <c r="AK48" s="82"/>
      <c r="AL48" s="82"/>
      <c r="AM48" s="82"/>
      <c r="AN48" s="82"/>
      <c r="AO48" s="82"/>
      <c r="AP48" s="82"/>
      <c r="AQ48" s="82"/>
      <c r="AR48" s="82"/>
      <c r="AS48" s="82"/>
      <c r="AT48" s="82"/>
      <c r="AU48" s="82"/>
      <c r="AV48" s="82"/>
      <c r="AW48" s="82"/>
      <c r="AX48" s="82"/>
      <c r="AY48" s="82"/>
      <c r="AZ48" s="82"/>
      <c r="BA48" s="82"/>
      <c r="BB48" s="82"/>
      <c r="BC48" s="82"/>
      <c r="BD48" s="82"/>
      <c r="BE48" s="82"/>
      <c r="BF48" s="82"/>
      <c r="BG48" s="82"/>
      <c r="BH48" s="82"/>
      <c r="BI48" s="82"/>
      <c r="BJ48" s="82"/>
    </row>
    <row r="49" spans="1:65" s="93" customFormat="1">
      <c r="A49" s="97" t="s">
        <v>313</v>
      </c>
      <c r="B49" s="64">
        <v>318</v>
      </c>
      <c r="C49" s="39">
        <v>288</v>
      </c>
      <c r="D49" s="235">
        <f t="shared" si="9"/>
        <v>-9.4339622641509441E-2</v>
      </c>
      <c r="E49" s="238">
        <f t="shared" si="10"/>
        <v>6.3409586296483854E-3</v>
      </c>
      <c r="G49" s="64">
        <v>30</v>
      </c>
      <c r="H49" s="39">
        <v>23</v>
      </c>
      <c r="I49" s="235">
        <f t="shared" si="12"/>
        <v>-0.23333333333333334</v>
      </c>
      <c r="J49" s="238">
        <f t="shared" si="13"/>
        <v>7.1009570855202226E-3</v>
      </c>
      <c r="L49" s="179">
        <f t="shared" si="6"/>
        <v>12521.739130434782</v>
      </c>
      <c r="O49" s="184"/>
      <c r="P49" s="128"/>
      <c r="Q49" s="152"/>
      <c r="R49" s="152"/>
      <c r="S49" s="153"/>
      <c r="T49" s="153"/>
      <c r="U49" s="153"/>
      <c r="V49" s="153"/>
      <c r="W49" s="153"/>
      <c r="X49" s="153"/>
      <c r="Y49" s="153"/>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82"/>
      <c r="BA49" s="82"/>
      <c r="BB49" s="82"/>
      <c r="BC49" s="82"/>
      <c r="BD49" s="82"/>
      <c r="BE49" s="82"/>
      <c r="BF49" s="82"/>
      <c r="BG49" s="82"/>
      <c r="BH49" s="82"/>
      <c r="BI49" s="82"/>
      <c r="BJ49" s="82"/>
    </row>
    <row r="50" spans="1:65" s="93" customFormat="1">
      <c r="A50" s="97" t="s">
        <v>72</v>
      </c>
      <c r="B50" s="65">
        <v>355</v>
      </c>
      <c r="C50" s="39">
        <v>278</v>
      </c>
      <c r="D50" s="235">
        <f t="shared" si="9"/>
        <v>-0.21690140845070421</v>
      </c>
      <c r="E50" s="238">
        <f t="shared" si="10"/>
        <v>6.1207864550078157E-3</v>
      </c>
      <c r="G50" s="65">
        <v>20</v>
      </c>
      <c r="H50" s="39">
        <v>30</v>
      </c>
      <c r="I50" s="235">
        <f t="shared" si="12"/>
        <v>0.5</v>
      </c>
      <c r="J50" s="238">
        <f t="shared" si="13"/>
        <v>9.2621179376350723E-3</v>
      </c>
      <c r="L50" s="179">
        <f t="shared" si="6"/>
        <v>9266.6666666666661</v>
      </c>
      <c r="O50" s="184"/>
      <c r="P50" s="128"/>
      <c r="S50" s="153"/>
      <c r="T50" s="153"/>
      <c r="U50" s="153"/>
      <c r="V50" s="153"/>
      <c r="W50" s="153"/>
      <c r="X50" s="153"/>
      <c r="Y50" s="153"/>
      <c r="Z50" s="82"/>
      <c r="AA50" s="82"/>
      <c r="AB50" s="82"/>
      <c r="AC50" s="82"/>
      <c r="AD50" s="82"/>
      <c r="AE50" s="82"/>
      <c r="AF50" s="82"/>
      <c r="AG50" s="82"/>
      <c r="AH50" s="82"/>
      <c r="AI50" s="82"/>
      <c r="AJ50" s="82"/>
      <c r="AK50" s="82"/>
      <c r="AL50" s="82"/>
      <c r="AM50" s="82"/>
      <c r="AN50" s="82"/>
      <c r="AO50" s="82"/>
      <c r="AP50" s="82"/>
      <c r="AQ50" s="82"/>
      <c r="AR50" s="82"/>
      <c r="AS50" s="82"/>
      <c r="AT50" s="82"/>
      <c r="AU50" s="82"/>
      <c r="AV50" s="82"/>
      <c r="AW50" s="82"/>
      <c r="AX50" s="82"/>
      <c r="AY50" s="82"/>
      <c r="AZ50" s="82"/>
      <c r="BA50" s="82"/>
      <c r="BB50" s="82"/>
      <c r="BC50" s="82"/>
      <c r="BD50" s="82"/>
      <c r="BE50" s="82"/>
      <c r="BF50" s="82"/>
      <c r="BG50" s="82"/>
      <c r="BH50" s="82"/>
      <c r="BI50" s="82"/>
      <c r="BJ50" s="82"/>
    </row>
    <row r="51" spans="1:65" s="93" customFormat="1">
      <c r="A51" s="97" t="s">
        <v>58</v>
      </c>
      <c r="B51" s="65">
        <v>22</v>
      </c>
      <c r="C51" s="39">
        <v>272</v>
      </c>
      <c r="D51" s="235">
        <f t="shared" si="9"/>
        <v>11.363636363636363</v>
      </c>
      <c r="E51" s="238">
        <f t="shared" si="10"/>
        <v>5.988683150223475E-3</v>
      </c>
      <c r="G51" s="65">
        <v>1</v>
      </c>
      <c r="H51" s="39">
        <v>8</v>
      </c>
      <c r="I51" s="235">
        <f t="shared" si="12"/>
        <v>7</v>
      </c>
      <c r="J51" s="238">
        <f t="shared" si="13"/>
        <v>2.469898116702686E-3</v>
      </c>
      <c r="L51" s="179">
        <f t="shared" si="6"/>
        <v>34000</v>
      </c>
      <c r="O51" s="184"/>
      <c r="P51" s="128"/>
      <c r="S51" s="153"/>
      <c r="T51" s="153"/>
      <c r="U51" s="153"/>
      <c r="V51" s="153"/>
      <c r="W51" s="153"/>
      <c r="X51" s="153"/>
      <c r="Y51" s="153"/>
      <c r="Z51" s="82"/>
      <c r="AA51" s="82"/>
      <c r="AB51" s="82"/>
      <c r="AC51" s="82"/>
      <c r="AD51" s="82"/>
      <c r="AE51" s="82"/>
      <c r="AF51" s="82"/>
      <c r="AG51" s="82"/>
      <c r="AH51" s="82"/>
      <c r="AI51" s="82"/>
      <c r="AJ51" s="82"/>
      <c r="AK51" s="82"/>
      <c r="AL51" s="82"/>
      <c r="AM51" s="82"/>
      <c r="AN51" s="82"/>
      <c r="AO51" s="82"/>
      <c r="AP51" s="82"/>
      <c r="AQ51" s="82"/>
      <c r="AR51" s="82"/>
      <c r="AS51" s="82"/>
      <c r="AT51" s="82"/>
      <c r="AU51" s="82"/>
      <c r="AV51" s="82"/>
      <c r="AW51" s="82"/>
      <c r="AX51" s="82"/>
      <c r="AY51" s="82"/>
      <c r="AZ51" s="82"/>
      <c r="BA51" s="82"/>
      <c r="BB51" s="82"/>
      <c r="BC51" s="82"/>
      <c r="BD51" s="82"/>
      <c r="BE51" s="82"/>
      <c r="BF51" s="82"/>
      <c r="BG51" s="82"/>
      <c r="BH51" s="82"/>
      <c r="BI51" s="82"/>
      <c r="BJ51" s="82"/>
    </row>
    <row r="52" spans="1:65" s="93" customFormat="1">
      <c r="A52" s="97" t="s">
        <v>46</v>
      </c>
      <c r="B52" s="64">
        <v>315</v>
      </c>
      <c r="C52" s="39">
        <v>267</v>
      </c>
      <c r="D52" s="235">
        <f t="shared" si="9"/>
        <v>-0.15238095238095239</v>
      </c>
      <c r="E52" s="238">
        <f t="shared" si="10"/>
        <v>5.8785970629031906E-3</v>
      </c>
      <c r="G52" s="64">
        <v>187</v>
      </c>
      <c r="H52" s="39">
        <v>18</v>
      </c>
      <c r="I52" s="235">
        <f t="shared" si="12"/>
        <v>-0.90374331550802134</v>
      </c>
      <c r="J52" s="238">
        <f t="shared" si="13"/>
        <v>5.5572707625810439E-3</v>
      </c>
      <c r="L52" s="179">
        <f t="shared" si="6"/>
        <v>14833.333333333334</v>
      </c>
      <c r="O52" s="184"/>
      <c r="P52" s="184"/>
      <c r="Q52" s="185"/>
      <c r="R52" s="185"/>
      <c r="S52" s="186"/>
      <c r="T52" s="186"/>
      <c r="U52" s="82"/>
      <c r="V52" s="153"/>
      <c r="W52" s="153"/>
      <c r="X52" s="153"/>
      <c r="Y52" s="153"/>
      <c r="Z52" s="82"/>
      <c r="AA52" s="82"/>
      <c r="AB52" s="82"/>
      <c r="AC52" s="82"/>
      <c r="AD52" s="82"/>
      <c r="AE52" s="82"/>
      <c r="AF52" s="82"/>
      <c r="AG52" s="82"/>
      <c r="AH52" s="82"/>
      <c r="AI52" s="82"/>
      <c r="AJ52" s="82"/>
      <c r="AK52" s="82"/>
      <c r="AL52" s="82"/>
      <c r="AM52" s="82"/>
      <c r="AN52" s="82"/>
      <c r="AO52" s="82"/>
      <c r="AP52" s="82"/>
      <c r="AQ52" s="82"/>
      <c r="AR52" s="82"/>
      <c r="AS52" s="82"/>
      <c r="AT52" s="82"/>
      <c r="AU52" s="82"/>
      <c r="AV52" s="82"/>
      <c r="AW52" s="82"/>
      <c r="AX52" s="82"/>
      <c r="AY52" s="82"/>
      <c r="AZ52" s="82"/>
      <c r="BA52" s="82"/>
      <c r="BB52" s="82"/>
      <c r="BC52" s="82"/>
      <c r="BD52" s="82"/>
      <c r="BE52" s="82"/>
      <c r="BF52" s="82"/>
      <c r="BG52" s="82"/>
      <c r="BH52" s="82"/>
      <c r="BI52" s="82"/>
      <c r="BJ52" s="82"/>
    </row>
    <row r="53" spans="1:65" s="93" customFormat="1">
      <c r="A53" s="97" t="s">
        <v>48</v>
      </c>
      <c r="B53" s="64">
        <v>186</v>
      </c>
      <c r="C53" s="39">
        <v>247</v>
      </c>
      <c r="D53" s="235">
        <f t="shared" si="9"/>
        <v>0.32795698924731181</v>
      </c>
      <c r="E53" s="238">
        <f t="shared" si="10"/>
        <v>5.4382527136220523E-3</v>
      </c>
      <c r="G53" s="64">
        <v>4</v>
      </c>
      <c r="H53" s="39">
        <v>5</v>
      </c>
      <c r="I53" s="235">
        <f t="shared" si="12"/>
        <v>0.25</v>
      </c>
      <c r="J53" s="238">
        <f t="shared" si="13"/>
        <v>1.5436863229391787E-3</v>
      </c>
      <c r="L53" s="179">
        <f t="shared" si="6"/>
        <v>49400</v>
      </c>
      <c r="O53" s="184"/>
      <c r="P53" s="184"/>
      <c r="Q53" s="185"/>
      <c r="R53" s="185"/>
      <c r="S53" s="186"/>
      <c r="T53" s="186"/>
      <c r="U53" s="82"/>
      <c r="V53" s="153"/>
      <c r="W53" s="153"/>
      <c r="X53" s="153"/>
      <c r="Y53" s="153"/>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82"/>
      <c r="BG53" s="82"/>
      <c r="BH53" s="82"/>
      <c r="BI53" s="82"/>
      <c r="BJ53" s="82"/>
    </row>
    <row r="54" spans="1:65" s="93" customFormat="1">
      <c r="A54" s="97" t="s">
        <v>165</v>
      </c>
      <c r="B54" s="64">
        <v>1324</v>
      </c>
      <c r="C54" s="39">
        <v>235</v>
      </c>
      <c r="D54" s="235">
        <f t="shared" si="9"/>
        <v>-0.82250755287009059</v>
      </c>
      <c r="E54" s="238">
        <f t="shared" si="10"/>
        <v>5.1740461040533699E-3</v>
      </c>
      <c r="G54" s="64">
        <v>628</v>
      </c>
      <c r="H54" s="39">
        <v>23</v>
      </c>
      <c r="I54" s="235">
        <f t="shared" si="12"/>
        <v>-0.9633757961783439</v>
      </c>
      <c r="J54" s="238">
        <f t="shared" si="13"/>
        <v>7.1009570855202226E-3</v>
      </c>
      <c r="L54" s="179">
        <f t="shared" si="6"/>
        <v>10217.391304347826</v>
      </c>
      <c r="O54" s="184"/>
      <c r="P54" s="184"/>
      <c r="Q54" s="185"/>
      <c r="R54" s="185"/>
      <c r="S54" s="186"/>
      <c r="T54" s="186"/>
      <c r="U54" s="82"/>
      <c r="V54" s="153"/>
      <c r="W54" s="153"/>
      <c r="X54" s="153"/>
      <c r="Y54" s="153"/>
      <c r="Z54" s="82"/>
      <c r="AA54" s="82"/>
      <c r="AB54" s="82"/>
      <c r="AC54" s="82"/>
      <c r="AD54" s="82"/>
      <c r="AE54" s="82"/>
      <c r="AF54" s="82"/>
      <c r="AG54" s="82"/>
      <c r="AH54" s="82"/>
      <c r="AI54" s="82"/>
      <c r="AJ54" s="82"/>
      <c r="AK54" s="82"/>
      <c r="AL54" s="82"/>
      <c r="AM54" s="82"/>
      <c r="AN54" s="82"/>
      <c r="AO54" s="82"/>
      <c r="AP54" s="82"/>
      <c r="AQ54" s="82"/>
      <c r="AR54" s="82"/>
      <c r="AS54" s="82"/>
      <c r="AT54" s="82"/>
      <c r="AU54" s="82"/>
      <c r="AV54" s="82"/>
      <c r="AW54" s="82"/>
      <c r="AX54" s="82"/>
      <c r="AY54" s="82"/>
      <c r="AZ54" s="82"/>
      <c r="BA54" s="82"/>
      <c r="BB54" s="82"/>
      <c r="BC54" s="82"/>
      <c r="BD54" s="82"/>
      <c r="BE54" s="82"/>
      <c r="BF54" s="82"/>
      <c r="BG54" s="82"/>
      <c r="BH54" s="82"/>
      <c r="BI54" s="82"/>
      <c r="BJ54" s="82"/>
    </row>
    <row r="55" spans="1:65" s="93" customFormat="1">
      <c r="A55" s="97" t="s">
        <v>61</v>
      </c>
      <c r="B55" s="64">
        <v>814</v>
      </c>
      <c r="C55" s="39">
        <v>166</v>
      </c>
      <c r="D55" s="235">
        <f t="shared" si="9"/>
        <v>-0.7960687960687961</v>
      </c>
      <c r="E55" s="238">
        <f t="shared" si="10"/>
        <v>3.6548580990334442E-3</v>
      </c>
      <c r="G55" s="64">
        <v>94</v>
      </c>
      <c r="H55" s="39">
        <v>20</v>
      </c>
      <c r="I55" s="235">
        <f t="shared" si="12"/>
        <v>-0.78723404255319152</v>
      </c>
      <c r="J55" s="238">
        <f t="shared" si="13"/>
        <v>6.1747452917567149E-3</v>
      </c>
      <c r="L55" s="179">
        <f t="shared" si="6"/>
        <v>8300</v>
      </c>
      <c r="O55" s="184"/>
      <c r="P55" s="128"/>
      <c r="S55" s="153"/>
      <c r="T55" s="153"/>
      <c r="U55" s="153"/>
      <c r="V55" s="153"/>
      <c r="W55" s="153"/>
      <c r="X55" s="153"/>
      <c r="Y55" s="153"/>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row>
    <row r="56" spans="1:65" s="93" customFormat="1">
      <c r="A56" s="97" t="s">
        <v>314</v>
      </c>
      <c r="B56" s="64">
        <v>387</v>
      </c>
      <c r="C56" s="39">
        <v>165</v>
      </c>
      <c r="D56" s="235">
        <f t="shared" si="9"/>
        <v>-0.5736434108527132</v>
      </c>
      <c r="E56" s="238">
        <f t="shared" si="10"/>
        <v>3.6328408815693874E-3</v>
      </c>
      <c r="G56" s="64">
        <v>9</v>
      </c>
      <c r="H56" s="39">
        <v>3</v>
      </c>
      <c r="I56" s="235">
        <f t="shared" si="12"/>
        <v>-0.66666666666666663</v>
      </c>
      <c r="J56" s="238">
        <f t="shared" si="13"/>
        <v>9.2621179376350721E-4</v>
      </c>
      <c r="L56" s="179">
        <f t="shared" si="6"/>
        <v>55000</v>
      </c>
      <c r="O56" s="184"/>
      <c r="P56" s="184"/>
      <c r="Q56" s="185"/>
      <c r="R56" s="185"/>
      <c r="S56" s="186"/>
      <c r="T56" s="186"/>
      <c r="U56" s="82"/>
      <c r="V56" s="153"/>
      <c r="W56" s="153"/>
      <c r="X56" s="153"/>
      <c r="Y56" s="153"/>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82"/>
      <c r="BB56" s="82"/>
      <c r="BC56" s="82"/>
      <c r="BD56" s="82"/>
      <c r="BE56" s="82"/>
      <c r="BF56" s="82"/>
      <c r="BG56" s="82"/>
      <c r="BH56" s="82"/>
      <c r="BI56" s="82"/>
      <c r="BJ56" s="82"/>
    </row>
    <row r="57" spans="1:65" s="93" customFormat="1">
      <c r="A57" s="97" t="s">
        <v>31</v>
      </c>
      <c r="B57" s="64">
        <v>668</v>
      </c>
      <c r="C57" s="39">
        <v>160</v>
      </c>
      <c r="D57" s="235">
        <f t="shared" si="9"/>
        <v>-0.76047904191616766</v>
      </c>
      <c r="E57" s="238">
        <f t="shared" si="10"/>
        <v>3.5227547942491026E-3</v>
      </c>
      <c r="G57" s="64">
        <v>16</v>
      </c>
      <c r="H57" s="39">
        <v>3</v>
      </c>
      <c r="I57" s="235">
        <f t="shared" si="12"/>
        <v>-0.8125</v>
      </c>
      <c r="J57" s="238">
        <f t="shared" si="13"/>
        <v>9.2621179376350721E-4</v>
      </c>
      <c r="L57" s="179">
        <f t="shared" si="6"/>
        <v>53333.333333333336</v>
      </c>
      <c r="O57" s="184"/>
      <c r="P57" s="128"/>
      <c r="Q57" s="185"/>
      <c r="R57" s="185"/>
      <c r="S57" s="186"/>
      <c r="T57" s="186"/>
      <c r="U57" s="82"/>
      <c r="V57" s="153"/>
      <c r="W57" s="153"/>
      <c r="X57" s="153"/>
      <c r="Y57" s="153"/>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82"/>
      <c r="BB57" s="82"/>
      <c r="BC57" s="82"/>
      <c r="BD57" s="82"/>
      <c r="BE57" s="82"/>
      <c r="BF57" s="82"/>
      <c r="BG57" s="82"/>
      <c r="BH57" s="82"/>
      <c r="BI57" s="82"/>
      <c r="BJ57" s="82"/>
    </row>
    <row r="58" spans="1:65" s="93" customFormat="1">
      <c r="A58" s="97" t="s">
        <v>59</v>
      </c>
      <c r="B58" s="64">
        <v>575</v>
      </c>
      <c r="C58" s="39">
        <v>120</v>
      </c>
      <c r="D58" s="235">
        <f t="shared" si="9"/>
        <v>-0.79130434782608694</v>
      </c>
      <c r="E58" s="238">
        <f t="shared" si="10"/>
        <v>2.6420660956868272E-3</v>
      </c>
      <c r="G58" s="64">
        <v>28</v>
      </c>
      <c r="H58" s="39">
        <v>5</v>
      </c>
      <c r="I58" s="235">
        <f t="shared" si="12"/>
        <v>-0.8214285714285714</v>
      </c>
      <c r="J58" s="238">
        <f t="shared" si="13"/>
        <v>1.5436863229391787E-3</v>
      </c>
      <c r="L58" s="179">
        <f t="shared" si="6"/>
        <v>24000</v>
      </c>
      <c r="O58" s="184"/>
      <c r="P58" s="128"/>
      <c r="S58" s="153"/>
      <c r="T58" s="153"/>
      <c r="U58" s="153"/>
      <c r="V58" s="153"/>
      <c r="W58" s="153"/>
      <c r="X58" s="153"/>
      <c r="Y58" s="153"/>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82"/>
      <c r="BB58" s="82"/>
      <c r="BC58" s="82"/>
      <c r="BD58" s="82"/>
      <c r="BE58" s="82"/>
      <c r="BF58" s="82"/>
      <c r="BG58" s="82"/>
      <c r="BH58" s="82"/>
      <c r="BI58" s="82"/>
      <c r="BJ58" s="82"/>
    </row>
    <row r="59" spans="1:65" s="93" customFormat="1">
      <c r="A59" s="97" t="s">
        <v>55</v>
      </c>
      <c r="B59" s="65">
        <v>387</v>
      </c>
      <c r="C59" s="39">
        <v>49</v>
      </c>
      <c r="D59" s="235">
        <f t="shared" si="9"/>
        <v>-0.87338501291989667</v>
      </c>
      <c r="E59" s="238">
        <f t="shared" si="10"/>
        <v>1.0788436557387878E-3</v>
      </c>
      <c r="G59" s="65">
        <v>6</v>
      </c>
      <c r="H59" s="39">
        <v>1</v>
      </c>
      <c r="I59" s="235">
        <f t="shared" si="12"/>
        <v>-0.83333333333333337</v>
      </c>
      <c r="J59" s="238">
        <f t="shared" si="13"/>
        <v>3.0873726458783575E-4</v>
      </c>
      <c r="L59" s="179">
        <f t="shared" si="6"/>
        <v>49000</v>
      </c>
      <c r="O59" s="184"/>
      <c r="P59" s="128"/>
      <c r="Q59" s="185"/>
      <c r="R59" s="185"/>
      <c r="S59" s="186"/>
      <c r="T59" s="186"/>
      <c r="U59" s="82"/>
      <c r="V59" s="153"/>
      <c r="W59" s="153"/>
      <c r="X59" s="153"/>
      <c r="Y59" s="153"/>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row>
    <row r="60" spans="1:65" s="93" customFormat="1">
      <c r="A60" s="97" t="s">
        <v>36</v>
      </c>
      <c r="B60" s="64">
        <f>B61-SUM(B29:B59)</f>
        <v>3656</v>
      </c>
      <c r="C60" s="39">
        <f>C61-SUM(C29:C59)</f>
        <v>3123</v>
      </c>
      <c r="D60" s="235">
        <f t="shared" si="9"/>
        <v>-0.14578774617067833</v>
      </c>
      <c r="E60" s="238">
        <f t="shared" si="10"/>
        <v>6.8759770140249671E-2</v>
      </c>
      <c r="G60" s="64">
        <f>G61-SUM(G29:G59)</f>
        <v>278</v>
      </c>
      <c r="H60" s="39">
        <f>H61-SUM(H29:H59)</f>
        <v>227</v>
      </c>
      <c r="I60" s="235">
        <f t="shared" si="12"/>
        <v>-0.18345323741007194</v>
      </c>
      <c r="J60" s="238">
        <f t="shared" si="13"/>
        <v>7.0083359061438713E-2</v>
      </c>
      <c r="L60" s="179">
        <f t="shared" si="6"/>
        <v>13757.709251101322</v>
      </c>
      <c r="O60" s="184"/>
      <c r="P60" s="128"/>
      <c r="Q60" s="185"/>
      <c r="R60" s="185"/>
      <c r="S60" s="186"/>
      <c r="T60" s="186"/>
      <c r="U60" s="82"/>
      <c r="V60" s="153"/>
      <c r="W60" s="153"/>
      <c r="X60" s="153"/>
      <c r="Y60" s="153"/>
      <c r="Z60" s="82"/>
      <c r="AA60" s="82"/>
      <c r="AB60" s="82"/>
      <c r="AC60" s="82"/>
      <c r="AD60" s="82"/>
      <c r="AE60" s="82"/>
      <c r="AF60" s="82"/>
      <c r="AG60" s="82"/>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2"/>
    </row>
    <row r="61" spans="1:65" s="93" customFormat="1" ht="14.25" thickBot="1">
      <c r="A61" s="123" t="s">
        <v>3</v>
      </c>
      <c r="B61" s="72">
        <v>44940</v>
      </c>
      <c r="C61" s="73">
        <v>45419</v>
      </c>
      <c r="D61" s="239">
        <f>(C61-B61)/B61</f>
        <v>1.065865598575879E-2</v>
      </c>
      <c r="E61" s="240">
        <f>SUM(E29:E60)</f>
        <v>1</v>
      </c>
      <c r="F61" s="113"/>
      <c r="G61" s="72">
        <v>2623</v>
      </c>
      <c r="H61" s="73">
        <v>3239</v>
      </c>
      <c r="I61" s="239">
        <f t="shared" ref="I61" si="14">(H61-G61)/G61</f>
        <v>0.23484559664506291</v>
      </c>
      <c r="J61" s="240">
        <f>SUM(J29:J60)</f>
        <v>1.0000000000000004</v>
      </c>
      <c r="L61" s="182">
        <f>C61*1000/H61</f>
        <v>14022.537820314912</v>
      </c>
      <c r="O61" s="184"/>
      <c r="P61" s="184"/>
      <c r="S61" s="153"/>
      <c r="T61" s="153"/>
      <c r="U61" s="153"/>
      <c r="V61" s="153"/>
      <c r="W61" s="153"/>
      <c r="X61" s="153"/>
      <c r="Y61" s="153"/>
      <c r="Z61" s="82"/>
      <c r="AA61" s="82"/>
      <c r="AB61" s="82"/>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c r="BA61" s="82"/>
      <c r="BB61" s="82"/>
      <c r="BC61" s="82"/>
      <c r="BD61" s="82"/>
      <c r="BE61" s="82"/>
      <c r="BF61" s="82"/>
      <c r="BG61" s="82"/>
      <c r="BH61" s="82"/>
      <c r="BI61" s="82"/>
      <c r="BJ61" s="82"/>
    </row>
    <row r="62" spans="1:65">
      <c r="A62" s="5" t="s">
        <v>87</v>
      </c>
      <c r="Q62" s="32"/>
      <c r="R62" s="32"/>
      <c r="S62" s="32"/>
      <c r="T62" s="32"/>
      <c r="U62" s="32"/>
      <c r="BI62" s="14"/>
      <c r="BJ62" s="14"/>
      <c r="BK62" s="14"/>
      <c r="BL62" s="14"/>
      <c r="BM62" s="14"/>
    </row>
    <row r="63" spans="1:65">
      <c r="A63" s="5" t="s">
        <v>37</v>
      </c>
    </row>
    <row r="64" spans="1:65">
      <c r="A64" s="5" t="s">
        <v>38</v>
      </c>
      <c r="L64" s="29"/>
    </row>
    <row r="65" spans="1:65">
      <c r="A65" s="5" t="s">
        <v>385</v>
      </c>
      <c r="C65" s="29"/>
      <c r="D65" s="29"/>
      <c r="E65" s="29"/>
    </row>
    <row r="67" spans="1:65" ht="14.25" customHeight="1"/>
    <row r="68" spans="1:65" s="33" customFormat="1" ht="21.75" customHeight="1">
      <c r="A68" s="260" t="s">
        <v>73</v>
      </c>
      <c r="B68" s="261"/>
      <c r="C68" s="261"/>
      <c r="D68" s="261"/>
      <c r="E68" s="261"/>
      <c r="F68" s="261"/>
      <c r="G68" s="261"/>
      <c r="H68" s="261"/>
      <c r="I68" s="261"/>
      <c r="J68" s="261"/>
      <c r="K68" s="261"/>
      <c r="L68" s="261"/>
      <c r="M68" s="261"/>
      <c r="N68" s="261"/>
      <c r="O68" s="261"/>
      <c r="P68" s="261"/>
      <c r="Q68" s="261"/>
      <c r="R68" s="261"/>
      <c r="S68" s="261"/>
      <c r="T68" s="261"/>
      <c r="U68" s="261"/>
      <c r="V68" s="261"/>
      <c r="W68" s="261"/>
      <c r="X68" s="261"/>
      <c r="Y68" s="261"/>
    </row>
    <row r="69" spans="1:65" ht="13.5" customHeight="1"/>
    <row r="70" spans="1:65">
      <c r="A70" s="15" t="s">
        <v>418</v>
      </c>
      <c r="B70" s="25" t="s">
        <v>320</v>
      </c>
    </row>
    <row r="72" spans="1:65" s="50" customFormat="1" ht="14.25" thickBot="1">
      <c r="B72" s="51" t="s">
        <v>88</v>
      </c>
      <c r="G72" s="51" t="s">
        <v>166</v>
      </c>
      <c r="L72" s="51"/>
      <c r="Q72" s="196"/>
      <c r="R72" s="51"/>
      <c r="S72" s="196"/>
      <c r="V72" s="194"/>
      <c r="W72" s="194"/>
      <c r="X72" s="194"/>
      <c r="Y72" s="194"/>
      <c r="Z72" s="194"/>
      <c r="AA72" s="194"/>
      <c r="AB72" s="194"/>
      <c r="AC72" s="194"/>
      <c r="AD72" s="194"/>
      <c r="AE72" s="194"/>
      <c r="AF72" s="194"/>
      <c r="AG72" s="194"/>
      <c r="AH72" s="194"/>
      <c r="AI72" s="194"/>
      <c r="AJ72" s="194"/>
      <c r="AK72" s="194"/>
      <c r="AL72" s="194"/>
      <c r="AM72" s="194"/>
      <c r="AN72" s="194"/>
      <c r="AO72" s="194"/>
      <c r="AP72" s="194"/>
      <c r="AQ72" s="194"/>
      <c r="AR72" s="194"/>
      <c r="AS72" s="194"/>
      <c r="AT72" s="194"/>
      <c r="AU72" s="194"/>
      <c r="AV72" s="194"/>
      <c r="AW72" s="194"/>
      <c r="AX72" s="194"/>
      <c r="AY72" s="194"/>
      <c r="AZ72" s="194"/>
      <c r="BA72" s="194"/>
      <c r="BB72" s="194"/>
      <c r="BC72" s="194"/>
      <c r="BD72" s="194"/>
      <c r="BE72" s="194"/>
      <c r="BF72" s="194"/>
      <c r="BG72" s="194"/>
      <c r="BH72" s="194"/>
      <c r="BI72" s="194"/>
      <c r="BJ72" s="194"/>
      <c r="BK72" s="194"/>
      <c r="BL72" s="194"/>
      <c r="BM72" s="194"/>
    </row>
    <row r="73" spans="1:65" s="93" customFormat="1" ht="14.25" thickBot="1">
      <c r="B73" s="166">
        <v>2016</v>
      </c>
      <c r="C73" s="88">
        <v>2017</v>
      </c>
      <c r="D73" s="88" t="s">
        <v>310</v>
      </c>
      <c r="E73" s="142" t="s">
        <v>94</v>
      </c>
      <c r="G73" s="166">
        <v>2016</v>
      </c>
      <c r="H73" s="88">
        <v>2017</v>
      </c>
      <c r="I73" s="88" t="s">
        <v>310</v>
      </c>
      <c r="J73" s="142" t="s">
        <v>94</v>
      </c>
      <c r="L73" s="234" t="s">
        <v>75</v>
      </c>
      <c r="M73" s="185"/>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2"/>
      <c r="BD73" s="82"/>
      <c r="BE73" s="82"/>
      <c r="BF73" s="82"/>
      <c r="BG73" s="82"/>
    </row>
    <row r="74" spans="1:65" s="93" customFormat="1">
      <c r="A74" s="92" t="s">
        <v>31</v>
      </c>
      <c r="B74" s="63">
        <v>13377</v>
      </c>
      <c r="C74" s="37">
        <v>14956</v>
      </c>
      <c r="D74" s="236">
        <f>(C74-B74)/B74</f>
        <v>0.11803842416087314</v>
      </c>
      <c r="E74" s="237">
        <f t="shared" ref="E74:E90" si="15">C74/C$91</f>
        <v>0.23180409175449473</v>
      </c>
      <c r="F74" s="80"/>
      <c r="G74" s="63">
        <v>1906</v>
      </c>
      <c r="H74" s="37">
        <v>2139</v>
      </c>
      <c r="I74" s="236">
        <f>(H74-G74)/G74</f>
        <v>0.12224554039874082</v>
      </c>
      <c r="J74" s="237">
        <f t="shared" ref="J74:J90" si="16">H74/H$91</f>
        <v>0.45317796610169492</v>
      </c>
      <c r="K74" s="185"/>
      <c r="L74" s="178">
        <f>C74*1000/H74</f>
        <v>6992.0523609163156</v>
      </c>
      <c r="M74" s="184"/>
      <c r="N74" s="184"/>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c r="BA74" s="82"/>
      <c r="BB74" s="82"/>
      <c r="BC74" s="82"/>
      <c r="BD74" s="82"/>
      <c r="BE74" s="82"/>
      <c r="BF74" s="82"/>
      <c r="BG74" s="82"/>
    </row>
    <row r="75" spans="1:65" s="93" customFormat="1">
      <c r="A75" s="97" t="s">
        <v>30</v>
      </c>
      <c r="B75" s="64">
        <v>11332</v>
      </c>
      <c r="C75" s="39">
        <v>12674</v>
      </c>
      <c r="D75" s="235">
        <f>(C75-B75)/B75</f>
        <v>0.1184256971408401</v>
      </c>
      <c r="E75" s="238">
        <f t="shared" si="15"/>
        <v>0.19643521388716678</v>
      </c>
      <c r="F75" s="80"/>
      <c r="G75" s="64">
        <v>548</v>
      </c>
      <c r="H75" s="39">
        <v>585</v>
      </c>
      <c r="I75" s="235">
        <f t="shared" ref="I75:I91" si="17">(H75-G75)/G75</f>
        <v>6.7518248175182483E-2</v>
      </c>
      <c r="J75" s="238">
        <f t="shared" si="16"/>
        <v>0.1239406779661017</v>
      </c>
      <c r="K75" s="185"/>
      <c r="L75" s="179">
        <f t="shared" ref="L75:L91" si="18">C75*1000/H75</f>
        <v>21664.957264957266</v>
      </c>
      <c r="M75" s="80"/>
      <c r="N75" s="80"/>
      <c r="P75" s="82"/>
      <c r="Q75" s="82"/>
      <c r="R75" s="82"/>
      <c r="S75" s="82"/>
      <c r="T75" s="82"/>
      <c r="U75" s="82"/>
      <c r="V75" s="82"/>
      <c r="W75" s="82"/>
      <c r="X75" s="82"/>
      <c r="Y75" s="82"/>
      <c r="Z75" s="82"/>
      <c r="AA75" s="82"/>
      <c r="AB75" s="82"/>
      <c r="AC75" s="82"/>
      <c r="AD75" s="82"/>
      <c r="AE75" s="82"/>
      <c r="AF75" s="82"/>
      <c r="AG75" s="82"/>
      <c r="AH75" s="82"/>
      <c r="AI75" s="82"/>
      <c r="AJ75" s="82"/>
      <c r="AK75" s="82"/>
      <c r="AL75" s="82"/>
      <c r="AM75" s="82"/>
      <c r="AN75" s="82"/>
      <c r="AO75" s="82"/>
      <c r="AP75" s="82"/>
      <c r="AQ75" s="82"/>
      <c r="AR75" s="82"/>
      <c r="AS75" s="82"/>
      <c r="AT75" s="82"/>
      <c r="AU75" s="82"/>
      <c r="AV75" s="82"/>
      <c r="AW75" s="82"/>
      <c r="AX75" s="82"/>
      <c r="AY75" s="82"/>
      <c r="AZ75" s="82"/>
      <c r="BA75" s="82"/>
      <c r="BB75" s="82"/>
      <c r="BC75" s="82"/>
      <c r="BD75" s="82"/>
      <c r="BE75" s="82"/>
      <c r="BF75" s="82"/>
      <c r="BG75" s="82"/>
    </row>
    <row r="76" spans="1:65" s="93" customFormat="1">
      <c r="A76" s="97" t="s">
        <v>29</v>
      </c>
      <c r="B76" s="64">
        <v>10340</v>
      </c>
      <c r="C76" s="39">
        <v>11100</v>
      </c>
      <c r="D76" s="235">
        <f t="shared" ref="D76:D90" si="19">(C76-B76)/B76</f>
        <v>7.3500967117988397E-2</v>
      </c>
      <c r="E76" s="238">
        <f t="shared" si="15"/>
        <v>0.17203967761934283</v>
      </c>
      <c r="F76" s="80"/>
      <c r="G76" s="64">
        <v>536</v>
      </c>
      <c r="H76" s="39">
        <v>508</v>
      </c>
      <c r="I76" s="235">
        <f t="shared" si="17"/>
        <v>-5.2238805970149252E-2</v>
      </c>
      <c r="J76" s="238">
        <f t="shared" si="16"/>
        <v>0.10762711864406779</v>
      </c>
      <c r="K76" s="185"/>
      <c r="L76" s="179">
        <f t="shared" si="18"/>
        <v>21850.393700787401</v>
      </c>
      <c r="M76" s="80"/>
      <c r="N76" s="80"/>
      <c r="P76" s="82"/>
      <c r="Q76" s="82"/>
      <c r="R76" s="82"/>
      <c r="S76" s="82"/>
      <c r="T76" s="82"/>
      <c r="U76" s="82"/>
      <c r="V76" s="82"/>
      <c r="W76" s="82"/>
      <c r="X76" s="82"/>
      <c r="Y76" s="82"/>
      <c r="Z76" s="82"/>
      <c r="AA76" s="82"/>
      <c r="AB76" s="82"/>
      <c r="AC76" s="82"/>
      <c r="AD76" s="82"/>
      <c r="AE76" s="82"/>
      <c r="AF76" s="82"/>
      <c r="AG76" s="82"/>
      <c r="AH76" s="82"/>
      <c r="AI76" s="82"/>
      <c r="AJ76" s="82"/>
      <c r="AK76" s="82"/>
      <c r="AL76" s="82"/>
      <c r="AM76" s="82"/>
      <c r="AN76" s="82"/>
      <c r="AO76" s="82"/>
      <c r="AP76" s="82"/>
      <c r="AQ76" s="82"/>
      <c r="AR76" s="82"/>
      <c r="AS76" s="82"/>
      <c r="AT76" s="82"/>
      <c r="AU76" s="82"/>
      <c r="AV76" s="82"/>
      <c r="AW76" s="82"/>
      <c r="AX76" s="82"/>
      <c r="AY76" s="82"/>
      <c r="AZ76" s="82"/>
      <c r="BA76" s="82"/>
      <c r="BB76" s="82"/>
      <c r="BC76" s="82"/>
      <c r="BD76" s="82"/>
      <c r="BE76" s="82"/>
      <c r="BF76" s="82"/>
      <c r="BG76" s="82"/>
    </row>
    <row r="77" spans="1:65" s="93" customFormat="1">
      <c r="A77" s="97" t="s">
        <v>62</v>
      </c>
      <c r="B77" s="64">
        <v>6613</v>
      </c>
      <c r="C77" s="39">
        <v>6631</v>
      </c>
      <c r="D77" s="235">
        <f t="shared" si="19"/>
        <v>2.7219113866626342E-3</v>
      </c>
      <c r="E77" s="238">
        <f t="shared" si="15"/>
        <v>0.10277433353998761</v>
      </c>
      <c r="F77" s="80"/>
      <c r="G77" s="64">
        <v>500</v>
      </c>
      <c r="H77" s="39">
        <v>491</v>
      </c>
      <c r="I77" s="235">
        <f t="shared" ref="I77:I89" si="20">(H77-G77)/G77</f>
        <v>-1.7999999999999999E-2</v>
      </c>
      <c r="J77" s="238">
        <f t="shared" si="16"/>
        <v>0.10402542372881356</v>
      </c>
      <c r="K77" s="185"/>
      <c r="L77" s="179">
        <f t="shared" si="18"/>
        <v>13505.091649694501</v>
      </c>
      <c r="P77" s="82"/>
      <c r="Q77" s="82"/>
      <c r="R77" s="82"/>
      <c r="S77" s="82"/>
      <c r="T77" s="82"/>
      <c r="U77" s="82"/>
      <c r="V77" s="82"/>
      <c r="W77" s="82"/>
      <c r="X77" s="82"/>
      <c r="Y77" s="82"/>
      <c r="Z77" s="82"/>
      <c r="AA77" s="82"/>
      <c r="AB77" s="82"/>
      <c r="AC77" s="82"/>
      <c r="AD77" s="82"/>
      <c r="AE77" s="82"/>
      <c r="AF77" s="82"/>
      <c r="AG77" s="82"/>
      <c r="AH77" s="82"/>
      <c r="AI77" s="82"/>
      <c r="AJ77" s="82"/>
      <c r="AK77" s="82"/>
      <c r="AL77" s="82"/>
      <c r="AM77" s="82"/>
      <c r="AN77" s="82"/>
      <c r="AO77" s="82"/>
      <c r="AP77" s="82"/>
      <c r="AQ77" s="82"/>
      <c r="AR77" s="82"/>
      <c r="AS77" s="82"/>
      <c r="AT77" s="82"/>
      <c r="AU77" s="82"/>
      <c r="AV77" s="82"/>
      <c r="AW77" s="82"/>
      <c r="AX77" s="82"/>
      <c r="AY77" s="82"/>
      <c r="AZ77" s="82"/>
      <c r="BA77" s="82"/>
      <c r="BB77" s="82"/>
      <c r="BC77" s="82"/>
      <c r="BD77" s="82"/>
      <c r="BE77" s="82"/>
      <c r="BF77" s="82"/>
      <c r="BG77" s="82"/>
    </row>
    <row r="78" spans="1:65" s="93" customFormat="1">
      <c r="A78" s="97" t="s">
        <v>312</v>
      </c>
      <c r="B78" s="64">
        <v>1765</v>
      </c>
      <c r="C78" s="39">
        <v>4110</v>
      </c>
      <c r="D78" s="235">
        <f t="shared" si="19"/>
        <v>1.3286118980169972</v>
      </c>
      <c r="E78" s="238">
        <f t="shared" si="15"/>
        <v>6.370117792932424E-2</v>
      </c>
      <c r="F78" s="80"/>
      <c r="G78" s="64">
        <v>9</v>
      </c>
      <c r="H78" s="39">
        <v>26</v>
      </c>
      <c r="I78" s="235">
        <f t="shared" si="20"/>
        <v>1.8888888888888888</v>
      </c>
      <c r="J78" s="238">
        <f t="shared" si="16"/>
        <v>5.5084745762711863E-3</v>
      </c>
      <c r="K78" s="185"/>
      <c r="L78" s="179">
        <f t="shared" si="18"/>
        <v>158076.92307692306</v>
      </c>
      <c r="P78" s="82"/>
      <c r="Q78" s="82"/>
      <c r="R78" s="82"/>
      <c r="S78" s="82"/>
      <c r="T78" s="82"/>
      <c r="U78" s="82"/>
      <c r="V78" s="82"/>
      <c r="W78" s="82"/>
      <c r="X78" s="82"/>
      <c r="Y78" s="82"/>
      <c r="Z78" s="82"/>
      <c r="AA78" s="82"/>
      <c r="AB78" s="82"/>
      <c r="AC78" s="82"/>
      <c r="AD78" s="82"/>
      <c r="AE78" s="82"/>
      <c r="AF78" s="82"/>
      <c r="AG78" s="82"/>
      <c r="AH78" s="82"/>
      <c r="AI78" s="82"/>
      <c r="AJ78" s="82"/>
      <c r="AK78" s="82"/>
      <c r="AL78" s="82"/>
      <c r="AM78" s="82"/>
      <c r="AN78" s="82"/>
      <c r="AO78" s="82"/>
      <c r="AP78" s="82"/>
      <c r="AQ78" s="82"/>
      <c r="AR78" s="82"/>
      <c r="AS78" s="82"/>
      <c r="AT78" s="82"/>
      <c r="AU78" s="82"/>
      <c r="AV78" s="82"/>
      <c r="AW78" s="82"/>
      <c r="AX78" s="82"/>
      <c r="AY78" s="82"/>
      <c r="AZ78" s="82"/>
      <c r="BA78" s="82"/>
      <c r="BB78" s="82"/>
      <c r="BC78" s="82"/>
      <c r="BD78" s="82"/>
      <c r="BE78" s="82"/>
      <c r="BF78" s="82"/>
      <c r="BG78" s="82"/>
    </row>
    <row r="79" spans="1:65" s="93" customFormat="1">
      <c r="A79" s="97" t="s">
        <v>32</v>
      </c>
      <c r="B79" s="64">
        <v>3061</v>
      </c>
      <c r="C79" s="39">
        <v>2418</v>
      </c>
      <c r="D79" s="235">
        <f t="shared" si="19"/>
        <v>-0.21006207121855602</v>
      </c>
      <c r="E79" s="238">
        <f t="shared" si="15"/>
        <v>3.7476751394916304E-2</v>
      </c>
      <c r="F79" s="80"/>
      <c r="G79" s="64">
        <v>290</v>
      </c>
      <c r="H79" s="39">
        <v>292</v>
      </c>
      <c r="I79" s="235">
        <f t="shared" si="20"/>
        <v>6.8965517241379309E-3</v>
      </c>
      <c r="J79" s="238">
        <f t="shared" si="16"/>
        <v>6.186440677966102E-2</v>
      </c>
      <c r="K79" s="185"/>
      <c r="L79" s="179">
        <f t="shared" si="18"/>
        <v>8280.82191780822</v>
      </c>
      <c r="P79" s="82"/>
      <c r="Q79" s="82"/>
      <c r="R79" s="82"/>
      <c r="S79" s="82"/>
      <c r="T79" s="82"/>
      <c r="U79" s="82"/>
      <c r="V79" s="82"/>
      <c r="W79" s="82"/>
      <c r="X79" s="82"/>
      <c r="Y79" s="82"/>
      <c r="Z79" s="82"/>
      <c r="AA79" s="82"/>
      <c r="AB79" s="82"/>
      <c r="AC79" s="82"/>
      <c r="AD79" s="82"/>
      <c r="AE79" s="82"/>
      <c r="AF79" s="82"/>
      <c r="AG79" s="82"/>
      <c r="AH79" s="82"/>
      <c r="AI79" s="82"/>
      <c r="AJ79" s="82"/>
      <c r="AK79" s="82"/>
      <c r="AL79" s="82"/>
      <c r="AM79" s="82"/>
      <c r="AN79" s="82"/>
      <c r="AO79" s="82"/>
      <c r="AP79" s="82"/>
      <c r="AQ79" s="82"/>
      <c r="AR79" s="82"/>
      <c r="AS79" s="82"/>
      <c r="AT79" s="82"/>
      <c r="AU79" s="82"/>
      <c r="AV79" s="82"/>
      <c r="AW79" s="82"/>
      <c r="AX79" s="82"/>
      <c r="AY79" s="82"/>
      <c r="AZ79" s="82"/>
      <c r="BA79" s="82"/>
      <c r="BB79" s="82"/>
      <c r="BC79" s="82"/>
      <c r="BD79" s="82"/>
      <c r="BE79" s="82"/>
      <c r="BF79" s="82"/>
      <c r="BG79" s="82"/>
    </row>
    <row r="80" spans="1:65" s="93" customFormat="1">
      <c r="A80" s="97" t="s">
        <v>41</v>
      </c>
      <c r="B80" s="64">
        <v>2476</v>
      </c>
      <c r="C80" s="39">
        <v>2055</v>
      </c>
      <c r="D80" s="235">
        <f t="shared" si="19"/>
        <v>-0.17003231017770598</v>
      </c>
      <c r="E80" s="238">
        <f t="shared" si="15"/>
        <v>3.185058896466212E-2</v>
      </c>
      <c r="F80" s="80"/>
      <c r="G80" s="64">
        <v>126</v>
      </c>
      <c r="H80" s="39">
        <v>91</v>
      </c>
      <c r="I80" s="235">
        <f t="shared" si="20"/>
        <v>-0.27777777777777779</v>
      </c>
      <c r="J80" s="238">
        <f t="shared" si="16"/>
        <v>1.9279661016949154E-2</v>
      </c>
      <c r="K80" s="185"/>
      <c r="L80" s="179">
        <f t="shared" si="18"/>
        <v>22582.417582417584</v>
      </c>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c r="AS80" s="82"/>
      <c r="AT80" s="82"/>
      <c r="AU80" s="82"/>
      <c r="AV80" s="82"/>
      <c r="AW80" s="82"/>
      <c r="AX80" s="82"/>
      <c r="AY80" s="82"/>
      <c r="AZ80" s="82"/>
      <c r="BA80" s="82"/>
      <c r="BB80" s="82"/>
      <c r="BC80" s="82"/>
      <c r="BD80" s="82"/>
      <c r="BE80" s="82"/>
      <c r="BF80" s="82"/>
      <c r="BG80" s="82"/>
    </row>
    <row r="81" spans="1:59" s="93" customFormat="1">
      <c r="A81" s="97" t="s">
        <v>35</v>
      </c>
      <c r="B81" s="64">
        <v>1106</v>
      </c>
      <c r="C81" s="39">
        <v>1500</v>
      </c>
      <c r="D81" s="235">
        <f t="shared" si="19"/>
        <v>0.3562386980108499</v>
      </c>
      <c r="E81" s="238">
        <f t="shared" si="15"/>
        <v>2.3248605083694977E-2</v>
      </c>
      <c r="F81" s="80"/>
      <c r="G81" s="64">
        <v>77</v>
      </c>
      <c r="H81" s="39">
        <v>191</v>
      </c>
      <c r="I81" s="235">
        <f t="shared" si="20"/>
        <v>1.4805194805194806</v>
      </c>
      <c r="J81" s="238">
        <f t="shared" si="16"/>
        <v>4.0466101694915255E-2</v>
      </c>
      <c r="K81" s="185"/>
      <c r="L81" s="179">
        <f t="shared" si="18"/>
        <v>7853.4031413612565</v>
      </c>
      <c r="P81" s="82"/>
      <c r="Q81" s="82"/>
      <c r="R81" s="82"/>
      <c r="S81" s="82"/>
      <c r="T81" s="82"/>
      <c r="U81" s="82"/>
      <c r="V81" s="82"/>
      <c r="W81" s="82"/>
      <c r="X81" s="82"/>
      <c r="Y81" s="82"/>
      <c r="Z81" s="82"/>
      <c r="AA81" s="82"/>
      <c r="AB81" s="82"/>
      <c r="AC81" s="82"/>
      <c r="AD81" s="82"/>
      <c r="AE81" s="82"/>
      <c r="AF81" s="82"/>
      <c r="AG81" s="82"/>
      <c r="AH81" s="82"/>
      <c r="AI81" s="82"/>
      <c r="AJ81" s="82"/>
      <c r="AK81" s="82"/>
      <c r="AL81" s="82"/>
      <c r="AM81" s="82"/>
      <c r="AN81" s="82"/>
      <c r="AO81" s="82"/>
      <c r="AP81" s="82"/>
      <c r="AQ81" s="82"/>
      <c r="AR81" s="82"/>
      <c r="AS81" s="82"/>
      <c r="AT81" s="82"/>
      <c r="AU81" s="82"/>
      <c r="AV81" s="82"/>
      <c r="AW81" s="82"/>
      <c r="AX81" s="82"/>
      <c r="AY81" s="82"/>
      <c r="AZ81" s="82"/>
      <c r="BA81" s="82"/>
      <c r="BB81" s="82"/>
      <c r="BC81" s="82"/>
      <c r="BD81" s="82"/>
      <c r="BE81" s="82"/>
      <c r="BF81" s="82"/>
      <c r="BG81" s="82"/>
    </row>
    <row r="82" spans="1:59" s="93" customFormat="1">
      <c r="A82" s="97" t="s">
        <v>57</v>
      </c>
      <c r="B82" s="64">
        <v>1134</v>
      </c>
      <c r="C82" s="39">
        <v>1169</v>
      </c>
      <c r="D82" s="235">
        <f t="shared" si="19"/>
        <v>3.0864197530864196E-2</v>
      </c>
      <c r="E82" s="238">
        <f t="shared" si="15"/>
        <v>1.8118412895226286E-2</v>
      </c>
      <c r="F82" s="80"/>
      <c r="G82" s="64">
        <v>50</v>
      </c>
      <c r="H82" s="39">
        <v>46</v>
      </c>
      <c r="I82" s="235">
        <f t="shared" si="20"/>
        <v>-0.08</v>
      </c>
      <c r="J82" s="238">
        <f t="shared" si="16"/>
        <v>9.7457627118644075E-3</v>
      </c>
      <c r="K82" s="185"/>
      <c r="L82" s="179">
        <f t="shared" si="18"/>
        <v>25413.043478260868</v>
      </c>
      <c r="P82" s="82"/>
      <c r="Q82" s="82"/>
      <c r="R82" s="82"/>
      <c r="S82" s="82"/>
      <c r="T82" s="82"/>
      <c r="U82" s="82"/>
      <c r="V82" s="82"/>
      <c r="W82" s="82"/>
      <c r="X82" s="82"/>
      <c r="Y82" s="82"/>
      <c r="Z82" s="82"/>
      <c r="AA82" s="82"/>
      <c r="AB82" s="82"/>
      <c r="AC82" s="82"/>
      <c r="AD82" s="82"/>
      <c r="AE82" s="82"/>
      <c r="AF82" s="82"/>
      <c r="AG82" s="82"/>
      <c r="AH82" s="82"/>
      <c r="AI82" s="82"/>
      <c r="AJ82" s="82"/>
      <c r="AK82" s="82"/>
      <c r="AL82" s="82"/>
      <c r="AM82" s="82"/>
      <c r="AN82" s="82"/>
      <c r="AO82" s="82"/>
      <c r="AP82" s="82"/>
      <c r="AQ82" s="82"/>
      <c r="AR82" s="82"/>
      <c r="AS82" s="82"/>
      <c r="AT82" s="82"/>
      <c r="AU82" s="82"/>
      <c r="AV82" s="82"/>
      <c r="AW82" s="82"/>
      <c r="AX82" s="82"/>
      <c r="AY82" s="82"/>
      <c r="AZ82" s="82"/>
      <c r="BA82" s="82"/>
      <c r="BB82" s="82"/>
      <c r="BC82" s="82"/>
      <c r="BD82" s="82"/>
      <c r="BE82" s="82"/>
      <c r="BF82" s="82"/>
      <c r="BG82" s="82"/>
    </row>
    <row r="83" spans="1:59" s="93" customFormat="1">
      <c r="A83" s="97" t="s">
        <v>40</v>
      </c>
      <c r="B83" s="64">
        <v>1046</v>
      </c>
      <c r="C83" s="39">
        <v>1109</v>
      </c>
      <c r="D83" s="235">
        <f t="shared" si="19"/>
        <v>6.022944550669216E-2</v>
      </c>
      <c r="E83" s="238">
        <f t="shared" si="15"/>
        <v>1.7188468691878487E-2</v>
      </c>
      <c r="F83" s="80"/>
      <c r="G83" s="64">
        <v>61</v>
      </c>
      <c r="H83" s="39">
        <v>32</v>
      </c>
      <c r="I83" s="235">
        <f t="shared" si="20"/>
        <v>-0.47540983606557374</v>
      </c>
      <c r="J83" s="238">
        <f t="shared" si="16"/>
        <v>6.7796610169491523E-3</v>
      </c>
      <c r="K83" s="185"/>
      <c r="L83" s="179">
        <f t="shared" si="18"/>
        <v>34656.25</v>
      </c>
      <c r="P83" s="82"/>
      <c r="Q83" s="82"/>
      <c r="R83" s="82"/>
      <c r="S83" s="82"/>
      <c r="T83" s="82"/>
      <c r="U83" s="82"/>
      <c r="V83" s="82"/>
      <c r="W83" s="82"/>
      <c r="X83" s="82"/>
      <c r="Y83" s="82"/>
      <c r="Z83" s="82"/>
      <c r="AA83" s="82"/>
      <c r="AB83" s="82"/>
      <c r="AC83" s="82"/>
      <c r="AD83" s="82"/>
      <c r="AE83" s="82"/>
      <c r="AF83" s="82"/>
      <c r="AG83" s="82"/>
      <c r="AH83" s="82"/>
      <c r="AI83" s="82"/>
      <c r="AJ83" s="82"/>
      <c r="AK83" s="82"/>
      <c r="AL83" s="82"/>
      <c r="AM83" s="82"/>
      <c r="AN83" s="82"/>
      <c r="AO83" s="82"/>
      <c r="AP83" s="82"/>
      <c r="AQ83" s="82"/>
      <c r="AR83" s="82"/>
      <c r="AS83" s="82"/>
      <c r="AT83" s="82"/>
      <c r="AU83" s="82"/>
      <c r="AV83" s="82"/>
      <c r="AW83" s="82"/>
      <c r="AX83" s="82"/>
      <c r="AY83" s="82"/>
      <c r="AZ83" s="82"/>
      <c r="BA83" s="82"/>
      <c r="BB83" s="82"/>
      <c r="BC83" s="82"/>
      <c r="BD83" s="82"/>
      <c r="BE83" s="82"/>
      <c r="BF83" s="82"/>
      <c r="BG83" s="82"/>
    </row>
    <row r="84" spans="1:59" s="93" customFormat="1">
      <c r="A84" s="97" t="s">
        <v>322</v>
      </c>
      <c r="B84" s="64">
        <v>1</v>
      </c>
      <c r="C84" s="39">
        <v>999</v>
      </c>
      <c r="D84" s="235">
        <f t="shared" si="19"/>
        <v>998</v>
      </c>
      <c r="E84" s="238">
        <f t="shared" si="15"/>
        <v>1.5483570985740856E-2</v>
      </c>
      <c r="F84" s="80"/>
      <c r="G84" s="64">
        <v>0</v>
      </c>
      <c r="H84" s="39">
        <v>3</v>
      </c>
      <c r="I84" s="235" t="s">
        <v>4</v>
      </c>
      <c r="J84" s="238">
        <f t="shared" si="16"/>
        <v>6.3559322033898301E-4</v>
      </c>
      <c r="K84" s="185"/>
      <c r="L84" s="179">
        <f t="shared" si="18"/>
        <v>333000</v>
      </c>
      <c r="P84" s="82"/>
      <c r="Q84" s="82"/>
      <c r="R84" s="82"/>
      <c r="S84" s="82"/>
      <c r="T84" s="82"/>
      <c r="U84" s="82"/>
      <c r="V84" s="82"/>
      <c r="W84" s="82"/>
      <c r="X84" s="82"/>
      <c r="Y84" s="82"/>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row>
    <row r="85" spans="1:59" s="93" customFormat="1">
      <c r="A85" s="97" t="s">
        <v>45</v>
      </c>
      <c r="B85" s="64">
        <v>876</v>
      </c>
      <c r="C85" s="39">
        <v>887</v>
      </c>
      <c r="D85" s="235">
        <f t="shared" si="19"/>
        <v>1.2557077625570776E-2</v>
      </c>
      <c r="E85" s="238">
        <f t="shared" si="15"/>
        <v>1.3747675139491631E-2</v>
      </c>
      <c r="F85" s="80"/>
      <c r="G85" s="64">
        <v>38</v>
      </c>
      <c r="H85" s="39">
        <v>30</v>
      </c>
      <c r="I85" s="235">
        <f t="shared" si="20"/>
        <v>-0.21052631578947367</v>
      </c>
      <c r="J85" s="238">
        <f t="shared" si="16"/>
        <v>6.3559322033898309E-3</v>
      </c>
      <c r="K85" s="185"/>
      <c r="L85" s="179">
        <f t="shared" si="18"/>
        <v>29566.666666666668</v>
      </c>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row>
    <row r="86" spans="1:59" s="93" customFormat="1">
      <c r="A86" s="97" t="s">
        <v>71</v>
      </c>
      <c r="B86" s="64">
        <v>824</v>
      </c>
      <c r="C86" s="39">
        <v>718</v>
      </c>
      <c r="D86" s="235">
        <f t="shared" si="19"/>
        <v>-0.12864077669902912</v>
      </c>
      <c r="E86" s="238">
        <f t="shared" si="15"/>
        <v>1.1128332300061996E-2</v>
      </c>
      <c r="F86" s="80"/>
      <c r="G86" s="64">
        <v>78</v>
      </c>
      <c r="H86" s="39">
        <v>102</v>
      </c>
      <c r="I86" s="235">
        <f t="shared" si="20"/>
        <v>0.30769230769230771</v>
      </c>
      <c r="J86" s="238">
        <f t="shared" si="16"/>
        <v>2.1610169491525423E-2</v>
      </c>
      <c r="K86" s="185"/>
      <c r="L86" s="179">
        <f t="shared" si="18"/>
        <v>7039.2156862745096</v>
      </c>
      <c r="P86" s="82"/>
      <c r="Q86" s="82"/>
      <c r="R86" s="82"/>
      <c r="S86" s="82"/>
      <c r="T86" s="82"/>
      <c r="U86" s="82"/>
      <c r="V86" s="82"/>
      <c r="W86" s="82"/>
      <c r="X86" s="82"/>
      <c r="Y86" s="82"/>
      <c r="Z86" s="82"/>
      <c r="AA86" s="82"/>
      <c r="AB86" s="82"/>
      <c r="AC86" s="82"/>
      <c r="AD86" s="82"/>
      <c r="AE86" s="82"/>
      <c r="AF86" s="82"/>
      <c r="AG86" s="82"/>
      <c r="AH86" s="82"/>
      <c r="AI86" s="82"/>
      <c r="AJ86" s="82"/>
      <c r="AK86" s="82"/>
      <c r="AL86" s="82"/>
      <c r="AM86" s="82"/>
      <c r="AN86" s="82"/>
      <c r="AO86" s="82"/>
      <c r="AP86" s="82"/>
      <c r="AQ86" s="82"/>
      <c r="AR86" s="82"/>
      <c r="AS86" s="82"/>
      <c r="AT86" s="82"/>
      <c r="AU86" s="82"/>
      <c r="AV86" s="82"/>
      <c r="AW86" s="82"/>
      <c r="AX86" s="82"/>
      <c r="AY86" s="82"/>
      <c r="AZ86" s="82"/>
      <c r="BA86" s="82"/>
      <c r="BB86" s="82"/>
      <c r="BC86" s="82"/>
      <c r="BD86" s="82"/>
      <c r="BE86" s="82"/>
      <c r="BF86" s="82"/>
      <c r="BG86" s="82"/>
    </row>
    <row r="87" spans="1:59" s="93" customFormat="1">
      <c r="A87" s="97" t="s">
        <v>48</v>
      </c>
      <c r="B87" s="64">
        <v>525</v>
      </c>
      <c r="C87" s="39">
        <v>465</v>
      </c>
      <c r="D87" s="235">
        <f t="shared" si="19"/>
        <v>-0.11428571428571428</v>
      </c>
      <c r="E87" s="238">
        <f t="shared" si="15"/>
        <v>7.2070675759454434E-3</v>
      </c>
      <c r="F87" s="80"/>
      <c r="G87" s="64">
        <v>20</v>
      </c>
      <c r="H87" s="39">
        <v>17</v>
      </c>
      <c r="I87" s="235">
        <f t="shared" si="20"/>
        <v>-0.15</v>
      </c>
      <c r="J87" s="238">
        <f t="shared" si="16"/>
        <v>3.6016949152542373E-3</v>
      </c>
      <c r="K87" s="185"/>
      <c r="L87" s="179">
        <f t="shared" si="18"/>
        <v>27352.941176470587</v>
      </c>
      <c r="P87" s="82"/>
      <c r="Q87" s="82"/>
      <c r="R87" s="82"/>
      <c r="S87" s="82"/>
      <c r="T87" s="82"/>
      <c r="U87" s="82"/>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c r="BA87" s="82"/>
      <c r="BB87" s="82"/>
      <c r="BC87" s="82"/>
      <c r="BD87" s="82"/>
      <c r="BE87" s="82"/>
      <c r="BF87" s="82"/>
      <c r="BG87" s="82"/>
    </row>
    <row r="88" spans="1:59" s="93" customFormat="1">
      <c r="A88" s="97" t="s">
        <v>167</v>
      </c>
      <c r="B88" s="64">
        <v>586</v>
      </c>
      <c r="C88" s="39">
        <v>393</v>
      </c>
      <c r="D88" s="235">
        <f t="shared" si="19"/>
        <v>-0.32935153583617749</v>
      </c>
      <c r="E88" s="238">
        <f t="shared" si="15"/>
        <v>6.0911345319280847E-3</v>
      </c>
      <c r="F88" s="80"/>
      <c r="G88" s="64">
        <v>13</v>
      </c>
      <c r="H88" s="39">
        <v>9</v>
      </c>
      <c r="I88" s="235">
        <f t="shared" si="20"/>
        <v>-0.30769230769230771</v>
      </c>
      <c r="J88" s="238">
        <f t="shared" si="16"/>
        <v>1.9067796610169492E-3</v>
      </c>
      <c r="K88" s="185"/>
      <c r="L88" s="179">
        <f t="shared" si="18"/>
        <v>43666.666666666664</v>
      </c>
      <c r="P88" s="82"/>
      <c r="Q88" s="82"/>
      <c r="R88" s="82"/>
      <c r="S88" s="82"/>
      <c r="T88" s="82"/>
      <c r="U88" s="82"/>
      <c r="V88" s="82"/>
      <c r="W88" s="82"/>
      <c r="X88" s="82"/>
      <c r="Y88" s="82"/>
      <c r="Z88" s="82"/>
      <c r="AA88" s="82"/>
      <c r="AB88" s="82"/>
      <c r="AC88" s="82"/>
      <c r="AD88" s="82"/>
      <c r="AE88" s="82"/>
      <c r="AF88" s="82"/>
      <c r="AG88" s="82"/>
      <c r="AH88" s="82"/>
      <c r="AI88" s="82"/>
      <c r="AJ88" s="82"/>
      <c r="AK88" s="82"/>
      <c r="AL88" s="82"/>
      <c r="AM88" s="82"/>
      <c r="AN88" s="82"/>
      <c r="AO88" s="82"/>
      <c r="AP88" s="82"/>
      <c r="AQ88" s="82"/>
      <c r="AR88" s="82"/>
      <c r="AS88" s="82"/>
      <c r="AT88" s="82"/>
      <c r="AU88" s="82"/>
      <c r="AV88" s="82"/>
      <c r="AW88" s="82"/>
      <c r="AX88" s="82"/>
      <c r="AY88" s="82"/>
      <c r="AZ88" s="82"/>
      <c r="BA88" s="82"/>
      <c r="BB88" s="82"/>
      <c r="BC88" s="82"/>
      <c r="BD88" s="82"/>
      <c r="BE88" s="82"/>
      <c r="BF88" s="82"/>
      <c r="BG88" s="82"/>
    </row>
    <row r="89" spans="1:59" s="93" customFormat="1">
      <c r="A89" s="97" t="s">
        <v>34</v>
      </c>
      <c r="B89" s="64">
        <v>404</v>
      </c>
      <c r="C89" s="39">
        <v>331</v>
      </c>
      <c r="D89" s="235">
        <f t="shared" si="19"/>
        <v>-0.18069306930693069</v>
      </c>
      <c r="E89" s="238">
        <f t="shared" si="15"/>
        <v>5.1301921884686916E-3</v>
      </c>
      <c r="F89" s="80"/>
      <c r="G89" s="64">
        <v>11</v>
      </c>
      <c r="H89" s="39">
        <v>5</v>
      </c>
      <c r="I89" s="235">
        <f t="shared" si="20"/>
        <v>-0.54545454545454541</v>
      </c>
      <c r="J89" s="238">
        <f t="shared" si="16"/>
        <v>1.0593220338983051E-3</v>
      </c>
      <c r="K89" s="185"/>
      <c r="L89" s="179">
        <f t="shared" si="18"/>
        <v>66200</v>
      </c>
      <c r="P89" s="82"/>
      <c r="Q89" s="82"/>
      <c r="R89" s="82"/>
      <c r="S89" s="82"/>
      <c r="T89" s="82"/>
      <c r="U89" s="82"/>
      <c r="V89" s="82"/>
      <c r="W89" s="82"/>
      <c r="X89" s="82"/>
      <c r="Y89" s="82"/>
      <c r="Z89" s="82"/>
      <c r="AA89" s="82"/>
      <c r="AB89" s="82"/>
      <c r="AC89" s="82"/>
      <c r="AD89" s="82"/>
      <c r="AE89" s="82"/>
      <c r="AF89" s="82"/>
      <c r="AG89" s="82"/>
      <c r="AH89" s="82"/>
      <c r="AI89" s="82"/>
      <c r="AJ89" s="82"/>
      <c r="AK89" s="82"/>
      <c r="AL89" s="82"/>
      <c r="AM89" s="82"/>
      <c r="AN89" s="82"/>
      <c r="AO89" s="82"/>
      <c r="AP89" s="82"/>
      <c r="AQ89" s="82"/>
      <c r="AR89" s="82"/>
      <c r="AS89" s="82"/>
      <c r="AT89" s="82"/>
      <c r="AU89" s="82"/>
      <c r="AV89" s="82"/>
      <c r="AW89" s="82"/>
      <c r="AX89" s="82"/>
      <c r="AY89" s="82"/>
      <c r="AZ89" s="82"/>
      <c r="BA89" s="82"/>
      <c r="BB89" s="82"/>
      <c r="BC89" s="82"/>
      <c r="BD89" s="82"/>
      <c r="BE89" s="82"/>
      <c r="BF89" s="82"/>
      <c r="BG89" s="82"/>
    </row>
    <row r="90" spans="1:59" s="93" customFormat="1">
      <c r="A90" s="97" t="s">
        <v>36</v>
      </c>
      <c r="B90" s="64">
        <f>B91-SUM(B74:B89)</f>
        <v>2782</v>
      </c>
      <c r="C90" s="39">
        <f>C91-SUM(C74:C89)</f>
        <v>3005</v>
      </c>
      <c r="D90" s="235">
        <f t="shared" si="19"/>
        <v>8.0158159597411932E-2</v>
      </c>
      <c r="E90" s="238">
        <f t="shared" si="15"/>
        <v>4.6574705517668936E-2</v>
      </c>
      <c r="F90" s="80"/>
      <c r="G90" s="64">
        <f>G91-SUM(G74:G89)</f>
        <v>166</v>
      </c>
      <c r="H90" s="39">
        <f>H91-SUM(H74:H89)</f>
        <v>153</v>
      </c>
      <c r="I90" s="235">
        <f t="shared" si="17"/>
        <v>-7.8313253012048195E-2</v>
      </c>
      <c r="J90" s="238">
        <f t="shared" si="16"/>
        <v>3.2415254237288138E-2</v>
      </c>
      <c r="K90" s="185"/>
      <c r="L90" s="179">
        <f t="shared" si="18"/>
        <v>19640.522875816994</v>
      </c>
      <c r="P90" s="82"/>
      <c r="Q90" s="82"/>
      <c r="R90" s="82"/>
      <c r="S90" s="82"/>
      <c r="T90" s="82"/>
      <c r="U90" s="82"/>
      <c r="V90" s="82"/>
      <c r="W90" s="82"/>
      <c r="X90" s="82"/>
      <c r="Y90" s="82"/>
      <c r="Z90" s="82"/>
      <c r="AA90" s="82"/>
      <c r="AB90" s="82"/>
      <c r="AC90" s="82"/>
      <c r="AD90" s="82"/>
      <c r="AE90" s="82"/>
      <c r="AF90" s="82"/>
      <c r="AG90" s="82"/>
      <c r="AH90" s="82"/>
      <c r="AI90" s="82"/>
      <c r="AJ90" s="82"/>
      <c r="AK90" s="82"/>
      <c r="AL90" s="82"/>
      <c r="AM90" s="82"/>
      <c r="AN90" s="82"/>
      <c r="AO90" s="82"/>
      <c r="AP90" s="82"/>
      <c r="AQ90" s="82"/>
      <c r="AR90" s="82"/>
      <c r="AS90" s="82"/>
      <c r="AT90" s="82"/>
      <c r="AU90" s="82"/>
      <c r="AV90" s="82"/>
      <c r="AW90" s="82"/>
      <c r="AX90" s="82"/>
      <c r="AY90" s="82"/>
      <c r="AZ90" s="82"/>
      <c r="BA90" s="82"/>
      <c r="BB90" s="82"/>
      <c r="BC90" s="82"/>
      <c r="BD90" s="82"/>
      <c r="BE90" s="82"/>
      <c r="BF90" s="82"/>
      <c r="BG90" s="82"/>
    </row>
    <row r="91" spans="1:59" s="93" customFormat="1" ht="14.25" thickBot="1">
      <c r="A91" s="123" t="s">
        <v>3</v>
      </c>
      <c r="B91" s="72">
        <v>58248</v>
      </c>
      <c r="C91" s="73">
        <v>64520</v>
      </c>
      <c r="D91" s="239">
        <f t="shared" ref="D91" si="21">(C91-B91)/B91</f>
        <v>0.107677516824612</v>
      </c>
      <c r="E91" s="241">
        <f>SUM(E74:E90)</f>
        <v>1.0000000000000002</v>
      </c>
      <c r="F91" s="187"/>
      <c r="G91" s="72">
        <v>4429</v>
      </c>
      <c r="H91" s="73">
        <v>4720</v>
      </c>
      <c r="I91" s="239">
        <f t="shared" si="17"/>
        <v>6.5703319033641905E-2</v>
      </c>
      <c r="J91" s="241">
        <f>SUM(J74:J90)</f>
        <v>1</v>
      </c>
      <c r="K91" s="185"/>
      <c r="L91" s="182">
        <f t="shared" si="18"/>
        <v>13669.491525423729</v>
      </c>
      <c r="M91" s="185"/>
      <c r="P91" s="82"/>
      <c r="Q91" s="82"/>
      <c r="R91" s="82"/>
      <c r="S91" s="82"/>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82"/>
      <c r="AS91" s="82"/>
      <c r="AT91" s="82"/>
      <c r="AU91" s="82"/>
      <c r="AV91" s="82"/>
      <c r="AW91" s="82"/>
      <c r="AX91" s="82"/>
      <c r="AY91" s="82"/>
      <c r="AZ91" s="82"/>
      <c r="BA91" s="82"/>
      <c r="BB91" s="82"/>
      <c r="BC91" s="82"/>
      <c r="BD91" s="82"/>
      <c r="BE91" s="82"/>
      <c r="BF91" s="82"/>
      <c r="BG91" s="82"/>
    </row>
    <row r="92" spans="1:59">
      <c r="A92" s="5" t="s">
        <v>87</v>
      </c>
      <c r="Q92" s="1"/>
      <c r="R92" s="1"/>
      <c r="S92" s="1"/>
    </row>
    <row r="93" spans="1:59">
      <c r="A93" s="5" t="s">
        <v>63</v>
      </c>
    </row>
    <row r="94" spans="1:59">
      <c r="A94" s="5" t="s">
        <v>38</v>
      </c>
      <c r="E94" s="26"/>
    </row>
    <row r="95" spans="1:59">
      <c r="A95" s="5" t="s">
        <v>76</v>
      </c>
    </row>
    <row r="96" spans="1:59">
      <c r="A96" s="5"/>
    </row>
    <row r="97" spans="1:65" s="34" customFormat="1" ht="13.5" customHeight="1" thickBot="1">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row>
    <row r="98" spans="1:65" ht="13.5" customHeight="1">
      <c r="V98" s="14"/>
      <c r="W98" s="14"/>
      <c r="X98" s="14"/>
      <c r="Y98" s="14"/>
    </row>
    <row r="99" spans="1:65">
      <c r="A99" s="15" t="s">
        <v>419</v>
      </c>
      <c r="B99" s="25" t="s">
        <v>321</v>
      </c>
      <c r="C99" s="29"/>
      <c r="D99" s="29"/>
      <c r="E99" s="29"/>
      <c r="F99" s="29"/>
      <c r="G99" s="29"/>
      <c r="H99" s="29"/>
      <c r="I99" s="29"/>
      <c r="J99" s="29"/>
    </row>
    <row r="101" spans="1:65" s="50" customFormat="1" ht="14.25" thickBot="1">
      <c r="B101" s="564" t="s">
        <v>88</v>
      </c>
      <c r="C101" s="565"/>
      <c r="D101" s="233"/>
      <c r="E101" s="233"/>
      <c r="G101" s="564" t="s">
        <v>85</v>
      </c>
      <c r="H101" s="565"/>
      <c r="I101" s="233"/>
      <c r="J101" s="233"/>
      <c r="V101" s="194"/>
      <c r="W101" s="194"/>
      <c r="X101" s="194"/>
      <c r="Y101" s="194"/>
      <c r="Z101" s="194"/>
      <c r="AA101" s="194"/>
      <c r="AB101" s="194"/>
      <c r="AC101" s="194"/>
      <c r="AD101" s="194"/>
      <c r="AE101" s="194"/>
      <c r="AF101" s="194"/>
      <c r="AG101" s="194"/>
      <c r="AH101" s="194"/>
      <c r="AI101" s="194"/>
      <c r="AJ101" s="194"/>
      <c r="AK101" s="194"/>
      <c r="AL101" s="194"/>
      <c r="AM101" s="194"/>
      <c r="AN101" s="194"/>
      <c r="AO101" s="194"/>
      <c r="AP101" s="194"/>
      <c r="AQ101" s="194"/>
      <c r="AR101" s="194"/>
      <c r="AS101" s="194"/>
      <c r="AT101" s="194"/>
      <c r="AU101" s="194"/>
      <c r="AV101" s="194"/>
      <c r="AW101" s="194"/>
      <c r="AX101" s="194"/>
      <c r="AY101" s="194"/>
      <c r="AZ101" s="194"/>
      <c r="BA101" s="194"/>
      <c r="BB101" s="194"/>
      <c r="BC101" s="194"/>
      <c r="BD101" s="194"/>
      <c r="BE101" s="194"/>
      <c r="BF101" s="194"/>
      <c r="BG101" s="194"/>
      <c r="BH101" s="194"/>
      <c r="BI101" s="194"/>
      <c r="BJ101" s="194"/>
      <c r="BK101" s="194"/>
      <c r="BL101" s="194"/>
      <c r="BM101" s="194"/>
    </row>
    <row r="102" spans="1:65" s="93" customFormat="1" ht="14.25" thickBot="1">
      <c r="A102" s="185"/>
      <c r="B102" s="166">
        <v>2016</v>
      </c>
      <c r="C102" s="88">
        <v>2017</v>
      </c>
      <c r="D102" s="88" t="s">
        <v>310</v>
      </c>
      <c r="E102" s="142" t="s">
        <v>94</v>
      </c>
      <c r="G102" s="166">
        <v>2016</v>
      </c>
      <c r="H102" s="88">
        <v>2017</v>
      </c>
      <c r="I102" s="88" t="s">
        <v>310</v>
      </c>
      <c r="J102" s="142" t="s">
        <v>94</v>
      </c>
      <c r="L102" s="500" t="s">
        <v>75</v>
      </c>
      <c r="T102" s="82"/>
      <c r="U102" s="82"/>
      <c r="V102" s="82"/>
      <c r="W102" s="82"/>
      <c r="X102" s="82"/>
      <c r="Y102" s="82"/>
      <c r="Z102" s="82"/>
      <c r="AA102" s="82"/>
      <c r="AB102" s="82"/>
      <c r="AC102" s="82"/>
      <c r="AD102" s="82"/>
      <c r="AE102" s="82"/>
      <c r="AF102" s="82"/>
      <c r="AG102" s="82"/>
      <c r="AH102" s="82"/>
      <c r="AI102" s="82"/>
      <c r="AJ102" s="82"/>
      <c r="AK102" s="82"/>
      <c r="AL102" s="82"/>
      <c r="AM102" s="82"/>
      <c r="AN102" s="82"/>
      <c r="AO102" s="82"/>
      <c r="AP102" s="82"/>
      <c r="AQ102" s="82"/>
      <c r="AR102" s="82"/>
      <c r="AS102" s="82"/>
      <c r="AT102" s="82"/>
      <c r="AU102" s="82"/>
      <c r="AV102" s="82"/>
      <c r="AW102" s="82"/>
      <c r="AX102" s="82"/>
      <c r="AY102" s="82"/>
      <c r="AZ102" s="82"/>
      <c r="BA102" s="82"/>
      <c r="BB102" s="82"/>
      <c r="BC102" s="82"/>
      <c r="BD102" s="82"/>
      <c r="BE102" s="82"/>
      <c r="BF102" s="82"/>
      <c r="BG102" s="82"/>
      <c r="BH102" s="82"/>
      <c r="BI102" s="82"/>
      <c r="BJ102" s="82"/>
      <c r="BK102" s="82"/>
    </row>
    <row r="103" spans="1:65" s="93" customFormat="1">
      <c r="A103" s="92" t="s">
        <v>312</v>
      </c>
      <c r="B103" s="63">
        <v>11407</v>
      </c>
      <c r="C103" s="37">
        <v>10434</v>
      </c>
      <c r="D103" s="236">
        <f t="shared" ref="D103:D134" si="22">(C103-B103)/B103</f>
        <v>-8.5298500920487422E-2</v>
      </c>
      <c r="E103" s="237">
        <f>C103/C$134</f>
        <v>0.17930299697552929</v>
      </c>
      <c r="F103" s="39"/>
      <c r="G103" s="63">
        <v>142</v>
      </c>
      <c r="H103" s="37">
        <v>142</v>
      </c>
      <c r="I103" s="236">
        <f t="shared" ref="I103:I134" si="23">(H103-G103)/G103</f>
        <v>0</v>
      </c>
      <c r="J103" s="237">
        <f>H103/H$134</f>
        <v>6.1233290211297975E-2</v>
      </c>
      <c r="L103" s="179">
        <f t="shared" ref="L103:L134" si="24">C103*1000/H103</f>
        <v>73478.873239436623</v>
      </c>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82"/>
      <c r="BG103" s="82"/>
      <c r="BH103" s="82"/>
      <c r="BI103" s="82"/>
      <c r="BJ103" s="82"/>
      <c r="BK103" s="82"/>
    </row>
    <row r="104" spans="1:65" s="93" customFormat="1">
      <c r="A104" s="97" t="s">
        <v>39</v>
      </c>
      <c r="B104" s="64">
        <v>5027</v>
      </c>
      <c r="C104" s="39">
        <v>6101</v>
      </c>
      <c r="D104" s="235">
        <f t="shared" si="22"/>
        <v>0.21364630992639747</v>
      </c>
      <c r="E104" s="238">
        <f t="shared" ref="E104:E134" si="25">C104/C$134</f>
        <v>0.10484259004674182</v>
      </c>
      <c r="F104" s="39"/>
      <c r="G104" s="64">
        <v>550</v>
      </c>
      <c r="H104" s="39">
        <v>668</v>
      </c>
      <c r="I104" s="235">
        <f t="shared" si="23"/>
        <v>0.21454545454545454</v>
      </c>
      <c r="J104" s="238">
        <f t="shared" ref="J104:J134" si="26">H104/H$134</f>
        <v>0.28805519620526088</v>
      </c>
      <c r="L104" s="179">
        <f t="shared" si="24"/>
        <v>9133.2335329341313</v>
      </c>
      <c r="T104" s="82"/>
      <c r="U104" s="82"/>
      <c r="V104" s="82"/>
      <c r="W104" s="82"/>
      <c r="X104" s="82"/>
      <c r="Y104" s="82"/>
      <c r="Z104" s="82"/>
      <c r="AA104" s="82"/>
      <c r="AB104" s="82"/>
      <c r="AC104" s="82"/>
      <c r="AD104" s="82"/>
      <c r="AE104" s="82"/>
      <c r="AF104" s="82"/>
      <c r="AG104" s="82"/>
      <c r="AH104" s="82"/>
      <c r="AI104" s="82"/>
      <c r="AJ104" s="82"/>
      <c r="AK104" s="82"/>
      <c r="AL104" s="82"/>
      <c r="AM104" s="82"/>
      <c r="AN104" s="82"/>
      <c r="AO104" s="82"/>
      <c r="AP104" s="82"/>
      <c r="AQ104" s="82"/>
      <c r="AR104" s="82"/>
      <c r="AS104" s="82"/>
      <c r="AT104" s="82"/>
      <c r="AU104" s="82"/>
      <c r="AV104" s="82"/>
      <c r="AW104" s="82"/>
      <c r="AX104" s="82"/>
      <c r="AY104" s="82"/>
      <c r="AZ104" s="82"/>
      <c r="BA104" s="82"/>
      <c r="BB104" s="82"/>
      <c r="BC104" s="82"/>
      <c r="BD104" s="82"/>
      <c r="BE104" s="82"/>
      <c r="BF104" s="82"/>
      <c r="BG104" s="82"/>
      <c r="BH104" s="82"/>
      <c r="BI104" s="82"/>
      <c r="BJ104" s="82"/>
      <c r="BK104" s="82"/>
    </row>
    <row r="105" spans="1:65" s="93" customFormat="1">
      <c r="A105" s="97" t="s">
        <v>29</v>
      </c>
      <c r="B105" s="64">
        <v>4213</v>
      </c>
      <c r="C105" s="39">
        <v>5276</v>
      </c>
      <c r="D105" s="235">
        <f t="shared" si="22"/>
        <v>0.25231426536909568</v>
      </c>
      <c r="E105" s="238">
        <f t="shared" si="25"/>
        <v>9.0665383557877371E-2</v>
      </c>
      <c r="F105" s="39"/>
      <c r="G105" s="64">
        <v>132</v>
      </c>
      <c r="H105" s="39">
        <v>167</v>
      </c>
      <c r="I105" s="235">
        <f t="shared" si="23"/>
        <v>0.26515151515151514</v>
      </c>
      <c r="J105" s="238">
        <f t="shared" si="26"/>
        <v>7.2013799051315219E-2</v>
      </c>
      <c r="L105" s="179">
        <f t="shared" si="24"/>
        <v>31592.814371257486</v>
      </c>
      <c r="T105" s="82"/>
      <c r="U105" s="82"/>
      <c r="V105" s="82"/>
      <c r="W105" s="82"/>
      <c r="X105" s="82"/>
      <c r="Y105" s="82"/>
      <c r="Z105" s="82"/>
      <c r="AA105" s="82"/>
      <c r="AB105" s="82"/>
      <c r="AC105" s="82"/>
      <c r="AD105" s="82"/>
      <c r="AE105" s="82"/>
      <c r="AF105" s="82"/>
      <c r="AG105" s="82"/>
      <c r="AH105" s="82"/>
      <c r="AI105" s="82"/>
      <c r="AJ105" s="82"/>
      <c r="AK105" s="82"/>
      <c r="AL105" s="82"/>
      <c r="AM105" s="82"/>
      <c r="AN105" s="82"/>
      <c r="AO105" s="82"/>
      <c r="AP105" s="82"/>
      <c r="AQ105" s="82"/>
      <c r="AR105" s="82"/>
      <c r="AS105" s="82"/>
      <c r="AT105" s="82"/>
      <c r="AU105" s="82"/>
      <c r="AV105" s="82"/>
      <c r="AW105" s="82"/>
      <c r="AX105" s="82"/>
      <c r="AY105" s="82"/>
      <c r="AZ105" s="82"/>
      <c r="BA105" s="82"/>
      <c r="BB105" s="82"/>
      <c r="BC105" s="82"/>
      <c r="BD105" s="82"/>
      <c r="BE105" s="82"/>
      <c r="BF105" s="82"/>
      <c r="BG105" s="82"/>
      <c r="BH105" s="82"/>
      <c r="BI105" s="82"/>
      <c r="BJ105" s="82"/>
      <c r="BK105" s="82"/>
    </row>
    <row r="106" spans="1:65" s="93" customFormat="1">
      <c r="A106" s="97" t="s">
        <v>41</v>
      </c>
      <c r="B106" s="64">
        <v>3277</v>
      </c>
      <c r="C106" s="39">
        <v>3752</v>
      </c>
      <c r="D106" s="235">
        <f t="shared" si="22"/>
        <v>0.14494964906927069</v>
      </c>
      <c r="E106" s="238">
        <f t="shared" si="25"/>
        <v>6.447621666208414E-2</v>
      </c>
      <c r="F106" s="39"/>
      <c r="G106" s="64">
        <v>161</v>
      </c>
      <c r="H106" s="39">
        <v>164</v>
      </c>
      <c r="I106" s="235">
        <f t="shared" si="23"/>
        <v>1.8633540372670808E-2</v>
      </c>
      <c r="J106" s="238">
        <f t="shared" si="26"/>
        <v>7.0720137990513146E-2</v>
      </c>
      <c r="L106" s="179">
        <f t="shared" si="24"/>
        <v>22878.048780487807</v>
      </c>
      <c r="T106" s="82"/>
      <c r="U106" s="82"/>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82"/>
      <c r="AX106" s="82"/>
      <c r="AY106" s="82"/>
      <c r="AZ106" s="82"/>
      <c r="BA106" s="82"/>
      <c r="BB106" s="82"/>
      <c r="BC106" s="82"/>
      <c r="BD106" s="82"/>
      <c r="BE106" s="82"/>
      <c r="BF106" s="82"/>
      <c r="BG106" s="82"/>
      <c r="BH106" s="82"/>
      <c r="BI106" s="82"/>
      <c r="BJ106" s="82"/>
      <c r="BK106" s="82"/>
    </row>
    <row r="107" spans="1:65" s="93" customFormat="1">
      <c r="A107" s="97" t="s">
        <v>31</v>
      </c>
      <c r="B107" s="64">
        <v>3438</v>
      </c>
      <c r="C107" s="39">
        <v>3186</v>
      </c>
      <c r="D107" s="235">
        <f t="shared" si="22"/>
        <v>-7.3298429319371722E-2</v>
      </c>
      <c r="E107" s="238">
        <f t="shared" si="25"/>
        <v>5.4749793786087436E-2</v>
      </c>
      <c r="F107" s="39"/>
      <c r="G107" s="64">
        <v>36</v>
      </c>
      <c r="H107" s="39">
        <v>44</v>
      </c>
      <c r="I107" s="235">
        <f t="shared" si="23"/>
        <v>0.22222222222222221</v>
      </c>
      <c r="J107" s="238">
        <f t="shared" si="26"/>
        <v>1.8973695558430356E-2</v>
      </c>
      <c r="L107" s="179">
        <f t="shared" si="24"/>
        <v>72409.090909090912</v>
      </c>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2"/>
      <c r="BD107" s="82"/>
      <c r="BE107" s="82"/>
      <c r="BF107" s="82"/>
      <c r="BG107" s="82"/>
      <c r="BH107" s="82"/>
      <c r="BI107" s="82"/>
      <c r="BJ107" s="82"/>
      <c r="BK107" s="82"/>
    </row>
    <row r="108" spans="1:65" s="93" customFormat="1">
      <c r="A108" s="97" t="s">
        <v>40</v>
      </c>
      <c r="B108" s="64">
        <v>3354</v>
      </c>
      <c r="C108" s="39">
        <v>3095</v>
      </c>
      <c r="D108" s="235">
        <f t="shared" si="22"/>
        <v>-7.7221228384019083E-2</v>
      </c>
      <c r="E108" s="238">
        <f t="shared" si="25"/>
        <v>5.3186004949133898E-2</v>
      </c>
      <c r="F108" s="39"/>
      <c r="G108" s="64">
        <v>72</v>
      </c>
      <c r="H108" s="39">
        <v>59</v>
      </c>
      <c r="I108" s="235">
        <f t="shared" si="23"/>
        <v>-0.18055555555555555</v>
      </c>
      <c r="J108" s="238">
        <f t="shared" si="26"/>
        <v>2.5442000862440708E-2</v>
      </c>
      <c r="L108" s="179">
        <f t="shared" si="24"/>
        <v>52457.627118644064</v>
      </c>
      <c r="T108" s="82"/>
      <c r="U108" s="82"/>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82"/>
      <c r="AS108" s="82"/>
      <c r="AT108" s="82"/>
      <c r="AU108" s="82"/>
      <c r="AV108" s="82"/>
      <c r="AW108" s="82"/>
      <c r="AX108" s="82"/>
      <c r="AY108" s="82"/>
      <c r="AZ108" s="82"/>
      <c r="BA108" s="82"/>
      <c r="BB108" s="82"/>
      <c r="BC108" s="82"/>
      <c r="BD108" s="82"/>
      <c r="BE108" s="82"/>
      <c r="BF108" s="82"/>
      <c r="BG108" s="82"/>
      <c r="BH108" s="82"/>
      <c r="BI108" s="82"/>
      <c r="BJ108" s="82"/>
      <c r="BK108" s="82"/>
    </row>
    <row r="109" spans="1:65" s="93" customFormat="1">
      <c r="A109" s="97" t="s">
        <v>30</v>
      </c>
      <c r="B109" s="64">
        <v>3476</v>
      </c>
      <c r="C109" s="39">
        <v>2630</v>
      </c>
      <c r="D109" s="235">
        <f t="shared" si="22"/>
        <v>-0.24338319907940162</v>
      </c>
      <c r="E109" s="238">
        <f t="shared" si="25"/>
        <v>4.5195215837228485E-2</v>
      </c>
      <c r="F109" s="39"/>
      <c r="G109" s="64">
        <v>81</v>
      </c>
      <c r="H109" s="39">
        <v>65</v>
      </c>
      <c r="I109" s="235">
        <f t="shared" si="23"/>
        <v>-0.19753086419753085</v>
      </c>
      <c r="J109" s="238">
        <f t="shared" si="26"/>
        <v>2.8029322984044848E-2</v>
      </c>
      <c r="L109" s="179">
        <f t="shared" si="24"/>
        <v>40461.538461538461</v>
      </c>
      <c r="T109" s="82"/>
      <c r="U109" s="82"/>
      <c r="V109" s="82"/>
      <c r="W109" s="82"/>
      <c r="X109" s="82"/>
      <c r="Y109" s="82"/>
      <c r="Z109" s="82"/>
      <c r="AA109" s="82"/>
      <c r="AB109" s="82"/>
      <c r="AC109" s="82"/>
      <c r="AD109" s="82"/>
      <c r="AE109" s="82"/>
      <c r="AF109" s="82"/>
      <c r="AG109" s="82"/>
      <c r="AH109" s="82"/>
      <c r="AI109" s="82"/>
      <c r="AJ109" s="82"/>
      <c r="AK109" s="82"/>
      <c r="AL109" s="82"/>
      <c r="AM109" s="82"/>
      <c r="AN109" s="82"/>
      <c r="AO109" s="82"/>
      <c r="AP109" s="82"/>
      <c r="AQ109" s="82"/>
      <c r="AR109" s="82"/>
      <c r="AS109" s="82"/>
      <c r="AT109" s="82"/>
      <c r="AU109" s="82"/>
      <c r="AV109" s="82"/>
      <c r="AW109" s="82"/>
      <c r="AX109" s="82"/>
      <c r="AY109" s="82"/>
      <c r="AZ109" s="82"/>
      <c r="BA109" s="82"/>
      <c r="BB109" s="82"/>
      <c r="BC109" s="82"/>
      <c r="BD109" s="82"/>
      <c r="BE109" s="82"/>
      <c r="BF109" s="82"/>
      <c r="BG109" s="82"/>
      <c r="BH109" s="82"/>
      <c r="BI109" s="82"/>
      <c r="BJ109" s="82"/>
      <c r="BK109" s="82"/>
    </row>
    <row r="110" spans="1:65" s="93" customFormat="1">
      <c r="A110" s="97" t="s">
        <v>34</v>
      </c>
      <c r="B110" s="64">
        <v>1166</v>
      </c>
      <c r="C110" s="39">
        <v>1833</v>
      </c>
      <c r="D110" s="235">
        <f t="shared" si="22"/>
        <v>0.57204116638078906</v>
      </c>
      <c r="E110" s="238">
        <f t="shared" si="25"/>
        <v>3.1499175144349738E-2</v>
      </c>
      <c r="F110" s="39"/>
      <c r="G110" s="64">
        <v>32</v>
      </c>
      <c r="H110" s="39">
        <v>80</v>
      </c>
      <c r="I110" s="235">
        <f t="shared" si="23"/>
        <v>1.5</v>
      </c>
      <c r="J110" s="238">
        <f t="shared" si="26"/>
        <v>3.4497628288055193E-2</v>
      </c>
      <c r="L110" s="179">
        <f t="shared" si="24"/>
        <v>22912.5</v>
      </c>
      <c r="T110" s="82"/>
      <c r="U110" s="82"/>
      <c r="V110" s="82"/>
      <c r="W110" s="82"/>
      <c r="X110" s="82"/>
      <c r="Y110" s="82"/>
      <c r="Z110" s="82"/>
      <c r="AA110" s="82"/>
      <c r="AB110" s="82"/>
      <c r="AC110" s="82"/>
      <c r="AD110" s="82"/>
      <c r="AE110" s="82"/>
      <c r="AF110" s="82"/>
      <c r="AG110" s="82"/>
      <c r="AH110" s="82"/>
      <c r="AI110" s="82"/>
      <c r="AJ110" s="82"/>
      <c r="AK110" s="82"/>
      <c r="AL110" s="82"/>
      <c r="AM110" s="82"/>
      <c r="AN110" s="82"/>
      <c r="AO110" s="82"/>
      <c r="AP110" s="82"/>
      <c r="AQ110" s="82"/>
      <c r="AR110" s="82"/>
      <c r="AS110" s="82"/>
      <c r="AT110" s="82"/>
      <c r="AU110" s="82"/>
      <c r="AV110" s="82"/>
      <c r="AW110" s="82"/>
      <c r="AX110" s="82"/>
      <c r="AY110" s="82"/>
      <c r="AZ110" s="82"/>
      <c r="BA110" s="82"/>
      <c r="BB110" s="82"/>
      <c r="BC110" s="82"/>
      <c r="BD110" s="82"/>
      <c r="BE110" s="82"/>
      <c r="BF110" s="82"/>
      <c r="BG110" s="82"/>
      <c r="BH110" s="82"/>
      <c r="BI110" s="82"/>
      <c r="BJ110" s="82"/>
      <c r="BK110" s="82"/>
    </row>
    <row r="111" spans="1:65" s="93" customFormat="1">
      <c r="A111" s="97" t="s">
        <v>62</v>
      </c>
      <c r="B111" s="64">
        <v>848</v>
      </c>
      <c r="C111" s="39">
        <v>1297</v>
      </c>
      <c r="D111" s="235">
        <f t="shared" si="22"/>
        <v>0.52948113207547165</v>
      </c>
      <c r="E111" s="238">
        <f t="shared" si="25"/>
        <v>2.2288287049766292E-2</v>
      </c>
      <c r="F111" s="39"/>
      <c r="G111" s="64">
        <v>57</v>
      </c>
      <c r="H111" s="39">
        <v>68</v>
      </c>
      <c r="I111" s="235">
        <f t="shared" si="23"/>
        <v>0.19298245614035087</v>
      </c>
      <c r="J111" s="238">
        <f t="shared" si="26"/>
        <v>2.9322984044846918E-2</v>
      </c>
      <c r="L111" s="179">
        <f t="shared" si="24"/>
        <v>19073.529411764706</v>
      </c>
      <c r="T111" s="82"/>
      <c r="U111" s="82"/>
      <c r="V111" s="82"/>
      <c r="W111" s="82"/>
      <c r="X111" s="82"/>
      <c r="Y111" s="82"/>
      <c r="Z111" s="82"/>
      <c r="AA111" s="82"/>
      <c r="AB111" s="82"/>
      <c r="AC111" s="82"/>
      <c r="AD111" s="82"/>
      <c r="AE111" s="82"/>
      <c r="AF111" s="82"/>
      <c r="AG111" s="82"/>
      <c r="AH111" s="82"/>
      <c r="AI111" s="82"/>
      <c r="AJ111" s="82"/>
      <c r="AK111" s="82"/>
      <c r="AL111" s="82"/>
      <c r="AM111" s="82"/>
      <c r="AN111" s="82"/>
      <c r="AO111" s="82"/>
      <c r="AP111" s="82"/>
      <c r="AQ111" s="82"/>
      <c r="AR111" s="82"/>
      <c r="AS111" s="82"/>
      <c r="AT111" s="82"/>
      <c r="AU111" s="82"/>
      <c r="AV111" s="82"/>
      <c r="AW111" s="82"/>
      <c r="AX111" s="82"/>
      <c r="AY111" s="82"/>
      <c r="AZ111" s="82"/>
      <c r="BA111" s="82"/>
      <c r="BB111" s="82"/>
      <c r="BC111" s="82"/>
      <c r="BD111" s="82"/>
      <c r="BE111" s="82"/>
      <c r="BF111" s="82"/>
      <c r="BG111" s="82"/>
      <c r="BH111" s="82"/>
      <c r="BI111" s="82"/>
      <c r="BJ111" s="82"/>
      <c r="BK111" s="82"/>
    </row>
    <row r="112" spans="1:65" s="93" customFormat="1">
      <c r="A112" s="97" t="s">
        <v>43</v>
      </c>
      <c r="B112" s="64">
        <v>1455</v>
      </c>
      <c r="C112" s="39">
        <v>1230</v>
      </c>
      <c r="D112" s="235">
        <f t="shared" si="22"/>
        <v>-0.15463917525773196</v>
      </c>
      <c r="E112" s="238">
        <f t="shared" si="25"/>
        <v>2.1136926037943361E-2</v>
      </c>
      <c r="F112" s="39"/>
      <c r="G112" s="64">
        <v>35</v>
      </c>
      <c r="H112" s="39">
        <v>32</v>
      </c>
      <c r="I112" s="235">
        <f t="shared" si="23"/>
        <v>-8.5714285714285715E-2</v>
      </c>
      <c r="J112" s="238">
        <f t="shared" si="26"/>
        <v>1.3799051315222079E-2</v>
      </c>
      <c r="L112" s="179">
        <f t="shared" si="24"/>
        <v>38437.5</v>
      </c>
      <c r="T112" s="82"/>
      <c r="U112" s="82"/>
      <c r="V112" s="82"/>
      <c r="W112" s="82"/>
      <c r="X112" s="82"/>
      <c r="Y112" s="82"/>
      <c r="Z112" s="82"/>
      <c r="AA112" s="82"/>
      <c r="AB112" s="82"/>
      <c r="AC112" s="82"/>
      <c r="AD112" s="82"/>
      <c r="AE112" s="82"/>
      <c r="AF112" s="82"/>
      <c r="AG112" s="82"/>
      <c r="AH112" s="82"/>
      <c r="AI112" s="82"/>
      <c r="AJ112" s="82"/>
      <c r="AK112" s="82"/>
      <c r="AL112" s="82"/>
      <c r="AM112" s="82"/>
      <c r="AN112" s="82"/>
      <c r="AO112" s="82"/>
      <c r="AP112" s="82"/>
      <c r="AQ112" s="82"/>
      <c r="AR112" s="82"/>
      <c r="AS112" s="82"/>
      <c r="AT112" s="82"/>
      <c r="AU112" s="82"/>
      <c r="AV112" s="82"/>
      <c r="AW112" s="82"/>
      <c r="AX112" s="82"/>
      <c r="AY112" s="82"/>
      <c r="AZ112" s="82"/>
      <c r="BA112" s="82"/>
      <c r="BB112" s="82"/>
      <c r="BC112" s="82"/>
      <c r="BD112" s="82"/>
      <c r="BE112" s="82"/>
      <c r="BF112" s="82"/>
      <c r="BG112" s="82"/>
      <c r="BH112" s="82"/>
      <c r="BI112" s="82"/>
      <c r="BJ112" s="82"/>
      <c r="BK112" s="82"/>
    </row>
    <row r="113" spans="1:63" s="93" customFormat="1">
      <c r="A113" s="97" t="s">
        <v>45</v>
      </c>
      <c r="B113" s="64">
        <v>1115</v>
      </c>
      <c r="C113" s="39">
        <v>1138</v>
      </c>
      <c r="D113" s="235">
        <f t="shared" si="22"/>
        <v>2.062780269058296E-2</v>
      </c>
      <c r="E113" s="238">
        <f t="shared" si="25"/>
        <v>1.955595270827605E-2</v>
      </c>
      <c r="F113" s="39"/>
      <c r="G113" s="64">
        <v>83</v>
      </c>
      <c r="H113" s="39">
        <v>33</v>
      </c>
      <c r="I113" s="235">
        <f t="shared" si="23"/>
        <v>-0.60240963855421692</v>
      </c>
      <c r="J113" s="238">
        <f t="shared" si="26"/>
        <v>1.4230271668822769E-2</v>
      </c>
      <c r="L113" s="179">
        <f t="shared" si="24"/>
        <v>34484.848484848488</v>
      </c>
      <c r="T113" s="82"/>
      <c r="U113" s="82"/>
      <c r="V113" s="82"/>
      <c r="W113" s="82"/>
      <c r="X113" s="82"/>
      <c r="Y113" s="82"/>
      <c r="Z113" s="82"/>
      <c r="AA113" s="82"/>
      <c r="AB113" s="82"/>
      <c r="AC113" s="82"/>
      <c r="AD113" s="82"/>
      <c r="AE113" s="82"/>
      <c r="AF113" s="82"/>
      <c r="AG113" s="82"/>
      <c r="AH113" s="82"/>
      <c r="AI113" s="82"/>
      <c r="AJ113" s="82"/>
      <c r="AK113" s="82"/>
      <c r="AL113" s="82"/>
      <c r="AM113" s="82"/>
      <c r="AN113" s="82"/>
      <c r="AO113" s="82"/>
      <c r="AP113" s="82"/>
      <c r="AQ113" s="82"/>
      <c r="AR113" s="82"/>
      <c r="AS113" s="82"/>
      <c r="AT113" s="82"/>
      <c r="AU113" s="82"/>
      <c r="AV113" s="82"/>
      <c r="AW113" s="82"/>
      <c r="AX113" s="82"/>
      <c r="AY113" s="82"/>
      <c r="AZ113" s="82"/>
      <c r="BA113" s="82"/>
      <c r="BB113" s="82"/>
      <c r="BC113" s="82"/>
      <c r="BD113" s="82"/>
      <c r="BE113" s="82"/>
      <c r="BF113" s="82"/>
      <c r="BG113" s="82"/>
      <c r="BH113" s="82"/>
      <c r="BI113" s="82"/>
      <c r="BJ113" s="82"/>
      <c r="BK113" s="82"/>
    </row>
    <row r="114" spans="1:63" s="93" customFormat="1">
      <c r="A114" s="97" t="s">
        <v>32</v>
      </c>
      <c r="B114" s="64">
        <v>1262</v>
      </c>
      <c r="C114" s="39">
        <v>1075</v>
      </c>
      <c r="D114" s="235">
        <f t="shared" si="22"/>
        <v>-0.14817749603803487</v>
      </c>
      <c r="E114" s="238">
        <f t="shared" si="25"/>
        <v>1.8473329667308223E-2</v>
      </c>
      <c r="F114" s="39"/>
      <c r="G114" s="64">
        <v>44</v>
      </c>
      <c r="H114" s="39">
        <v>28</v>
      </c>
      <c r="I114" s="235">
        <f t="shared" si="23"/>
        <v>-0.36363636363636365</v>
      </c>
      <c r="J114" s="238">
        <f t="shared" si="26"/>
        <v>1.2074169900819319E-2</v>
      </c>
      <c r="L114" s="179">
        <f t="shared" si="24"/>
        <v>38392.857142857145</v>
      </c>
      <c r="T114" s="82"/>
      <c r="U114" s="82"/>
      <c r="V114" s="82"/>
      <c r="W114" s="82"/>
      <c r="X114" s="82"/>
      <c r="Y114" s="82"/>
      <c r="Z114" s="82"/>
      <c r="AA114" s="82"/>
      <c r="AB114" s="82"/>
      <c r="AC114" s="82"/>
      <c r="AD114" s="82"/>
      <c r="AE114" s="82"/>
      <c r="AF114" s="82"/>
      <c r="AG114" s="82"/>
      <c r="AH114" s="82"/>
      <c r="AI114" s="82"/>
      <c r="AJ114" s="82"/>
      <c r="AK114" s="82"/>
      <c r="AL114" s="82"/>
      <c r="AM114" s="82"/>
      <c r="AN114" s="82"/>
      <c r="AO114" s="82"/>
      <c r="AP114" s="82"/>
      <c r="AQ114" s="82"/>
      <c r="AR114" s="82"/>
      <c r="AS114" s="82"/>
      <c r="AT114" s="82"/>
      <c r="AU114" s="82"/>
      <c r="AV114" s="82"/>
      <c r="AW114" s="82"/>
      <c r="AX114" s="82"/>
      <c r="AY114" s="82"/>
      <c r="AZ114" s="82"/>
      <c r="BA114" s="82"/>
      <c r="BB114" s="82"/>
      <c r="BC114" s="82"/>
      <c r="BD114" s="82"/>
      <c r="BE114" s="82"/>
      <c r="BF114" s="82"/>
      <c r="BG114" s="82"/>
      <c r="BH114" s="82"/>
      <c r="BI114" s="82"/>
      <c r="BJ114" s="82"/>
      <c r="BK114" s="82"/>
    </row>
    <row r="115" spans="1:63" s="93" customFormat="1">
      <c r="A115" s="97" t="s">
        <v>44</v>
      </c>
      <c r="B115" s="64">
        <v>1369</v>
      </c>
      <c r="C115" s="39">
        <v>1023</v>
      </c>
      <c r="D115" s="235">
        <f t="shared" si="22"/>
        <v>-0.2527392257121987</v>
      </c>
      <c r="E115" s="238">
        <f t="shared" si="25"/>
        <v>1.7579736046191917E-2</v>
      </c>
      <c r="F115" s="39"/>
      <c r="G115" s="64">
        <v>51</v>
      </c>
      <c r="H115" s="39">
        <v>45</v>
      </c>
      <c r="I115" s="235">
        <f t="shared" si="23"/>
        <v>-0.11764705882352941</v>
      </c>
      <c r="J115" s="238">
        <f t="shared" si="26"/>
        <v>1.9404915912031046E-2</v>
      </c>
      <c r="L115" s="179">
        <f t="shared" si="24"/>
        <v>22733.333333333332</v>
      </c>
      <c r="T115" s="82"/>
      <c r="U115" s="82"/>
      <c r="V115" s="82"/>
      <c r="W115" s="82"/>
      <c r="X115" s="82"/>
      <c r="Y115" s="82"/>
      <c r="Z115" s="82"/>
      <c r="AA115" s="82"/>
      <c r="AB115" s="82"/>
      <c r="AC115" s="82"/>
      <c r="AD115" s="82"/>
      <c r="AE115" s="82"/>
      <c r="AF115" s="82"/>
      <c r="AG115" s="82"/>
      <c r="AH115" s="82"/>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c r="BK115" s="82"/>
    </row>
    <row r="116" spans="1:63" s="93" customFormat="1">
      <c r="A116" s="97" t="s">
        <v>49</v>
      </c>
      <c r="B116" s="64">
        <v>783</v>
      </c>
      <c r="C116" s="39">
        <v>824</v>
      </c>
      <c r="D116" s="235">
        <f t="shared" si="22"/>
        <v>5.2362707535121331E-2</v>
      </c>
      <c r="E116" s="238">
        <f t="shared" si="25"/>
        <v>1.4160021996150674E-2</v>
      </c>
      <c r="F116" s="39"/>
      <c r="G116" s="64">
        <v>14</v>
      </c>
      <c r="H116" s="39">
        <v>19</v>
      </c>
      <c r="I116" s="235">
        <f t="shared" si="23"/>
        <v>0.35714285714285715</v>
      </c>
      <c r="J116" s="238">
        <f t="shared" si="26"/>
        <v>8.1931867184131084E-3</v>
      </c>
      <c r="L116" s="179">
        <f t="shared" si="24"/>
        <v>43368.42105263158</v>
      </c>
      <c r="T116" s="82"/>
      <c r="U116" s="82"/>
      <c r="V116" s="82"/>
      <c r="W116" s="82"/>
      <c r="X116" s="82"/>
      <c r="Y116" s="82"/>
      <c r="Z116" s="82"/>
      <c r="AA116" s="82"/>
      <c r="AB116" s="82"/>
      <c r="AC116" s="82"/>
      <c r="AD116" s="82"/>
      <c r="AE116" s="82"/>
      <c r="AF116" s="82"/>
      <c r="AG116" s="82"/>
      <c r="AH116" s="82"/>
      <c r="AI116" s="82"/>
      <c r="AJ116" s="82"/>
      <c r="AK116" s="82"/>
      <c r="AL116" s="82"/>
      <c r="AM116" s="82"/>
      <c r="AN116" s="82"/>
      <c r="AO116" s="82"/>
      <c r="AP116" s="82"/>
      <c r="AQ116" s="82"/>
      <c r="AR116" s="82"/>
      <c r="AS116" s="82"/>
      <c r="AT116" s="82"/>
      <c r="AU116" s="82"/>
      <c r="AV116" s="82"/>
      <c r="AW116" s="82"/>
      <c r="AX116" s="82"/>
      <c r="AY116" s="82"/>
      <c r="AZ116" s="82"/>
      <c r="BA116" s="82"/>
      <c r="BB116" s="82"/>
      <c r="BC116" s="82"/>
      <c r="BD116" s="82"/>
      <c r="BE116" s="82"/>
      <c r="BF116" s="82"/>
      <c r="BG116" s="82"/>
      <c r="BH116" s="82"/>
      <c r="BI116" s="82"/>
      <c r="BJ116" s="82"/>
      <c r="BK116" s="82"/>
    </row>
    <row r="117" spans="1:63" s="93" customFormat="1">
      <c r="A117" s="97" t="s">
        <v>316</v>
      </c>
      <c r="B117" s="64">
        <v>0</v>
      </c>
      <c r="C117" s="39">
        <v>760</v>
      </c>
      <c r="D117" s="235" t="e">
        <f t="shared" si="22"/>
        <v>#DIV/0!</v>
      </c>
      <c r="E117" s="238">
        <f t="shared" si="25"/>
        <v>1.3060214462469067E-2</v>
      </c>
      <c r="F117" s="39"/>
      <c r="G117" s="64">
        <v>0</v>
      </c>
      <c r="H117" s="39">
        <v>29</v>
      </c>
      <c r="I117" s="235" t="e">
        <f t="shared" si="23"/>
        <v>#DIV/0!</v>
      </c>
      <c r="J117" s="238">
        <f t="shared" si="26"/>
        <v>1.2505390254420009E-2</v>
      </c>
      <c r="L117" s="179">
        <f t="shared" si="24"/>
        <v>26206.896551724138</v>
      </c>
      <c r="T117" s="82"/>
      <c r="U117" s="82"/>
      <c r="V117" s="82"/>
      <c r="W117" s="82"/>
      <c r="X117" s="82"/>
      <c r="Y117" s="82"/>
      <c r="Z117" s="82"/>
      <c r="AA117" s="82"/>
      <c r="AB117" s="82"/>
      <c r="AC117" s="82"/>
      <c r="AD117" s="82"/>
      <c r="AE117" s="82"/>
      <c r="AF117" s="82"/>
      <c r="AG117" s="82"/>
      <c r="AH117" s="82"/>
      <c r="AI117" s="82"/>
      <c r="AJ117" s="82"/>
      <c r="AK117" s="82"/>
      <c r="AL117" s="82"/>
      <c r="AM117" s="82"/>
      <c r="AN117" s="82"/>
      <c r="AO117" s="82"/>
      <c r="AP117" s="82"/>
      <c r="AQ117" s="82"/>
      <c r="AR117" s="82"/>
      <c r="AS117" s="82"/>
      <c r="AT117" s="82"/>
      <c r="AU117" s="82"/>
      <c r="AV117" s="82"/>
      <c r="AW117" s="82"/>
      <c r="AX117" s="82"/>
      <c r="AY117" s="82"/>
      <c r="AZ117" s="82"/>
      <c r="BA117" s="82"/>
      <c r="BB117" s="82"/>
      <c r="BC117" s="82"/>
      <c r="BD117" s="82"/>
      <c r="BE117" s="82"/>
      <c r="BF117" s="82"/>
      <c r="BG117" s="82"/>
      <c r="BH117" s="82"/>
      <c r="BI117" s="82"/>
      <c r="BJ117" s="82"/>
      <c r="BK117" s="82"/>
    </row>
    <row r="118" spans="1:63" s="93" customFormat="1">
      <c r="A118" s="97" t="s">
        <v>55</v>
      </c>
      <c r="B118" s="64">
        <v>530</v>
      </c>
      <c r="C118" s="39">
        <v>719</v>
      </c>
      <c r="D118" s="235">
        <f t="shared" si="22"/>
        <v>0.35660377358490564</v>
      </c>
      <c r="E118" s="238">
        <f t="shared" si="25"/>
        <v>1.235565026120429E-2</v>
      </c>
      <c r="F118" s="39"/>
      <c r="G118" s="64">
        <v>13</v>
      </c>
      <c r="H118" s="39">
        <v>18</v>
      </c>
      <c r="I118" s="235">
        <f t="shared" si="23"/>
        <v>0.38461538461538464</v>
      </c>
      <c r="J118" s="238">
        <f t="shared" si="26"/>
        <v>7.7619663648124193E-3</v>
      </c>
      <c r="L118" s="179">
        <f t="shared" si="24"/>
        <v>39944.444444444445</v>
      </c>
      <c r="T118" s="82"/>
      <c r="U118" s="82"/>
      <c r="V118" s="82"/>
      <c r="W118" s="82"/>
      <c r="X118" s="82"/>
      <c r="Y118" s="82"/>
      <c r="Z118" s="82"/>
      <c r="AA118" s="82"/>
      <c r="AB118" s="82"/>
      <c r="AC118" s="82"/>
      <c r="AD118" s="82"/>
      <c r="AE118" s="82"/>
      <c r="AF118" s="82"/>
      <c r="AG118" s="82"/>
      <c r="AH118" s="82"/>
      <c r="AI118" s="82"/>
      <c r="AJ118" s="82"/>
      <c r="AK118" s="82"/>
      <c r="AL118" s="82"/>
      <c r="AM118" s="82"/>
      <c r="AN118" s="82"/>
      <c r="AO118" s="82"/>
      <c r="AP118" s="82"/>
      <c r="AQ118" s="82"/>
      <c r="AR118" s="82"/>
      <c r="AS118" s="82"/>
      <c r="AT118" s="82"/>
      <c r="AU118" s="82"/>
      <c r="AV118" s="82"/>
      <c r="AW118" s="82"/>
      <c r="AX118" s="82"/>
      <c r="AY118" s="82"/>
      <c r="AZ118" s="82"/>
      <c r="BA118" s="82"/>
      <c r="BB118" s="82"/>
      <c r="BC118" s="82"/>
      <c r="BD118" s="82"/>
      <c r="BE118" s="82"/>
      <c r="BF118" s="82"/>
      <c r="BG118" s="82"/>
      <c r="BH118" s="82"/>
      <c r="BI118" s="82"/>
      <c r="BJ118" s="82"/>
      <c r="BK118" s="82"/>
    </row>
    <row r="119" spans="1:63" s="93" customFormat="1">
      <c r="A119" s="97" t="s">
        <v>56</v>
      </c>
      <c r="B119" s="64">
        <v>1149</v>
      </c>
      <c r="C119" s="39">
        <v>647</v>
      </c>
      <c r="D119" s="235">
        <f t="shared" si="22"/>
        <v>-0.43690165361183636</v>
      </c>
      <c r="E119" s="238">
        <f t="shared" si="25"/>
        <v>1.1118366785812482E-2</v>
      </c>
      <c r="F119" s="39"/>
      <c r="G119" s="64">
        <v>11</v>
      </c>
      <c r="H119" s="39">
        <v>13</v>
      </c>
      <c r="I119" s="235">
        <f t="shared" si="23"/>
        <v>0.18181818181818182</v>
      </c>
      <c r="J119" s="238">
        <f t="shared" si="26"/>
        <v>5.6058645968089698E-3</v>
      </c>
      <c r="L119" s="179">
        <f t="shared" si="24"/>
        <v>49769.230769230766</v>
      </c>
      <c r="T119" s="82"/>
      <c r="U119" s="82"/>
      <c r="V119" s="82"/>
      <c r="W119" s="82"/>
      <c r="X119" s="82"/>
      <c r="Y119" s="82"/>
      <c r="Z119" s="82"/>
      <c r="AA119" s="82"/>
      <c r="AB119" s="82"/>
      <c r="AC119" s="82"/>
      <c r="AD119" s="82"/>
      <c r="AE119" s="82"/>
      <c r="AF119" s="82"/>
      <c r="AG119" s="82"/>
      <c r="AH119" s="82"/>
      <c r="AI119" s="82"/>
      <c r="AJ119" s="82"/>
      <c r="AK119" s="82"/>
      <c r="AL119" s="82"/>
      <c r="AM119" s="82"/>
      <c r="AN119" s="82"/>
      <c r="AO119" s="82"/>
      <c r="AP119" s="82"/>
      <c r="AQ119" s="82"/>
      <c r="AR119" s="82"/>
      <c r="AS119" s="82"/>
      <c r="AT119" s="82"/>
      <c r="AU119" s="82"/>
      <c r="AV119" s="82"/>
      <c r="AW119" s="82"/>
      <c r="AX119" s="82"/>
      <c r="AY119" s="82"/>
      <c r="AZ119" s="82"/>
      <c r="BA119" s="82"/>
      <c r="BB119" s="82"/>
      <c r="BC119" s="82"/>
      <c r="BD119" s="82"/>
      <c r="BE119" s="82"/>
      <c r="BF119" s="82"/>
      <c r="BG119" s="82"/>
      <c r="BH119" s="82"/>
      <c r="BI119" s="82"/>
      <c r="BJ119" s="82"/>
      <c r="BK119" s="82"/>
    </row>
    <row r="120" spans="1:63" s="93" customFormat="1">
      <c r="A120" s="97" t="s">
        <v>59</v>
      </c>
      <c r="B120" s="64">
        <v>908</v>
      </c>
      <c r="C120" s="39">
        <v>644</v>
      </c>
      <c r="D120" s="235">
        <f t="shared" si="22"/>
        <v>-0.29074889867841408</v>
      </c>
      <c r="E120" s="238">
        <f t="shared" si="25"/>
        <v>1.1066813307671158E-2</v>
      </c>
      <c r="F120" s="39"/>
      <c r="G120" s="64">
        <v>7</v>
      </c>
      <c r="H120" s="39">
        <v>17</v>
      </c>
      <c r="I120" s="235">
        <f t="shared" si="23"/>
        <v>1.4285714285714286</v>
      </c>
      <c r="J120" s="238">
        <f t="shared" si="26"/>
        <v>7.3307460112117294E-3</v>
      </c>
      <c r="L120" s="179">
        <f t="shared" si="24"/>
        <v>37882.352941176468</v>
      </c>
      <c r="T120" s="82"/>
      <c r="U120" s="82"/>
      <c r="V120" s="82"/>
      <c r="W120" s="82"/>
      <c r="X120" s="82"/>
      <c r="Y120" s="82"/>
      <c r="Z120" s="82"/>
      <c r="AA120" s="82"/>
      <c r="AB120" s="82"/>
      <c r="AC120" s="82"/>
      <c r="AD120" s="82"/>
      <c r="AE120" s="82"/>
      <c r="AF120" s="82"/>
      <c r="AG120" s="82"/>
      <c r="AH120" s="82"/>
      <c r="AI120" s="82"/>
      <c r="AJ120" s="82"/>
      <c r="AK120" s="82"/>
      <c r="AL120" s="82"/>
      <c r="AM120" s="82"/>
      <c r="AN120" s="82"/>
      <c r="AO120" s="82"/>
      <c r="AP120" s="82"/>
      <c r="AQ120" s="82"/>
      <c r="AR120" s="82"/>
      <c r="AS120" s="82"/>
      <c r="AT120" s="82"/>
      <c r="AU120" s="82"/>
      <c r="AV120" s="82"/>
      <c r="AW120" s="82"/>
      <c r="AX120" s="82"/>
      <c r="AY120" s="82"/>
      <c r="AZ120" s="82"/>
      <c r="BA120" s="82"/>
      <c r="BB120" s="82"/>
      <c r="BC120" s="82"/>
      <c r="BD120" s="82"/>
      <c r="BE120" s="82"/>
      <c r="BF120" s="82"/>
      <c r="BG120" s="82"/>
      <c r="BH120" s="82"/>
      <c r="BI120" s="82"/>
      <c r="BJ120" s="82"/>
      <c r="BK120" s="82"/>
    </row>
    <row r="121" spans="1:63" s="93" customFormat="1">
      <c r="A121" s="97" t="s">
        <v>168</v>
      </c>
      <c r="B121" s="64">
        <v>736</v>
      </c>
      <c r="C121" s="39">
        <v>637</v>
      </c>
      <c r="D121" s="235">
        <f t="shared" si="22"/>
        <v>-0.13451086956521738</v>
      </c>
      <c r="E121" s="238">
        <f t="shared" si="25"/>
        <v>1.0946521858674733E-2</v>
      </c>
      <c r="F121" s="39"/>
      <c r="G121" s="64">
        <v>10</v>
      </c>
      <c r="H121" s="39">
        <v>11</v>
      </c>
      <c r="I121" s="235">
        <f t="shared" si="23"/>
        <v>0.1</v>
      </c>
      <c r="J121" s="238">
        <f t="shared" si="26"/>
        <v>4.7434238896075891E-3</v>
      </c>
      <c r="L121" s="179">
        <f t="shared" si="24"/>
        <v>57909.090909090912</v>
      </c>
      <c r="T121" s="82"/>
      <c r="U121" s="82"/>
      <c r="V121" s="82"/>
      <c r="W121" s="82"/>
      <c r="X121" s="82"/>
      <c r="Y121" s="82"/>
      <c r="Z121" s="82"/>
      <c r="AA121" s="82"/>
      <c r="AB121" s="82"/>
      <c r="AC121" s="82"/>
      <c r="AD121" s="82"/>
      <c r="AE121" s="82"/>
      <c r="AF121" s="82"/>
      <c r="AG121" s="82"/>
      <c r="AH121" s="82"/>
      <c r="AI121" s="82"/>
      <c r="AJ121" s="82"/>
      <c r="AK121" s="82"/>
      <c r="AL121" s="82"/>
      <c r="AM121" s="82"/>
      <c r="AN121" s="82"/>
      <c r="AO121" s="82"/>
      <c r="AP121" s="82"/>
      <c r="AQ121" s="82"/>
      <c r="AR121" s="82"/>
      <c r="AS121" s="82"/>
      <c r="AT121" s="82"/>
      <c r="AU121" s="82"/>
      <c r="AV121" s="82"/>
      <c r="AW121" s="82"/>
      <c r="AX121" s="82"/>
      <c r="AY121" s="82"/>
      <c r="AZ121" s="82"/>
      <c r="BA121" s="82"/>
      <c r="BB121" s="82"/>
      <c r="BC121" s="82"/>
      <c r="BD121" s="82"/>
      <c r="BE121" s="82"/>
      <c r="BF121" s="82"/>
      <c r="BG121" s="82"/>
      <c r="BH121" s="82"/>
      <c r="BI121" s="82"/>
      <c r="BJ121" s="82"/>
      <c r="BK121" s="82"/>
    </row>
    <row r="122" spans="1:63" s="93" customFormat="1">
      <c r="A122" s="97" t="s">
        <v>58</v>
      </c>
      <c r="B122" s="64">
        <v>1417</v>
      </c>
      <c r="C122" s="39">
        <v>593</v>
      </c>
      <c r="D122" s="235">
        <f t="shared" si="22"/>
        <v>-0.58151023288637971</v>
      </c>
      <c r="E122" s="238">
        <f t="shared" si="25"/>
        <v>1.0190404179268628E-2</v>
      </c>
      <c r="F122" s="39"/>
      <c r="G122" s="64">
        <v>156</v>
      </c>
      <c r="H122" s="39">
        <v>14</v>
      </c>
      <c r="I122" s="235">
        <f t="shared" si="23"/>
        <v>-0.91025641025641024</v>
      </c>
      <c r="J122" s="238">
        <f t="shared" si="26"/>
        <v>6.0370849504096597E-3</v>
      </c>
      <c r="L122" s="179">
        <f t="shared" si="24"/>
        <v>42357.142857142855</v>
      </c>
      <c r="T122" s="82"/>
      <c r="U122" s="82"/>
      <c r="V122" s="82"/>
      <c r="W122" s="82"/>
      <c r="X122" s="82"/>
      <c r="Y122" s="82"/>
      <c r="Z122" s="82"/>
      <c r="AA122" s="82"/>
      <c r="AB122" s="82"/>
      <c r="AC122" s="82"/>
      <c r="AD122" s="82"/>
      <c r="AE122" s="82"/>
      <c r="AF122" s="82"/>
      <c r="AG122" s="82"/>
      <c r="AH122" s="82"/>
      <c r="AI122" s="82"/>
      <c r="AJ122" s="82"/>
      <c r="AK122" s="82"/>
      <c r="AL122" s="82"/>
      <c r="AM122" s="82"/>
      <c r="AN122" s="82"/>
      <c r="AO122" s="82"/>
      <c r="AP122" s="82"/>
      <c r="AQ122" s="82"/>
      <c r="AR122" s="82"/>
      <c r="AS122" s="82"/>
      <c r="AT122" s="82"/>
      <c r="AU122" s="82"/>
      <c r="AV122" s="82"/>
      <c r="AW122" s="82"/>
      <c r="AX122" s="82"/>
      <c r="AY122" s="82"/>
      <c r="AZ122" s="82"/>
      <c r="BA122" s="82"/>
      <c r="BB122" s="82"/>
      <c r="BC122" s="82"/>
      <c r="BD122" s="82"/>
      <c r="BE122" s="82"/>
      <c r="BF122" s="82"/>
      <c r="BG122" s="82"/>
      <c r="BH122" s="82"/>
      <c r="BI122" s="82"/>
      <c r="BJ122" s="82"/>
      <c r="BK122" s="82"/>
    </row>
    <row r="123" spans="1:63" s="93" customFormat="1">
      <c r="A123" s="97" t="s">
        <v>46</v>
      </c>
      <c r="B123" s="64">
        <v>237</v>
      </c>
      <c r="C123" s="39">
        <v>564</v>
      </c>
      <c r="D123" s="235">
        <f t="shared" si="22"/>
        <v>1.379746835443038</v>
      </c>
      <c r="E123" s="238">
        <f t="shared" si="25"/>
        <v>9.6920538905691505E-3</v>
      </c>
      <c r="F123" s="39"/>
      <c r="G123" s="64">
        <v>16</v>
      </c>
      <c r="H123" s="39">
        <v>55</v>
      </c>
      <c r="I123" s="235">
        <f t="shared" si="23"/>
        <v>2.4375</v>
      </c>
      <c r="J123" s="238">
        <f t="shared" si="26"/>
        <v>2.3717119448037949E-2</v>
      </c>
      <c r="L123" s="179">
        <f t="shared" si="24"/>
        <v>10254.545454545454</v>
      </c>
      <c r="T123" s="82"/>
      <c r="U123" s="82"/>
      <c r="V123" s="82"/>
      <c r="W123" s="82"/>
      <c r="X123" s="82"/>
      <c r="Y123" s="82"/>
      <c r="Z123" s="82"/>
      <c r="AA123" s="82"/>
      <c r="AB123" s="82"/>
      <c r="AC123" s="82"/>
      <c r="AD123" s="82"/>
      <c r="AE123" s="82"/>
      <c r="AF123" s="82"/>
      <c r="AG123" s="82"/>
      <c r="AH123" s="82"/>
      <c r="AI123" s="82"/>
      <c r="AJ123" s="82"/>
      <c r="AK123" s="82"/>
      <c r="AL123" s="82"/>
      <c r="AM123" s="82"/>
      <c r="AN123" s="82"/>
      <c r="AO123" s="82"/>
      <c r="AP123" s="82"/>
      <c r="AQ123" s="82"/>
      <c r="AR123" s="82"/>
      <c r="AS123" s="82"/>
      <c r="AT123" s="82"/>
      <c r="AU123" s="82"/>
      <c r="AV123" s="82"/>
      <c r="AW123" s="82"/>
      <c r="AX123" s="82"/>
      <c r="AY123" s="82"/>
      <c r="AZ123" s="82"/>
      <c r="BA123" s="82"/>
      <c r="BB123" s="82"/>
      <c r="BC123" s="82"/>
      <c r="BD123" s="82"/>
      <c r="BE123" s="82"/>
      <c r="BF123" s="82"/>
      <c r="BG123" s="82"/>
      <c r="BH123" s="82"/>
      <c r="BI123" s="82"/>
      <c r="BJ123" s="82"/>
      <c r="BK123" s="82"/>
    </row>
    <row r="124" spans="1:63" s="93" customFormat="1">
      <c r="A124" s="97" t="s">
        <v>317</v>
      </c>
      <c r="B124" s="64">
        <v>325</v>
      </c>
      <c r="C124" s="39">
        <v>562</v>
      </c>
      <c r="D124" s="235">
        <f t="shared" si="22"/>
        <v>0.72923076923076924</v>
      </c>
      <c r="E124" s="238">
        <f t="shared" si="25"/>
        <v>9.6576849051416003E-3</v>
      </c>
      <c r="F124" s="39"/>
      <c r="G124" s="64">
        <v>24</v>
      </c>
      <c r="H124" s="39">
        <v>46</v>
      </c>
      <c r="I124" s="235">
        <f t="shared" si="23"/>
        <v>0.91666666666666663</v>
      </c>
      <c r="J124" s="238">
        <f t="shared" si="26"/>
        <v>1.9836136265631736E-2</v>
      </c>
      <c r="L124" s="179">
        <f t="shared" si="24"/>
        <v>12217.391304347826</v>
      </c>
      <c r="T124" s="82"/>
      <c r="U124" s="82"/>
      <c r="V124" s="82"/>
      <c r="W124" s="82"/>
      <c r="X124" s="82"/>
      <c r="Y124" s="82"/>
      <c r="Z124" s="82"/>
      <c r="AA124" s="82"/>
      <c r="AB124" s="82"/>
      <c r="AC124" s="82"/>
      <c r="AD124" s="82"/>
      <c r="AE124" s="82"/>
      <c r="AF124" s="82"/>
      <c r="AG124" s="82"/>
      <c r="AH124" s="82"/>
      <c r="AI124" s="82"/>
      <c r="AJ124" s="82"/>
      <c r="AK124" s="82"/>
      <c r="AL124" s="82"/>
      <c r="AM124" s="82"/>
      <c r="AN124" s="82"/>
      <c r="AO124" s="82"/>
      <c r="AP124" s="82"/>
      <c r="AQ124" s="82"/>
      <c r="AR124" s="82"/>
      <c r="AS124" s="82"/>
      <c r="AT124" s="82"/>
      <c r="AU124" s="82"/>
      <c r="AV124" s="82"/>
      <c r="AW124" s="82"/>
      <c r="AX124" s="82"/>
      <c r="AY124" s="82"/>
      <c r="AZ124" s="82"/>
      <c r="BA124" s="82"/>
      <c r="BB124" s="82"/>
      <c r="BC124" s="82"/>
      <c r="BD124" s="82"/>
      <c r="BE124" s="82"/>
      <c r="BF124" s="82"/>
      <c r="BG124" s="82"/>
      <c r="BH124" s="82"/>
      <c r="BI124" s="82"/>
      <c r="BJ124" s="82"/>
      <c r="BK124" s="82"/>
    </row>
    <row r="125" spans="1:63" s="93" customFormat="1">
      <c r="A125" s="97" t="s">
        <v>42</v>
      </c>
      <c r="B125" s="64">
        <v>378</v>
      </c>
      <c r="C125" s="39">
        <v>542</v>
      </c>
      <c r="D125" s="235">
        <f t="shared" si="22"/>
        <v>0.43386243386243384</v>
      </c>
      <c r="E125" s="238">
        <f t="shared" si="25"/>
        <v>9.3139950508660981E-3</v>
      </c>
      <c r="F125" s="39"/>
      <c r="G125" s="64">
        <v>24</v>
      </c>
      <c r="H125" s="39">
        <v>37</v>
      </c>
      <c r="I125" s="235">
        <f t="shared" si="23"/>
        <v>0.54166666666666663</v>
      </c>
      <c r="J125" s="238">
        <f t="shared" si="26"/>
        <v>1.5955153083225527E-2</v>
      </c>
      <c r="L125" s="179">
        <f t="shared" si="24"/>
        <v>14648.648648648648</v>
      </c>
      <c r="T125" s="82"/>
      <c r="U125" s="82"/>
      <c r="V125" s="82"/>
      <c r="W125" s="82"/>
      <c r="X125" s="82"/>
      <c r="Y125" s="82"/>
      <c r="Z125" s="82"/>
      <c r="AA125" s="82"/>
      <c r="AB125" s="82"/>
      <c r="AC125" s="82"/>
      <c r="AD125" s="82"/>
      <c r="AE125" s="82"/>
      <c r="AF125" s="82"/>
      <c r="AG125" s="82"/>
      <c r="AH125" s="82"/>
      <c r="AI125" s="82"/>
      <c r="AJ125" s="82"/>
      <c r="AK125" s="82"/>
      <c r="AL125" s="82"/>
      <c r="AM125" s="82"/>
      <c r="AN125" s="82"/>
      <c r="AO125" s="82"/>
      <c r="AP125" s="82"/>
      <c r="AQ125" s="82"/>
      <c r="AR125" s="82"/>
      <c r="AS125" s="82"/>
      <c r="AT125" s="82"/>
      <c r="AU125" s="82"/>
      <c r="AV125" s="82"/>
      <c r="AW125" s="82"/>
      <c r="AX125" s="82"/>
      <c r="AY125" s="82"/>
      <c r="AZ125" s="82"/>
      <c r="BA125" s="82"/>
      <c r="BB125" s="82"/>
      <c r="BC125" s="82"/>
      <c r="BD125" s="82"/>
      <c r="BE125" s="82"/>
      <c r="BF125" s="82"/>
      <c r="BG125" s="82"/>
      <c r="BH125" s="82"/>
      <c r="BI125" s="82"/>
      <c r="BJ125" s="82"/>
      <c r="BK125" s="82"/>
    </row>
    <row r="126" spans="1:63" s="93" customFormat="1">
      <c r="A126" s="97" t="s">
        <v>60</v>
      </c>
      <c r="B126" s="64">
        <v>791</v>
      </c>
      <c r="C126" s="39">
        <v>492</v>
      </c>
      <c r="D126" s="235">
        <f t="shared" si="22"/>
        <v>-0.37800252844500631</v>
      </c>
      <c r="E126" s="238">
        <f t="shared" si="25"/>
        <v>8.4547704151773442E-3</v>
      </c>
      <c r="F126" s="39"/>
      <c r="G126" s="64">
        <v>74</v>
      </c>
      <c r="H126" s="39">
        <v>65</v>
      </c>
      <c r="I126" s="235">
        <f t="shared" si="23"/>
        <v>-0.12162162162162163</v>
      </c>
      <c r="J126" s="238">
        <f t="shared" si="26"/>
        <v>2.8029322984044848E-2</v>
      </c>
      <c r="L126" s="179">
        <f t="shared" si="24"/>
        <v>7569.2307692307695</v>
      </c>
      <c r="T126" s="82"/>
      <c r="U126" s="82"/>
      <c r="V126" s="82"/>
      <c r="W126" s="82"/>
      <c r="X126" s="82"/>
      <c r="Y126" s="82"/>
      <c r="Z126" s="82"/>
      <c r="AA126" s="82"/>
      <c r="AB126" s="82"/>
      <c r="AC126" s="82"/>
      <c r="AD126" s="82"/>
      <c r="AE126" s="82"/>
      <c r="AF126" s="82"/>
      <c r="AG126" s="82"/>
      <c r="AH126" s="82"/>
      <c r="AI126" s="82"/>
      <c r="AJ126" s="82"/>
      <c r="AK126" s="82"/>
      <c r="AL126" s="82"/>
      <c r="AM126" s="82"/>
      <c r="AN126" s="82"/>
      <c r="AO126" s="82"/>
      <c r="AP126" s="82"/>
      <c r="AQ126" s="82"/>
      <c r="AR126" s="82"/>
      <c r="AS126" s="82"/>
      <c r="AT126" s="82"/>
      <c r="AU126" s="82"/>
      <c r="AV126" s="82"/>
      <c r="AW126" s="82"/>
      <c r="AX126" s="82"/>
      <c r="AY126" s="82"/>
      <c r="AZ126" s="82"/>
      <c r="BA126" s="82"/>
      <c r="BB126" s="82"/>
      <c r="BC126" s="82"/>
      <c r="BD126" s="82"/>
      <c r="BE126" s="82"/>
      <c r="BF126" s="82"/>
      <c r="BG126" s="82"/>
      <c r="BH126" s="82"/>
      <c r="BI126" s="82"/>
      <c r="BJ126" s="82"/>
      <c r="BK126" s="82"/>
    </row>
    <row r="127" spans="1:63" s="93" customFormat="1">
      <c r="A127" s="97" t="s">
        <v>57</v>
      </c>
      <c r="B127" s="64">
        <v>484</v>
      </c>
      <c r="C127" s="39">
        <v>457</v>
      </c>
      <c r="D127" s="235">
        <f t="shared" si="22"/>
        <v>-5.578512396694215E-2</v>
      </c>
      <c r="E127" s="238">
        <f t="shared" si="25"/>
        <v>7.8533131701952162E-3</v>
      </c>
      <c r="F127" s="39"/>
      <c r="G127" s="64">
        <v>7</v>
      </c>
      <c r="H127" s="39">
        <v>9</v>
      </c>
      <c r="I127" s="235">
        <f t="shared" si="23"/>
        <v>0.2857142857142857</v>
      </c>
      <c r="J127" s="238">
        <f t="shared" si="26"/>
        <v>3.8809831824062097E-3</v>
      </c>
      <c r="L127" s="179">
        <f t="shared" si="24"/>
        <v>50777.777777777781</v>
      </c>
      <c r="T127" s="82"/>
      <c r="U127" s="82"/>
      <c r="V127" s="82"/>
      <c r="W127" s="82"/>
      <c r="X127" s="82"/>
      <c r="Y127" s="82"/>
      <c r="Z127" s="82"/>
      <c r="AA127" s="82"/>
      <c r="AB127" s="82"/>
      <c r="AC127" s="82"/>
      <c r="AD127" s="82"/>
      <c r="AE127" s="82"/>
      <c r="AF127" s="82"/>
      <c r="AG127" s="82"/>
      <c r="AH127" s="82"/>
      <c r="AI127" s="82"/>
      <c r="AJ127" s="82"/>
      <c r="AK127" s="82"/>
      <c r="AL127" s="82"/>
      <c r="AM127" s="82"/>
      <c r="AN127" s="82"/>
      <c r="AO127" s="82"/>
      <c r="AP127" s="82"/>
      <c r="AQ127" s="82"/>
      <c r="AR127" s="82"/>
      <c r="AS127" s="82"/>
      <c r="AT127" s="82"/>
      <c r="AU127" s="82"/>
      <c r="AV127" s="82"/>
      <c r="AW127" s="82"/>
      <c r="AX127" s="82"/>
      <c r="AY127" s="82"/>
      <c r="AZ127" s="82"/>
      <c r="BA127" s="82"/>
      <c r="BB127" s="82"/>
      <c r="BC127" s="82"/>
      <c r="BD127" s="82"/>
      <c r="BE127" s="82"/>
      <c r="BF127" s="82"/>
      <c r="BG127" s="82"/>
      <c r="BH127" s="82"/>
      <c r="BI127" s="82"/>
      <c r="BJ127" s="82"/>
      <c r="BK127" s="82"/>
    </row>
    <row r="128" spans="1:63" s="93" customFormat="1">
      <c r="A128" s="97" t="s">
        <v>47</v>
      </c>
      <c r="B128" s="64">
        <v>341</v>
      </c>
      <c r="C128" s="39">
        <v>439</v>
      </c>
      <c r="D128" s="235">
        <f t="shared" si="22"/>
        <v>0.28739002932551322</v>
      </c>
      <c r="E128" s="238">
        <f t="shared" si="25"/>
        <v>7.5439923013472642E-3</v>
      </c>
      <c r="F128" s="39"/>
      <c r="G128" s="64">
        <v>6</v>
      </c>
      <c r="H128" s="39">
        <v>5</v>
      </c>
      <c r="I128" s="235">
        <f t="shared" si="23"/>
        <v>-0.16666666666666666</v>
      </c>
      <c r="J128" s="238">
        <f t="shared" si="26"/>
        <v>2.1561017680034496E-3</v>
      </c>
      <c r="L128" s="179">
        <f t="shared" si="24"/>
        <v>87800</v>
      </c>
      <c r="T128" s="82"/>
      <c r="U128" s="82"/>
      <c r="V128" s="82"/>
      <c r="W128" s="82"/>
      <c r="X128" s="82"/>
      <c r="Y128" s="82"/>
      <c r="Z128" s="82"/>
      <c r="AA128" s="82"/>
      <c r="AB128" s="82"/>
      <c r="AC128" s="82"/>
      <c r="AD128" s="82"/>
      <c r="AE128" s="82"/>
      <c r="AF128" s="82"/>
      <c r="AG128" s="82"/>
      <c r="AH128" s="82"/>
      <c r="AI128" s="82"/>
      <c r="AJ128" s="82"/>
      <c r="AK128" s="82"/>
      <c r="AL128" s="82"/>
      <c r="AM128" s="82"/>
      <c r="AN128" s="82"/>
      <c r="AO128" s="82"/>
      <c r="AP128" s="82"/>
      <c r="AQ128" s="82"/>
      <c r="AR128" s="82"/>
      <c r="AS128" s="82"/>
      <c r="AT128" s="82"/>
      <c r="AU128" s="82"/>
      <c r="AV128" s="82"/>
      <c r="AW128" s="82"/>
      <c r="AX128" s="82"/>
      <c r="AY128" s="82"/>
      <c r="AZ128" s="82"/>
      <c r="BA128" s="82"/>
      <c r="BB128" s="82"/>
      <c r="BC128" s="82"/>
      <c r="BD128" s="82"/>
      <c r="BE128" s="82"/>
      <c r="BF128" s="82"/>
      <c r="BG128" s="82"/>
      <c r="BH128" s="82"/>
      <c r="BI128" s="82"/>
      <c r="BJ128" s="82"/>
      <c r="BK128" s="82"/>
    </row>
    <row r="129" spans="1:65" s="93" customFormat="1">
      <c r="A129" s="97" t="s">
        <v>90</v>
      </c>
      <c r="B129" s="64">
        <v>516</v>
      </c>
      <c r="C129" s="39">
        <v>331</v>
      </c>
      <c r="D129" s="235">
        <f t="shared" si="22"/>
        <v>-0.35852713178294576</v>
      </c>
      <c r="E129" s="238">
        <f t="shared" si="25"/>
        <v>5.6880670882595548E-3</v>
      </c>
      <c r="F129" s="39"/>
      <c r="G129" s="64">
        <v>18</v>
      </c>
      <c r="H129" s="39">
        <v>16</v>
      </c>
      <c r="I129" s="235">
        <f t="shared" si="23"/>
        <v>-0.1111111111111111</v>
      </c>
      <c r="J129" s="238">
        <f t="shared" si="26"/>
        <v>6.8995256576110395E-3</v>
      </c>
      <c r="L129" s="179">
        <f t="shared" si="24"/>
        <v>20687.5</v>
      </c>
      <c r="T129" s="82"/>
      <c r="U129" s="82"/>
      <c r="V129" s="82"/>
      <c r="W129" s="82"/>
      <c r="X129" s="82"/>
      <c r="Y129" s="82"/>
      <c r="Z129" s="82"/>
      <c r="AA129" s="82"/>
      <c r="AB129" s="82"/>
      <c r="AC129" s="82"/>
      <c r="AD129" s="82"/>
      <c r="AE129" s="82"/>
      <c r="AF129" s="82"/>
      <c r="AG129" s="82"/>
      <c r="AH129" s="82"/>
      <c r="AI129" s="82"/>
      <c r="AJ129" s="82"/>
      <c r="AK129" s="82"/>
      <c r="AL129" s="82"/>
      <c r="AM129" s="82"/>
      <c r="AN129" s="82"/>
      <c r="AO129" s="82"/>
      <c r="AP129" s="82"/>
      <c r="AQ129" s="82"/>
      <c r="AR129" s="82"/>
      <c r="AS129" s="82"/>
      <c r="AT129" s="82"/>
      <c r="AU129" s="82"/>
      <c r="AV129" s="82"/>
      <c r="AW129" s="82"/>
      <c r="AX129" s="82"/>
      <c r="AY129" s="82"/>
      <c r="AZ129" s="82"/>
      <c r="BA129" s="82"/>
      <c r="BB129" s="82"/>
      <c r="BC129" s="82"/>
      <c r="BD129" s="82"/>
      <c r="BE129" s="82"/>
      <c r="BF129" s="82"/>
      <c r="BG129" s="82"/>
      <c r="BH129" s="82"/>
      <c r="BI129" s="82"/>
      <c r="BJ129" s="82"/>
      <c r="BK129" s="82"/>
    </row>
    <row r="130" spans="1:65" s="93" customFormat="1">
      <c r="A130" s="97" t="s">
        <v>318</v>
      </c>
      <c r="B130" s="64">
        <v>635</v>
      </c>
      <c r="C130" s="39">
        <v>262</v>
      </c>
      <c r="D130" s="235">
        <f t="shared" si="22"/>
        <v>-0.58740157480314958</v>
      </c>
      <c r="E130" s="238">
        <f t="shared" si="25"/>
        <v>4.502337091009073E-3</v>
      </c>
      <c r="F130" s="39"/>
      <c r="G130" s="64">
        <v>7</v>
      </c>
      <c r="H130" s="39">
        <v>5</v>
      </c>
      <c r="I130" s="235">
        <f t="shared" si="23"/>
        <v>-0.2857142857142857</v>
      </c>
      <c r="J130" s="238">
        <f t="shared" si="26"/>
        <v>2.1561017680034496E-3</v>
      </c>
      <c r="L130" s="179">
        <f t="shared" si="24"/>
        <v>52400</v>
      </c>
      <c r="T130" s="82"/>
      <c r="U130" s="82"/>
      <c r="V130" s="82"/>
      <c r="W130" s="82"/>
      <c r="X130" s="82"/>
      <c r="Y130" s="82"/>
      <c r="Z130" s="82"/>
      <c r="AA130" s="82"/>
      <c r="AB130" s="82"/>
      <c r="AC130" s="82"/>
      <c r="AD130" s="82"/>
      <c r="AE130" s="82"/>
      <c r="AF130" s="82"/>
      <c r="AG130" s="82"/>
      <c r="AH130" s="82"/>
      <c r="AI130" s="82"/>
      <c r="AJ130" s="82"/>
      <c r="AK130" s="82"/>
      <c r="AL130" s="82"/>
      <c r="AM130" s="82"/>
      <c r="AN130" s="82"/>
      <c r="AO130" s="82"/>
      <c r="AP130" s="82"/>
      <c r="AQ130" s="82"/>
      <c r="AR130" s="82"/>
      <c r="AS130" s="82"/>
      <c r="AT130" s="82"/>
      <c r="AU130" s="82"/>
      <c r="AV130" s="82"/>
      <c r="AW130" s="82"/>
      <c r="AX130" s="82"/>
      <c r="AY130" s="82"/>
      <c r="AZ130" s="82"/>
      <c r="BA130" s="82"/>
      <c r="BB130" s="82"/>
      <c r="BC130" s="82"/>
      <c r="BD130" s="82"/>
      <c r="BE130" s="82"/>
      <c r="BF130" s="82"/>
      <c r="BG130" s="82"/>
      <c r="BH130" s="82"/>
      <c r="BI130" s="82"/>
      <c r="BJ130" s="82"/>
      <c r="BK130" s="82"/>
    </row>
    <row r="131" spans="1:65" s="93" customFormat="1">
      <c r="A131" s="97" t="s">
        <v>319</v>
      </c>
      <c r="B131" s="64">
        <v>433</v>
      </c>
      <c r="C131" s="39">
        <v>184</v>
      </c>
      <c r="D131" s="235">
        <f t="shared" si="22"/>
        <v>-0.57505773672055427</v>
      </c>
      <c r="E131" s="238">
        <f t="shared" si="25"/>
        <v>3.1619466593346165E-3</v>
      </c>
      <c r="F131" s="39"/>
      <c r="G131" s="64">
        <v>9</v>
      </c>
      <c r="H131" s="39">
        <v>8</v>
      </c>
      <c r="I131" s="235">
        <f t="shared" si="23"/>
        <v>-0.1111111111111111</v>
      </c>
      <c r="J131" s="238">
        <f t="shared" si="26"/>
        <v>3.4497628288055198E-3</v>
      </c>
      <c r="L131" s="179">
        <f t="shared" si="24"/>
        <v>23000</v>
      </c>
      <c r="T131" s="82"/>
      <c r="U131" s="82"/>
      <c r="V131" s="82"/>
      <c r="W131" s="82"/>
      <c r="X131" s="82"/>
      <c r="Y131" s="82"/>
      <c r="Z131" s="82"/>
      <c r="AA131" s="82"/>
      <c r="AB131" s="82"/>
      <c r="AC131" s="82"/>
      <c r="AD131" s="82"/>
      <c r="AE131" s="82"/>
      <c r="AF131" s="82"/>
      <c r="AG131" s="82"/>
      <c r="AH131" s="82"/>
      <c r="AI131" s="82"/>
      <c r="AJ131" s="82"/>
      <c r="AK131" s="82"/>
      <c r="AL131" s="82"/>
      <c r="AM131" s="82"/>
      <c r="AN131" s="82"/>
      <c r="AO131" s="82"/>
      <c r="AP131" s="82"/>
      <c r="AQ131" s="82"/>
      <c r="AR131" s="82"/>
      <c r="AS131" s="82"/>
      <c r="AT131" s="82"/>
      <c r="AU131" s="82"/>
      <c r="AV131" s="82"/>
      <c r="AW131" s="82"/>
      <c r="AX131" s="82"/>
      <c r="AY131" s="82"/>
      <c r="AZ131" s="82"/>
      <c r="BA131" s="82"/>
      <c r="BB131" s="82"/>
      <c r="BC131" s="82"/>
      <c r="BD131" s="82"/>
      <c r="BE131" s="82"/>
      <c r="BF131" s="82"/>
      <c r="BG131" s="82"/>
      <c r="BH131" s="82"/>
      <c r="BI131" s="82"/>
      <c r="BJ131" s="82"/>
      <c r="BK131" s="82"/>
    </row>
    <row r="132" spans="1:65" s="93" customFormat="1">
      <c r="A132" s="97" t="s">
        <v>71</v>
      </c>
      <c r="B132" s="64">
        <v>568</v>
      </c>
      <c r="C132" s="39">
        <v>159</v>
      </c>
      <c r="D132" s="235">
        <f t="shared" si="22"/>
        <v>-0.72007042253521125</v>
      </c>
      <c r="E132" s="238">
        <f t="shared" si="25"/>
        <v>2.7323343414902392E-3</v>
      </c>
      <c r="F132" s="39"/>
      <c r="G132" s="64">
        <v>15</v>
      </c>
      <c r="H132" s="39">
        <v>8</v>
      </c>
      <c r="I132" s="235">
        <f t="shared" si="23"/>
        <v>-0.46666666666666667</v>
      </c>
      <c r="J132" s="238">
        <f t="shared" si="26"/>
        <v>3.4497628288055198E-3</v>
      </c>
      <c r="L132" s="179">
        <f t="shared" si="24"/>
        <v>19875</v>
      </c>
      <c r="T132" s="82"/>
      <c r="U132" s="82"/>
      <c r="V132" s="82"/>
      <c r="W132" s="82"/>
      <c r="X132" s="82"/>
      <c r="Y132" s="82"/>
      <c r="Z132" s="82"/>
      <c r="AA132" s="82"/>
      <c r="AB132" s="82"/>
      <c r="AC132" s="82"/>
      <c r="AD132" s="82"/>
      <c r="AE132" s="82"/>
      <c r="AF132" s="82"/>
      <c r="AG132" s="82"/>
      <c r="AH132" s="82"/>
      <c r="AI132" s="82"/>
      <c r="AJ132" s="82"/>
      <c r="AK132" s="82"/>
      <c r="AL132" s="82"/>
      <c r="AM132" s="82"/>
      <c r="AN132" s="82"/>
      <c r="AO132" s="82"/>
      <c r="AP132" s="82"/>
      <c r="AQ132" s="82"/>
      <c r="AR132" s="82"/>
      <c r="AS132" s="82"/>
      <c r="AT132" s="82"/>
      <c r="AU132" s="82"/>
      <c r="AV132" s="82"/>
      <c r="AW132" s="82"/>
      <c r="AX132" s="82"/>
      <c r="AY132" s="82"/>
      <c r="AZ132" s="82"/>
      <c r="BA132" s="82"/>
      <c r="BB132" s="82"/>
      <c r="BC132" s="82"/>
      <c r="BD132" s="82"/>
      <c r="BE132" s="82"/>
      <c r="BF132" s="82"/>
      <c r="BG132" s="82"/>
      <c r="BH132" s="82"/>
      <c r="BI132" s="82"/>
      <c r="BJ132" s="82"/>
      <c r="BK132" s="82"/>
    </row>
    <row r="133" spans="1:65" s="93" customFormat="1">
      <c r="A133" s="97" t="s">
        <v>36</v>
      </c>
      <c r="B133" s="64">
        <f>B134-SUM(B103:B132)</f>
        <v>7401</v>
      </c>
      <c r="C133" s="39">
        <f>C134-SUM(C103:C132)</f>
        <v>7306</v>
      </c>
      <c r="D133" s="235">
        <f t="shared" si="22"/>
        <v>-1.2836103229293339E-2</v>
      </c>
      <c r="E133" s="238">
        <f t="shared" si="25"/>
        <v>0.1255499037668408</v>
      </c>
      <c r="F133" s="39"/>
      <c r="G133" s="64">
        <f>G134-SUM(G103:G132)</f>
        <v>381</v>
      </c>
      <c r="H133" s="39">
        <f>H134-SUM(H103:H132)</f>
        <v>349</v>
      </c>
      <c r="I133" s="235">
        <f t="shared" si="23"/>
        <v>-8.3989501312335957E-2</v>
      </c>
      <c r="J133" s="238">
        <f t="shared" si="26"/>
        <v>0.15049590340664079</v>
      </c>
      <c r="L133" s="179">
        <f t="shared" si="24"/>
        <v>20934.097421203438</v>
      </c>
      <c r="T133" s="82"/>
      <c r="U133" s="82"/>
      <c r="V133" s="82"/>
      <c r="W133" s="82"/>
      <c r="X133" s="82"/>
      <c r="Y133" s="82"/>
      <c r="Z133" s="82"/>
      <c r="AA133" s="82"/>
      <c r="AB133" s="82"/>
      <c r="AC133" s="82"/>
      <c r="AD133" s="82"/>
      <c r="AE133" s="82"/>
      <c r="AF133" s="82"/>
      <c r="AG133" s="82"/>
      <c r="AH133" s="82"/>
      <c r="AI133" s="82"/>
      <c r="AJ133" s="82"/>
      <c r="AK133" s="82"/>
      <c r="AL133" s="82"/>
      <c r="AM133" s="82"/>
      <c r="AN133" s="82"/>
      <c r="AO133" s="82"/>
      <c r="AP133" s="82"/>
      <c r="AQ133" s="82"/>
      <c r="AR133" s="82"/>
      <c r="AS133" s="82"/>
      <c r="AT133" s="82"/>
      <c r="AU133" s="82"/>
      <c r="AV133" s="82"/>
      <c r="AW133" s="82"/>
      <c r="AX133" s="82"/>
      <c r="AY133" s="82"/>
      <c r="AZ133" s="82"/>
      <c r="BA133" s="82"/>
      <c r="BB133" s="82"/>
      <c r="BC133" s="82"/>
      <c r="BD133" s="82"/>
      <c r="BE133" s="82"/>
      <c r="BF133" s="82"/>
      <c r="BG133" s="82"/>
      <c r="BH133" s="82"/>
      <c r="BI133" s="82"/>
      <c r="BJ133" s="82"/>
      <c r="BK133" s="82"/>
    </row>
    <row r="134" spans="1:65" s="93" customFormat="1" ht="14.25" thickBot="1">
      <c r="A134" s="123" t="s">
        <v>3</v>
      </c>
      <c r="B134" s="72">
        <v>59039</v>
      </c>
      <c r="C134" s="73">
        <v>58192</v>
      </c>
      <c r="D134" s="239">
        <f t="shared" si="22"/>
        <v>-1.4346448957468791E-2</v>
      </c>
      <c r="E134" s="240">
        <f t="shared" si="25"/>
        <v>1</v>
      </c>
      <c r="F134" s="39"/>
      <c r="G134" s="72">
        <v>2268</v>
      </c>
      <c r="H134" s="73">
        <v>2319</v>
      </c>
      <c r="I134" s="239">
        <f t="shared" si="23"/>
        <v>2.2486772486772486E-2</v>
      </c>
      <c r="J134" s="240">
        <f t="shared" si="26"/>
        <v>1</v>
      </c>
      <c r="L134" s="182">
        <f t="shared" si="24"/>
        <v>25093.57481673135</v>
      </c>
      <c r="T134" s="82"/>
      <c r="U134" s="82"/>
      <c r="V134" s="82"/>
      <c r="W134" s="82"/>
      <c r="X134" s="82"/>
      <c r="Y134" s="82"/>
      <c r="Z134" s="82"/>
      <c r="AA134" s="82"/>
      <c r="AB134" s="82"/>
      <c r="AC134" s="82"/>
      <c r="AD134" s="82"/>
      <c r="AE134" s="82"/>
      <c r="AF134" s="82"/>
      <c r="AG134" s="82"/>
      <c r="AH134" s="82"/>
      <c r="AI134" s="82"/>
      <c r="AJ134" s="82"/>
      <c r="AK134" s="82"/>
      <c r="AL134" s="82"/>
      <c r="AM134" s="82"/>
      <c r="AN134" s="82"/>
      <c r="AO134" s="82"/>
      <c r="AP134" s="82"/>
      <c r="AQ134" s="82"/>
      <c r="AR134" s="82"/>
      <c r="AS134" s="82"/>
      <c r="AT134" s="82"/>
      <c r="AU134" s="82"/>
      <c r="AV134" s="82"/>
      <c r="AW134" s="82"/>
      <c r="AX134" s="82"/>
      <c r="AY134" s="82"/>
      <c r="AZ134" s="82"/>
      <c r="BA134" s="82"/>
      <c r="BB134" s="82"/>
      <c r="BC134" s="82"/>
      <c r="BD134" s="82"/>
      <c r="BE134" s="82"/>
      <c r="BF134" s="82"/>
      <c r="BG134" s="82"/>
      <c r="BH134" s="82"/>
      <c r="BI134" s="82"/>
      <c r="BJ134" s="82"/>
      <c r="BK134" s="82"/>
    </row>
    <row r="135" spans="1:65">
      <c r="A135" s="5" t="s">
        <v>87</v>
      </c>
    </row>
    <row r="136" spans="1:65">
      <c r="A136" s="5" t="s">
        <v>63</v>
      </c>
    </row>
    <row r="137" spans="1:65">
      <c r="A137" s="5" t="s">
        <v>38</v>
      </c>
    </row>
    <row r="138" spans="1:65">
      <c r="A138" s="5" t="s">
        <v>76</v>
      </c>
    </row>
    <row r="140" spans="1:65" s="34" customFormat="1" ht="13.5" customHeight="1" thickBot="1">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row>
    <row r="141" spans="1:65" ht="13.5" customHeight="1">
      <c r="V141" s="14"/>
      <c r="W141" s="14"/>
      <c r="X141" s="14"/>
      <c r="Y141" s="14"/>
    </row>
  </sheetData>
  <sheetProtection algorithmName="SHA-512" hashValue="35H8hX800KG2b8Zsg/HgaYnu2zgbegGgEJiAzXSZY9jXqwN66uegD1K8tq40qvS+NMvkNYvGZw25XSRuDiytuw==" saltValue="weTrUVwDsptdcxqUcsTxPQ==" spinCount="100000" sheet="1" formatCells="0" formatColumns="0" formatRows="0" insertColumns="0" insertRows="0" insertHyperlinks="0" deleteColumns="0" deleteRows="0" sort="0" autoFilter="0" pivotTables="0"/>
  <mergeCells count="2">
    <mergeCell ref="B101:C101"/>
    <mergeCell ref="G101:H101"/>
  </mergeCells>
  <phoneticPr fontId="0" type="noConversion"/>
  <pageMargins left="0.74803149606299213" right="0.74803149606299213" top="0.98425196850393704" bottom="0.98425196850393704" header="0.51181102362204722" footer="0.51181102362204722"/>
  <pageSetup paperSize="9" scale="65" orientation="landscape" r:id="rId1"/>
  <headerFooter alignWithMargins="0">
    <oddHeader>&amp;CÉchanges Internationaux</oddHeader>
    <oddFooter>&amp;L&amp;"StopD,Normal"&amp;26MSI&amp;"Arial,Normal"&amp;10 Reports
www.msi-reports.com&amp;RMarché de la Robinetterie Sanitaire en France
Octobre 2018</oddFooter>
  </headerFooter>
  <rowBreaks count="3" manualBreakCount="3">
    <brk id="23" max="16383" man="1"/>
    <brk id="67" max="16383" man="1"/>
    <brk id="97" max="16383" man="1"/>
  </rowBreaks>
  <ignoredErrors>
    <ignoredError sqref="B92:B93 N61 K63:N71 F135 F17 K18:K19 L62 Q92:Q95 K92:N95 N72 K135:M135 B135:C135 C92:C95 C62:C71 F90:F95 K72 F62:F64 K90:K91 K74:K79 F74:F79 G62:I62 Q63:Q72 F66:F72"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D70"/>
  <sheetViews>
    <sheetView zoomScaleNormal="100" workbookViewId="0">
      <selection activeCell="B2" sqref="B2"/>
    </sheetView>
  </sheetViews>
  <sheetFormatPr baseColWidth="10" defaultRowHeight="12.75"/>
  <cols>
    <col min="1" max="34" width="3.7109375" customWidth="1"/>
  </cols>
  <sheetData>
    <row r="2" spans="1:35" s="15" customFormat="1" ht="13.5" customHeight="1">
      <c r="B2" s="22" t="s">
        <v>454</v>
      </c>
      <c r="F2" s="15" t="s">
        <v>459</v>
      </c>
    </row>
    <row r="3" spans="1:35" s="15" customFormat="1" ht="13.5" customHeight="1" thickBot="1">
      <c r="A3" s="22"/>
      <c r="B3" s="22"/>
    </row>
    <row r="4" spans="1:35" s="15" customFormat="1" ht="20.25" customHeight="1" thickBot="1">
      <c r="C4" s="578" t="s">
        <v>423</v>
      </c>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80"/>
      <c r="AI4" s="22"/>
    </row>
    <row r="5" spans="1:35" s="15" customFormat="1" ht="27.75" customHeight="1" thickBot="1">
      <c r="C5" s="55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22"/>
    </row>
    <row r="6" spans="1:35" s="15" customFormat="1" ht="20.25" customHeight="1" thickBot="1">
      <c r="C6" s="585" t="s">
        <v>424</v>
      </c>
      <c r="D6" s="586"/>
      <c r="E6" s="586"/>
      <c r="F6" s="586"/>
      <c r="G6" s="586"/>
      <c r="H6" s="586"/>
      <c r="I6" s="586"/>
      <c r="J6" s="586"/>
      <c r="K6" s="586"/>
      <c r="L6" s="586"/>
      <c r="M6" s="587"/>
      <c r="N6" s="8"/>
      <c r="O6" s="588" t="s">
        <v>425</v>
      </c>
      <c r="P6" s="589"/>
      <c r="Q6" s="589"/>
      <c r="R6" s="589"/>
      <c r="S6" s="589"/>
      <c r="T6" s="589"/>
      <c r="U6" s="590"/>
      <c r="V6" s="8"/>
      <c r="W6" s="581" t="s">
        <v>426</v>
      </c>
      <c r="X6" s="579"/>
      <c r="Y6" s="579"/>
      <c r="Z6" s="579"/>
      <c r="AA6" s="579"/>
      <c r="AB6" s="579"/>
      <c r="AC6" s="580"/>
      <c r="AD6" s="8"/>
      <c r="AE6" s="582" t="s">
        <v>427</v>
      </c>
      <c r="AF6" s="583"/>
      <c r="AG6" s="583"/>
      <c r="AH6" s="584"/>
      <c r="AI6" s="22"/>
    </row>
    <row r="7" spans="1:35" s="15" customFormat="1" ht="6.75" customHeight="1">
      <c r="C7" s="558"/>
      <c r="D7" s="56"/>
      <c r="E7" s="56"/>
      <c r="F7" s="56"/>
      <c r="G7" s="56"/>
      <c r="H7" s="56"/>
      <c r="I7" s="56"/>
      <c r="J7" s="56"/>
      <c r="K7" s="56"/>
      <c r="L7" s="56"/>
      <c r="M7" s="56"/>
      <c r="N7" s="8"/>
      <c r="O7" s="8"/>
      <c r="P7" s="8"/>
      <c r="Q7" s="8"/>
      <c r="R7" s="8"/>
      <c r="S7" s="8"/>
      <c r="T7" s="8"/>
      <c r="U7" s="8"/>
      <c r="V7" s="8"/>
      <c r="W7" s="8"/>
      <c r="X7" s="8"/>
      <c r="Y7" s="8"/>
      <c r="Z7" s="8"/>
      <c r="AA7" s="8"/>
      <c r="AB7" s="8"/>
      <c r="AC7" s="8"/>
      <c r="AD7" s="8"/>
      <c r="AE7" s="8"/>
      <c r="AF7" s="8"/>
      <c r="AG7" s="8"/>
      <c r="AH7" s="8"/>
      <c r="AI7" s="22"/>
    </row>
    <row r="8" spans="1:35" s="15" customFormat="1" ht="3.75" customHeight="1" thickBot="1">
      <c r="C8" s="551"/>
      <c r="D8" s="551"/>
      <c r="E8" s="549"/>
      <c r="F8" s="549"/>
      <c r="G8" s="549"/>
      <c r="H8" s="551"/>
      <c r="I8" s="551"/>
      <c r="J8" s="551"/>
      <c r="K8" s="551"/>
      <c r="L8" s="551"/>
      <c r="M8" s="549"/>
      <c r="N8" s="551"/>
      <c r="P8" s="549"/>
      <c r="Q8" s="552"/>
      <c r="S8" s="549"/>
      <c r="T8" s="549"/>
      <c r="U8" s="549"/>
      <c r="V8" s="549"/>
      <c r="W8" s="549"/>
      <c r="X8" s="549"/>
      <c r="Y8" s="549"/>
      <c r="Z8" s="549"/>
      <c r="AA8" s="549"/>
      <c r="AB8" s="549"/>
      <c r="AC8" s="549"/>
      <c r="AI8" s="549"/>
    </row>
    <row r="9" spans="1:35" s="15" customFormat="1" ht="14.25" customHeight="1">
      <c r="C9" s="566" t="s">
        <v>428</v>
      </c>
      <c r="D9" s="567"/>
      <c r="E9" s="568"/>
      <c r="F9" s="553"/>
      <c r="G9" s="566" t="s">
        <v>429</v>
      </c>
      <c r="H9" s="567"/>
      <c r="I9" s="568"/>
      <c r="J9" s="553"/>
      <c r="K9" s="566" t="s">
        <v>430</v>
      </c>
      <c r="L9" s="567"/>
      <c r="M9" s="568"/>
      <c r="N9" s="554"/>
      <c r="O9" s="575" t="s">
        <v>431</v>
      </c>
      <c r="P9" s="576"/>
      <c r="Q9" s="577"/>
      <c r="R9" s="554"/>
      <c r="S9" s="575" t="s">
        <v>432</v>
      </c>
      <c r="T9" s="576"/>
      <c r="U9" s="577"/>
      <c r="V9" s="553"/>
      <c r="W9" s="591" t="s">
        <v>433</v>
      </c>
      <c r="X9" s="592"/>
      <c r="Y9" s="593"/>
      <c r="Z9" s="553"/>
      <c r="AA9" s="591" t="s">
        <v>434</v>
      </c>
      <c r="AB9" s="592"/>
      <c r="AC9" s="593"/>
      <c r="AG9" s="551"/>
      <c r="AI9" s="553"/>
    </row>
    <row r="10" spans="1:35" s="15" customFormat="1" ht="13.5">
      <c r="C10" s="569"/>
      <c r="D10" s="570"/>
      <c r="E10" s="571"/>
      <c r="F10" s="553"/>
      <c r="G10" s="569"/>
      <c r="H10" s="570"/>
      <c r="I10" s="571"/>
      <c r="J10" s="553"/>
      <c r="K10" s="569"/>
      <c r="L10" s="570"/>
      <c r="M10" s="571"/>
      <c r="N10" s="554"/>
      <c r="O10" s="600" t="s">
        <v>435</v>
      </c>
      <c r="P10" s="601"/>
      <c r="Q10" s="602"/>
      <c r="R10" s="554"/>
      <c r="S10" s="600" t="s">
        <v>436</v>
      </c>
      <c r="T10" s="601"/>
      <c r="U10" s="602"/>
      <c r="V10" s="553"/>
      <c r="W10" s="594"/>
      <c r="X10" s="595"/>
      <c r="Y10" s="596"/>
      <c r="Z10" s="553"/>
      <c r="AA10" s="594"/>
      <c r="AB10" s="595"/>
      <c r="AC10" s="596"/>
      <c r="AI10" s="553"/>
    </row>
    <row r="11" spans="1:35" s="15" customFormat="1" ht="23.25" customHeight="1" thickBot="1">
      <c r="C11" s="572"/>
      <c r="D11" s="573"/>
      <c r="E11" s="574"/>
      <c r="F11" s="555"/>
      <c r="G11" s="572"/>
      <c r="H11" s="573"/>
      <c r="I11" s="574"/>
      <c r="J11" s="555"/>
      <c r="K11" s="572"/>
      <c r="L11" s="573"/>
      <c r="M11" s="574"/>
      <c r="N11" s="555"/>
      <c r="O11" s="603"/>
      <c r="P11" s="604"/>
      <c r="Q11" s="605"/>
      <c r="R11" s="555"/>
      <c r="S11" s="603"/>
      <c r="T11" s="604"/>
      <c r="U11" s="605"/>
      <c r="V11" s="553"/>
      <c r="W11" s="597"/>
      <c r="X11" s="598"/>
      <c r="Y11" s="599"/>
      <c r="Z11" s="553"/>
      <c r="AA11" s="597"/>
      <c r="AB11" s="598"/>
      <c r="AC11" s="599"/>
      <c r="AI11" s="553"/>
    </row>
    <row r="12" spans="1:35" s="15" customFormat="1" ht="5.25" customHeight="1">
      <c r="C12" s="556"/>
      <c r="D12" s="556"/>
      <c r="E12" s="556"/>
      <c r="F12" s="549"/>
      <c r="G12" s="556"/>
      <c r="H12" s="556"/>
      <c r="I12" s="556"/>
      <c r="J12" s="549"/>
      <c r="K12" s="556"/>
      <c r="L12" s="556"/>
      <c r="M12" s="556"/>
      <c r="N12" s="549"/>
      <c r="O12" s="556"/>
      <c r="P12" s="556"/>
      <c r="Q12" s="556"/>
      <c r="R12" s="549"/>
      <c r="S12" s="556"/>
      <c r="T12" s="556"/>
      <c r="U12" s="556"/>
      <c r="V12" s="556"/>
      <c r="W12" s="556"/>
      <c r="X12" s="556"/>
      <c r="Y12" s="556"/>
      <c r="Z12" s="556"/>
      <c r="AA12" s="556"/>
      <c r="AB12" s="556"/>
      <c r="AC12" s="556"/>
      <c r="AI12" s="556"/>
    </row>
    <row r="13" spans="1:35" s="15" customFormat="1" ht="13.5">
      <c r="C13" s="556"/>
      <c r="D13" s="556"/>
      <c r="E13" s="556"/>
      <c r="F13" s="549"/>
      <c r="G13" s="556"/>
      <c r="H13" s="556"/>
      <c r="I13" s="556"/>
      <c r="J13" s="549"/>
      <c r="K13" s="556"/>
      <c r="L13" s="556"/>
      <c r="M13" s="556"/>
      <c r="N13" s="549"/>
      <c r="O13" s="550"/>
      <c r="P13" s="556"/>
      <c r="Q13" s="556"/>
      <c r="R13" s="549"/>
      <c r="S13" s="556"/>
      <c r="T13" s="556"/>
      <c r="U13" s="557"/>
      <c r="V13" s="556"/>
      <c r="W13" s="556"/>
      <c r="X13" s="556"/>
      <c r="Y13" s="556"/>
      <c r="Z13" s="556"/>
      <c r="AA13" s="556"/>
      <c r="AB13" s="556"/>
      <c r="AC13" s="556"/>
      <c r="AI13" s="556"/>
    </row>
    <row r="14" spans="1:35" s="15" customFormat="1" ht="10.5" customHeight="1">
      <c r="C14" s="556"/>
      <c r="D14" s="556"/>
      <c r="E14" s="556"/>
      <c r="F14" s="549"/>
      <c r="G14" s="556"/>
      <c r="H14" s="556"/>
      <c r="I14" s="556"/>
      <c r="J14" s="549"/>
      <c r="K14" s="556"/>
      <c r="L14" s="556"/>
      <c r="M14" s="556"/>
      <c r="N14" s="549"/>
      <c r="O14" s="549"/>
      <c r="P14" s="556"/>
      <c r="Q14" s="556"/>
      <c r="R14" s="556"/>
      <c r="S14" s="549"/>
      <c r="T14" s="556"/>
      <c r="U14" s="556"/>
      <c r="V14" s="556"/>
      <c r="W14" s="549"/>
      <c r="X14" s="556"/>
      <c r="Y14" s="556"/>
      <c r="Z14" s="556"/>
      <c r="AA14" s="556"/>
      <c r="AB14" s="556"/>
      <c r="AC14" s="556"/>
      <c r="AD14" s="556"/>
      <c r="AE14" s="556"/>
      <c r="AF14" s="556"/>
      <c r="AG14" s="556"/>
      <c r="AH14" s="556"/>
      <c r="AI14" s="556"/>
    </row>
    <row r="15" spans="1:35" s="15" customFormat="1" ht="4.5" customHeight="1">
      <c r="C15" s="556"/>
      <c r="D15" s="556"/>
      <c r="E15" s="556"/>
      <c r="F15" s="549"/>
      <c r="G15" s="556"/>
      <c r="H15" s="556"/>
      <c r="I15" s="556"/>
      <c r="J15" s="549"/>
      <c r="K15" s="556"/>
      <c r="L15" s="556"/>
      <c r="M15" s="556"/>
      <c r="N15" s="549"/>
      <c r="O15" s="549"/>
      <c r="P15" s="556"/>
      <c r="Q15" s="556"/>
      <c r="R15" s="556"/>
      <c r="S15" s="549"/>
      <c r="T15" s="556"/>
      <c r="U15" s="556"/>
      <c r="V15" s="556"/>
      <c r="W15" s="549"/>
      <c r="X15" s="556"/>
      <c r="Y15" s="556"/>
      <c r="Z15" s="556"/>
      <c r="AA15" s="556"/>
      <c r="AB15" s="556"/>
      <c r="AC15" s="556"/>
      <c r="AD15" s="556"/>
      <c r="AE15" s="556"/>
      <c r="AF15" s="556"/>
      <c r="AG15" s="556"/>
      <c r="AH15" s="556"/>
      <c r="AI15" s="556"/>
    </row>
    <row r="16" spans="1:35" s="15" customFormat="1" ht="18" customHeight="1" thickBot="1">
      <c r="C16" s="556"/>
      <c r="D16" s="556"/>
      <c r="E16" s="556"/>
      <c r="F16" s="549"/>
      <c r="G16" s="556"/>
      <c r="H16" s="556"/>
      <c r="I16" s="556"/>
      <c r="J16" s="549"/>
      <c r="K16" s="556"/>
      <c r="L16" s="556"/>
      <c r="M16" s="556"/>
      <c r="N16" s="549"/>
      <c r="O16" s="549"/>
      <c r="P16" s="556"/>
      <c r="Q16" s="556"/>
      <c r="R16" s="556"/>
      <c r="S16" s="549"/>
      <c r="T16" s="556"/>
      <c r="U16" s="556"/>
      <c r="V16" s="556"/>
      <c r="W16" s="549"/>
      <c r="X16" s="556"/>
      <c r="Y16" s="556"/>
      <c r="Z16" s="556"/>
      <c r="AA16" s="556"/>
      <c r="AB16" s="556"/>
      <c r="AC16" s="556"/>
      <c r="AD16" s="556"/>
      <c r="AE16" s="556"/>
      <c r="AF16" s="556"/>
      <c r="AG16" s="556"/>
      <c r="AH16" s="556"/>
      <c r="AI16" s="556"/>
    </row>
    <row r="17" spans="1:82" s="15" customFormat="1" ht="10.5" customHeight="1">
      <c r="C17" s="556"/>
      <c r="D17" s="556"/>
      <c r="E17" s="556"/>
      <c r="F17" s="549"/>
      <c r="G17" s="606" t="s">
        <v>437</v>
      </c>
      <c r="H17" s="607"/>
      <c r="I17" s="607"/>
      <c r="J17" s="607"/>
      <c r="K17" s="607"/>
      <c r="L17" s="607"/>
      <c r="M17" s="608"/>
      <c r="N17" s="549"/>
      <c r="O17" s="549"/>
      <c r="P17" s="556"/>
      <c r="Q17" s="556"/>
      <c r="R17" s="556"/>
      <c r="S17" s="606" t="s">
        <v>438</v>
      </c>
      <c r="T17" s="612"/>
      <c r="U17" s="612"/>
      <c r="V17" s="612"/>
      <c r="W17" s="613"/>
      <c r="X17" s="556"/>
      <c r="Y17" s="556"/>
      <c r="Z17" s="556"/>
      <c r="AA17" s="556"/>
      <c r="AB17" s="556"/>
      <c r="AC17" s="556"/>
      <c r="AD17" s="556"/>
      <c r="AE17" s="556"/>
      <c r="AF17" s="556"/>
      <c r="AG17" s="556"/>
      <c r="AH17" s="556"/>
      <c r="AI17" s="556"/>
    </row>
    <row r="18" spans="1:82" s="15" customFormat="1" ht="10.5" customHeight="1" thickBot="1">
      <c r="C18" s="556"/>
      <c r="D18" s="556"/>
      <c r="E18" s="556"/>
      <c r="F18" s="549"/>
      <c r="G18" s="609"/>
      <c r="H18" s="610"/>
      <c r="I18" s="610"/>
      <c r="J18" s="610"/>
      <c r="K18" s="610"/>
      <c r="L18" s="610"/>
      <c r="M18" s="611"/>
      <c r="N18" s="549"/>
      <c r="O18" s="549"/>
      <c r="P18" s="556"/>
      <c r="Q18" s="556"/>
      <c r="R18" s="556"/>
      <c r="S18" s="614"/>
      <c r="T18" s="615"/>
      <c r="U18" s="615"/>
      <c r="V18" s="615"/>
      <c r="W18" s="616"/>
      <c r="X18" s="556"/>
      <c r="Y18" s="556"/>
      <c r="Z18" s="556"/>
      <c r="AA18" s="556"/>
      <c r="AB18" s="556"/>
      <c r="AC18" s="556"/>
      <c r="AD18" s="556"/>
      <c r="AE18" s="556"/>
      <c r="AF18" s="556"/>
      <c r="AG18" s="556"/>
      <c r="AH18" s="556"/>
      <c r="AI18" s="556"/>
    </row>
    <row r="19" spans="1:82" s="15" customFormat="1" ht="10.5" customHeight="1">
      <c r="C19" s="556"/>
      <c r="D19" s="556"/>
      <c r="E19" s="556"/>
      <c r="F19" s="549"/>
      <c r="G19" s="8"/>
      <c r="H19" s="8"/>
      <c r="I19" s="8"/>
      <c r="J19" s="8"/>
      <c r="K19" s="8"/>
      <c r="L19" s="8"/>
      <c r="M19" s="8"/>
      <c r="N19" s="549"/>
      <c r="O19" s="549"/>
      <c r="P19" s="556"/>
      <c r="Q19" s="556"/>
      <c r="R19" s="556"/>
      <c r="S19" s="558"/>
      <c r="T19" s="558"/>
      <c r="U19" s="558"/>
      <c r="V19" s="558"/>
      <c r="W19" s="558"/>
      <c r="X19" s="556"/>
      <c r="Y19" s="556"/>
      <c r="Z19" s="556"/>
      <c r="AA19" s="556"/>
      <c r="AB19" s="556"/>
      <c r="AC19" s="556"/>
      <c r="AD19" s="556"/>
      <c r="AE19" s="556"/>
      <c r="AF19" s="556"/>
      <c r="AG19" s="556"/>
      <c r="AH19" s="556"/>
      <c r="AI19" s="556"/>
    </row>
    <row r="20" spans="1:82" s="15" customFormat="1" ht="13.5">
      <c r="B20" s="13" t="s">
        <v>439</v>
      </c>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row>
    <row r="21" spans="1:82" s="15" customFormat="1" ht="13.5">
      <c r="B21" s="13" t="s">
        <v>453</v>
      </c>
      <c r="R21" s="22"/>
    </row>
    <row r="22" spans="1:82" s="15" customFormat="1" ht="13.5"/>
    <row r="23" spans="1:82" s="21" customFormat="1" ht="14.25" thickBot="1">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row>
    <row r="24" spans="1:82" s="18" customFormat="1" ht="13.5">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row>
    <row r="25" spans="1:82" s="15" customFormat="1" ht="13.5" customHeight="1">
      <c r="B25" s="22" t="s">
        <v>455</v>
      </c>
      <c r="F25" s="15" t="s">
        <v>456</v>
      </c>
    </row>
    <row r="26" spans="1:82" s="15" customFormat="1" ht="13.5" customHeight="1" thickBot="1">
      <c r="A26" s="22"/>
      <c r="B26" s="22"/>
    </row>
    <row r="27" spans="1:82" s="15" customFormat="1" ht="20.25" customHeight="1" thickBot="1">
      <c r="C27" s="578" t="s">
        <v>423</v>
      </c>
      <c r="D27" s="617"/>
      <c r="E27" s="617"/>
      <c r="F27" s="617"/>
      <c r="G27" s="617"/>
      <c r="H27" s="617"/>
      <c r="I27" s="617"/>
      <c r="J27" s="617"/>
      <c r="K27" s="617"/>
      <c r="L27" s="617"/>
      <c r="M27" s="617"/>
      <c r="N27" s="617"/>
      <c r="O27" s="617"/>
      <c r="P27" s="617"/>
      <c r="Q27" s="617"/>
      <c r="R27" s="617"/>
      <c r="S27" s="617"/>
      <c r="T27" s="617"/>
      <c r="U27" s="617"/>
      <c r="V27" s="617"/>
      <c r="W27" s="617"/>
      <c r="X27" s="617"/>
      <c r="Y27" s="617"/>
      <c r="Z27" s="617"/>
      <c r="AA27" s="617"/>
      <c r="AB27" s="617"/>
      <c r="AC27" s="617"/>
      <c r="AD27" s="617"/>
      <c r="AE27" s="617"/>
      <c r="AF27" s="617"/>
      <c r="AG27" s="617"/>
      <c r="AH27" s="618"/>
      <c r="AI27" s="22"/>
    </row>
    <row r="28" spans="1:82" s="15" customFormat="1" ht="20.25" customHeight="1" thickBot="1">
      <c r="C28" s="558"/>
      <c r="D28" s="558"/>
      <c r="E28" s="558"/>
      <c r="F28" s="558"/>
      <c r="G28" s="558"/>
      <c r="H28" s="558"/>
      <c r="I28" s="548">
        <v>0.55000000000000004</v>
      </c>
      <c r="J28" s="558"/>
      <c r="K28" s="558"/>
      <c r="L28" s="558"/>
      <c r="M28" s="558"/>
      <c r="N28" s="558"/>
      <c r="O28" s="558"/>
      <c r="P28" s="558"/>
      <c r="Q28" s="550">
        <v>0.35</v>
      </c>
      <c r="R28" s="558"/>
      <c r="S28" s="558"/>
      <c r="T28" s="558"/>
      <c r="U28" s="558"/>
      <c r="V28" s="558"/>
      <c r="W28" s="558"/>
      <c r="X28" s="550">
        <v>0.05</v>
      </c>
      <c r="Y28" s="558"/>
      <c r="Z28" s="558"/>
      <c r="AA28" s="558"/>
      <c r="AB28" s="558"/>
      <c r="AC28" s="558"/>
      <c r="AD28" s="558"/>
      <c r="AE28" s="558"/>
      <c r="AF28" s="558"/>
      <c r="AG28" s="559">
        <v>0.05</v>
      </c>
      <c r="AH28" s="558"/>
      <c r="AI28" s="22"/>
    </row>
    <row r="29" spans="1:82" s="15" customFormat="1" ht="20.25" customHeight="1" thickBot="1">
      <c r="C29" s="585" t="s">
        <v>424</v>
      </c>
      <c r="D29" s="619"/>
      <c r="E29" s="619"/>
      <c r="F29" s="619"/>
      <c r="G29" s="619"/>
      <c r="H29" s="619"/>
      <c r="I29" s="619"/>
      <c r="J29" s="619"/>
      <c r="K29" s="619"/>
      <c r="L29" s="619"/>
      <c r="M29" s="620"/>
      <c r="N29" s="558"/>
      <c r="O29" s="588" t="s">
        <v>425</v>
      </c>
      <c r="P29" s="621"/>
      <c r="Q29" s="621"/>
      <c r="R29" s="621"/>
      <c r="S29" s="621"/>
      <c r="T29" s="621"/>
      <c r="U29" s="622"/>
      <c r="V29" s="558"/>
      <c r="W29" s="581" t="s">
        <v>426</v>
      </c>
      <c r="X29" s="623"/>
      <c r="Y29" s="623"/>
      <c r="Z29" s="623"/>
      <c r="AA29" s="623"/>
      <c r="AB29" s="623"/>
      <c r="AC29" s="624"/>
      <c r="AD29" s="558"/>
      <c r="AE29" s="582" t="s">
        <v>427</v>
      </c>
      <c r="AF29" s="583"/>
      <c r="AG29" s="583"/>
      <c r="AH29" s="584"/>
      <c r="AI29" s="22"/>
    </row>
    <row r="30" spans="1:82" s="15" customFormat="1" ht="4.5" customHeight="1">
      <c r="C30" s="558"/>
      <c r="D30" s="558"/>
      <c r="E30" s="558"/>
      <c r="F30" s="558"/>
      <c r="G30" s="558"/>
      <c r="H30" s="558"/>
      <c r="I30" s="558"/>
      <c r="J30" s="558"/>
      <c r="K30" s="558"/>
      <c r="L30" s="558"/>
      <c r="M30" s="558"/>
      <c r="N30" s="558"/>
      <c r="O30" s="558"/>
      <c r="P30" s="558"/>
      <c r="Q30" s="558"/>
      <c r="R30" s="558"/>
      <c r="S30" s="558"/>
      <c r="T30" s="558"/>
      <c r="U30" s="558"/>
      <c r="V30" s="558"/>
      <c r="W30" s="558"/>
      <c r="X30" s="558"/>
      <c r="Y30" s="558"/>
      <c r="Z30" s="558"/>
      <c r="AA30" s="558"/>
      <c r="AB30" s="558"/>
      <c r="AC30" s="558"/>
      <c r="AD30" s="558"/>
      <c r="AE30" s="558"/>
      <c r="AF30" s="558"/>
      <c r="AG30" s="558"/>
      <c r="AH30" s="558"/>
      <c r="AI30" s="22"/>
    </row>
    <row r="31" spans="1:82" s="15" customFormat="1" ht="3.75" customHeight="1" thickBot="1">
      <c r="C31" s="551"/>
      <c r="D31" s="551"/>
      <c r="E31" s="549"/>
      <c r="F31" s="549"/>
      <c r="G31" s="549"/>
      <c r="H31" s="551"/>
      <c r="I31" s="551"/>
      <c r="J31" s="551"/>
      <c r="K31" s="551"/>
      <c r="L31" s="551"/>
      <c r="M31" s="549"/>
      <c r="N31" s="551"/>
      <c r="P31" s="549"/>
      <c r="Q31" s="552"/>
      <c r="S31" s="549"/>
      <c r="T31" s="549"/>
      <c r="U31" s="549"/>
      <c r="V31" s="549"/>
      <c r="W31" s="549"/>
      <c r="X31" s="549"/>
      <c r="Y31" s="549"/>
      <c r="Z31" s="549"/>
      <c r="AA31" s="549"/>
      <c r="AB31" s="549"/>
      <c r="AC31" s="549"/>
      <c r="AI31" s="549"/>
    </row>
    <row r="32" spans="1:82" s="15" customFormat="1" ht="14.25" customHeight="1">
      <c r="C32" s="566" t="s">
        <v>428</v>
      </c>
      <c r="D32" s="567"/>
      <c r="E32" s="568"/>
      <c r="F32" s="553"/>
      <c r="G32" s="566" t="s">
        <v>429</v>
      </c>
      <c r="H32" s="567"/>
      <c r="I32" s="568"/>
      <c r="J32" s="553"/>
      <c r="K32" s="566" t="s">
        <v>430</v>
      </c>
      <c r="L32" s="567"/>
      <c r="M32" s="568"/>
      <c r="N32" s="554"/>
      <c r="O32" s="575" t="s">
        <v>431</v>
      </c>
      <c r="P32" s="576"/>
      <c r="Q32" s="577"/>
      <c r="R32" s="554"/>
      <c r="S32" s="575" t="s">
        <v>432</v>
      </c>
      <c r="T32" s="576"/>
      <c r="U32" s="577"/>
      <c r="V32" s="553"/>
      <c r="W32" s="591" t="s">
        <v>433</v>
      </c>
      <c r="X32" s="592"/>
      <c r="Y32" s="593"/>
      <c r="Z32" s="553"/>
      <c r="AA32" s="591" t="s">
        <v>434</v>
      </c>
      <c r="AB32" s="592"/>
      <c r="AC32" s="593"/>
      <c r="AG32" s="551"/>
      <c r="AI32" s="553"/>
    </row>
    <row r="33" spans="2:35" s="15" customFormat="1" ht="13.5">
      <c r="C33" s="569"/>
      <c r="D33" s="570"/>
      <c r="E33" s="571"/>
      <c r="F33" s="553"/>
      <c r="G33" s="569"/>
      <c r="H33" s="570"/>
      <c r="I33" s="571"/>
      <c r="J33" s="553"/>
      <c r="K33" s="569"/>
      <c r="L33" s="570"/>
      <c r="M33" s="571"/>
      <c r="N33" s="554"/>
      <c r="O33" s="600" t="s">
        <v>435</v>
      </c>
      <c r="P33" s="601"/>
      <c r="Q33" s="602"/>
      <c r="R33" s="554"/>
      <c r="S33" s="600" t="s">
        <v>436</v>
      </c>
      <c r="T33" s="601"/>
      <c r="U33" s="602"/>
      <c r="V33" s="553"/>
      <c r="W33" s="594"/>
      <c r="X33" s="595"/>
      <c r="Y33" s="596"/>
      <c r="Z33" s="553"/>
      <c r="AA33" s="594"/>
      <c r="AB33" s="595"/>
      <c r="AC33" s="596"/>
      <c r="AI33" s="553"/>
    </row>
    <row r="34" spans="2:35" s="15" customFormat="1" ht="21.75" customHeight="1" thickBot="1">
      <c r="C34" s="572"/>
      <c r="D34" s="573"/>
      <c r="E34" s="574"/>
      <c r="F34" s="555"/>
      <c r="G34" s="572"/>
      <c r="H34" s="573"/>
      <c r="I34" s="574"/>
      <c r="J34" s="555"/>
      <c r="K34" s="572"/>
      <c r="L34" s="573"/>
      <c r="M34" s="574"/>
      <c r="N34" s="555"/>
      <c r="O34" s="603"/>
      <c r="P34" s="604"/>
      <c r="Q34" s="605"/>
      <c r="R34" s="555"/>
      <c r="S34" s="603"/>
      <c r="T34" s="604"/>
      <c r="U34" s="605"/>
      <c r="V34" s="553"/>
      <c r="W34" s="597"/>
      <c r="X34" s="598"/>
      <c r="Y34" s="599"/>
      <c r="Z34" s="553"/>
      <c r="AA34" s="597"/>
      <c r="AB34" s="598"/>
      <c r="AC34" s="599"/>
      <c r="AI34" s="553"/>
    </row>
    <row r="35" spans="2:35" s="15" customFormat="1" ht="5.25" customHeight="1">
      <c r="C35" s="556"/>
      <c r="D35" s="556"/>
      <c r="E35" s="556"/>
      <c r="F35" s="549"/>
      <c r="G35" s="556"/>
      <c r="H35" s="556"/>
      <c r="I35" s="556"/>
      <c r="J35" s="549"/>
      <c r="K35" s="556"/>
      <c r="L35" s="556"/>
      <c r="M35" s="556"/>
      <c r="N35" s="549"/>
      <c r="O35" s="556"/>
      <c r="P35" s="556"/>
      <c r="Q35" s="556"/>
      <c r="R35" s="549"/>
      <c r="S35" s="556"/>
      <c r="T35" s="556"/>
      <c r="U35" s="556"/>
      <c r="V35" s="556"/>
      <c r="W35" s="556"/>
      <c r="X35" s="556"/>
      <c r="Y35" s="556"/>
      <c r="Z35" s="556"/>
      <c r="AA35" s="556"/>
      <c r="AB35" s="556"/>
      <c r="AC35" s="556"/>
      <c r="AI35" s="556"/>
    </row>
    <row r="36" spans="2:35" s="15" customFormat="1" ht="13.5">
      <c r="C36" s="556"/>
      <c r="D36" s="556"/>
      <c r="E36" s="556"/>
      <c r="F36" s="549"/>
      <c r="G36" s="556"/>
      <c r="H36" s="556"/>
      <c r="I36" s="556"/>
      <c r="J36" s="549"/>
      <c r="K36" s="556"/>
      <c r="L36" s="556"/>
      <c r="M36" s="556"/>
      <c r="N36" s="549"/>
      <c r="O36" s="550">
        <v>0.31</v>
      </c>
      <c r="P36" s="556"/>
      <c r="Q36" s="556"/>
      <c r="R36" s="549"/>
      <c r="S36" s="556"/>
      <c r="T36" s="556"/>
      <c r="U36" s="557">
        <v>0.04</v>
      </c>
      <c r="V36" s="556"/>
      <c r="W36" s="556"/>
      <c r="X36" s="556"/>
      <c r="Y36" s="556"/>
      <c r="Z36" s="556"/>
      <c r="AA36" s="556"/>
      <c r="AB36" s="556"/>
      <c r="AC36" s="556"/>
      <c r="AI36" s="556"/>
    </row>
    <row r="37" spans="2:35" s="15" customFormat="1" ht="10.5" customHeight="1">
      <c r="C37" s="556"/>
      <c r="D37" s="556"/>
      <c r="E37" s="556"/>
      <c r="F37" s="549"/>
      <c r="G37" s="556"/>
      <c r="H37" s="556"/>
      <c r="I37" s="556"/>
      <c r="J37" s="549"/>
      <c r="K37" s="556"/>
      <c r="L37" s="556"/>
      <c r="M37" s="556"/>
      <c r="N37" s="549"/>
      <c r="O37" s="549"/>
      <c r="P37" s="556"/>
      <c r="Q37" s="556"/>
      <c r="R37" s="556"/>
      <c r="S37" s="549"/>
      <c r="T37" s="556"/>
      <c r="U37" s="556"/>
      <c r="V37" s="556"/>
      <c r="W37" s="549"/>
      <c r="X37" s="556"/>
      <c r="Y37" s="556"/>
      <c r="Z37" s="556"/>
      <c r="AA37" s="556"/>
      <c r="AB37" s="556"/>
      <c r="AC37" s="556"/>
      <c r="AD37" s="556"/>
      <c r="AE37" s="556"/>
      <c r="AF37" s="556"/>
      <c r="AG37" s="556"/>
      <c r="AH37" s="556"/>
      <c r="AI37" s="556"/>
    </row>
    <row r="38" spans="2:35" s="15" customFormat="1" ht="4.5" customHeight="1">
      <c r="C38" s="556"/>
      <c r="D38" s="556"/>
      <c r="E38" s="556"/>
      <c r="F38" s="549"/>
      <c r="G38" s="556"/>
      <c r="H38" s="556"/>
      <c r="I38" s="556"/>
      <c r="J38" s="549"/>
      <c r="K38" s="556"/>
      <c r="L38" s="556"/>
      <c r="M38" s="556"/>
      <c r="N38" s="549"/>
      <c r="O38" s="549"/>
      <c r="P38" s="556"/>
      <c r="Q38" s="556"/>
      <c r="R38" s="556"/>
      <c r="S38" s="549"/>
      <c r="T38" s="556"/>
      <c r="U38" s="556"/>
      <c r="V38" s="556"/>
      <c r="W38" s="549"/>
      <c r="X38" s="556"/>
      <c r="Y38" s="556"/>
      <c r="Z38" s="556"/>
      <c r="AA38" s="556"/>
      <c r="AB38" s="556"/>
      <c r="AC38" s="556"/>
      <c r="AD38" s="556"/>
      <c r="AE38" s="556"/>
      <c r="AF38" s="556"/>
      <c r="AG38" s="556"/>
      <c r="AH38" s="556"/>
      <c r="AI38" s="556"/>
    </row>
    <row r="39" spans="2:35" s="15" customFormat="1" ht="10.5" customHeight="1">
      <c r="C39" s="556"/>
      <c r="D39" s="556"/>
      <c r="E39" s="556"/>
      <c r="F39" s="549"/>
      <c r="G39" s="556"/>
      <c r="H39" s="556"/>
      <c r="I39" s="556"/>
      <c r="J39" s="549"/>
      <c r="K39" s="556"/>
      <c r="L39" s="556"/>
      <c r="M39" s="556"/>
      <c r="N39" s="549"/>
      <c r="O39" s="549"/>
      <c r="P39" s="556"/>
      <c r="Q39" s="556"/>
      <c r="R39" s="556"/>
      <c r="S39" s="549"/>
      <c r="T39" s="556"/>
      <c r="U39" s="556"/>
      <c r="V39" s="556"/>
      <c r="W39" s="549"/>
      <c r="X39" s="556"/>
      <c r="Y39" s="556"/>
      <c r="Z39" s="556"/>
      <c r="AA39" s="556"/>
      <c r="AB39" s="556"/>
      <c r="AC39" s="556"/>
      <c r="AD39" s="556"/>
      <c r="AE39" s="556"/>
      <c r="AF39" s="556"/>
      <c r="AG39" s="556"/>
    </row>
    <row r="40" spans="2:35" s="15" customFormat="1" ht="10.5" customHeight="1" thickBot="1">
      <c r="C40" s="556"/>
      <c r="D40" s="556"/>
      <c r="E40" s="556"/>
      <c r="F40" s="549"/>
      <c r="G40" s="556"/>
      <c r="H40" s="556"/>
      <c r="I40" s="556"/>
      <c r="J40" s="549"/>
      <c r="K40" s="556"/>
      <c r="L40" s="556"/>
      <c r="M40" s="556"/>
      <c r="N40" s="549"/>
      <c r="O40" s="549"/>
      <c r="P40" s="556"/>
      <c r="Q40" s="556"/>
      <c r="R40" s="556"/>
      <c r="S40" s="549"/>
      <c r="T40" s="556"/>
      <c r="U40" s="556"/>
      <c r="V40" s="556"/>
      <c r="W40" s="549"/>
      <c r="X40" s="556"/>
      <c r="Y40" s="556"/>
      <c r="Z40" s="556"/>
      <c r="AA40" s="556"/>
      <c r="AB40" s="556"/>
      <c r="AC40" s="556"/>
      <c r="AD40" s="556"/>
      <c r="AE40" s="556"/>
      <c r="AF40" s="556"/>
      <c r="AG40" s="556"/>
    </row>
    <row r="41" spans="2:35" s="15" customFormat="1" ht="22.5" customHeight="1">
      <c r="C41" s="556"/>
      <c r="D41" s="556"/>
      <c r="E41" s="556"/>
      <c r="F41" s="549"/>
      <c r="G41" s="606" t="s">
        <v>437</v>
      </c>
      <c r="H41" s="607"/>
      <c r="I41" s="607"/>
      <c r="J41" s="607"/>
      <c r="K41" s="607"/>
      <c r="L41" s="607"/>
      <c r="M41" s="608"/>
      <c r="N41" s="549"/>
      <c r="O41" s="549"/>
      <c r="P41" s="556"/>
      <c r="Q41" s="556"/>
      <c r="R41" s="556"/>
      <c r="S41" s="606" t="s">
        <v>440</v>
      </c>
      <c r="T41" s="612"/>
      <c r="U41" s="612"/>
      <c r="V41" s="612"/>
      <c r="W41" s="613"/>
      <c r="X41" s="556"/>
      <c r="Y41" s="556"/>
      <c r="Z41" s="556"/>
      <c r="AA41" s="556"/>
      <c r="AB41" s="556"/>
      <c r="AC41" s="556"/>
      <c r="AD41" s="556"/>
      <c r="AE41" s="556"/>
      <c r="AF41" s="556"/>
      <c r="AG41" s="556"/>
    </row>
    <row r="42" spans="2:35" s="15" customFormat="1" ht="12.75" customHeight="1" thickBot="1">
      <c r="C42" s="556"/>
      <c r="D42" s="556"/>
      <c r="E42" s="556"/>
      <c r="F42" s="549"/>
      <c r="G42" s="609"/>
      <c r="H42" s="610"/>
      <c r="I42" s="610"/>
      <c r="J42" s="610"/>
      <c r="K42" s="610"/>
      <c r="L42" s="610"/>
      <c r="M42" s="611"/>
      <c r="N42" s="549"/>
      <c r="O42" s="549"/>
      <c r="P42" s="556"/>
      <c r="Q42" s="556"/>
      <c r="R42" s="556"/>
      <c r="S42" s="614"/>
      <c r="T42" s="615"/>
      <c r="U42" s="615"/>
      <c r="V42" s="615"/>
      <c r="W42" s="616"/>
      <c r="X42" s="556"/>
      <c r="Y42" s="556"/>
      <c r="Z42" s="556"/>
      <c r="AA42" s="556"/>
      <c r="AB42" s="556"/>
      <c r="AC42" s="556"/>
      <c r="AD42" s="556"/>
      <c r="AE42" s="556"/>
      <c r="AF42" s="556"/>
      <c r="AG42" s="556"/>
    </row>
    <row r="43" spans="2:35" s="15" customFormat="1" ht="13.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row>
    <row r="44" spans="2:35" s="15" customFormat="1" ht="13.5">
      <c r="B44" s="13" t="s">
        <v>441</v>
      </c>
      <c r="C44" s="13"/>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row>
    <row r="45" spans="2:35" s="15" customFormat="1" ht="13.5">
      <c r="B45" s="13" t="s">
        <v>442</v>
      </c>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row>
    <row r="46" spans="2:35" s="15" customFormat="1" ht="13.5">
      <c r="B46" s="13" t="s">
        <v>443</v>
      </c>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row>
    <row r="47" spans="2:35" s="15" customFormat="1" ht="13.5">
      <c r="B47" s="13" t="s">
        <v>444</v>
      </c>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row>
    <row r="48" spans="2:35" s="15" customFormat="1" ht="13.5">
      <c r="B48" s="13" t="s">
        <v>445</v>
      </c>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row>
    <row r="49" spans="1:82" s="15" customFormat="1" ht="13.5">
      <c r="B49" s="13" t="s">
        <v>446</v>
      </c>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row>
    <row r="50" spans="1:82" s="15" customFormat="1" ht="13.5">
      <c r="B50" s="13" t="s">
        <v>377</v>
      </c>
    </row>
    <row r="51" spans="1:82" s="15" customFormat="1" ht="13.5"/>
    <row r="52" spans="1:82" s="21" customFormat="1" ht="14.25" thickBot="1">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row>
    <row r="53" spans="1:82" s="18" customFormat="1" ht="13.5">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row>
    <row r="54" spans="1:82" s="15" customFormat="1" ht="13.5">
      <c r="B54" s="22" t="s">
        <v>457</v>
      </c>
      <c r="F54" s="15" t="s">
        <v>458</v>
      </c>
    </row>
    <row r="55" spans="1:82" s="15" customFormat="1" ht="14.25" thickBot="1">
      <c r="B55" s="22"/>
    </row>
    <row r="56" spans="1:82" s="15" customFormat="1" ht="22.5" customHeight="1" thickBot="1">
      <c r="A56" s="22"/>
      <c r="B56" s="22"/>
      <c r="C56" s="578" t="s">
        <v>423</v>
      </c>
      <c r="D56" s="617"/>
      <c r="E56" s="617"/>
      <c r="F56" s="617"/>
      <c r="G56" s="617"/>
      <c r="H56" s="617"/>
      <c r="I56" s="617"/>
      <c r="J56" s="617"/>
      <c r="K56" s="617"/>
      <c r="L56" s="617"/>
      <c r="M56" s="617"/>
      <c r="N56" s="617"/>
      <c r="O56" s="617"/>
      <c r="P56" s="617"/>
      <c r="Q56" s="618"/>
      <c r="R56" s="560"/>
      <c r="S56" s="560"/>
      <c r="T56" s="560"/>
      <c r="U56" s="560"/>
      <c r="V56" s="560"/>
      <c r="W56" s="560"/>
      <c r="X56" s="560"/>
      <c r="Y56" s="560"/>
      <c r="Z56" s="560"/>
      <c r="AA56" s="560"/>
      <c r="AB56" s="560"/>
      <c r="AC56" s="560"/>
      <c r="AD56" s="560"/>
      <c r="AE56" s="560"/>
      <c r="AF56" s="560"/>
      <c r="AG56" s="560"/>
      <c r="AH56" s="560"/>
      <c r="AI56" s="22"/>
    </row>
    <row r="57" spans="1:82" s="15" customFormat="1" ht="22.5" customHeight="1" thickBot="1">
      <c r="A57" s="22"/>
      <c r="B57" s="22"/>
      <c r="C57" s="558"/>
      <c r="D57" s="548">
        <v>0.03</v>
      </c>
      <c r="E57" s="558"/>
      <c r="F57" s="558"/>
      <c r="G57" s="558"/>
      <c r="H57" s="558"/>
      <c r="I57" s="548">
        <v>0.94</v>
      </c>
      <c r="J57" s="558"/>
      <c r="K57" s="558"/>
      <c r="L57" s="558"/>
      <c r="M57" s="558"/>
      <c r="N57" s="558"/>
      <c r="O57" s="558"/>
      <c r="P57" s="548">
        <v>0.03</v>
      </c>
      <c r="Q57" s="558"/>
      <c r="R57" s="560"/>
      <c r="S57" s="560"/>
      <c r="T57" s="560"/>
      <c r="U57" s="560"/>
      <c r="V57" s="560"/>
      <c r="W57" s="560"/>
      <c r="X57" s="560"/>
      <c r="Y57" s="560"/>
      <c r="Z57" s="560"/>
      <c r="AA57" s="560"/>
      <c r="AB57" s="560"/>
      <c r="AC57" s="560"/>
      <c r="AD57" s="560"/>
      <c r="AE57" s="560"/>
      <c r="AF57" s="560"/>
      <c r="AG57" s="560"/>
      <c r="AH57" s="560"/>
      <c r="AI57" s="22"/>
    </row>
    <row r="58" spans="1:82" s="15" customFormat="1" ht="22.5" customHeight="1">
      <c r="A58" s="22"/>
      <c r="B58" s="22"/>
      <c r="C58" s="558"/>
      <c r="D58" s="558"/>
      <c r="E58" s="558"/>
      <c r="F58" s="631" t="s">
        <v>447</v>
      </c>
      <c r="G58" s="632"/>
      <c r="H58" s="632"/>
      <c r="I58" s="633"/>
      <c r="J58" s="634"/>
      <c r="K58" s="558"/>
      <c r="L58" s="558"/>
      <c r="M58" s="637" t="s">
        <v>448</v>
      </c>
      <c r="N58" s="607"/>
      <c r="O58" s="607"/>
      <c r="P58" s="607"/>
      <c r="Q58" s="608"/>
      <c r="R58" s="560"/>
      <c r="S58" s="560"/>
      <c r="T58" s="560"/>
      <c r="U58" s="560"/>
      <c r="V58" s="560"/>
      <c r="W58" s="560"/>
      <c r="X58" s="560"/>
      <c r="Y58" s="560"/>
      <c r="Z58" s="560"/>
      <c r="AA58" s="560"/>
      <c r="AB58" s="560"/>
      <c r="AC58" s="560"/>
      <c r="AD58" s="560"/>
      <c r="AE58" s="560"/>
      <c r="AF58" s="560"/>
      <c r="AG58" s="560"/>
      <c r="AH58" s="560"/>
      <c r="AI58" s="22"/>
    </row>
    <row r="59" spans="1:82" s="15" customFormat="1" ht="22.5" customHeight="1" thickBot="1">
      <c r="A59" s="22"/>
      <c r="B59" s="22"/>
      <c r="C59" s="558"/>
      <c r="D59" s="558"/>
      <c r="E59" s="558"/>
      <c r="F59" s="572" t="s">
        <v>449</v>
      </c>
      <c r="G59" s="573"/>
      <c r="H59" s="573"/>
      <c r="I59" s="635"/>
      <c r="J59" s="636"/>
      <c r="K59" s="558"/>
      <c r="L59" s="558"/>
      <c r="M59" s="609"/>
      <c r="N59" s="610"/>
      <c r="O59" s="610"/>
      <c r="P59" s="610"/>
      <c r="Q59" s="611"/>
      <c r="R59" s="560"/>
      <c r="S59" s="560"/>
      <c r="T59" s="560"/>
      <c r="U59" s="560"/>
      <c r="V59" s="560"/>
      <c r="W59" s="560"/>
      <c r="X59" s="560"/>
      <c r="Y59" s="560"/>
      <c r="Z59" s="560"/>
      <c r="AA59" s="560"/>
      <c r="AB59" s="560"/>
      <c r="AC59" s="560"/>
      <c r="AD59" s="560"/>
      <c r="AE59" s="560"/>
      <c r="AF59" s="560"/>
      <c r="AG59" s="560"/>
      <c r="AH59" s="560"/>
      <c r="AI59" s="22"/>
    </row>
    <row r="60" spans="1:82" s="15" customFormat="1" ht="13.5">
      <c r="C60" s="561"/>
      <c r="D60" s="561"/>
      <c r="E60" s="561"/>
      <c r="F60" s="561"/>
      <c r="G60" s="561"/>
      <c r="H60" s="561"/>
      <c r="I60" s="561"/>
      <c r="J60" s="561"/>
      <c r="K60" s="561"/>
      <c r="L60" s="561"/>
      <c r="M60" s="549"/>
      <c r="Q60" s="24"/>
      <c r="V60" s="31"/>
      <c r="W60" s="31"/>
      <c r="X60" s="31"/>
      <c r="Y60" s="31"/>
      <c r="Z60" s="31"/>
      <c r="AA60" s="31"/>
      <c r="AB60" s="31"/>
      <c r="AC60" s="31"/>
      <c r="AD60" s="22"/>
      <c r="AE60" s="22"/>
      <c r="AF60" s="22"/>
      <c r="AG60" s="22"/>
      <c r="AH60" s="22"/>
      <c r="AI60" s="31"/>
    </row>
    <row r="61" spans="1:82" s="15" customFormat="1" ht="14.25" thickBot="1">
      <c r="C61" s="556"/>
      <c r="D61" s="556"/>
      <c r="E61" s="556"/>
      <c r="F61" s="549"/>
      <c r="G61" s="556"/>
      <c r="H61" s="556"/>
      <c r="I61" s="556"/>
      <c r="J61" s="549"/>
      <c r="K61" s="556"/>
      <c r="L61" s="556"/>
      <c r="M61" s="549"/>
      <c r="N61" s="24"/>
      <c r="O61" s="31"/>
      <c r="P61" s="31"/>
      <c r="Q61" s="31"/>
      <c r="S61" s="24"/>
      <c r="T61" s="31"/>
      <c r="U61" s="31"/>
      <c r="V61" s="31"/>
      <c r="W61" s="24"/>
      <c r="X61" s="31"/>
      <c r="Y61" s="31"/>
      <c r="Z61" s="31"/>
      <c r="AA61" s="31"/>
      <c r="AB61" s="31"/>
      <c r="AC61" s="31"/>
      <c r="AD61" s="31"/>
      <c r="AE61" s="31"/>
      <c r="AF61" s="31"/>
      <c r="AG61" s="31"/>
      <c r="AH61" s="31"/>
      <c r="AI61" s="31"/>
    </row>
    <row r="62" spans="1:82" s="15" customFormat="1" ht="13.5">
      <c r="C62" s="562"/>
      <c r="D62" s="563"/>
      <c r="E62" s="563"/>
      <c r="F62" s="625" t="s">
        <v>450</v>
      </c>
      <c r="G62" s="626"/>
      <c r="H62" s="626"/>
      <c r="I62" s="626"/>
      <c r="J62" s="627"/>
      <c r="K62" s="556"/>
      <c r="L62" s="556"/>
      <c r="M62" s="606" t="s">
        <v>440</v>
      </c>
      <c r="N62" s="607"/>
      <c r="O62" s="607"/>
      <c r="P62" s="607"/>
      <c r="Q62" s="608"/>
      <c r="S62" s="24"/>
      <c r="T62" s="31"/>
      <c r="U62" s="31"/>
      <c r="V62" s="31"/>
      <c r="W62" s="24"/>
      <c r="X62" s="31"/>
      <c r="Y62" s="31"/>
      <c r="Z62" s="31"/>
      <c r="AA62" s="31"/>
      <c r="AB62" s="31"/>
      <c r="AC62" s="31"/>
      <c r="AD62" s="31"/>
      <c r="AE62" s="31"/>
      <c r="AF62" s="31"/>
      <c r="AG62" s="31"/>
      <c r="AH62" s="31"/>
      <c r="AI62" s="31"/>
    </row>
    <row r="63" spans="1:82" s="15" customFormat="1" ht="14.25" thickBot="1">
      <c r="C63" s="563"/>
      <c r="D63" s="563"/>
      <c r="E63" s="563"/>
      <c r="F63" s="628"/>
      <c r="G63" s="629"/>
      <c r="H63" s="629"/>
      <c r="I63" s="629"/>
      <c r="J63" s="630"/>
      <c r="K63" s="556"/>
      <c r="L63" s="556"/>
      <c r="M63" s="609"/>
      <c r="N63" s="610"/>
      <c r="O63" s="610"/>
      <c r="P63" s="610"/>
      <c r="Q63" s="611"/>
      <c r="S63" s="24"/>
      <c r="T63" s="31"/>
      <c r="U63" s="31"/>
      <c r="V63" s="31"/>
      <c r="W63" s="31"/>
      <c r="X63" s="31"/>
      <c r="Y63" s="31"/>
      <c r="Z63" s="31"/>
      <c r="AA63" s="31"/>
      <c r="AB63" s="31"/>
      <c r="AC63" s="31"/>
      <c r="AD63" s="31"/>
      <c r="AE63" s="31"/>
      <c r="AF63" s="31"/>
    </row>
    <row r="64" spans="1:82" s="15" customFormat="1" ht="13.5">
      <c r="C64" s="556"/>
      <c r="D64" s="556"/>
      <c r="E64" s="558"/>
      <c r="F64" s="24"/>
      <c r="G64" s="556"/>
      <c r="H64" s="556"/>
      <c r="I64" s="556"/>
      <c r="J64" s="24"/>
      <c r="K64" s="556"/>
      <c r="L64" s="556"/>
      <c r="M64" s="556"/>
      <c r="N64" s="549"/>
      <c r="O64" s="24"/>
      <c r="P64" s="31"/>
      <c r="Q64" s="31"/>
      <c r="R64" s="31"/>
      <c r="S64" s="24"/>
      <c r="T64" s="31"/>
      <c r="U64" s="31"/>
      <c r="V64" s="31"/>
      <c r="W64" s="31"/>
      <c r="X64" s="31"/>
      <c r="Y64" s="31"/>
      <c r="Z64" s="31"/>
      <c r="AA64" s="31"/>
      <c r="AB64" s="31"/>
    </row>
    <row r="65" spans="2:82" s="15" customFormat="1" ht="13.5">
      <c r="B65" s="13" t="s">
        <v>451</v>
      </c>
      <c r="C65" s="13"/>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row>
    <row r="66" spans="2:82" s="15" customFormat="1" ht="13.5">
      <c r="B66" s="13" t="s">
        <v>452</v>
      </c>
      <c r="D66" s="31"/>
      <c r="E66" s="31"/>
      <c r="F66" s="31"/>
      <c r="G66" s="31"/>
      <c r="H66" s="31"/>
      <c r="I66" s="31"/>
      <c r="J66" s="31"/>
      <c r="K66" s="31"/>
      <c r="L66" s="31"/>
      <c r="M66" s="31"/>
      <c r="N66" s="31"/>
      <c r="O66" s="31"/>
      <c r="P66" s="31"/>
      <c r="Q66" s="31"/>
      <c r="R66" s="31"/>
      <c r="S66" s="31"/>
      <c r="U66" s="31"/>
      <c r="V66" s="31"/>
      <c r="W66" s="31"/>
      <c r="X66" s="31"/>
      <c r="Y66" s="31"/>
      <c r="Z66" s="31"/>
      <c r="AA66" s="31"/>
      <c r="AB66" s="31"/>
      <c r="AC66" s="31"/>
      <c r="AD66" s="31"/>
      <c r="AE66" s="31"/>
      <c r="AF66" s="31"/>
      <c r="AG66" s="31"/>
      <c r="AH66" s="31"/>
      <c r="AI66" s="31"/>
    </row>
    <row r="67" spans="2:82" s="15" customFormat="1" ht="13.5">
      <c r="B67" s="13" t="s">
        <v>377</v>
      </c>
    </row>
    <row r="68" spans="2:82" s="15" customFormat="1" ht="13.5"/>
    <row r="69" spans="2:82" s="21" customFormat="1" ht="14.25" thickBot="1">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row>
    <row r="70" spans="2:82" s="18" customFormat="1" ht="13.5">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row>
  </sheetData>
  <sheetProtection algorithmName="SHA-512" hashValue="kfRyeYvGC9TSJy8lpq3iokDZ6alJhd5+Qut212ZJfbKOtegn2s7BXcSSBFpr4xpcSuFaLz7Rl8SEQyWai12FNg==" saltValue="nPa3ehWNaeNTzFz2lcTVmw==" spinCount="100000" sheet="1" formatCells="0" formatColumns="0" formatRows="0" insertColumns="0" insertRows="0" insertHyperlinks="0" deleteColumns="0" deleteRows="0" sort="0" autoFilter="0" pivotTables="0"/>
  <mergeCells count="38">
    <mergeCell ref="G41:M42"/>
    <mergeCell ref="C56:Q56"/>
    <mergeCell ref="F62:J63"/>
    <mergeCell ref="M62:Q63"/>
    <mergeCell ref="F58:J58"/>
    <mergeCell ref="F59:J59"/>
    <mergeCell ref="M58:Q59"/>
    <mergeCell ref="W32:Y34"/>
    <mergeCell ref="AA32:AC34"/>
    <mergeCell ref="O33:Q34"/>
    <mergeCell ref="S33:U34"/>
    <mergeCell ref="S41:W42"/>
    <mergeCell ref="C27:AH27"/>
    <mergeCell ref="C29:M29"/>
    <mergeCell ref="O29:U29"/>
    <mergeCell ref="W29:AC29"/>
    <mergeCell ref="AE29:AH29"/>
    <mergeCell ref="C32:E34"/>
    <mergeCell ref="G32:I34"/>
    <mergeCell ref="K32:M34"/>
    <mergeCell ref="O32:Q32"/>
    <mergeCell ref="S32:U32"/>
    <mergeCell ref="W9:Y11"/>
    <mergeCell ref="AA9:AC11"/>
    <mergeCell ref="O10:Q11"/>
    <mergeCell ref="S10:U11"/>
    <mergeCell ref="G17:M18"/>
    <mergeCell ref="S17:W18"/>
    <mergeCell ref="C4:AH4"/>
    <mergeCell ref="W6:AC6"/>
    <mergeCell ref="AE6:AH6"/>
    <mergeCell ref="C6:M6"/>
    <mergeCell ref="O6:U6"/>
    <mergeCell ref="C9:E11"/>
    <mergeCell ref="G9:I11"/>
    <mergeCell ref="K9:M11"/>
    <mergeCell ref="O9:Q9"/>
    <mergeCell ref="S9:U9"/>
  </mergeCells>
  <pageMargins left="0.70866141732283472" right="0.70866141732283472" top="0.74803149606299213" bottom="0.74803149606299213" header="0.31496062992125984" footer="0.31496062992125984"/>
  <pageSetup paperSize="9" orientation="landscape" r:id="rId1"/>
  <headerFooter>
    <oddHeader>&amp;CDistribution</oddHeader>
    <oddFooter>&amp;L&amp;"StopD,Normal"&amp;26MSI &amp;"Arial,Normal"&amp;10Reports
www.msi-reports.com&amp;RMarché de la Robinetterie Sanitaire en France
Octobre 2018</oddFooter>
  </headerFooter>
  <rowBreaks count="2" manualBreakCount="2">
    <brk id="24" max="16383" man="1"/>
    <brk id="5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32"/>
  <sheetViews>
    <sheetView zoomScaleNormal="100" workbookViewId="0"/>
  </sheetViews>
  <sheetFormatPr baseColWidth="10" defaultRowHeight="12.75"/>
  <cols>
    <col min="1" max="1" width="40" customWidth="1"/>
    <col min="2" max="2" width="14.140625" customWidth="1"/>
    <col min="3" max="256" width="9.140625" customWidth="1"/>
  </cols>
  <sheetData>
    <row r="2" spans="1:3" ht="13.5">
      <c r="A2" s="32" t="s">
        <v>376</v>
      </c>
      <c r="B2" s="7" t="s">
        <v>222</v>
      </c>
      <c r="C2" s="15"/>
    </row>
    <row r="3" spans="1:3" ht="14.25" thickBot="1">
      <c r="A3" s="15"/>
      <c r="B3" s="15"/>
      <c r="C3" s="15"/>
    </row>
    <row r="4" spans="1:3" s="185" customFormat="1" ht="13.5" thickBot="1">
      <c r="A4" s="113"/>
      <c r="B4" s="255" t="s">
        <v>89</v>
      </c>
    </row>
    <row r="5" spans="1:3" s="185" customFormat="1" ht="13.5">
      <c r="A5" s="176" t="s">
        <v>5</v>
      </c>
      <c r="B5" s="256" t="s">
        <v>379</v>
      </c>
    </row>
    <row r="6" spans="1:3" s="185" customFormat="1" ht="13.5">
      <c r="A6" s="157" t="s">
        <v>65</v>
      </c>
      <c r="B6" s="257" t="s">
        <v>380</v>
      </c>
    </row>
    <row r="7" spans="1:3" s="185" customFormat="1" ht="13.5">
      <c r="A7" s="157" t="s">
        <v>356</v>
      </c>
      <c r="B7" s="257" t="s">
        <v>381</v>
      </c>
    </row>
    <row r="8" spans="1:3" s="185" customFormat="1" ht="13.5">
      <c r="A8" s="157" t="s">
        <v>64</v>
      </c>
      <c r="B8" s="257" t="s">
        <v>382</v>
      </c>
    </row>
    <row r="9" spans="1:3" s="185" customFormat="1" ht="13.5">
      <c r="A9" s="157" t="s">
        <v>357</v>
      </c>
      <c r="B9" s="257" t="s">
        <v>382</v>
      </c>
    </row>
    <row r="10" spans="1:3" s="185" customFormat="1" ht="13.5">
      <c r="A10" s="157" t="s">
        <v>358</v>
      </c>
      <c r="B10" s="258" t="s">
        <v>382</v>
      </c>
    </row>
    <row r="11" spans="1:3" s="185" customFormat="1" ht="13.5">
      <c r="A11" s="157" t="s">
        <v>173</v>
      </c>
      <c r="B11" s="258" t="s">
        <v>382</v>
      </c>
    </row>
    <row r="12" spans="1:3" s="185" customFormat="1" ht="13.5">
      <c r="A12" s="157" t="s">
        <v>359</v>
      </c>
      <c r="B12" s="258" t="s">
        <v>382</v>
      </c>
    </row>
    <row r="13" spans="1:3" s="185" customFormat="1" ht="13.5">
      <c r="A13" s="157" t="s">
        <v>84</v>
      </c>
      <c r="B13" s="257" t="s">
        <v>383</v>
      </c>
    </row>
    <row r="14" spans="1:3" s="185" customFormat="1" ht="13.5" thickBot="1">
      <c r="A14" s="181" t="s">
        <v>3</v>
      </c>
      <c r="B14" s="519">
        <v>1</v>
      </c>
      <c r="C14" s="382"/>
    </row>
    <row r="15" spans="1:3" ht="13.5">
      <c r="A15" s="5" t="s">
        <v>83</v>
      </c>
      <c r="B15" s="30"/>
      <c r="C15" s="26"/>
    </row>
    <row r="16" spans="1:3" ht="13.5">
      <c r="A16" s="5" t="s">
        <v>360</v>
      </c>
      <c r="B16" s="30"/>
      <c r="C16" s="26"/>
    </row>
    <row r="17" spans="1:3" ht="13.5">
      <c r="A17" s="5" t="s">
        <v>0</v>
      </c>
      <c r="B17" s="30"/>
      <c r="C17" s="26"/>
    </row>
    <row r="18" spans="1:3" ht="13.5">
      <c r="A18" s="5" t="s">
        <v>377</v>
      </c>
      <c r="B18" s="26"/>
      <c r="C18" s="5"/>
    </row>
    <row r="20" spans="1:3" s="34" customFormat="1" ht="13.5" customHeight="1" thickBot="1"/>
    <row r="22" spans="1:3" ht="13.5">
      <c r="A22" s="32" t="s">
        <v>384</v>
      </c>
      <c r="B22" s="7" t="s">
        <v>323</v>
      </c>
      <c r="C22" s="15"/>
    </row>
    <row r="23" spans="1:3" ht="14.25" thickBot="1">
      <c r="A23" s="15"/>
      <c r="B23" s="15"/>
      <c r="C23" s="15"/>
    </row>
    <row r="24" spans="1:3" s="185" customFormat="1" ht="13.5" thickBot="1">
      <c r="A24" s="113"/>
      <c r="B24" s="255" t="s">
        <v>89</v>
      </c>
    </row>
    <row r="25" spans="1:3" s="185" customFormat="1" ht="13.5">
      <c r="A25" s="176" t="s">
        <v>324</v>
      </c>
      <c r="B25" s="256">
        <v>0.55000000000000004</v>
      </c>
    </row>
    <row r="26" spans="1:3" s="185" customFormat="1" ht="13.5">
      <c r="A26" s="157" t="s">
        <v>378</v>
      </c>
      <c r="B26" s="257">
        <v>0.25</v>
      </c>
    </row>
    <row r="27" spans="1:3" s="185" customFormat="1" ht="13.5">
      <c r="A27" s="157" t="s">
        <v>325</v>
      </c>
      <c r="B27" s="257">
        <v>0.2</v>
      </c>
    </row>
    <row r="28" spans="1:3" s="185" customFormat="1" ht="13.5" thickBot="1">
      <c r="A28" s="181" t="s">
        <v>3</v>
      </c>
      <c r="B28" s="259">
        <f>SUM(B25:B27)</f>
        <v>1</v>
      </c>
    </row>
    <row r="29" spans="1:3" ht="13.5">
      <c r="A29" s="5" t="s">
        <v>83</v>
      </c>
      <c r="B29" s="30"/>
      <c r="C29" s="26"/>
    </row>
    <row r="30" spans="1:3" ht="13.5">
      <c r="A30" s="5" t="s">
        <v>377</v>
      </c>
      <c r="B30" s="26"/>
      <c r="C30" s="5"/>
    </row>
    <row r="32" spans="1:3" s="34" customFormat="1" ht="13.5" customHeight="1" thickBot="1"/>
  </sheetData>
  <sheetProtection algorithmName="SHA-512" hashValue="OWfVMysRRrexRhSn9tpMoHFq34pX/ubQKY/ECh/B7rDcPIR31eObN5vUZbOb6MI7qAubs7Z001E3WAr8eopmNQ==" saltValue="5a0wpZHFj46Hbw/GvFmBrQ==" spinCount="100000" sheet="1" formatCells="0" formatColumns="0" formatRows="0" insertColumns="0" insertRows="0" insertHyperlinks="0" deleteColumns="0" deleteRows="0" sort="0" autoFilter="0" pivotTables="0"/>
  <phoneticPr fontId="0" type="noConversion"/>
  <pageMargins left="0.74803149606299213" right="0.74803149606299213" top="0.98425196850393704" bottom="0.98425196850393704" header="0.51181102362204722" footer="0.51181102362204722"/>
  <pageSetup paperSize="9" scale="65" orientation="landscape" r:id="rId1"/>
  <headerFooter alignWithMargins="0">
    <oddHeader>&amp;CParts de Marché</oddHeader>
    <oddFooter>&amp;L&amp;"StopD,Normal"&amp;26MSI&amp;"Arial,Normal"&amp;10 Reports
www.msi-reports.com&amp;RMarché de la Robinetterie Sanitaire en France
Octobre 2018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6"/>
  <sheetViews>
    <sheetView zoomScaleNormal="100" workbookViewId="0"/>
  </sheetViews>
  <sheetFormatPr baseColWidth="10" defaultRowHeight="12.75"/>
  <cols>
    <col min="1" max="1" width="19" customWidth="1"/>
    <col min="2" max="27" width="9.7109375" customWidth="1"/>
    <col min="28" max="256" width="9.140625" customWidth="1"/>
  </cols>
  <sheetData>
    <row r="1" spans="1:20" s="33" customFormat="1" ht="21.75" customHeight="1">
      <c r="A1" s="260" t="s">
        <v>26</v>
      </c>
      <c r="B1" s="261"/>
      <c r="C1" s="261"/>
      <c r="D1" s="261"/>
      <c r="E1" s="261"/>
      <c r="F1" s="261"/>
      <c r="G1" s="261"/>
      <c r="H1" s="261"/>
      <c r="I1" s="261"/>
      <c r="J1" s="261"/>
      <c r="K1" s="261"/>
      <c r="L1" s="261"/>
      <c r="M1" s="261"/>
      <c r="N1" s="261"/>
      <c r="O1" s="261"/>
      <c r="P1" s="261"/>
      <c r="Q1" s="261"/>
      <c r="R1" s="261"/>
      <c r="S1" s="261"/>
      <c r="T1" s="261"/>
    </row>
    <row r="2" spans="1:20" s="14" customFormat="1" ht="13.5" customHeight="1"/>
    <row r="3" spans="1:20" ht="13.5">
      <c r="A3" s="22" t="s">
        <v>362</v>
      </c>
      <c r="B3" s="7" t="s">
        <v>298</v>
      </c>
      <c r="C3" s="14"/>
      <c r="D3" s="14"/>
      <c r="E3" s="14"/>
      <c r="F3" s="14"/>
      <c r="G3" s="14"/>
      <c r="H3" s="14"/>
      <c r="I3" s="14"/>
    </row>
    <row r="4" spans="1:20" ht="14.25" thickBot="1">
      <c r="A4" s="14"/>
      <c r="B4" s="14"/>
      <c r="C4" s="14"/>
      <c r="D4" s="14"/>
      <c r="E4" s="14"/>
      <c r="F4" s="14"/>
      <c r="G4" s="14"/>
      <c r="H4" s="14"/>
      <c r="I4" s="14"/>
    </row>
    <row r="5" spans="1:20" s="185" customFormat="1" ht="14.25" thickBot="1">
      <c r="A5" s="93"/>
      <c r="B5" s="188">
        <v>2003</v>
      </c>
      <c r="C5" s="36">
        <v>2004</v>
      </c>
      <c r="D5" s="2">
        <v>2005</v>
      </c>
      <c r="E5" s="2">
        <v>2006</v>
      </c>
      <c r="F5" s="2">
        <v>2007</v>
      </c>
      <c r="G5" s="2">
        <v>2008</v>
      </c>
      <c r="H5" s="36">
        <v>2009</v>
      </c>
      <c r="I5" s="36">
        <v>2010</v>
      </c>
      <c r="J5" s="36">
        <v>2011</v>
      </c>
      <c r="K5" s="36">
        <v>2012</v>
      </c>
      <c r="L5" s="36">
        <v>2013</v>
      </c>
      <c r="M5" s="2">
        <v>2014</v>
      </c>
      <c r="N5" s="2">
        <v>2015</v>
      </c>
      <c r="O5" s="151" t="s">
        <v>295</v>
      </c>
    </row>
    <row r="6" spans="1:20" s="185" customFormat="1" ht="13.5">
      <c r="A6" s="92" t="s">
        <v>21</v>
      </c>
      <c r="B6" s="85">
        <v>98941</v>
      </c>
      <c r="C6" s="86">
        <v>99020</v>
      </c>
      <c r="D6" s="86">
        <v>89707</v>
      </c>
      <c r="E6" s="232">
        <v>98200</v>
      </c>
      <c r="F6" s="232">
        <v>105100</v>
      </c>
      <c r="G6" s="232">
        <v>105400</v>
      </c>
      <c r="H6" s="232">
        <v>99000</v>
      </c>
      <c r="I6" s="37">
        <v>109852.3</v>
      </c>
      <c r="J6" s="37">
        <v>118607.4</v>
      </c>
      <c r="K6" s="37">
        <v>124120.8</v>
      </c>
      <c r="L6" s="37">
        <v>116219.1</v>
      </c>
      <c r="M6" s="37">
        <v>129279</v>
      </c>
      <c r="N6" s="232" t="s">
        <v>4</v>
      </c>
      <c r="O6" s="38">
        <v>170360.1</v>
      </c>
    </row>
    <row r="7" spans="1:20" s="185" customFormat="1" ht="13.5">
      <c r="A7" s="97" t="s">
        <v>66</v>
      </c>
      <c r="B7" s="76">
        <v>200</v>
      </c>
      <c r="C7" s="66">
        <v>200</v>
      </c>
      <c r="D7" s="66">
        <v>200</v>
      </c>
      <c r="E7" s="40">
        <v>300</v>
      </c>
      <c r="F7" s="40">
        <v>400</v>
      </c>
      <c r="G7" s="40">
        <v>300</v>
      </c>
      <c r="H7" s="40">
        <v>100</v>
      </c>
      <c r="I7" s="39">
        <v>775.4</v>
      </c>
      <c r="J7" s="39">
        <v>935.6</v>
      </c>
      <c r="K7" s="39">
        <v>1125.3</v>
      </c>
      <c r="L7" s="39">
        <v>1595.2</v>
      </c>
      <c r="M7" s="39">
        <v>1513.3</v>
      </c>
      <c r="N7" s="40" t="s">
        <v>4</v>
      </c>
      <c r="O7" s="41">
        <v>1599.4</v>
      </c>
    </row>
    <row r="8" spans="1:20" s="185" customFormat="1" ht="13.5">
      <c r="A8" s="97" t="s">
        <v>22</v>
      </c>
      <c r="B8" s="76">
        <v>4293</v>
      </c>
      <c r="C8" s="66">
        <v>2412</v>
      </c>
      <c r="D8" s="66">
        <v>634</v>
      </c>
      <c r="E8" s="66">
        <v>1100</v>
      </c>
      <c r="F8" s="40">
        <v>2300</v>
      </c>
      <c r="G8" s="39">
        <v>3000</v>
      </c>
      <c r="H8" s="39">
        <v>2400</v>
      </c>
      <c r="I8" s="39">
        <v>1491.1</v>
      </c>
      <c r="J8" s="39">
        <v>1604.7</v>
      </c>
      <c r="K8" s="39">
        <v>1943</v>
      </c>
      <c r="L8" s="39">
        <v>2309.6999999999998</v>
      </c>
      <c r="M8" s="39">
        <v>892.1</v>
      </c>
      <c r="N8" s="40" t="s">
        <v>4</v>
      </c>
      <c r="O8" s="41">
        <v>3676.9</v>
      </c>
    </row>
    <row r="9" spans="1:20" s="185" customFormat="1" ht="14.25" thickBot="1">
      <c r="A9" s="101" t="s">
        <v>20</v>
      </c>
      <c r="B9" s="191">
        <f t="shared" ref="B9:M9" si="0">B8/B6</f>
        <v>4.3389494749396101E-2</v>
      </c>
      <c r="C9" s="192">
        <f t="shared" si="0"/>
        <v>2.4358715411028076E-2</v>
      </c>
      <c r="D9" s="192">
        <f t="shared" si="0"/>
        <v>7.0674529300946412E-3</v>
      </c>
      <c r="E9" s="192">
        <f t="shared" si="0"/>
        <v>1.1201629327902239E-2</v>
      </c>
      <c r="F9" s="192">
        <f t="shared" si="0"/>
        <v>2.1883920076117985E-2</v>
      </c>
      <c r="G9" s="192">
        <f t="shared" si="0"/>
        <v>2.8462998102466792E-2</v>
      </c>
      <c r="H9" s="192">
        <f t="shared" si="0"/>
        <v>2.4242424242424242E-2</v>
      </c>
      <c r="I9" s="192">
        <f t="shared" si="0"/>
        <v>1.3573680296179506E-2</v>
      </c>
      <c r="J9" s="192">
        <f t="shared" si="0"/>
        <v>1.3529509963122032E-2</v>
      </c>
      <c r="K9" s="192">
        <f t="shared" si="0"/>
        <v>1.5654104710894547E-2</v>
      </c>
      <c r="L9" s="192">
        <f t="shared" si="0"/>
        <v>1.9873669646383423E-2</v>
      </c>
      <c r="M9" s="192">
        <f t="shared" si="0"/>
        <v>6.9005793671052529E-3</v>
      </c>
      <c r="N9" s="192" t="s">
        <v>4</v>
      </c>
      <c r="O9" s="193">
        <f>O8/O6</f>
        <v>2.1583105433725384E-2</v>
      </c>
    </row>
    <row r="10" spans="1:20" ht="13.5">
      <c r="A10" s="5" t="s">
        <v>24</v>
      </c>
      <c r="B10" s="35"/>
      <c r="C10" s="35"/>
      <c r="D10" s="35"/>
      <c r="E10" s="35"/>
      <c r="F10" s="35"/>
      <c r="G10" s="35"/>
      <c r="H10" s="35"/>
      <c r="I10" s="26"/>
    </row>
    <row r="11" spans="1:20" ht="13.5">
      <c r="A11" s="5" t="s">
        <v>296</v>
      </c>
      <c r="B11" s="35"/>
      <c r="C11" s="35"/>
      <c r="D11" s="35"/>
      <c r="E11" s="35"/>
      <c r="F11" s="35"/>
      <c r="G11" s="35"/>
      <c r="H11" s="35"/>
      <c r="I11" s="14"/>
      <c r="K11" s="4"/>
    </row>
    <row r="12" spans="1:20" ht="13.5">
      <c r="A12" s="5" t="s">
        <v>297</v>
      </c>
      <c r="B12" s="35"/>
      <c r="C12" s="35"/>
      <c r="D12" s="35"/>
      <c r="E12" s="35"/>
      <c r="F12" s="35"/>
      <c r="G12" s="35"/>
      <c r="H12" s="35"/>
      <c r="I12" s="14"/>
      <c r="K12" s="4"/>
    </row>
    <row r="13" spans="1:20" ht="13.5">
      <c r="A13" s="5" t="s">
        <v>67</v>
      </c>
      <c r="B13" s="35"/>
      <c r="C13" s="35"/>
      <c r="D13" s="35"/>
      <c r="E13" s="35"/>
      <c r="F13" s="35"/>
      <c r="G13" s="35"/>
      <c r="H13" s="35"/>
      <c r="I13" s="14"/>
    </row>
    <row r="14" spans="1:20" ht="14.25">
      <c r="B14" s="3"/>
      <c r="C14" s="3"/>
      <c r="D14" s="3"/>
      <c r="E14" s="3"/>
      <c r="F14" s="3"/>
      <c r="G14" s="3"/>
      <c r="H14" s="3"/>
      <c r="I14" s="3"/>
    </row>
    <row r="15" spans="1:20" s="34" customFormat="1" ht="13.5" customHeight="1" thickBot="1"/>
    <row r="16" spans="1:20" s="18" customFormat="1" ht="13.5">
      <c r="B16" s="14"/>
      <c r="C16" s="14"/>
      <c r="D16" s="14"/>
      <c r="E16" s="14"/>
      <c r="F16" s="14"/>
      <c r="G16" s="14"/>
      <c r="H16" s="14"/>
      <c r="I16" s="14"/>
    </row>
    <row r="17" spans="1:17" s="1" customFormat="1" ht="13.5" customHeight="1">
      <c r="A17" s="22" t="s">
        <v>363</v>
      </c>
      <c r="B17" s="7" t="s">
        <v>299</v>
      </c>
      <c r="C17" s="14"/>
      <c r="D17" s="14"/>
      <c r="E17" s="14"/>
      <c r="F17" s="14"/>
      <c r="G17" s="14"/>
      <c r="H17" s="14"/>
      <c r="I17" s="14"/>
      <c r="J17" s="14"/>
      <c r="K17" s="14"/>
      <c r="L17" s="14"/>
      <c r="M17" s="14"/>
      <c r="N17" s="14"/>
      <c r="O17" s="14"/>
      <c r="P17" s="14"/>
      <c r="Q17" s="14"/>
    </row>
    <row r="18" spans="1:17" s="1" customFormat="1" ht="13.5" customHeight="1" thickBot="1">
      <c r="A18" s="14"/>
      <c r="B18" s="14"/>
      <c r="C18" s="14"/>
      <c r="D18" s="14"/>
      <c r="E18" s="14"/>
      <c r="F18" s="14"/>
      <c r="G18" s="14"/>
      <c r="H18" s="14"/>
      <c r="I18" s="14"/>
      <c r="J18" s="14"/>
      <c r="K18" s="14"/>
      <c r="L18" s="14"/>
      <c r="M18" s="14"/>
      <c r="N18" s="14"/>
      <c r="O18" s="14"/>
      <c r="P18" s="14"/>
      <c r="Q18" s="14"/>
    </row>
    <row r="19" spans="1:17" s="185" customFormat="1" ht="13.5" customHeight="1" thickBot="1">
      <c r="A19" s="93"/>
      <c r="B19" s="188">
        <v>2003</v>
      </c>
      <c r="C19" s="36">
        <v>2004</v>
      </c>
      <c r="D19" s="2">
        <v>2005</v>
      </c>
      <c r="E19" s="2">
        <v>2006</v>
      </c>
      <c r="F19" s="36">
        <v>2007</v>
      </c>
      <c r="G19" s="2">
        <v>2008</v>
      </c>
      <c r="H19" s="36">
        <v>2009</v>
      </c>
      <c r="I19" s="36">
        <v>2010</v>
      </c>
      <c r="J19" s="36">
        <v>2011</v>
      </c>
      <c r="K19" s="36">
        <v>2012</v>
      </c>
      <c r="L19" s="36">
        <v>2013</v>
      </c>
      <c r="M19" s="2">
        <v>2014</v>
      </c>
      <c r="N19" s="2">
        <v>2015</v>
      </c>
      <c r="O19" s="151">
        <v>2016</v>
      </c>
      <c r="P19" s="93"/>
    </row>
    <row r="20" spans="1:17" s="185" customFormat="1" ht="13.5" customHeight="1">
      <c r="A20" s="92" t="s">
        <v>21</v>
      </c>
      <c r="B20" s="65">
        <v>137037</v>
      </c>
      <c r="C20" s="40">
        <v>143075</v>
      </c>
      <c r="D20" s="40">
        <v>151567</v>
      </c>
      <c r="E20" s="40">
        <v>106511</v>
      </c>
      <c r="F20" s="40">
        <v>107174</v>
      </c>
      <c r="G20" s="39">
        <v>101200</v>
      </c>
      <c r="H20" s="39">
        <v>79300</v>
      </c>
      <c r="I20" s="39">
        <v>77884.399999999994</v>
      </c>
      <c r="J20" s="39">
        <v>85657.1</v>
      </c>
      <c r="K20" s="39">
        <v>88394.5</v>
      </c>
      <c r="L20" s="39">
        <v>89717.2</v>
      </c>
      <c r="M20" s="37">
        <v>88427.1</v>
      </c>
      <c r="N20" s="232">
        <v>89717.2</v>
      </c>
      <c r="O20" s="38">
        <v>93198.7</v>
      </c>
      <c r="P20" s="93"/>
    </row>
    <row r="21" spans="1:17" s="185" customFormat="1" ht="13.5" customHeight="1">
      <c r="A21" s="97" t="s">
        <v>66</v>
      </c>
      <c r="B21" s="65" t="s">
        <v>4</v>
      </c>
      <c r="C21" s="40">
        <v>45900</v>
      </c>
      <c r="D21" s="40">
        <v>57100</v>
      </c>
      <c r="E21" s="40">
        <v>10500</v>
      </c>
      <c r="F21" s="40">
        <v>6800</v>
      </c>
      <c r="G21" s="39">
        <v>7500</v>
      </c>
      <c r="H21" s="39">
        <v>4400</v>
      </c>
      <c r="I21" s="39">
        <v>8895.7000000000007</v>
      </c>
      <c r="J21" s="39">
        <v>6631.6</v>
      </c>
      <c r="K21" s="39">
        <v>7272.5</v>
      </c>
      <c r="L21" s="39">
        <v>9596.7999999999993</v>
      </c>
      <c r="M21" s="39">
        <v>8402.1</v>
      </c>
      <c r="N21" s="40">
        <v>9596.7999999999993</v>
      </c>
      <c r="O21" s="41">
        <v>8806.4</v>
      </c>
      <c r="P21" s="93"/>
    </row>
    <row r="22" spans="1:17" s="185" customFormat="1" ht="13.5" customHeight="1">
      <c r="A22" s="97" t="s">
        <v>22</v>
      </c>
      <c r="B22" s="65">
        <v>-8048</v>
      </c>
      <c r="C22" s="40">
        <v>-2555</v>
      </c>
      <c r="D22" s="40">
        <v>5177</v>
      </c>
      <c r="E22" s="40">
        <v>-1872</v>
      </c>
      <c r="F22" s="39">
        <v>800</v>
      </c>
      <c r="G22" s="39">
        <v>6000</v>
      </c>
      <c r="H22" s="39">
        <v>2200</v>
      </c>
      <c r="I22" s="39">
        <v>-1334.5</v>
      </c>
      <c r="J22" s="39">
        <v>251.8</v>
      </c>
      <c r="K22" s="39">
        <v>932</v>
      </c>
      <c r="L22" s="39">
        <v>698.6</v>
      </c>
      <c r="M22" s="39">
        <v>805.3</v>
      </c>
      <c r="N22" s="40">
        <v>698.6</v>
      </c>
      <c r="O22" s="41">
        <v>1237.5</v>
      </c>
      <c r="P22" s="93"/>
    </row>
    <row r="23" spans="1:17" s="185" customFormat="1" ht="13.5" customHeight="1" thickBot="1">
      <c r="A23" s="101" t="s">
        <v>20</v>
      </c>
      <c r="B23" s="105">
        <f t="shared" ref="B23:O23" si="1">B22/B20</f>
        <v>-5.872866452126068E-2</v>
      </c>
      <c r="C23" s="106">
        <f t="shared" si="1"/>
        <v>-1.7857766905469159E-2</v>
      </c>
      <c r="D23" s="106">
        <f t="shared" si="1"/>
        <v>3.4156511641716202E-2</v>
      </c>
      <c r="E23" s="106">
        <f t="shared" si="1"/>
        <v>-1.7575649463435702E-2</v>
      </c>
      <c r="F23" s="106">
        <f t="shared" si="1"/>
        <v>7.4644969862093418E-3</v>
      </c>
      <c r="G23" s="106">
        <f t="shared" si="1"/>
        <v>5.9288537549407112E-2</v>
      </c>
      <c r="H23" s="106">
        <f t="shared" si="1"/>
        <v>2.7742749054224466E-2</v>
      </c>
      <c r="I23" s="106">
        <f t="shared" si="1"/>
        <v>-1.7134368371586609E-2</v>
      </c>
      <c r="J23" s="106">
        <f t="shared" si="1"/>
        <v>2.9396278884062151E-3</v>
      </c>
      <c r="K23" s="106">
        <f t="shared" si="1"/>
        <v>1.0543642421191364E-2</v>
      </c>
      <c r="L23" s="106">
        <f t="shared" si="1"/>
        <v>7.7866897317348293E-3</v>
      </c>
      <c r="M23" s="192">
        <f t="shared" si="1"/>
        <v>9.1069366743905429E-3</v>
      </c>
      <c r="N23" s="192">
        <f t="shared" si="1"/>
        <v>7.7866897317348293E-3</v>
      </c>
      <c r="O23" s="193">
        <f t="shared" si="1"/>
        <v>1.3278082205009298E-2</v>
      </c>
      <c r="P23" s="93"/>
    </row>
    <row r="24" spans="1:17" s="1" customFormat="1" ht="13.5" customHeight="1">
      <c r="A24" s="5" t="s">
        <v>24</v>
      </c>
      <c r="B24" s="5"/>
      <c r="C24" s="5"/>
      <c r="D24" s="5"/>
      <c r="E24" s="5"/>
      <c r="F24" s="5"/>
      <c r="G24" s="5"/>
      <c r="H24" s="5"/>
      <c r="I24" s="26"/>
      <c r="J24" s="14"/>
      <c r="K24" s="14"/>
      <c r="L24" s="14"/>
      <c r="M24" s="14"/>
      <c r="N24" s="14"/>
      <c r="O24" s="14"/>
      <c r="P24" s="14"/>
      <c r="Q24" s="14"/>
    </row>
    <row r="25" spans="1:17" s="1" customFormat="1" ht="13.5" customHeight="1">
      <c r="A25" s="5" t="s">
        <v>23</v>
      </c>
      <c r="B25" s="5"/>
      <c r="C25" s="5"/>
      <c r="D25" s="5"/>
      <c r="E25" s="5"/>
      <c r="F25" s="5"/>
      <c r="G25" s="5"/>
      <c r="H25" s="5"/>
      <c r="I25" s="14"/>
      <c r="J25" s="14"/>
      <c r="K25" s="14"/>
      <c r="L25" s="14"/>
      <c r="M25" s="14"/>
      <c r="N25" s="14"/>
      <c r="O25" s="14"/>
      <c r="P25" s="14"/>
      <c r="Q25" s="14"/>
    </row>
    <row r="26" spans="1:17" s="1" customFormat="1" ht="13.5" customHeight="1">
      <c r="A26" s="5" t="s">
        <v>67</v>
      </c>
      <c r="B26" s="29"/>
      <c r="C26" s="29"/>
      <c r="D26" s="29"/>
      <c r="E26" s="29"/>
      <c r="F26" s="29"/>
      <c r="G26" s="29"/>
      <c r="H26" s="29"/>
      <c r="I26" s="14"/>
      <c r="J26" s="14"/>
      <c r="K26" s="14"/>
      <c r="L26" s="14"/>
      <c r="M26" s="14"/>
      <c r="N26" s="14"/>
      <c r="O26" s="14"/>
      <c r="P26" s="14"/>
      <c r="Q26" s="14"/>
    </row>
    <row r="27" spans="1:17" s="1" customFormat="1" ht="13.5" customHeight="1">
      <c r="A27" s="5"/>
      <c r="B27" s="5"/>
      <c r="C27" s="5"/>
      <c r="D27" s="5"/>
      <c r="E27" s="5"/>
      <c r="F27" s="5"/>
      <c r="G27" s="14"/>
      <c r="H27" s="14"/>
      <c r="I27" s="14"/>
      <c r="J27" s="14"/>
      <c r="K27" s="14"/>
      <c r="L27" s="14"/>
      <c r="M27" s="14"/>
      <c r="N27" s="14"/>
      <c r="O27" s="14"/>
      <c r="P27" s="14"/>
      <c r="Q27" s="14"/>
    </row>
    <row r="28" spans="1:17" s="34" customFormat="1" ht="13.5" customHeight="1" thickBot="1"/>
    <row r="29" spans="1:17" s="14" customFormat="1" ht="13.5" customHeight="1"/>
    <row r="30" spans="1:17" s="1" customFormat="1" ht="13.5" customHeight="1">
      <c r="A30" s="22" t="s">
        <v>364</v>
      </c>
      <c r="B30" s="7" t="s">
        <v>300</v>
      </c>
      <c r="C30" s="14"/>
      <c r="D30" s="14"/>
      <c r="E30" s="14"/>
      <c r="F30" s="14"/>
      <c r="G30" s="14"/>
      <c r="H30" s="14"/>
      <c r="I30" s="14"/>
      <c r="J30" s="14"/>
      <c r="K30" s="14"/>
      <c r="L30" s="14"/>
      <c r="M30" s="14"/>
      <c r="N30" s="14"/>
      <c r="O30" s="14"/>
      <c r="P30" s="14"/>
      <c r="Q30" s="14"/>
    </row>
    <row r="31" spans="1:17" s="1" customFormat="1" ht="13.5" customHeight="1" thickBot="1">
      <c r="A31" s="14"/>
      <c r="B31" s="14"/>
      <c r="C31" s="14"/>
      <c r="D31" s="14"/>
      <c r="E31" s="14"/>
      <c r="F31" s="14"/>
      <c r="G31" s="14"/>
      <c r="H31" s="14"/>
      <c r="I31" s="14"/>
      <c r="J31" s="14"/>
      <c r="K31" s="14"/>
      <c r="L31" s="14"/>
      <c r="M31" s="14"/>
      <c r="N31" s="14"/>
      <c r="O31" s="14"/>
      <c r="P31" s="14"/>
      <c r="Q31" s="14"/>
    </row>
    <row r="32" spans="1:17" s="185" customFormat="1" ht="13.5" customHeight="1" thickBot="1">
      <c r="A32" s="93"/>
      <c r="B32" s="188">
        <v>2003</v>
      </c>
      <c r="C32" s="36">
        <v>2004</v>
      </c>
      <c r="D32" s="2">
        <v>2005</v>
      </c>
      <c r="E32" s="2">
        <v>2006</v>
      </c>
      <c r="F32" s="2">
        <v>2007</v>
      </c>
      <c r="G32" s="2">
        <v>2008</v>
      </c>
      <c r="H32" s="36">
        <v>2009</v>
      </c>
      <c r="I32" s="36">
        <v>2010</v>
      </c>
      <c r="J32" s="36">
        <v>2011</v>
      </c>
      <c r="K32" s="36">
        <v>2012</v>
      </c>
      <c r="L32" s="36">
        <v>2013</v>
      </c>
      <c r="M32" s="2">
        <v>2014</v>
      </c>
      <c r="N32" s="2">
        <v>2015</v>
      </c>
      <c r="O32" s="151">
        <v>2016</v>
      </c>
      <c r="P32" s="93"/>
    </row>
    <row r="33" spans="1:17" s="185" customFormat="1" ht="13.5" customHeight="1">
      <c r="A33" s="92" t="s">
        <v>21</v>
      </c>
      <c r="B33" s="85">
        <v>140895</v>
      </c>
      <c r="C33" s="86">
        <v>138827</v>
      </c>
      <c r="D33" s="86">
        <v>131787</v>
      </c>
      <c r="E33" s="86">
        <v>142586</v>
      </c>
      <c r="F33" s="232" t="s">
        <v>4</v>
      </c>
      <c r="G33" s="37">
        <v>148500</v>
      </c>
      <c r="H33" s="37">
        <v>128000</v>
      </c>
      <c r="I33" s="37">
        <v>134722.29999999999</v>
      </c>
      <c r="J33" s="37">
        <v>146880.70000000001</v>
      </c>
      <c r="K33" s="37">
        <v>163382.20000000001</v>
      </c>
      <c r="L33" s="37">
        <v>155841.9</v>
      </c>
      <c r="M33" s="37">
        <v>156317.70000000001</v>
      </c>
      <c r="N33" s="232">
        <v>155892.9</v>
      </c>
      <c r="O33" s="38">
        <v>156670.6</v>
      </c>
      <c r="P33" s="93"/>
    </row>
    <row r="34" spans="1:17" s="185" customFormat="1" ht="13.5" customHeight="1">
      <c r="A34" s="97" t="s">
        <v>66</v>
      </c>
      <c r="B34" s="76" t="s">
        <v>4</v>
      </c>
      <c r="C34" s="66">
        <v>0</v>
      </c>
      <c r="D34" s="66">
        <v>47400</v>
      </c>
      <c r="E34" s="66">
        <v>0</v>
      </c>
      <c r="F34" s="40" t="s">
        <v>4</v>
      </c>
      <c r="G34" s="39">
        <v>64100</v>
      </c>
      <c r="H34" s="39">
        <v>0</v>
      </c>
      <c r="I34" s="39">
        <v>0</v>
      </c>
      <c r="J34" s="39">
        <v>0</v>
      </c>
      <c r="K34" s="39">
        <v>0</v>
      </c>
      <c r="L34" s="39">
        <v>0</v>
      </c>
      <c r="M34" s="39">
        <v>60466.2</v>
      </c>
      <c r="N34" s="40">
        <v>63497.2</v>
      </c>
      <c r="O34" s="41">
        <v>47727.199999999997</v>
      </c>
      <c r="P34" s="93"/>
    </row>
    <row r="35" spans="1:17" s="185" customFormat="1" ht="13.5" customHeight="1">
      <c r="A35" s="97" t="s">
        <v>22</v>
      </c>
      <c r="B35" s="76">
        <v>-5932</v>
      </c>
      <c r="C35" s="66">
        <v>-11101</v>
      </c>
      <c r="D35" s="66">
        <v>-22467</v>
      </c>
      <c r="E35" s="66">
        <v>-30775</v>
      </c>
      <c r="F35" s="40" t="s">
        <v>4</v>
      </c>
      <c r="G35" s="39">
        <v>-25200</v>
      </c>
      <c r="H35" s="39">
        <v>-28200</v>
      </c>
      <c r="I35" s="39">
        <v>-45984</v>
      </c>
      <c r="J35" s="39">
        <v>42540.9</v>
      </c>
      <c r="K35" s="39">
        <v>-9741.4</v>
      </c>
      <c r="L35" s="39">
        <v>-11865.2</v>
      </c>
      <c r="M35" s="39">
        <v>-9666.2999999999993</v>
      </c>
      <c r="N35" s="40">
        <v>-11665.3</v>
      </c>
      <c r="O35" s="41">
        <v>-9447</v>
      </c>
      <c r="P35" s="93"/>
    </row>
    <row r="36" spans="1:17" s="185" customFormat="1" ht="13.5" customHeight="1" thickBot="1">
      <c r="A36" s="101" t="s">
        <v>20</v>
      </c>
      <c r="B36" s="191">
        <f>B35/B33</f>
        <v>-4.2102274743603389E-2</v>
      </c>
      <c r="C36" s="192">
        <f t="shared" ref="C36:O36" si="2">C35/C33</f>
        <v>-7.9962831437688633E-2</v>
      </c>
      <c r="D36" s="192">
        <f t="shared" si="2"/>
        <v>-0.17047963759703158</v>
      </c>
      <c r="E36" s="192">
        <f t="shared" si="2"/>
        <v>-0.21583465417362152</v>
      </c>
      <c r="F36" s="192" t="s">
        <v>4</v>
      </c>
      <c r="G36" s="192">
        <f t="shared" si="2"/>
        <v>-0.16969696969696971</v>
      </c>
      <c r="H36" s="192">
        <f t="shared" si="2"/>
        <v>-0.22031249999999999</v>
      </c>
      <c r="I36" s="192">
        <f t="shared" si="2"/>
        <v>-0.34132433902924758</v>
      </c>
      <c r="J36" s="106">
        <f t="shared" si="2"/>
        <v>0.28962893014534924</v>
      </c>
      <c r="K36" s="106">
        <f t="shared" si="2"/>
        <v>-5.9623386146104039E-2</v>
      </c>
      <c r="L36" s="106">
        <f t="shared" si="2"/>
        <v>-7.6136135403893315E-2</v>
      </c>
      <c r="M36" s="192">
        <f t="shared" si="2"/>
        <v>-6.1837527036285707E-2</v>
      </c>
      <c r="N36" s="192">
        <f t="shared" si="2"/>
        <v>-7.4828937045882143E-2</v>
      </c>
      <c r="O36" s="193">
        <f t="shared" si="2"/>
        <v>-6.029848612311435E-2</v>
      </c>
      <c r="P36" s="93"/>
    </row>
    <row r="37" spans="1:17" s="1" customFormat="1" ht="13.5" customHeight="1">
      <c r="A37" s="5" t="s">
        <v>24</v>
      </c>
      <c r="B37" s="35"/>
      <c r="C37" s="35"/>
      <c r="D37" s="35"/>
      <c r="E37" s="35"/>
      <c r="F37" s="35"/>
      <c r="G37" s="35"/>
      <c r="H37" s="35"/>
      <c r="I37" s="26"/>
      <c r="J37" s="14"/>
      <c r="K37" s="14"/>
      <c r="L37" s="14"/>
      <c r="M37" s="14"/>
      <c r="N37" s="14"/>
      <c r="O37" s="14"/>
      <c r="P37" s="14"/>
    </row>
    <row r="38" spans="1:17" s="1" customFormat="1" ht="13.5" customHeight="1">
      <c r="A38" s="5" t="s">
        <v>23</v>
      </c>
      <c r="B38" s="35"/>
      <c r="C38" s="35"/>
      <c r="D38" s="35"/>
      <c r="E38" s="35"/>
      <c r="F38" s="35"/>
      <c r="G38" s="35"/>
      <c r="H38" s="35"/>
      <c r="I38" s="14"/>
      <c r="J38" s="14"/>
      <c r="K38" s="14"/>
      <c r="L38" s="14"/>
      <c r="M38" s="14"/>
      <c r="N38" s="14"/>
      <c r="O38" s="14"/>
      <c r="P38" s="14"/>
      <c r="Q38" s="14"/>
    </row>
    <row r="39" spans="1:17" s="1" customFormat="1" ht="13.5" customHeight="1">
      <c r="A39" s="5" t="s">
        <v>67</v>
      </c>
      <c r="B39" s="35"/>
      <c r="C39" s="35"/>
      <c r="D39" s="35"/>
      <c r="E39" s="35"/>
      <c r="F39" s="35"/>
      <c r="G39" s="35"/>
      <c r="H39" s="35"/>
      <c r="I39" s="14"/>
      <c r="J39" s="14"/>
      <c r="K39" s="14"/>
      <c r="L39" s="14"/>
      <c r="M39" s="14"/>
      <c r="N39" s="14"/>
      <c r="O39" s="14"/>
      <c r="P39" s="14"/>
      <c r="Q39" s="14"/>
    </row>
    <row r="40" spans="1:17" s="1" customFormat="1" ht="13.5" customHeight="1">
      <c r="A40" s="5"/>
      <c r="B40" s="35"/>
      <c r="C40" s="35"/>
      <c r="D40" s="35"/>
      <c r="E40" s="35"/>
      <c r="F40" s="35"/>
      <c r="G40" s="35"/>
      <c r="H40" s="35"/>
      <c r="I40" s="14"/>
      <c r="J40" s="14"/>
      <c r="K40" s="14"/>
      <c r="L40" s="14"/>
      <c r="M40" s="14"/>
      <c r="N40" s="14"/>
      <c r="O40" s="14"/>
      <c r="P40" s="14"/>
      <c r="Q40" s="14"/>
    </row>
    <row r="41" spans="1:17" s="34" customFormat="1" ht="13.5" customHeight="1" thickBot="1"/>
    <row r="42" spans="1:17" s="18" customFormat="1" ht="13.5">
      <c r="B42" s="14"/>
      <c r="C42" s="14"/>
      <c r="D42" s="14"/>
      <c r="E42" s="14"/>
      <c r="F42" s="14"/>
      <c r="G42" s="14"/>
      <c r="H42" s="14"/>
      <c r="I42" s="14"/>
    </row>
    <row r="43" spans="1:17" s="18" customFormat="1" ht="13.5">
      <c r="A43" s="22" t="s">
        <v>365</v>
      </c>
      <c r="B43" s="7" t="s">
        <v>301</v>
      </c>
      <c r="C43" s="14"/>
      <c r="D43" s="14"/>
      <c r="E43" s="14"/>
      <c r="F43" s="14"/>
      <c r="G43" s="14"/>
      <c r="H43" s="14"/>
      <c r="I43" s="14"/>
    </row>
    <row r="44" spans="1:17" s="18" customFormat="1" ht="14.25" thickBot="1">
      <c r="A44" s="14"/>
      <c r="B44" s="14"/>
      <c r="C44" s="14"/>
      <c r="D44" s="14"/>
      <c r="E44" s="14"/>
      <c r="F44" s="14"/>
      <c r="G44" s="14"/>
      <c r="H44" s="14"/>
      <c r="I44" s="14"/>
    </row>
    <row r="45" spans="1:17" s="130" customFormat="1" ht="14.25" thickBot="1">
      <c r="A45" s="93"/>
      <c r="B45" s="188">
        <v>2003</v>
      </c>
      <c r="C45" s="36">
        <v>2004</v>
      </c>
      <c r="D45" s="2">
        <v>2005</v>
      </c>
      <c r="E45" s="2">
        <v>2006</v>
      </c>
      <c r="F45" s="2">
        <v>2007</v>
      </c>
      <c r="G45" s="2">
        <v>2008</v>
      </c>
      <c r="H45" s="36">
        <v>2009</v>
      </c>
      <c r="I45" s="36">
        <v>2010</v>
      </c>
      <c r="J45" s="36">
        <v>2011</v>
      </c>
      <c r="K45" s="36">
        <v>2012</v>
      </c>
      <c r="L45" s="36">
        <v>2013</v>
      </c>
      <c r="M45" s="2">
        <v>2014</v>
      </c>
      <c r="N45" s="2">
        <v>2015</v>
      </c>
      <c r="O45" s="151">
        <v>2016</v>
      </c>
    </row>
    <row r="46" spans="1:17" s="130" customFormat="1" ht="13.5">
      <c r="A46" s="92" t="s">
        <v>21</v>
      </c>
      <c r="B46" s="85">
        <v>54105</v>
      </c>
      <c r="C46" s="86">
        <v>60833</v>
      </c>
      <c r="D46" s="86">
        <v>56605</v>
      </c>
      <c r="E46" s="86">
        <v>58418</v>
      </c>
      <c r="F46" s="232">
        <v>57794</v>
      </c>
      <c r="G46" s="37">
        <v>60967</v>
      </c>
      <c r="H46" s="37">
        <v>54920</v>
      </c>
      <c r="I46" s="37">
        <v>49475</v>
      </c>
      <c r="J46" s="37">
        <v>47573.3</v>
      </c>
      <c r="K46" s="37">
        <v>49746.400000000001</v>
      </c>
      <c r="L46" s="37">
        <v>49698</v>
      </c>
      <c r="M46" s="37">
        <v>48234.1</v>
      </c>
      <c r="N46" s="232">
        <v>44503.3</v>
      </c>
      <c r="O46" s="38">
        <v>46866.8</v>
      </c>
    </row>
    <row r="47" spans="1:17" s="130" customFormat="1" ht="13.5">
      <c r="A47" s="97" t="s">
        <v>66</v>
      </c>
      <c r="B47" s="76" t="s">
        <v>4</v>
      </c>
      <c r="C47" s="66">
        <v>5350</v>
      </c>
      <c r="D47" s="66">
        <v>5030</v>
      </c>
      <c r="E47" s="66">
        <v>4480</v>
      </c>
      <c r="F47" s="40">
        <v>4020</v>
      </c>
      <c r="G47" s="39">
        <v>3400</v>
      </c>
      <c r="H47" s="39">
        <v>3170</v>
      </c>
      <c r="I47" s="39">
        <v>2690.9</v>
      </c>
      <c r="J47" s="39">
        <v>0</v>
      </c>
      <c r="K47" s="39">
        <v>2649.3</v>
      </c>
      <c r="L47" s="39">
        <v>2786.8</v>
      </c>
      <c r="M47" s="39">
        <v>2464.1999999999998</v>
      </c>
      <c r="N47" s="40">
        <v>2608.6999999999998</v>
      </c>
      <c r="O47" s="41">
        <v>2405.1999999999998</v>
      </c>
    </row>
    <row r="48" spans="1:17" s="130" customFormat="1" ht="13.5">
      <c r="A48" s="97" t="s">
        <v>22</v>
      </c>
      <c r="B48" s="76">
        <v>-624</v>
      </c>
      <c r="C48" s="66">
        <v>349</v>
      </c>
      <c r="D48" s="66">
        <v>807</v>
      </c>
      <c r="E48" s="66">
        <v>-392</v>
      </c>
      <c r="F48" s="40">
        <v>-1125</v>
      </c>
      <c r="G48" s="39">
        <v>-407</v>
      </c>
      <c r="H48" s="39">
        <v>-1380</v>
      </c>
      <c r="I48" s="39">
        <v>-8315.7000000000007</v>
      </c>
      <c r="J48" s="39">
        <v>-730.9</v>
      </c>
      <c r="K48" s="39">
        <v>-1864.7</v>
      </c>
      <c r="L48" s="39">
        <v>-955.6</v>
      </c>
      <c r="M48" s="39">
        <v>-2023.9</v>
      </c>
      <c r="N48" s="40">
        <v>-2405.1999999999998</v>
      </c>
      <c r="O48" s="41">
        <v>-946.7</v>
      </c>
    </row>
    <row r="49" spans="1:20" s="130" customFormat="1" ht="14.25" thickBot="1">
      <c r="A49" s="101" t="s">
        <v>20</v>
      </c>
      <c r="B49" s="191">
        <f t="shared" ref="B49:O49" si="3">B48/B46</f>
        <v>-1.1533130024951483E-2</v>
      </c>
      <c r="C49" s="192">
        <f t="shared" si="3"/>
        <v>5.7370177370834911E-3</v>
      </c>
      <c r="D49" s="192">
        <f t="shared" si="3"/>
        <v>1.4256691105026057E-2</v>
      </c>
      <c r="E49" s="192">
        <f t="shared" si="3"/>
        <v>-6.7102605361361225E-3</v>
      </c>
      <c r="F49" s="192">
        <f t="shared" si="3"/>
        <v>-1.9465688479772987E-2</v>
      </c>
      <c r="G49" s="192">
        <f t="shared" si="3"/>
        <v>-6.6757426148572182E-3</v>
      </c>
      <c r="H49" s="192">
        <f t="shared" si="3"/>
        <v>-2.5127458120903133E-2</v>
      </c>
      <c r="I49" s="192">
        <f t="shared" si="3"/>
        <v>-0.16807882769075291</v>
      </c>
      <c r="J49" s="106">
        <f t="shared" si="3"/>
        <v>-1.536365986803522E-2</v>
      </c>
      <c r="K49" s="106">
        <f>K48/K46</f>
        <v>-3.7484119453870028E-2</v>
      </c>
      <c r="L49" s="106">
        <f t="shared" si="3"/>
        <v>-1.9228137953237554E-2</v>
      </c>
      <c r="M49" s="192">
        <f t="shared" si="3"/>
        <v>-4.1959941203422481E-2</v>
      </c>
      <c r="N49" s="192">
        <f t="shared" si="3"/>
        <v>-5.404543033887374E-2</v>
      </c>
      <c r="O49" s="193">
        <f t="shared" si="3"/>
        <v>-2.0199800285063199E-2</v>
      </c>
    </row>
    <row r="50" spans="1:20" s="18" customFormat="1" ht="13.5">
      <c r="A50" s="5" t="s">
        <v>24</v>
      </c>
      <c r="B50" s="35"/>
      <c r="C50" s="35"/>
      <c r="D50" s="35"/>
      <c r="E50" s="35"/>
      <c r="F50" s="35"/>
      <c r="G50" s="35"/>
      <c r="H50" s="35"/>
      <c r="I50" s="26"/>
    </row>
    <row r="51" spans="1:20" s="18" customFormat="1" ht="13.5">
      <c r="A51" s="5" t="s">
        <v>23</v>
      </c>
      <c r="B51" s="35"/>
      <c r="C51" s="35"/>
      <c r="D51" s="35"/>
      <c r="E51" s="35"/>
      <c r="F51" s="35"/>
      <c r="G51" s="35"/>
      <c r="H51" s="35"/>
      <c r="I51" s="14"/>
    </row>
    <row r="52" spans="1:20" s="18" customFormat="1" ht="13.5">
      <c r="A52" s="5" t="s">
        <v>67</v>
      </c>
      <c r="B52" s="35"/>
      <c r="C52" s="35"/>
      <c r="D52" s="35"/>
      <c r="E52" s="35"/>
      <c r="F52" s="35"/>
      <c r="G52" s="35"/>
      <c r="H52" s="35"/>
      <c r="I52" s="14"/>
    </row>
    <row r="53" spans="1:20" ht="14.25">
      <c r="B53" s="3"/>
      <c r="C53" s="3"/>
      <c r="D53" s="3"/>
      <c r="E53" s="3"/>
      <c r="F53" s="3"/>
      <c r="G53" s="3"/>
      <c r="H53" s="3"/>
      <c r="I53" s="3"/>
    </row>
    <row r="54" spans="1:20" ht="14.25">
      <c r="B54" s="3"/>
      <c r="C54" s="3"/>
      <c r="D54" s="3"/>
      <c r="E54" s="3"/>
      <c r="F54" s="3"/>
      <c r="G54" s="3"/>
      <c r="H54" s="3"/>
      <c r="I54" s="3"/>
    </row>
    <row r="55" spans="1:20" s="33" customFormat="1" ht="21.75" customHeight="1">
      <c r="A55" s="260" t="s">
        <v>174</v>
      </c>
      <c r="B55" s="261"/>
      <c r="C55" s="261"/>
      <c r="D55" s="261"/>
      <c r="E55" s="261"/>
      <c r="F55" s="261"/>
      <c r="G55" s="261"/>
      <c r="H55" s="261"/>
      <c r="I55" s="261"/>
      <c r="J55" s="261"/>
      <c r="K55" s="261"/>
      <c r="L55" s="261"/>
      <c r="M55" s="261"/>
      <c r="N55" s="261"/>
      <c r="O55" s="261"/>
      <c r="P55" s="261"/>
      <c r="Q55" s="261"/>
      <c r="R55" s="261"/>
      <c r="S55" s="261"/>
      <c r="T55" s="261"/>
    </row>
    <row r="56" spans="1:20" s="14" customFormat="1" ht="13.5" customHeight="1"/>
    <row r="57" spans="1:20" ht="13.5">
      <c r="A57" s="22" t="s">
        <v>367</v>
      </c>
      <c r="B57" s="7" t="s">
        <v>366</v>
      </c>
      <c r="C57" s="14"/>
      <c r="D57" s="14"/>
      <c r="E57" s="14"/>
      <c r="F57" s="14"/>
      <c r="G57" s="14"/>
      <c r="H57" s="14"/>
      <c r="I57" s="14"/>
    </row>
    <row r="58" spans="1:20" ht="14.25" thickBot="1">
      <c r="A58" s="14"/>
      <c r="B58" s="14"/>
      <c r="C58" s="14"/>
      <c r="D58" s="14"/>
      <c r="E58" s="14"/>
      <c r="F58" s="14"/>
      <c r="G58" s="14"/>
      <c r="H58" s="14"/>
      <c r="I58" s="14"/>
    </row>
    <row r="59" spans="1:20" s="185" customFormat="1" ht="14.25" thickBot="1">
      <c r="A59" s="93"/>
      <c r="B59" s="188">
        <v>2004</v>
      </c>
      <c r="C59" s="2">
        <v>2005</v>
      </c>
      <c r="D59" s="2">
        <v>2006</v>
      </c>
      <c r="E59" s="2">
        <v>2007</v>
      </c>
      <c r="F59" s="2">
        <v>2008</v>
      </c>
      <c r="G59" s="36">
        <v>2009</v>
      </c>
      <c r="H59" s="36">
        <v>2010</v>
      </c>
      <c r="I59" s="36">
        <v>2011</v>
      </c>
      <c r="J59" s="36">
        <v>2012</v>
      </c>
      <c r="K59" s="36">
        <v>2013</v>
      </c>
      <c r="L59" s="2">
        <v>2014</v>
      </c>
      <c r="M59" s="2">
        <v>2015</v>
      </c>
      <c r="N59" s="2">
        <v>2016</v>
      </c>
      <c r="O59" s="151">
        <v>2017</v>
      </c>
    </row>
    <row r="60" spans="1:20" s="185" customFormat="1" ht="13.5">
      <c r="A60" s="92" t="s">
        <v>21</v>
      </c>
      <c r="B60" s="76">
        <v>35490</v>
      </c>
      <c r="C60" s="66">
        <v>38370</v>
      </c>
      <c r="D60" s="40">
        <v>42990</v>
      </c>
      <c r="E60" s="40">
        <v>59710</v>
      </c>
      <c r="F60" s="40">
        <v>76900</v>
      </c>
      <c r="G60" s="40">
        <v>74100</v>
      </c>
      <c r="H60" s="39">
        <v>77571.399999999994</v>
      </c>
      <c r="I60" s="39">
        <v>80912.3</v>
      </c>
      <c r="J60" s="39">
        <v>79865.5</v>
      </c>
      <c r="K60" s="39">
        <v>69349.3</v>
      </c>
      <c r="L60" s="39">
        <v>69807.899999999994</v>
      </c>
      <c r="M60" s="40">
        <v>68566</v>
      </c>
      <c r="N60" s="39">
        <v>68527.600000000006</v>
      </c>
      <c r="O60" s="41">
        <v>68085</v>
      </c>
    </row>
    <row r="61" spans="1:20" s="185" customFormat="1" ht="13.5">
      <c r="A61" s="97" t="s">
        <v>66</v>
      </c>
      <c r="B61" s="76">
        <v>1060</v>
      </c>
      <c r="C61" s="66">
        <v>960</v>
      </c>
      <c r="D61" s="40">
        <v>1540</v>
      </c>
      <c r="E61" s="40">
        <v>2800</v>
      </c>
      <c r="F61" s="40">
        <v>3300</v>
      </c>
      <c r="G61" s="40">
        <v>3100</v>
      </c>
      <c r="H61" s="39">
        <v>3280.2</v>
      </c>
      <c r="I61" s="39">
        <v>3609.7</v>
      </c>
      <c r="J61" s="39">
        <v>3775.7</v>
      </c>
      <c r="K61" s="39">
        <v>3581.7</v>
      </c>
      <c r="L61" s="39">
        <v>3369.7</v>
      </c>
      <c r="M61" s="40">
        <v>3421.1</v>
      </c>
      <c r="N61" s="39">
        <v>3583.5</v>
      </c>
      <c r="O61" s="41">
        <v>3701</v>
      </c>
    </row>
    <row r="62" spans="1:20" s="185" customFormat="1" ht="13.5">
      <c r="A62" s="97" t="s">
        <v>22</v>
      </c>
      <c r="B62" s="76">
        <v>3060</v>
      </c>
      <c r="C62" s="66">
        <v>3390</v>
      </c>
      <c r="D62" s="66">
        <v>4610</v>
      </c>
      <c r="E62" s="40">
        <v>2220</v>
      </c>
      <c r="F62" s="39">
        <v>3900</v>
      </c>
      <c r="G62" s="39">
        <v>3500</v>
      </c>
      <c r="H62" s="39">
        <v>3107.4</v>
      </c>
      <c r="I62" s="39">
        <v>2092.3000000000002</v>
      </c>
      <c r="J62" s="39">
        <v>580.4</v>
      </c>
      <c r="K62" s="39">
        <v>-4523</v>
      </c>
      <c r="L62" s="39">
        <v>-3384</v>
      </c>
      <c r="M62" s="40">
        <v>-3731.1</v>
      </c>
      <c r="N62" s="39">
        <v>-2371.3000000000002</v>
      </c>
      <c r="O62" s="41">
        <v>835</v>
      </c>
    </row>
    <row r="63" spans="1:20" s="185" customFormat="1" ht="14.25" thickBot="1">
      <c r="A63" s="101" t="s">
        <v>20</v>
      </c>
      <c r="B63" s="191">
        <f t="shared" ref="B63:M63" si="4">B62/B60</f>
        <v>8.6221470836855454E-2</v>
      </c>
      <c r="C63" s="192">
        <f t="shared" si="4"/>
        <v>8.835027365129007E-2</v>
      </c>
      <c r="D63" s="192">
        <f t="shared" si="4"/>
        <v>0.1072342405210514</v>
      </c>
      <c r="E63" s="192">
        <f t="shared" si="4"/>
        <v>3.7179701892480321E-2</v>
      </c>
      <c r="F63" s="192">
        <f t="shared" si="4"/>
        <v>5.071521456436931E-2</v>
      </c>
      <c r="G63" s="192">
        <f t="shared" si="4"/>
        <v>4.7233468286099867E-2</v>
      </c>
      <c r="H63" s="192">
        <f t="shared" si="4"/>
        <v>4.0058578290452417E-2</v>
      </c>
      <c r="I63" s="192">
        <f t="shared" si="4"/>
        <v>2.585886200243968E-2</v>
      </c>
      <c r="J63" s="192">
        <f t="shared" si="4"/>
        <v>7.2672180102797829E-3</v>
      </c>
      <c r="K63" s="192">
        <f t="shared" si="4"/>
        <v>-6.5220557381256913E-2</v>
      </c>
      <c r="L63" s="192">
        <f t="shared" si="4"/>
        <v>-4.8475888832066286E-2</v>
      </c>
      <c r="M63" s="192">
        <f t="shared" si="4"/>
        <v>-5.4416182947816701E-2</v>
      </c>
      <c r="N63" s="192">
        <f>N62/N60</f>
        <v>-3.4603575785522915E-2</v>
      </c>
      <c r="O63" s="193">
        <f>O62/O60</f>
        <v>1.2264081662627598E-2</v>
      </c>
    </row>
    <row r="64" spans="1:20" ht="13.5">
      <c r="A64" s="5" t="s">
        <v>24</v>
      </c>
      <c r="B64" s="35"/>
      <c r="C64" s="35"/>
      <c r="D64" s="35"/>
      <c r="E64" s="35"/>
      <c r="F64" s="35"/>
      <c r="G64" s="35"/>
      <c r="H64" s="35"/>
      <c r="I64" s="26"/>
    </row>
    <row r="65" spans="1:15" ht="13.5">
      <c r="A65" s="5" t="s">
        <v>68</v>
      </c>
      <c r="B65" s="35"/>
      <c r="C65" s="35"/>
      <c r="D65" s="35"/>
      <c r="E65" s="35"/>
      <c r="F65" s="35"/>
      <c r="G65" s="35"/>
      <c r="H65" s="35"/>
      <c r="I65" s="14"/>
      <c r="K65" s="4"/>
    </row>
    <row r="66" spans="1:15" ht="13.5">
      <c r="A66" s="5" t="s">
        <v>67</v>
      </c>
      <c r="B66" s="35"/>
      <c r="C66" s="35"/>
      <c r="D66" s="35"/>
      <c r="E66" s="35"/>
      <c r="F66" s="35"/>
      <c r="G66" s="35"/>
      <c r="H66" s="35"/>
      <c r="I66" s="14"/>
    </row>
    <row r="67" spans="1:15" ht="14.25">
      <c r="B67" s="3"/>
      <c r="C67" s="3"/>
      <c r="D67" s="3"/>
      <c r="E67" s="3"/>
      <c r="F67" s="3"/>
      <c r="G67" s="3"/>
      <c r="H67" s="3"/>
      <c r="I67" s="3"/>
    </row>
    <row r="68" spans="1:15" s="34" customFormat="1" ht="13.5" customHeight="1" thickBot="1"/>
    <row r="69" spans="1:15" ht="14.25">
      <c r="B69" s="3"/>
      <c r="C69" s="3"/>
      <c r="D69" s="3"/>
      <c r="E69" s="3"/>
      <c r="F69" s="3"/>
      <c r="G69" s="3"/>
      <c r="H69" s="3"/>
      <c r="I69" s="3"/>
    </row>
    <row r="70" spans="1:15" ht="13.5">
      <c r="A70" s="22" t="s">
        <v>370</v>
      </c>
      <c r="B70" s="7" t="s">
        <v>302</v>
      </c>
      <c r="C70" s="14"/>
      <c r="D70" s="14"/>
      <c r="E70" s="14"/>
      <c r="F70" s="14"/>
      <c r="G70" s="14"/>
      <c r="H70" s="14"/>
      <c r="I70" s="14"/>
    </row>
    <row r="71" spans="1:15" ht="14.25" thickBot="1">
      <c r="A71" s="14"/>
      <c r="B71" s="14"/>
      <c r="C71" s="14"/>
      <c r="D71" s="14"/>
      <c r="E71" s="14"/>
      <c r="F71" s="14"/>
      <c r="G71" s="14"/>
      <c r="H71" s="14"/>
      <c r="I71" s="14"/>
    </row>
    <row r="72" spans="1:15" s="185" customFormat="1" ht="14.25" thickBot="1">
      <c r="A72" s="93"/>
      <c r="B72" s="188">
        <v>2003</v>
      </c>
      <c r="C72" s="36">
        <v>2004</v>
      </c>
      <c r="D72" s="2">
        <v>2005</v>
      </c>
      <c r="E72" s="2">
        <v>2006</v>
      </c>
      <c r="F72" s="2">
        <v>2007</v>
      </c>
      <c r="G72" s="2">
        <v>2008</v>
      </c>
      <c r="H72" s="36">
        <v>2009</v>
      </c>
      <c r="I72" s="36">
        <v>2010</v>
      </c>
      <c r="J72" s="36">
        <v>2011</v>
      </c>
      <c r="K72" s="36">
        <v>2012</v>
      </c>
      <c r="L72" s="36">
        <v>2013</v>
      </c>
      <c r="M72" s="2">
        <v>2014</v>
      </c>
      <c r="N72" s="2">
        <v>2015</v>
      </c>
      <c r="O72" s="151">
        <v>2016</v>
      </c>
    </row>
    <row r="73" spans="1:15" s="185" customFormat="1" ht="13.5">
      <c r="A73" s="92" t="s">
        <v>21</v>
      </c>
      <c r="B73" s="85">
        <v>14295</v>
      </c>
      <c r="C73" s="86">
        <v>12838</v>
      </c>
      <c r="D73" s="86">
        <v>10365</v>
      </c>
      <c r="E73" s="232">
        <v>9470</v>
      </c>
      <c r="F73" s="232">
        <v>8320</v>
      </c>
      <c r="G73" s="232">
        <v>7890</v>
      </c>
      <c r="H73" s="232">
        <v>6659</v>
      </c>
      <c r="I73" s="37">
        <v>5478.4</v>
      </c>
      <c r="J73" s="37">
        <v>4731.5</v>
      </c>
      <c r="K73" s="37">
        <v>4157.3</v>
      </c>
      <c r="L73" s="37">
        <v>3166.7</v>
      </c>
      <c r="M73" s="37">
        <v>2599.4</v>
      </c>
      <c r="N73" s="37">
        <v>2675.5</v>
      </c>
      <c r="O73" s="38">
        <v>2306.6</v>
      </c>
    </row>
    <row r="74" spans="1:15" s="185" customFormat="1" ht="13.5">
      <c r="A74" s="97" t="s">
        <v>22</v>
      </c>
      <c r="B74" s="76">
        <v>-404</v>
      </c>
      <c r="C74" s="66">
        <v>338</v>
      </c>
      <c r="D74" s="66">
        <v>417</v>
      </c>
      <c r="E74" s="66">
        <v>10</v>
      </c>
      <c r="F74" s="40">
        <v>150</v>
      </c>
      <c r="G74" s="39">
        <v>80</v>
      </c>
      <c r="H74" s="39">
        <v>-54</v>
      </c>
      <c r="I74" s="39">
        <v>-81.2</v>
      </c>
      <c r="J74" s="39">
        <v>-212.4</v>
      </c>
      <c r="K74" s="39">
        <v>-233.1</v>
      </c>
      <c r="L74" s="39">
        <v>-466.5</v>
      </c>
      <c r="M74" s="39">
        <v>105.2</v>
      </c>
      <c r="N74" s="39">
        <v>91.9</v>
      </c>
      <c r="O74" s="41">
        <v>78.5</v>
      </c>
    </row>
    <row r="75" spans="1:15" s="185" customFormat="1" ht="14.25" thickBot="1">
      <c r="A75" s="101" t="s">
        <v>20</v>
      </c>
      <c r="B75" s="191">
        <f t="shared" ref="B75:O75" si="5">B74/B73</f>
        <v>-2.826162994053865E-2</v>
      </c>
      <c r="C75" s="192">
        <f t="shared" si="5"/>
        <v>2.6328088487303319E-2</v>
      </c>
      <c r="D75" s="192">
        <f t="shared" si="5"/>
        <v>4.0231548480463099E-2</v>
      </c>
      <c r="E75" s="192">
        <f t="shared" si="5"/>
        <v>1.0559662090813093E-3</v>
      </c>
      <c r="F75" s="192">
        <f t="shared" si="5"/>
        <v>1.8028846153846152E-2</v>
      </c>
      <c r="G75" s="192">
        <f t="shared" si="5"/>
        <v>1.0139416983523447E-2</v>
      </c>
      <c r="H75" s="192">
        <f t="shared" si="5"/>
        <v>-8.1093257245832707E-3</v>
      </c>
      <c r="I75" s="192">
        <f t="shared" si="5"/>
        <v>-1.4821845794392524E-2</v>
      </c>
      <c r="J75" s="192">
        <f t="shared" si="5"/>
        <v>-4.4890626651167706E-2</v>
      </c>
      <c r="K75" s="192">
        <f t="shared" si="5"/>
        <v>-5.6070045462199021E-2</v>
      </c>
      <c r="L75" s="192">
        <f t="shared" si="5"/>
        <v>-0.14731423879748634</v>
      </c>
      <c r="M75" s="192">
        <f t="shared" si="5"/>
        <v>4.0470877894898824E-2</v>
      </c>
      <c r="N75" s="192">
        <f t="shared" si="5"/>
        <v>3.4348719865445715E-2</v>
      </c>
      <c r="O75" s="193">
        <f t="shared" si="5"/>
        <v>3.4032775513743174E-2</v>
      </c>
    </row>
    <row r="76" spans="1:15" ht="13.5">
      <c r="A76" s="5" t="s">
        <v>24</v>
      </c>
      <c r="B76" s="35"/>
      <c r="C76" s="35"/>
      <c r="D76" s="35"/>
      <c r="E76" s="35"/>
      <c r="F76" s="35"/>
      <c r="G76" s="35"/>
      <c r="H76" s="35"/>
      <c r="I76" s="26"/>
    </row>
    <row r="77" spans="1:15" ht="13.5">
      <c r="A77" s="5" t="s">
        <v>68</v>
      </c>
      <c r="B77" s="35"/>
      <c r="C77" s="35"/>
      <c r="D77" s="35"/>
      <c r="E77" s="35"/>
      <c r="F77" s="35"/>
      <c r="G77" s="35"/>
      <c r="H77" s="35"/>
      <c r="I77" s="4"/>
    </row>
    <row r="78" spans="1:15" ht="13.5">
      <c r="A78" s="5" t="s">
        <v>69</v>
      </c>
      <c r="B78" s="35"/>
      <c r="C78" s="35"/>
      <c r="D78" s="35"/>
      <c r="E78" s="35"/>
      <c r="F78" s="35"/>
      <c r="G78" s="35"/>
      <c r="H78" s="35"/>
      <c r="I78" s="14"/>
    </row>
    <row r="79" spans="1:15" ht="13.5">
      <c r="A79" s="5" t="s">
        <v>67</v>
      </c>
      <c r="B79" s="35"/>
      <c r="C79" s="35"/>
      <c r="D79" s="35"/>
      <c r="E79" s="35"/>
      <c r="F79" s="35"/>
      <c r="G79" s="35"/>
      <c r="H79" s="35"/>
      <c r="I79" s="14"/>
    </row>
    <row r="80" spans="1:15" ht="14.25">
      <c r="B80" s="3"/>
      <c r="C80" s="3"/>
      <c r="D80" s="3"/>
      <c r="E80" s="3"/>
      <c r="F80" s="3"/>
      <c r="G80" s="3"/>
      <c r="H80" s="3"/>
      <c r="I80" s="3"/>
    </row>
    <row r="81" spans="1:16" s="34" customFormat="1" ht="13.5" customHeight="1" thickBot="1"/>
    <row r="82" spans="1:16" s="18" customFormat="1" ht="13.5">
      <c r="B82" s="14"/>
      <c r="C82" s="14"/>
      <c r="D82" s="14"/>
      <c r="E82" s="14"/>
      <c r="F82" s="14"/>
      <c r="G82" s="14"/>
      <c r="H82" s="14"/>
      <c r="I82" s="14"/>
    </row>
    <row r="83" spans="1:16" ht="13.5">
      <c r="A83" s="22" t="s">
        <v>368</v>
      </c>
      <c r="B83" s="7" t="s">
        <v>291</v>
      </c>
      <c r="C83" s="14"/>
      <c r="D83" s="14"/>
      <c r="E83" s="14"/>
      <c r="F83" s="14"/>
      <c r="G83" s="14"/>
      <c r="H83" s="14"/>
      <c r="I83" s="14"/>
    </row>
    <row r="84" spans="1:16" ht="14.25" thickBot="1">
      <c r="A84" s="14"/>
      <c r="B84" s="14"/>
      <c r="C84" s="14"/>
      <c r="D84" s="14"/>
      <c r="E84" s="14"/>
      <c r="F84" s="14"/>
      <c r="G84" s="14"/>
      <c r="H84" s="14"/>
      <c r="I84" s="14"/>
    </row>
    <row r="85" spans="1:16" s="185" customFormat="1" ht="14.25" thickBot="1">
      <c r="A85" s="93"/>
      <c r="B85" s="188">
        <v>2003</v>
      </c>
      <c r="C85" s="36">
        <v>2004</v>
      </c>
      <c r="D85" s="2">
        <v>2005</v>
      </c>
      <c r="E85" s="2">
        <v>2006</v>
      </c>
      <c r="F85" s="2">
        <v>2007</v>
      </c>
      <c r="G85" s="2">
        <v>2008</v>
      </c>
      <c r="H85" s="36">
        <v>2009</v>
      </c>
      <c r="I85" s="36">
        <v>2010</v>
      </c>
      <c r="J85" s="36">
        <v>2011</v>
      </c>
      <c r="K85" s="36">
        <v>2012</v>
      </c>
      <c r="L85" s="36">
        <v>2013</v>
      </c>
      <c r="M85" s="2">
        <v>2014</v>
      </c>
      <c r="N85" s="2">
        <v>2015</v>
      </c>
      <c r="O85" s="2">
        <v>2016</v>
      </c>
      <c r="P85" s="151">
        <v>2017</v>
      </c>
    </row>
    <row r="86" spans="1:16" s="185" customFormat="1" ht="13.5">
      <c r="A86" s="92" t="s">
        <v>21</v>
      </c>
      <c r="B86" s="76">
        <v>17531</v>
      </c>
      <c r="C86" s="66">
        <v>19430</v>
      </c>
      <c r="D86" s="66">
        <v>21797</v>
      </c>
      <c r="E86" s="40">
        <v>26420</v>
      </c>
      <c r="F86" s="40">
        <v>32170</v>
      </c>
      <c r="G86" s="40">
        <v>39310</v>
      </c>
      <c r="H86" s="40">
        <v>39960</v>
      </c>
      <c r="I86" s="39">
        <v>44292.3</v>
      </c>
      <c r="J86" s="39">
        <v>49458.7</v>
      </c>
      <c r="K86" s="39">
        <v>51335.5</v>
      </c>
      <c r="L86" s="39">
        <v>55896.800000000003</v>
      </c>
      <c r="M86" s="39">
        <v>59330.400000000001</v>
      </c>
      <c r="N86" s="39">
        <v>58809</v>
      </c>
      <c r="O86" s="39">
        <v>64052.1</v>
      </c>
      <c r="P86" s="41">
        <v>66302</v>
      </c>
    </row>
    <row r="87" spans="1:16" s="185" customFormat="1" ht="13.5">
      <c r="A87" s="97" t="s">
        <v>22</v>
      </c>
      <c r="B87" s="76">
        <v>-91</v>
      </c>
      <c r="C87" s="66">
        <v>403</v>
      </c>
      <c r="D87" s="66">
        <v>-177</v>
      </c>
      <c r="E87" s="66">
        <v>350</v>
      </c>
      <c r="F87" s="40">
        <v>210</v>
      </c>
      <c r="G87" s="39">
        <v>1090</v>
      </c>
      <c r="H87" s="39">
        <v>1110</v>
      </c>
      <c r="I87" s="39">
        <v>819.3</v>
      </c>
      <c r="J87" s="39">
        <v>800.2</v>
      </c>
      <c r="K87" s="39">
        <v>801.2</v>
      </c>
      <c r="L87" s="39">
        <v>1059.8</v>
      </c>
      <c r="M87" s="39">
        <v>1204.8</v>
      </c>
      <c r="N87" s="39">
        <v>1527.8</v>
      </c>
      <c r="O87" s="39">
        <v>1528.4</v>
      </c>
      <c r="P87" s="41">
        <v>1733</v>
      </c>
    </row>
    <row r="88" spans="1:16" s="185" customFormat="1" ht="14.25" thickBot="1">
      <c r="A88" s="101" t="s">
        <v>20</v>
      </c>
      <c r="B88" s="191">
        <f t="shared" ref="B88:P88" si="6">B87/B86</f>
        <v>-5.1908048599623524E-3</v>
      </c>
      <c r="C88" s="192">
        <f t="shared" si="6"/>
        <v>2.0741121976325272E-2</v>
      </c>
      <c r="D88" s="192">
        <f t="shared" si="6"/>
        <v>-8.1203835390191315E-3</v>
      </c>
      <c r="E88" s="192">
        <f t="shared" si="6"/>
        <v>1.3247539742619227E-2</v>
      </c>
      <c r="F88" s="192">
        <f t="shared" si="6"/>
        <v>6.5278209511967673E-3</v>
      </c>
      <c r="G88" s="192">
        <f t="shared" si="6"/>
        <v>2.7728313406257948E-2</v>
      </c>
      <c r="H88" s="192">
        <f t="shared" si="6"/>
        <v>2.7777777777777776E-2</v>
      </c>
      <c r="I88" s="192">
        <f t="shared" si="6"/>
        <v>1.849757181270785E-2</v>
      </c>
      <c r="J88" s="192">
        <f t="shared" si="6"/>
        <v>1.6179155537852798E-2</v>
      </c>
      <c r="K88" s="192">
        <f t="shared" si="6"/>
        <v>1.5607133465145952E-2</v>
      </c>
      <c r="L88" s="192">
        <f t="shared" si="6"/>
        <v>1.8959940461708003E-2</v>
      </c>
      <c r="M88" s="192">
        <f t="shared" si="6"/>
        <v>2.0306621900408557E-2</v>
      </c>
      <c r="N88" s="192">
        <f t="shared" si="6"/>
        <v>2.5979016817153835E-2</v>
      </c>
      <c r="O88" s="192">
        <f t="shared" si="6"/>
        <v>2.3861824983099699E-2</v>
      </c>
      <c r="P88" s="193">
        <f t="shared" si="6"/>
        <v>2.6137974721727852E-2</v>
      </c>
    </row>
    <row r="89" spans="1:16" ht="13.5">
      <c r="A89" s="5" t="s">
        <v>24</v>
      </c>
      <c r="B89" s="199"/>
      <c r="C89" s="199"/>
      <c r="D89" s="199"/>
      <c r="E89" s="199"/>
      <c r="F89" s="199"/>
      <c r="G89" s="199"/>
      <c r="H89" s="199"/>
      <c r="I89" s="49"/>
      <c r="J89" s="200"/>
      <c r="K89" s="200"/>
      <c r="L89" s="200"/>
      <c r="M89" s="200"/>
      <c r="N89" s="200"/>
    </row>
    <row r="90" spans="1:16" ht="13.5">
      <c r="A90" s="5" t="s">
        <v>68</v>
      </c>
      <c r="B90" s="35"/>
      <c r="C90" s="35"/>
      <c r="D90" s="35"/>
      <c r="E90" s="35"/>
      <c r="F90" s="35"/>
      <c r="G90" s="35"/>
      <c r="H90" s="35"/>
      <c r="I90" s="14"/>
      <c r="J90" s="4"/>
    </row>
    <row r="91" spans="1:16" ht="13.5">
      <c r="A91" s="5" t="s">
        <v>69</v>
      </c>
      <c r="B91" s="35"/>
      <c r="C91" s="35"/>
      <c r="D91" s="35"/>
      <c r="E91" s="35"/>
      <c r="F91" s="35"/>
      <c r="G91" s="35"/>
      <c r="H91" s="35"/>
      <c r="I91" s="14"/>
    </row>
    <row r="92" spans="1:16" ht="13.5">
      <c r="A92" s="5" t="s">
        <v>67</v>
      </c>
      <c r="B92" s="35"/>
      <c r="C92" s="35"/>
      <c r="D92" s="35"/>
      <c r="E92" s="35"/>
      <c r="F92" s="35"/>
      <c r="G92" s="35"/>
      <c r="H92" s="35"/>
      <c r="I92" s="14"/>
    </row>
    <row r="93" spans="1:16" ht="14.25">
      <c r="B93" s="3"/>
      <c r="C93" s="3"/>
      <c r="D93" s="3"/>
      <c r="E93" s="3"/>
      <c r="F93" s="3"/>
      <c r="G93" s="3"/>
      <c r="H93" s="3"/>
      <c r="I93" s="3"/>
    </row>
    <row r="94" spans="1:16" ht="14.25">
      <c r="B94" s="3"/>
      <c r="C94" s="3"/>
      <c r="D94" s="3"/>
      <c r="E94" s="3"/>
      <c r="F94" s="3"/>
      <c r="G94" s="3"/>
      <c r="H94" s="3"/>
      <c r="I94" s="3"/>
    </row>
    <row r="95" spans="1:16" ht="13.5">
      <c r="A95" s="22" t="s">
        <v>369</v>
      </c>
      <c r="B95" s="7" t="s">
        <v>303</v>
      </c>
      <c r="C95" s="14"/>
      <c r="D95" s="14"/>
      <c r="E95" s="14"/>
      <c r="F95" s="14"/>
      <c r="G95" s="14"/>
      <c r="H95" s="14"/>
      <c r="I95" s="14"/>
    </row>
    <row r="96" spans="1:16" ht="14.25" thickBot="1">
      <c r="A96" s="14"/>
      <c r="B96" s="14"/>
      <c r="C96" s="14"/>
      <c r="D96" s="14"/>
      <c r="E96" s="14"/>
      <c r="F96" s="14"/>
      <c r="G96" s="14"/>
      <c r="H96" s="14"/>
      <c r="I96" s="14"/>
    </row>
    <row r="97" spans="1:14" s="185" customFormat="1" ht="14.25" thickBot="1">
      <c r="A97" s="93"/>
      <c r="B97" s="188">
        <v>2004</v>
      </c>
      <c r="C97" s="2">
        <v>2005</v>
      </c>
      <c r="D97" s="2">
        <v>2006</v>
      </c>
      <c r="E97" s="2">
        <v>2007</v>
      </c>
      <c r="F97" s="2">
        <v>2008</v>
      </c>
      <c r="G97" s="36">
        <v>2009</v>
      </c>
      <c r="H97" s="36">
        <v>2010</v>
      </c>
      <c r="I97" s="36">
        <v>2011</v>
      </c>
      <c r="J97" s="36">
        <v>2012</v>
      </c>
      <c r="K97" s="36">
        <v>2013</v>
      </c>
      <c r="L97" s="2">
        <v>2014</v>
      </c>
      <c r="M97" s="2">
        <v>2015</v>
      </c>
      <c r="N97" s="151">
        <v>2016</v>
      </c>
    </row>
    <row r="98" spans="1:14" s="185" customFormat="1" ht="13.5">
      <c r="A98" s="92" t="s">
        <v>21</v>
      </c>
      <c r="B98" s="85">
        <v>18460</v>
      </c>
      <c r="C98" s="86">
        <v>18730</v>
      </c>
      <c r="D98" s="232">
        <v>24780</v>
      </c>
      <c r="E98" s="232">
        <v>35390</v>
      </c>
      <c r="F98" s="232">
        <v>44450</v>
      </c>
      <c r="G98" s="232">
        <v>42120</v>
      </c>
      <c r="H98" s="37">
        <v>50691.8</v>
      </c>
      <c r="I98" s="232" t="s">
        <v>4</v>
      </c>
      <c r="J98" s="232" t="s">
        <v>4</v>
      </c>
      <c r="K98" s="37">
        <v>68464</v>
      </c>
      <c r="L98" s="37">
        <v>66972.899999999994</v>
      </c>
      <c r="M98" s="232">
        <v>76217.600000000006</v>
      </c>
      <c r="N98" s="38">
        <v>87576</v>
      </c>
    </row>
    <row r="99" spans="1:14" s="185" customFormat="1" ht="13.5">
      <c r="A99" s="97" t="s">
        <v>66</v>
      </c>
      <c r="B99" s="76">
        <v>12590</v>
      </c>
      <c r="C99" s="66">
        <v>12080</v>
      </c>
      <c r="D99" s="40">
        <v>17990</v>
      </c>
      <c r="E99" s="40">
        <v>27280</v>
      </c>
      <c r="F99" s="40">
        <v>35410</v>
      </c>
      <c r="G99" s="40">
        <v>32090</v>
      </c>
      <c r="H99" s="39">
        <v>36814.5</v>
      </c>
      <c r="I99" s="40" t="s">
        <v>4</v>
      </c>
      <c r="J99" s="40" t="s">
        <v>4</v>
      </c>
      <c r="K99" s="39">
        <v>51258.1</v>
      </c>
      <c r="L99" s="39">
        <v>49120.800000000003</v>
      </c>
      <c r="M99" s="40">
        <v>55273.599999999999</v>
      </c>
      <c r="N99" s="41">
        <v>63219.4</v>
      </c>
    </row>
    <row r="100" spans="1:14" s="185" customFormat="1" ht="13.5">
      <c r="A100" s="97" t="s">
        <v>22</v>
      </c>
      <c r="B100" s="76">
        <v>1080</v>
      </c>
      <c r="C100" s="66">
        <v>880</v>
      </c>
      <c r="D100" s="66">
        <v>1830</v>
      </c>
      <c r="E100" s="40">
        <v>2600</v>
      </c>
      <c r="F100" s="39">
        <v>3540</v>
      </c>
      <c r="G100" s="39">
        <v>3280</v>
      </c>
      <c r="H100" s="39">
        <v>4075.8</v>
      </c>
      <c r="I100" s="40" t="s">
        <v>4</v>
      </c>
      <c r="J100" s="40" t="s">
        <v>4</v>
      </c>
      <c r="K100" s="39">
        <v>4742.8</v>
      </c>
      <c r="L100" s="39">
        <v>3797.9</v>
      </c>
      <c r="M100" s="40">
        <v>4306.7</v>
      </c>
      <c r="N100" s="41">
        <v>4674.3</v>
      </c>
    </row>
    <row r="101" spans="1:14" s="185" customFormat="1" ht="14.25" thickBot="1">
      <c r="A101" s="101" t="s">
        <v>20</v>
      </c>
      <c r="B101" s="191">
        <f t="shared" ref="B101:N101" si="7">B100/B98</f>
        <v>5.8504875406283859E-2</v>
      </c>
      <c r="C101" s="192">
        <f t="shared" si="7"/>
        <v>4.6983449012279764E-2</v>
      </c>
      <c r="D101" s="192">
        <f t="shared" si="7"/>
        <v>7.3849878934624691E-2</v>
      </c>
      <c r="E101" s="192">
        <f t="shared" si="7"/>
        <v>7.34670810963549E-2</v>
      </c>
      <c r="F101" s="192">
        <f t="shared" si="7"/>
        <v>7.96400449943757E-2</v>
      </c>
      <c r="G101" s="192">
        <f t="shared" si="7"/>
        <v>7.7872744539411204E-2</v>
      </c>
      <c r="H101" s="192">
        <f t="shared" si="7"/>
        <v>8.040353666667982E-2</v>
      </c>
      <c r="I101" s="192" t="s">
        <v>4</v>
      </c>
      <c r="J101" s="192" t="s">
        <v>4</v>
      </c>
      <c r="K101" s="106">
        <f t="shared" si="7"/>
        <v>6.9274363168964709E-2</v>
      </c>
      <c r="L101" s="192">
        <f t="shared" si="7"/>
        <v>5.6708011748035407E-2</v>
      </c>
      <c r="M101" s="192">
        <f t="shared" si="7"/>
        <v>5.6505321605508432E-2</v>
      </c>
      <c r="N101" s="193">
        <f t="shared" si="7"/>
        <v>5.3374212112907646E-2</v>
      </c>
    </row>
    <row r="102" spans="1:14" ht="13.5">
      <c r="A102" s="5" t="s">
        <v>24</v>
      </c>
      <c r="B102" s="35"/>
      <c r="C102" s="35"/>
      <c r="D102" s="35"/>
      <c r="E102" s="35"/>
      <c r="F102" s="35"/>
      <c r="G102" s="35"/>
      <c r="H102" s="35"/>
      <c r="I102" s="26"/>
    </row>
    <row r="103" spans="1:14" ht="13.5">
      <c r="A103" s="5" t="s">
        <v>23</v>
      </c>
      <c r="B103" s="42"/>
      <c r="C103" s="42"/>
      <c r="D103" s="42"/>
      <c r="E103" s="42"/>
      <c r="F103" s="42"/>
      <c r="G103" s="42"/>
      <c r="H103" s="42"/>
      <c r="I103" s="14"/>
    </row>
    <row r="104" spans="1:14" ht="13.5">
      <c r="A104" s="5" t="s">
        <v>67</v>
      </c>
      <c r="B104" s="35"/>
      <c r="C104" s="35"/>
      <c r="D104" s="35"/>
      <c r="E104" s="35"/>
      <c r="F104" s="35"/>
      <c r="G104" s="35"/>
      <c r="I104" s="14"/>
    </row>
    <row r="105" spans="1:14" ht="13.5">
      <c r="A105" s="5"/>
      <c r="B105" s="35"/>
      <c r="C105" s="35"/>
      <c r="D105" s="35"/>
      <c r="E105" s="35"/>
      <c r="F105" s="35"/>
      <c r="G105" s="35"/>
      <c r="I105" s="14"/>
    </row>
    <row r="106" spans="1:14" s="34" customFormat="1" ht="13.5" customHeight="1" thickBot="1"/>
    <row r="107" spans="1:14" s="18" customFormat="1" ht="13.5">
      <c r="B107" s="14"/>
      <c r="C107" s="14"/>
      <c r="D107" s="14"/>
      <c r="E107" s="14"/>
      <c r="F107" s="14"/>
      <c r="G107" s="14"/>
      <c r="H107" s="14"/>
      <c r="I107" s="14"/>
    </row>
    <row r="108" spans="1:14" ht="13.5">
      <c r="A108" s="22" t="s">
        <v>371</v>
      </c>
      <c r="B108" s="7" t="s">
        <v>304</v>
      </c>
      <c r="C108" s="14"/>
      <c r="D108" s="14"/>
      <c r="E108" s="14"/>
      <c r="F108" s="14"/>
      <c r="G108" s="14"/>
      <c r="H108" s="14"/>
      <c r="I108" s="14"/>
    </row>
    <row r="109" spans="1:14" ht="14.25" thickBot="1">
      <c r="A109" s="14"/>
      <c r="B109" s="14"/>
      <c r="C109" s="14"/>
      <c r="D109" s="14"/>
      <c r="E109" s="14"/>
      <c r="F109" s="14"/>
      <c r="G109" s="14"/>
      <c r="H109" s="14"/>
      <c r="I109" s="14"/>
    </row>
    <row r="110" spans="1:14" s="185" customFormat="1" ht="14.25" thickBot="1">
      <c r="A110" s="93"/>
      <c r="B110" s="188">
        <v>2013</v>
      </c>
      <c r="C110" s="36">
        <v>2014</v>
      </c>
      <c r="D110" s="151">
        <v>2015</v>
      </c>
    </row>
    <row r="111" spans="1:14" s="185" customFormat="1" ht="13.5">
      <c r="A111" s="92" t="s">
        <v>21</v>
      </c>
      <c r="B111" s="63">
        <v>25472.400000000001</v>
      </c>
      <c r="C111" s="37">
        <v>25519.200000000001</v>
      </c>
      <c r="D111" s="38">
        <v>24723.5</v>
      </c>
    </row>
    <row r="112" spans="1:14" s="185" customFormat="1" ht="13.5">
      <c r="A112" s="97" t="s">
        <v>22</v>
      </c>
      <c r="B112" s="64">
        <v>763.7</v>
      </c>
      <c r="C112" s="39">
        <v>483.8</v>
      </c>
      <c r="D112" s="41">
        <v>333.4</v>
      </c>
    </row>
    <row r="113" spans="1:15" s="185" customFormat="1" ht="14.25" thickBot="1">
      <c r="A113" s="101" t="s">
        <v>20</v>
      </c>
      <c r="B113" s="191">
        <f t="shared" ref="B113:D113" si="8">B112/B111</f>
        <v>2.9981470140230209E-2</v>
      </c>
      <c r="C113" s="192">
        <f t="shared" si="8"/>
        <v>1.8958274554061256E-2</v>
      </c>
      <c r="D113" s="193">
        <f t="shared" si="8"/>
        <v>1.3485145711569963E-2</v>
      </c>
    </row>
    <row r="114" spans="1:15" ht="13.5">
      <c r="A114" s="5" t="s">
        <v>24</v>
      </c>
      <c r="B114" s="199"/>
      <c r="C114" s="199"/>
      <c r="D114" s="199"/>
      <c r="E114" s="199"/>
      <c r="F114" s="199"/>
      <c r="G114" s="199"/>
      <c r="H114" s="199"/>
      <c r="I114" s="49"/>
      <c r="J114" s="200"/>
      <c r="K114" s="200"/>
      <c r="L114" s="200"/>
    </row>
    <row r="115" spans="1:15" ht="13.5">
      <c r="A115" s="5" t="s">
        <v>68</v>
      </c>
      <c r="B115" s="35"/>
      <c r="C115" s="35"/>
      <c r="D115" s="35"/>
      <c r="E115" s="35"/>
      <c r="F115" s="35"/>
      <c r="G115" s="35"/>
      <c r="H115" s="4"/>
      <c r="I115" s="14"/>
    </row>
    <row r="116" spans="1:15" ht="13.5">
      <c r="A116" s="5" t="s">
        <v>69</v>
      </c>
      <c r="B116" s="35"/>
      <c r="C116" s="35"/>
      <c r="D116" s="35"/>
      <c r="E116" s="35"/>
      <c r="F116" s="35"/>
      <c r="G116" s="35"/>
      <c r="H116" s="35"/>
      <c r="I116" s="14"/>
    </row>
    <row r="117" spans="1:15">
      <c r="A117" s="5" t="s">
        <v>67</v>
      </c>
      <c r="B117" s="35"/>
      <c r="C117" s="35"/>
      <c r="D117" s="35"/>
      <c r="E117" s="35"/>
      <c r="F117" s="35"/>
      <c r="G117" s="35"/>
      <c r="H117" s="35"/>
    </row>
    <row r="118" spans="1:15" ht="14.25">
      <c r="B118" s="3"/>
      <c r="C118" s="3"/>
      <c r="D118" s="3"/>
      <c r="E118" s="3"/>
      <c r="F118" s="3"/>
      <c r="G118" s="3"/>
      <c r="H118" s="3"/>
      <c r="I118" s="3"/>
    </row>
    <row r="119" spans="1:15" s="34" customFormat="1" ht="13.5" customHeight="1" thickBot="1"/>
    <row r="120" spans="1:15" s="18" customFormat="1" ht="13.5">
      <c r="B120" s="14"/>
      <c r="C120" s="14"/>
      <c r="D120" s="14"/>
      <c r="E120" s="14"/>
      <c r="F120" s="14"/>
      <c r="G120" s="14"/>
      <c r="H120" s="14"/>
      <c r="I120" s="14"/>
    </row>
    <row r="121" spans="1:15" ht="13.5">
      <c r="A121" s="22" t="s">
        <v>373</v>
      </c>
      <c r="B121" s="7" t="s">
        <v>372</v>
      </c>
      <c r="C121" s="14"/>
      <c r="D121" s="14"/>
      <c r="E121" s="14"/>
      <c r="F121" s="14"/>
      <c r="G121" s="14"/>
      <c r="H121" s="14"/>
      <c r="I121" s="14"/>
    </row>
    <row r="122" spans="1:15" ht="14.25" thickBot="1">
      <c r="A122" s="14"/>
      <c r="B122" s="14"/>
      <c r="C122" s="14"/>
      <c r="D122" s="14"/>
      <c r="E122" s="14"/>
      <c r="F122" s="14"/>
      <c r="G122" s="14"/>
      <c r="H122" s="14"/>
      <c r="I122" s="14"/>
    </row>
    <row r="123" spans="1:15" s="185" customFormat="1" ht="14.25" thickBot="1">
      <c r="A123" s="93"/>
      <c r="B123" s="188">
        <v>2004</v>
      </c>
      <c r="C123" s="2">
        <v>2005</v>
      </c>
      <c r="D123" s="2">
        <v>2006</v>
      </c>
      <c r="E123" s="2">
        <v>2007</v>
      </c>
      <c r="F123" s="2">
        <v>2008</v>
      </c>
      <c r="G123" s="36">
        <v>2009</v>
      </c>
      <c r="H123" s="36">
        <v>2010</v>
      </c>
      <c r="I123" s="36">
        <v>2011</v>
      </c>
      <c r="J123" s="36">
        <v>2012</v>
      </c>
      <c r="K123" s="36">
        <v>2013</v>
      </c>
      <c r="L123" s="2">
        <v>2014</v>
      </c>
      <c r="M123" s="2">
        <v>2015</v>
      </c>
      <c r="N123" s="2">
        <v>2016</v>
      </c>
      <c r="O123" s="151">
        <v>2017</v>
      </c>
    </row>
    <row r="124" spans="1:15" s="185" customFormat="1" ht="13.5">
      <c r="A124" s="92" t="s">
        <v>21</v>
      </c>
      <c r="B124" s="76">
        <v>5572</v>
      </c>
      <c r="C124" s="66">
        <v>7490</v>
      </c>
      <c r="D124" s="40">
        <v>10080</v>
      </c>
      <c r="E124" s="40">
        <v>11960</v>
      </c>
      <c r="F124" s="40">
        <v>13580</v>
      </c>
      <c r="G124" s="40">
        <v>11750</v>
      </c>
      <c r="H124" s="40">
        <v>12020.9</v>
      </c>
      <c r="I124" s="40">
        <v>12828.7</v>
      </c>
      <c r="J124" s="39">
        <v>13623.2</v>
      </c>
      <c r="K124" s="39">
        <v>14567.3</v>
      </c>
      <c r="L124" s="39">
        <v>14430.3</v>
      </c>
      <c r="M124" s="39">
        <v>14792.4</v>
      </c>
      <c r="N124" s="39">
        <v>16348.2</v>
      </c>
      <c r="O124" s="41">
        <v>17454</v>
      </c>
    </row>
    <row r="125" spans="1:15" s="185" customFormat="1" ht="13.5">
      <c r="A125" s="97" t="s">
        <v>22</v>
      </c>
      <c r="B125" s="76">
        <v>266</v>
      </c>
      <c r="C125" s="66">
        <v>430</v>
      </c>
      <c r="D125" s="66">
        <v>670</v>
      </c>
      <c r="E125" s="40">
        <v>780</v>
      </c>
      <c r="F125" s="39">
        <v>960</v>
      </c>
      <c r="G125" s="39">
        <v>740</v>
      </c>
      <c r="H125" s="39">
        <v>755.3</v>
      </c>
      <c r="I125" s="39">
        <v>702</v>
      </c>
      <c r="J125" s="39">
        <v>666.9</v>
      </c>
      <c r="K125" s="39">
        <v>834.8</v>
      </c>
      <c r="L125" s="39">
        <v>720.2</v>
      </c>
      <c r="M125" s="39">
        <v>621.20000000000005</v>
      </c>
      <c r="N125" s="39">
        <v>769.1</v>
      </c>
      <c r="O125" s="41">
        <v>827</v>
      </c>
    </row>
    <row r="126" spans="1:15" s="185" customFormat="1" ht="14.25" thickBot="1">
      <c r="A126" s="101" t="s">
        <v>20</v>
      </c>
      <c r="B126" s="191">
        <f t="shared" ref="B126:O126" si="9">B125/B124</f>
        <v>4.7738693467336682E-2</v>
      </c>
      <c r="C126" s="192">
        <f t="shared" si="9"/>
        <v>5.7409879839786383E-2</v>
      </c>
      <c r="D126" s="192">
        <f t="shared" si="9"/>
        <v>6.6468253968253968E-2</v>
      </c>
      <c r="E126" s="192">
        <f t="shared" si="9"/>
        <v>6.5217391304347824E-2</v>
      </c>
      <c r="F126" s="192">
        <f t="shared" si="9"/>
        <v>7.0692194403534608E-2</v>
      </c>
      <c r="G126" s="192">
        <f t="shared" si="9"/>
        <v>6.2978723404255324E-2</v>
      </c>
      <c r="H126" s="192">
        <f t="shared" si="9"/>
        <v>6.2832233859361611E-2</v>
      </c>
      <c r="I126" s="192">
        <f t="shared" si="9"/>
        <v>5.4721055134191302E-2</v>
      </c>
      <c r="J126" s="192">
        <f t="shared" si="9"/>
        <v>4.895325620999471E-2</v>
      </c>
      <c r="K126" s="192">
        <f t="shared" si="9"/>
        <v>5.7306432901086682E-2</v>
      </c>
      <c r="L126" s="192">
        <f t="shared" si="9"/>
        <v>4.9908872303417118E-2</v>
      </c>
      <c r="M126" s="192">
        <f t="shared" si="9"/>
        <v>4.1994537735593959E-2</v>
      </c>
      <c r="N126" s="192">
        <f t="shared" si="9"/>
        <v>4.7044934610538165E-2</v>
      </c>
      <c r="O126" s="193">
        <f t="shared" si="9"/>
        <v>4.7381689011114933E-2</v>
      </c>
    </row>
    <row r="127" spans="1:15" ht="13.5">
      <c r="A127" s="5" t="s">
        <v>24</v>
      </c>
      <c r="B127" s="199"/>
      <c r="C127" s="199"/>
      <c r="D127" s="199"/>
      <c r="E127" s="199"/>
      <c r="F127" s="199"/>
      <c r="G127" s="199"/>
      <c r="H127" s="199"/>
      <c r="I127" s="49"/>
      <c r="J127" s="200"/>
      <c r="K127" s="200"/>
      <c r="L127" s="200"/>
    </row>
    <row r="128" spans="1:15" ht="13.5">
      <c r="A128" s="5" t="s">
        <v>68</v>
      </c>
      <c r="B128" s="35"/>
      <c r="C128" s="35"/>
      <c r="D128" s="35"/>
      <c r="E128" s="35"/>
      <c r="F128" s="35"/>
      <c r="G128" s="35"/>
      <c r="H128" s="4"/>
      <c r="I128" s="14"/>
    </row>
    <row r="129" spans="1:15" ht="13.5">
      <c r="A129" s="5" t="s">
        <v>69</v>
      </c>
      <c r="B129" s="35"/>
      <c r="C129" s="35"/>
      <c r="D129" s="35"/>
      <c r="E129" s="35"/>
      <c r="F129" s="35"/>
      <c r="G129" s="35"/>
      <c r="H129" s="35"/>
      <c r="I129" s="14"/>
    </row>
    <row r="130" spans="1:15">
      <c r="A130" s="5" t="s">
        <v>67</v>
      </c>
      <c r="B130" s="35"/>
      <c r="C130" s="35"/>
      <c r="D130" s="35"/>
      <c r="E130" s="35"/>
      <c r="F130" s="35"/>
      <c r="G130" s="35"/>
      <c r="H130" s="35"/>
    </row>
    <row r="131" spans="1:15" ht="14.25">
      <c r="B131" s="3"/>
      <c r="C131" s="3"/>
      <c r="D131" s="3"/>
      <c r="E131" s="3"/>
      <c r="F131" s="3"/>
      <c r="G131" s="3"/>
      <c r="H131" s="3"/>
      <c r="I131" s="3"/>
    </row>
    <row r="132" spans="1:15" s="34" customFormat="1" ht="13.5" customHeight="1" thickBot="1"/>
    <row r="133" spans="1:15" s="18" customFormat="1" ht="13.5">
      <c r="B133" s="14"/>
      <c r="C133" s="14"/>
      <c r="D133" s="14"/>
      <c r="E133" s="14"/>
      <c r="F133" s="14"/>
      <c r="G133" s="14"/>
      <c r="H133" s="14"/>
      <c r="I133" s="14"/>
    </row>
    <row r="134" spans="1:15" ht="13.5">
      <c r="A134" s="22" t="s">
        <v>374</v>
      </c>
      <c r="B134" s="7" t="s">
        <v>305</v>
      </c>
      <c r="C134" s="14"/>
      <c r="D134" s="14"/>
      <c r="E134" s="14"/>
      <c r="F134" s="14"/>
      <c r="G134" s="14"/>
      <c r="H134" s="14"/>
      <c r="I134" s="14"/>
    </row>
    <row r="135" spans="1:15" ht="14.25" thickBot="1">
      <c r="A135" s="14"/>
      <c r="B135" s="14"/>
      <c r="C135" s="14"/>
      <c r="D135" s="14"/>
      <c r="E135" s="14"/>
      <c r="F135" s="14"/>
      <c r="G135" s="14"/>
      <c r="H135" s="14"/>
      <c r="I135" s="14"/>
    </row>
    <row r="136" spans="1:15" s="185" customFormat="1" ht="14.25" thickBot="1">
      <c r="A136" s="93"/>
      <c r="B136" s="188">
        <v>2003</v>
      </c>
      <c r="C136" s="36">
        <v>2004</v>
      </c>
      <c r="D136" s="2">
        <v>2005</v>
      </c>
      <c r="E136" s="2">
        <v>2006</v>
      </c>
      <c r="F136" s="2">
        <v>2007</v>
      </c>
      <c r="G136" s="2">
        <v>2008</v>
      </c>
      <c r="H136" s="36">
        <v>2009</v>
      </c>
      <c r="I136" s="36">
        <v>2010</v>
      </c>
      <c r="J136" s="36">
        <v>2011</v>
      </c>
      <c r="K136" s="36">
        <v>2012</v>
      </c>
      <c r="L136" s="36">
        <v>2013</v>
      </c>
      <c r="M136" s="2">
        <v>2014</v>
      </c>
      <c r="N136" s="2">
        <v>2015</v>
      </c>
      <c r="O136" s="151">
        <v>2016</v>
      </c>
    </row>
    <row r="137" spans="1:15" s="185" customFormat="1" ht="13.5">
      <c r="A137" s="92" t="s">
        <v>21</v>
      </c>
      <c r="B137" s="85">
        <v>3724</v>
      </c>
      <c r="C137" s="86">
        <v>5528</v>
      </c>
      <c r="D137" s="86">
        <v>5477</v>
      </c>
      <c r="E137" s="232">
        <v>7140</v>
      </c>
      <c r="F137" s="232">
        <v>9230</v>
      </c>
      <c r="G137" s="232">
        <v>9231.6</v>
      </c>
      <c r="H137" s="232">
        <v>8863.7000000000007</v>
      </c>
      <c r="I137" s="232">
        <v>9544.6</v>
      </c>
      <c r="J137" s="37">
        <v>10281.1</v>
      </c>
      <c r="K137" s="37">
        <v>10391.4</v>
      </c>
      <c r="L137" s="37">
        <v>9514.2000000000007</v>
      </c>
      <c r="M137" s="37">
        <v>8865.2999999999993</v>
      </c>
      <c r="N137" s="37">
        <v>9269.7000000000007</v>
      </c>
      <c r="O137" s="38">
        <v>9525</v>
      </c>
    </row>
    <row r="138" spans="1:15" s="185" customFormat="1" ht="13.5">
      <c r="A138" s="97" t="s">
        <v>22</v>
      </c>
      <c r="B138" s="76">
        <v>168</v>
      </c>
      <c r="C138" s="66">
        <v>139</v>
      </c>
      <c r="D138" s="66">
        <v>50</v>
      </c>
      <c r="E138" s="66">
        <v>240</v>
      </c>
      <c r="F138" s="40">
        <v>350</v>
      </c>
      <c r="G138" s="39">
        <v>330</v>
      </c>
      <c r="H138" s="39">
        <v>492.7</v>
      </c>
      <c r="I138" s="39">
        <v>436</v>
      </c>
      <c r="J138" s="39">
        <v>720.8</v>
      </c>
      <c r="K138" s="39">
        <v>689.6</v>
      </c>
      <c r="L138" s="39">
        <v>650.20000000000005</v>
      </c>
      <c r="M138" s="39">
        <v>659.2</v>
      </c>
      <c r="N138" s="39">
        <v>427.3</v>
      </c>
      <c r="O138" s="41">
        <v>733.5</v>
      </c>
    </row>
    <row r="139" spans="1:15" s="185" customFormat="1" ht="14.25" thickBot="1">
      <c r="A139" s="101" t="s">
        <v>20</v>
      </c>
      <c r="B139" s="191">
        <f t="shared" ref="B139:O139" si="10">B138/B137</f>
        <v>4.5112781954887216E-2</v>
      </c>
      <c r="C139" s="192">
        <f t="shared" si="10"/>
        <v>2.5144717800289436E-2</v>
      </c>
      <c r="D139" s="192">
        <f t="shared" si="10"/>
        <v>9.1290852656563809E-3</v>
      </c>
      <c r="E139" s="192">
        <f t="shared" si="10"/>
        <v>3.3613445378151259E-2</v>
      </c>
      <c r="F139" s="192">
        <f t="shared" si="10"/>
        <v>3.7919826652221017E-2</v>
      </c>
      <c r="G139" s="192">
        <f t="shared" si="10"/>
        <v>3.5746782789548938E-2</v>
      </c>
      <c r="H139" s="192">
        <f t="shared" si="10"/>
        <v>5.5586267585771176E-2</v>
      </c>
      <c r="I139" s="192">
        <f t="shared" si="10"/>
        <v>4.568027994887161E-2</v>
      </c>
      <c r="J139" s="192">
        <f t="shared" si="10"/>
        <v>7.0109229557148545E-2</v>
      </c>
      <c r="K139" s="192">
        <f t="shared" si="10"/>
        <v>6.636256904748157E-2</v>
      </c>
      <c r="L139" s="192">
        <f t="shared" si="10"/>
        <v>6.8339955014609738E-2</v>
      </c>
      <c r="M139" s="192">
        <f t="shared" si="10"/>
        <v>7.4357325753217615E-2</v>
      </c>
      <c r="N139" s="192">
        <f t="shared" si="10"/>
        <v>4.6096421674919362E-2</v>
      </c>
      <c r="O139" s="193">
        <f t="shared" si="10"/>
        <v>7.7007874015748032E-2</v>
      </c>
    </row>
    <row r="140" spans="1:15" ht="13.5">
      <c r="A140" s="5" t="s">
        <v>24</v>
      </c>
      <c r="B140" s="35"/>
      <c r="C140" s="35"/>
      <c r="D140" s="35"/>
      <c r="E140" s="35"/>
      <c r="F140" s="35"/>
      <c r="G140" s="35"/>
      <c r="H140" s="35"/>
      <c r="I140" s="26"/>
    </row>
    <row r="141" spans="1:15" ht="13.5">
      <c r="A141" s="5" t="s">
        <v>68</v>
      </c>
      <c r="B141" s="35"/>
      <c r="C141" s="35"/>
      <c r="D141" s="35"/>
      <c r="E141" s="35"/>
      <c r="F141" s="35"/>
      <c r="G141" s="35"/>
      <c r="H141" s="35"/>
      <c r="I141" s="4"/>
    </row>
    <row r="142" spans="1:15" ht="13.5">
      <c r="A142" s="5" t="s">
        <v>69</v>
      </c>
      <c r="B142" s="35"/>
      <c r="C142" s="35"/>
      <c r="D142" s="35"/>
      <c r="E142" s="43"/>
      <c r="F142" s="35"/>
      <c r="G142" s="35"/>
      <c r="H142" s="35"/>
      <c r="I142" s="14"/>
    </row>
    <row r="143" spans="1:15" ht="13.5">
      <c r="A143" s="5" t="s">
        <v>67</v>
      </c>
      <c r="B143" s="35"/>
      <c r="D143" s="35"/>
      <c r="E143" s="43"/>
      <c r="F143" s="35"/>
      <c r="G143" s="35"/>
      <c r="H143" s="35"/>
      <c r="I143" s="14"/>
    </row>
    <row r="145" spans="1:20" s="34" customFormat="1" ht="13.5" customHeight="1" thickBot="1"/>
    <row r="146" spans="1:20" s="18" customFormat="1" ht="13.5">
      <c r="B146" s="14"/>
      <c r="C146" s="14"/>
      <c r="D146" s="14"/>
      <c r="E146" s="14"/>
      <c r="F146" s="14"/>
      <c r="G146" s="14"/>
      <c r="H146" s="14"/>
      <c r="I146" s="14"/>
    </row>
    <row r="147" spans="1:20" ht="13.5">
      <c r="A147" s="22" t="s">
        <v>375</v>
      </c>
      <c r="B147" s="7" t="s">
        <v>306</v>
      </c>
      <c r="C147" s="14"/>
      <c r="D147" s="14"/>
      <c r="E147" s="14"/>
      <c r="F147" s="14"/>
      <c r="G147" s="14"/>
      <c r="H147" s="14"/>
      <c r="I147" s="14"/>
    </row>
    <row r="148" spans="1:20" ht="14.25" thickBot="1">
      <c r="A148" s="14"/>
      <c r="B148" s="14"/>
      <c r="C148" s="14"/>
      <c r="D148" s="14"/>
      <c r="E148" s="14"/>
      <c r="F148" s="14"/>
      <c r="G148" s="14"/>
      <c r="H148" s="14"/>
      <c r="I148" s="14"/>
    </row>
    <row r="149" spans="1:20" s="185" customFormat="1" ht="14.25" thickBot="1">
      <c r="A149" s="93"/>
      <c r="B149" s="188">
        <v>2004</v>
      </c>
      <c r="C149" s="2">
        <v>2005</v>
      </c>
      <c r="D149" s="2">
        <v>2006</v>
      </c>
      <c r="E149" s="2">
        <v>2007</v>
      </c>
      <c r="F149" s="2">
        <v>2008</v>
      </c>
      <c r="G149" s="36">
        <v>2009</v>
      </c>
      <c r="H149" s="36">
        <v>2010</v>
      </c>
      <c r="I149" s="36">
        <v>2011</v>
      </c>
      <c r="J149" s="36">
        <v>2012</v>
      </c>
      <c r="K149" s="36">
        <v>2013</v>
      </c>
      <c r="L149" s="2">
        <v>2014</v>
      </c>
      <c r="M149" s="2">
        <v>2015</v>
      </c>
      <c r="N149" s="151">
        <v>2016</v>
      </c>
    </row>
    <row r="150" spans="1:20" s="185" customFormat="1" ht="13.5">
      <c r="A150" s="92" t="s">
        <v>21</v>
      </c>
      <c r="B150" s="85">
        <v>30590</v>
      </c>
      <c r="C150" s="86">
        <v>33500</v>
      </c>
      <c r="D150" s="232">
        <v>37220</v>
      </c>
      <c r="E150" s="232">
        <v>37920</v>
      </c>
      <c r="F150" s="232">
        <v>40400</v>
      </c>
      <c r="G150" s="232">
        <v>39000</v>
      </c>
      <c r="H150" s="232">
        <v>37982.800000000003</v>
      </c>
      <c r="I150" s="37">
        <v>38223.4</v>
      </c>
      <c r="J150" s="37">
        <v>38998.9</v>
      </c>
      <c r="K150" s="37">
        <v>38316.800000000003</v>
      </c>
      <c r="L150" s="232" t="s">
        <v>4</v>
      </c>
      <c r="M150" s="37">
        <v>34831.699999999997</v>
      </c>
      <c r="N150" s="38">
        <v>35882.800000000003</v>
      </c>
    </row>
    <row r="151" spans="1:20" s="185" customFormat="1" ht="13.5">
      <c r="A151" s="97" t="s">
        <v>22</v>
      </c>
      <c r="B151" s="76">
        <v>2710</v>
      </c>
      <c r="C151" s="66">
        <v>2760</v>
      </c>
      <c r="D151" s="66">
        <v>3430</v>
      </c>
      <c r="E151" s="40">
        <v>2620</v>
      </c>
      <c r="F151" s="39">
        <v>1500</v>
      </c>
      <c r="G151" s="39">
        <v>1600</v>
      </c>
      <c r="H151" s="39">
        <v>1232.9000000000001</v>
      </c>
      <c r="I151" s="39">
        <v>1215.4000000000001</v>
      </c>
      <c r="J151" s="39">
        <v>1552.2</v>
      </c>
      <c r="K151" s="39">
        <v>1135.4000000000001</v>
      </c>
      <c r="L151" s="40" t="s">
        <v>4</v>
      </c>
      <c r="M151" s="39">
        <v>1040.4000000000001</v>
      </c>
      <c r="N151" s="41">
        <v>787.3</v>
      </c>
    </row>
    <row r="152" spans="1:20" s="185" customFormat="1" ht="14.25" thickBot="1">
      <c r="A152" s="101" t="s">
        <v>20</v>
      </c>
      <c r="B152" s="191">
        <f t="shared" ref="B152:N152" si="11">B151/B150</f>
        <v>8.8591042824452432E-2</v>
      </c>
      <c r="C152" s="192">
        <f t="shared" si="11"/>
        <v>8.2388059701492544E-2</v>
      </c>
      <c r="D152" s="192">
        <f t="shared" si="11"/>
        <v>9.2154755507791508E-2</v>
      </c>
      <c r="E152" s="192">
        <f t="shared" si="11"/>
        <v>6.9092827004219412E-2</v>
      </c>
      <c r="F152" s="192">
        <f t="shared" si="11"/>
        <v>3.7128712871287127E-2</v>
      </c>
      <c r="G152" s="192">
        <f t="shared" si="11"/>
        <v>4.1025641025641026E-2</v>
      </c>
      <c r="H152" s="192">
        <f t="shared" si="11"/>
        <v>3.2459429004707392E-2</v>
      </c>
      <c r="I152" s="192">
        <f t="shared" si="11"/>
        <v>3.1797276014169332E-2</v>
      </c>
      <c r="J152" s="192">
        <f t="shared" si="11"/>
        <v>3.9801122595765522E-2</v>
      </c>
      <c r="K152" s="192">
        <f t="shared" si="11"/>
        <v>2.9631910806747954E-2</v>
      </c>
      <c r="L152" s="192" t="s">
        <v>4</v>
      </c>
      <c r="M152" s="192">
        <f t="shared" si="11"/>
        <v>2.9869343155803484E-2</v>
      </c>
      <c r="N152" s="193">
        <f t="shared" si="11"/>
        <v>2.1940874179272516E-2</v>
      </c>
    </row>
    <row r="153" spans="1:20" ht="13.5">
      <c r="A153" s="5" t="s">
        <v>24</v>
      </c>
      <c r="B153" s="35"/>
      <c r="C153" s="35"/>
      <c r="D153" s="35"/>
      <c r="E153" s="35"/>
      <c r="F153" s="35"/>
      <c r="G153" s="35"/>
      <c r="H153" s="35"/>
      <c r="I153" s="26"/>
    </row>
    <row r="154" spans="1:20" ht="13.5">
      <c r="A154" s="5" t="s">
        <v>68</v>
      </c>
      <c r="B154" s="35"/>
      <c r="C154" s="35"/>
      <c r="D154" s="35"/>
      <c r="E154" s="35"/>
      <c r="F154" s="35"/>
      <c r="G154" s="35"/>
      <c r="H154" s="35"/>
      <c r="I154" s="4"/>
    </row>
    <row r="155" spans="1:20" ht="13.5">
      <c r="A155" s="5" t="s">
        <v>69</v>
      </c>
      <c r="B155" s="35"/>
      <c r="C155" s="35"/>
      <c r="D155" s="35"/>
      <c r="E155" s="43"/>
      <c r="F155" s="35"/>
      <c r="G155" s="35"/>
      <c r="H155" s="35"/>
      <c r="I155" s="14"/>
    </row>
    <row r="156" spans="1:20" ht="13.5">
      <c r="A156" s="5" t="s">
        <v>67</v>
      </c>
      <c r="B156" s="35"/>
      <c r="C156" s="35"/>
      <c r="D156" s="35"/>
      <c r="E156" s="43"/>
      <c r="F156" s="35"/>
      <c r="G156" s="35"/>
      <c r="H156" s="35"/>
      <c r="I156" s="14"/>
    </row>
    <row r="159" spans="1:20" s="33" customFormat="1" ht="21.75" customHeight="1">
      <c r="A159" s="260" t="s">
        <v>175</v>
      </c>
      <c r="B159" s="261"/>
      <c r="C159" s="261"/>
      <c r="D159" s="261"/>
      <c r="E159" s="261"/>
      <c r="F159" s="261"/>
      <c r="G159" s="261"/>
      <c r="H159" s="261"/>
      <c r="I159" s="261"/>
      <c r="J159" s="261"/>
      <c r="K159" s="261"/>
      <c r="L159" s="261"/>
      <c r="M159" s="261"/>
      <c r="N159" s="261"/>
      <c r="O159" s="261"/>
      <c r="P159" s="261"/>
      <c r="Q159" s="261"/>
      <c r="R159" s="261"/>
      <c r="S159" s="261"/>
      <c r="T159" s="261"/>
    </row>
    <row r="161" spans="1:16" ht="13.5">
      <c r="A161" s="22" t="s">
        <v>420</v>
      </c>
      <c r="B161" s="7" t="s">
        <v>308</v>
      </c>
      <c r="C161" s="15"/>
      <c r="D161" s="14"/>
      <c r="E161" s="14"/>
      <c r="F161" s="14"/>
      <c r="G161" s="14"/>
      <c r="H161" s="14"/>
    </row>
    <row r="162" spans="1:16" ht="14.25" thickBot="1">
      <c r="A162" s="14"/>
      <c r="B162" s="14"/>
      <c r="C162" s="14"/>
      <c r="D162" s="14"/>
      <c r="E162" s="14"/>
      <c r="F162" s="14"/>
      <c r="G162" s="14"/>
      <c r="H162" s="14"/>
    </row>
    <row r="163" spans="1:16" s="185" customFormat="1" ht="14.25" thickBot="1">
      <c r="A163" s="93"/>
      <c r="B163" s="89">
        <v>2001</v>
      </c>
      <c r="C163" s="36">
        <v>2002</v>
      </c>
      <c r="D163" s="2">
        <v>2003</v>
      </c>
      <c r="E163" s="36">
        <v>2004</v>
      </c>
      <c r="F163" s="2">
        <v>2005</v>
      </c>
      <c r="G163" s="2">
        <v>2006</v>
      </c>
      <c r="H163" s="2">
        <v>2007</v>
      </c>
      <c r="I163" s="2">
        <v>2008</v>
      </c>
      <c r="J163" s="36">
        <v>2009</v>
      </c>
      <c r="K163" s="36">
        <v>2010</v>
      </c>
      <c r="L163" s="2">
        <v>2011</v>
      </c>
      <c r="M163" s="2">
        <v>2012</v>
      </c>
      <c r="N163" s="2">
        <v>2013</v>
      </c>
      <c r="O163" s="2">
        <v>2014</v>
      </c>
      <c r="P163" s="151">
        <v>2015</v>
      </c>
    </row>
    <row r="164" spans="1:16" s="185" customFormat="1" ht="13.5">
      <c r="A164" s="92" t="s">
        <v>21</v>
      </c>
      <c r="B164" s="85">
        <v>6566</v>
      </c>
      <c r="C164" s="86">
        <v>6232</v>
      </c>
      <c r="D164" s="86">
        <v>6013</v>
      </c>
      <c r="E164" s="86">
        <v>6129</v>
      </c>
      <c r="F164" s="86">
        <v>5372</v>
      </c>
      <c r="G164" s="232">
        <v>5780</v>
      </c>
      <c r="H164" s="232">
        <v>5840</v>
      </c>
      <c r="I164" s="232">
        <v>4220</v>
      </c>
      <c r="J164" s="232">
        <v>3099</v>
      </c>
      <c r="K164" s="37">
        <v>3920.6</v>
      </c>
      <c r="L164" s="37">
        <v>3988.7</v>
      </c>
      <c r="M164" s="232">
        <v>4362.5</v>
      </c>
      <c r="N164" s="37">
        <v>4537.2</v>
      </c>
      <c r="O164" s="232">
        <v>4475</v>
      </c>
      <c r="P164" s="38">
        <v>4736.7</v>
      </c>
    </row>
    <row r="165" spans="1:16" s="185" customFormat="1" ht="13.5">
      <c r="A165" s="97" t="s">
        <v>66</v>
      </c>
      <c r="B165" s="76" t="s">
        <v>4</v>
      </c>
      <c r="C165" s="66" t="s">
        <v>4</v>
      </c>
      <c r="D165" s="66" t="s">
        <v>4</v>
      </c>
      <c r="E165" s="66">
        <v>3320</v>
      </c>
      <c r="F165" s="66">
        <v>2980</v>
      </c>
      <c r="G165" s="39">
        <v>3880</v>
      </c>
      <c r="H165" s="40">
        <v>4020</v>
      </c>
      <c r="I165" s="40">
        <v>2780</v>
      </c>
      <c r="J165" s="40">
        <v>1949</v>
      </c>
      <c r="K165" s="39">
        <v>2390.8000000000002</v>
      </c>
      <c r="L165" s="39">
        <v>2472</v>
      </c>
      <c r="M165" s="40">
        <v>0</v>
      </c>
      <c r="N165" s="39">
        <v>0</v>
      </c>
      <c r="O165" s="40">
        <v>0</v>
      </c>
      <c r="P165" s="41">
        <v>0</v>
      </c>
    </row>
    <row r="166" spans="1:16" s="185" customFormat="1" ht="13.5">
      <c r="A166" s="97" t="s">
        <v>22</v>
      </c>
      <c r="B166" s="76">
        <v>698</v>
      </c>
      <c r="C166" s="66">
        <v>543</v>
      </c>
      <c r="D166" s="66">
        <v>359</v>
      </c>
      <c r="E166" s="66">
        <v>399</v>
      </c>
      <c r="F166" s="66">
        <v>225</v>
      </c>
      <c r="G166" s="66">
        <v>210</v>
      </c>
      <c r="H166" s="40">
        <v>90</v>
      </c>
      <c r="I166" s="39">
        <v>-470</v>
      </c>
      <c r="J166" s="39">
        <v>-575</v>
      </c>
      <c r="K166" s="39">
        <v>-60.2</v>
      </c>
      <c r="L166" s="39">
        <v>-5.4</v>
      </c>
      <c r="M166" s="40">
        <v>44.1</v>
      </c>
      <c r="N166" s="39">
        <v>-128.1</v>
      </c>
      <c r="O166" s="40">
        <v>-126.6</v>
      </c>
      <c r="P166" s="41">
        <v>128.69999999999999</v>
      </c>
    </row>
    <row r="167" spans="1:16" s="185" customFormat="1" ht="14.25" thickBot="1">
      <c r="A167" s="101" t="s">
        <v>20</v>
      </c>
      <c r="B167" s="191">
        <f t="shared" ref="B167:P167" si="12">B166/B164</f>
        <v>0.10630520865062443</v>
      </c>
      <c r="C167" s="192">
        <f t="shared" si="12"/>
        <v>8.7130937098844674E-2</v>
      </c>
      <c r="D167" s="192">
        <f t="shared" si="12"/>
        <v>5.9703974721436889E-2</v>
      </c>
      <c r="E167" s="192">
        <f t="shared" si="12"/>
        <v>6.5100342633382283E-2</v>
      </c>
      <c r="F167" s="192">
        <f t="shared" si="12"/>
        <v>4.1883842144452718E-2</v>
      </c>
      <c r="G167" s="192">
        <f t="shared" si="12"/>
        <v>3.6332179930795849E-2</v>
      </c>
      <c r="H167" s="192">
        <f t="shared" si="12"/>
        <v>1.5410958904109588E-2</v>
      </c>
      <c r="I167" s="192">
        <f t="shared" si="12"/>
        <v>-0.11137440758293839</v>
      </c>
      <c r="J167" s="192">
        <f t="shared" si="12"/>
        <v>-0.18554372378186512</v>
      </c>
      <c r="K167" s="106">
        <f t="shared" si="12"/>
        <v>-1.5354792633780544E-2</v>
      </c>
      <c r="L167" s="192">
        <f t="shared" si="12"/>
        <v>-1.3538245543660843E-3</v>
      </c>
      <c r="M167" s="192">
        <f t="shared" si="12"/>
        <v>1.0108882521489972E-2</v>
      </c>
      <c r="N167" s="192">
        <f t="shared" si="12"/>
        <v>-2.8233271621264214E-2</v>
      </c>
      <c r="O167" s="192">
        <f t="shared" si="12"/>
        <v>-2.8290502793296087E-2</v>
      </c>
      <c r="P167" s="193">
        <f t="shared" si="12"/>
        <v>2.7170815124453733E-2</v>
      </c>
    </row>
    <row r="168" spans="1:16">
      <c r="A168" s="5" t="s">
        <v>24</v>
      </c>
      <c r="B168" s="35"/>
      <c r="C168" s="35"/>
      <c r="D168" s="35"/>
      <c r="E168" s="35"/>
      <c r="F168" s="35"/>
      <c r="G168" s="35"/>
      <c r="H168" s="35"/>
    </row>
    <row r="169" spans="1:16" ht="13.5">
      <c r="A169" s="5" t="s">
        <v>23</v>
      </c>
      <c r="B169" s="35"/>
      <c r="C169" s="35"/>
      <c r="D169" s="35"/>
      <c r="E169" s="27"/>
      <c r="F169" s="27"/>
      <c r="G169" s="27"/>
      <c r="H169" s="27"/>
      <c r="I169" s="27"/>
      <c r="J169" s="27"/>
      <c r="K169" s="27"/>
    </row>
    <row r="170" spans="1:16">
      <c r="A170" s="5" t="s">
        <v>67</v>
      </c>
      <c r="B170" s="35"/>
      <c r="C170" s="35"/>
      <c r="D170" s="35"/>
      <c r="E170" s="35"/>
      <c r="F170" s="35"/>
      <c r="G170" s="35"/>
      <c r="H170" s="35"/>
    </row>
    <row r="171" spans="1:16" ht="14.25">
      <c r="B171" s="3"/>
      <c r="C171" s="3"/>
      <c r="D171" s="3"/>
      <c r="E171" s="3"/>
      <c r="F171" s="3"/>
      <c r="G171" s="3"/>
      <c r="H171" s="3"/>
      <c r="I171" s="3"/>
    </row>
    <row r="172" spans="1:16" s="34" customFormat="1" ht="13.5" customHeight="1" thickBot="1"/>
    <row r="173" spans="1:16" s="18" customFormat="1" ht="13.5">
      <c r="B173" s="14"/>
      <c r="C173" s="14"/>
      <c r="D173" s="14"/>
      <c r="E173" s="14"/>
      <c r="F173" s="14"/>
      <c r="G173" s="14"/>
      <c r="H173" s="14"/>
      <c r="I173" s="14"/>
    </row>
    <row r="174" spans="1:16" ht="13.5">
      <c r="A174" s="22" t="s">
        <v>421</v>
      </c>
      <c r="B174" s="7" t="s">
        <v>307</v>
      </c>
      <c r="C174" s="14"/>
      <c r="D174" s="14"/>
      <c r="E174" s="14"/>
      <c r="F174" s="14"/>
      <c r="G174" s="14"/>
      <c r="H174" s="14"/>
      <c r="I174" s="14"/>
    </row>
    <row r="175" spans="1:16" ht="14.25" thickBot="1">
      <c r="A175" s="14"/>
      <c r="B175" s="14"/>
      <c r="C175" s="14"/>
      <c r="D175" s="14"/>
      <c r="E175" s="14"/>
      <c r="F175" s="14"/>
      <c r="G175" s="14"/>
      <c r="H175" s="14"/>
      <c r="I175" s="14"/>
    </row>
    <row r="176" spans="1:16" s="185" customFormat="1" ht="14.25" thickBot="1">
      <c r="A176" s="93"/>
      <c r="B176" s="188">
        <v>2003</v>
      </c>
      <c r="C176" s="36">
        <v>2004</v>
      </c>
      <c r="D176" s="2">
        <v>2005</v>
      </c>
      <c r="E176" s="2">
        <v>2006</v>
      </c>
      <c r="F176" s="2">
        <v>2007</v>
      </c>
      <c r="G176" s="2">
        <v>2008</v>
      </c>
      <c r="H176" s="36">
        <v>2009</v>
      </c>
      <c r="I176" s="36">
        <v>2010</v>
      </c>
      <c r="J176" s="36">
        <v>2011</v>
      </c>
      <c r="K176" s="36">
        <v>2012</v>
      </c>
      <c r="L176" s="36">
        <v>2013</v>
      </c>
      <c r="M176" s="2">
        <v>2014</v>
      </c>
      <c r="N176" s="2">
        <v>2015</v>
      </c>
      <c r="O176" s="151">
        <v>2016</v>
      </c>
    </row>
    <row r="177" spans="1:15" s="185" customFormat="1" ht="13.5">
      <c r="A177" s="92" t="s">
        <v>21</v>
      </c>
      <c r="B177" s="85">
        <v>16782</v>
      </c>
      <c r="C177" s="86">
        <v>19081</v>
      </c>
      <c r="D177" s="86">
        <v>21713</v>
      </c>
      <c r="E177" s="232">
        <v>21930</v>
      </c>
      <c r="F177" s="232">
        <v>27170</v>
      </c>
      <c r="G177" s="232">
        <v>32100</v>
      </c>
      <c r="H177" s="232">
        <v>21080</v>
      </c>
      <c r="I177" s="232">
        <v>24041.5</v>
      </c>
      <c r="J177" s="232">
        <v>24905.200000000001</v>
      </c>
      <c r="K177" s="37">
        <v>28103.8</v>
      </c>
      <c r="L177" s="37">
        <v>28400.7</v>
      </c>
      <c r="M177" s="37">
        <v>27316.1</v>
      </c>
      <c r="N177" s="232">
        <v>30899.200000000001</v>
      </c>
      <c r="O177" s="38">
        <v>31939.5</v>
      </c>
    </row>
    <row r="178" spans="1:15" s="185" customFormat="1" ht="13.5">
      <c r="A178" s="97" t="s">
        <v>66</v>
      </c>
      <c r="B178" s="76" t="s">
        <v>4</v>
      </c>
      <c r="C178" s="66">
        <v>13750</v>
      </c>
      <c r="D178" s="66">
        <v>15790</v>
      </c>
      <c r="E178" s="40">
        <v>16170</v>
      </c>
      <c r="F178" s="40">
        <v>21350</v>
      </c>
      <c r="G178" s="40">
        <v>25850</v>
      </c>
      <c r="H178" s="40">
        <v>15430</v>
      </c>
      <c r="I178" s="40">
        <v>18433.400000000001</v>
      </c>
      <c r="J178" s="40">
        <v>20520.8</v>
      </c>
      <c r="K178" s="39">
        <v>22613.8</v>
      </c>
      <c r="L178" s="39">
        <v>23882.2</v>
      </c>
      <c r="M178" s="66" t="s">
        <v>4</v>
      </c>
      <c r="N178" s="66" t="s">
        <v>4</v>
      </c>
      <c r="O178" s="71" t="s">
        <v>4</v>
      </c>
    </row>
    <row r="179" spans="1:15" s="185" customFormat="1" ht="13.5">
      <c r="A179" s="97" t="s">
        <v>22</v>
      </c>
      <c r="B179" s="76">
        <v>929</v>
      </c>
      <c r="C179" s="66">
        <v>791</v>
      </c>
      <c r="D179" s="66">
        <v>825</v>
      </c>
      <c r="E179" s="66">
        <v>800</v>
      </c>
      <c r="F179" s="40">
        <v>1180</v>
      </c>
      <c r="G179" s="39">
        <v>2970</v>
      </c>
      <c r="H179" s="39">
        <v>1480</v>
      </c>
      <c r="I179" s="39">
        <v>1598.6</v>
      </c>
      <c r="J179" s="39">
        <v>665.5</v>
      </c>
      <c r="K179" s="39">
        <v>1750.2</v>
      </c>
      <c r="L179" s="39">
        <v>1903.8</v>
      </c>
      <c r="M179" s="39">
        <v>1998.1</v>
      </c>
      <c r="N179" s="40">
        <v>2672.4</v>
      </c>
      <c r="O179" s="41">
        <v>2632.8</v>
      </c>
    </row>
    <row r="180" spans="1:15" s="185" customFormat="1" ht="14.25" thickBot="1">
      <c r="A180" s="101" t="s">
        <v>20</v>
      </c>
      <c r="B180" s="191">
        <f t="shared" ref="B180:O180" si="13">B179/B177</f>
        <v>5.5356930044094865E-2</v>
      </c>
      <c r="C180" s="192">
        <f t="shared" si="13"/>
        <v>4.1454850374718306E-2</v>
      </c>
      <c r="D180" s="192">
        <f t="shared" si="13"/>
        <v>3.7995670796297148E-2</v>
      </c>
      <c r="E180" s="192">
        <f t="shared" si="13"/>
        <v>3.6479708162334701E-2</v>
      </c>
      <c r="F180" s="192">
        <f t="shared" si="13"/>
        <v>4.3430253956569749E-2</v>
      </c>
      <c r="G180" s="192">
        <f t="shared" si="13"/>
        <v>9.2523364485981308E-2</v>
      </c>
      <c r="H180" s="192">
        <f t="shared" si="13"/>
        <v>7.020872865275142E-2</v>
      </c>
      <c r="I180" s="192">
        <f t="shared" si="13"/>
        <v>6.6493355239897675E-2</v>
      </c>
      <c r="J180" s="192">
        <f t="shared" si="13"/>
        <v>2.6721327273019287E-2</v>
      </c>
      <c r="K180" s="106">
        <f t="shared" si="13"/>
        <v>6.2276275806118747E-2</v>
      </c>
      <c r="L180" s="106">
        <f t="shared" si="13"/>
        <v>6.703355903199569E-2</v>
      </c>
      <c r="M180" s="192">
        <f t="shared" si="13"/>
        <v>7.3147338016773991E-2</v>
      </c>
      <c r="N180" s="192">
        <f t="shared" si="13"/>
        <v>8.6487676056338031E-2</v>
      </c>
      <c r="O180" s="193">
        <f t="shared" si="13"/>
        <v>8.2430845817874424E-2</v>
      </c>
    </row>
    <row r="181" spans="1:15" ht="13.5">
      <c r="A181" s="5" t="s">
        <v>24</v>
      </c>
      <c r="B181" s="35"/>
      <c r="C181" s="35"/>
      <c r="D181" s="35"/>
      <c r="E181" s="35"/>
      <c r="F181" s="35"/>
      <c r="G181" s="35"/>
      <c r="H181" s="35"/>
      <c r="I181" s="26"/>
    </row>
    <row r="182" spans="1:15" ht="13.5">
      <c r="A182" s="5" t="s">
        <v>23</v>
      </c>
      <c r="B182" s="35"/>
      <c r="C182" s="35"/>
      <c r="D182" s="35"/>
      <c r="E182" s="27"/>
      <c r="F182" s="27"/>
      <c r="G182" s="27"/>
      <c r="H182" s="27"/>
      <c r="I182" s="27"/>
      <c r="J182" s="27"/>
      <c r="K182" s="27"/>
    </row>
    <row r="183" spans="1:15" ht="13.5">
      <c r="A183" s="5" t="s">
        <v>67</v>
      </c>
      <c r="B183" s="35"/>
      <c r="C183" s="35"/>
      <c r="D183" s="35"/>
      <c r="E183" s="42"/>
      <c r="F183" s="42"/>
      <c r="G183" s="42"/>
      <c r="H183" s="42"/>
      <c r="I183" s="42"/>
      <c r="J183" s="42"/>
      <c r="K183" s="27"/>
    </row>
    <row r="185" spans="1:15" s="34" customFormat="1" ht="13.5" customHeight="1" thickBot="1"/>
    <row r="186" spans="1:15" s="18" customFormat="1" ht="13.5">
      <c r="B186" s="14"/>
      <c r="C186" s="14"/>
      <c r="D186" s="14"/>
      <c r="E186" s="14"/>
      <c r="F186" s="14"/>
      <c r="G186" s="14"/>
      <c r="H186" s="14"/>
      <c r="I186" s="14"/>
    </row>
  </sheetData>
  <sheetProtection algorithmName="SHA-512" hashValue="Zw3GTDLiDiQf8vq2gpLGDJYsaAIBLxWs8topOiX65W9k3RoLpjNw5d6XvIAep7ba6P+GJi3pezZUkK6LD7Uiag==" saltValue="vE0lKc3n49AFBsMfgXib4Q==" spinCount="100000" sheet="1" formatCells="0" formatColumns="0" formatRows="0" insertColumns="0" insertRows="0" insertHyperlinks="0" deleteColumns="0" deleteRows="0" sort="0" autoFilter="0" pivotTables="0"/>
  <phoneticPr fontId="0" type="noConversion"/>
  <pageMargins left="0.74803149606299213" right="0.74803149606299213" top="0.98425196850393704" bottom="0.98425196850393704" header="0.51181102362204722" footer="0.51181102362204722"/>
  <pageSetup paperSize="9" scale="65" orientation="landscape" r:id="rId1"/>
  <headerFooter alignWithMargins="0">
    <oddHeader>&amp;CProfils</oddHeader>
    <oddFooter>&amp;L&amp;"StopD,Normal"&amp;26MSI &amp;"Arial,Normal"&amp;10Reports
www.msi-reports.com&amp;RMarché de la Robinetterie Sanitaire en France
Octobre 2018</oddFooter>
  </headerFooter>
  <rowBreaks count="5" manualBreakCount="5">
    <brk id="42" max="16383" man="1"/>
    <brk id="54" max="16383" man="1"/>
    <brk id="82" max="16383" man="1"/>
    <brk id="133" max="16383" man="1"/>
    <brk id="15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6</vt:i4>
      </vt:variant>
    </vt:vector>
  </HeadingPairs>
  <TitlesOfParts>
    <vt:vector size="12" baseType="lpstr">
      <vt:lpstr>PEISR</vt:lpstr>
      <vt:lpstr>Taille de Marché</vt:lpstr>
      <vt:lpstr>Échanges Internationaux</vt:lpstr>
      <vt:lpstr>Distribution</vt:lpstr>
      <vt:lpstr>Parts de Marché</vt:lpstr>
      <vt:lpstr>Profils</vt:lpstr>
      <vt:lpstr>Distribution!Zone_d_impression</vt:lpstr>
      <vt:lpstr>'Échanges Internationaux'!Zone_d_impression</vt:lpstr>
      <vt:lpstr>'Parts de Marché'!Zone_d_impression</vt:lpstr>
      <vt:lpstr>PEISR!Zone_d_impression</vt:lpstr>
      <vt:lpstr>Profils!Zone_d_impression</vt:lpstr>
      <vt:lpstr>'Taille de Marché'!Zone_d_impression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Marché de la Robinetterie Sanitaire en France</dc:title>
  <dc:subject>étude de marché, taille de marché et prévisions, étude sectorielle</dc:subject>
  <dc:creator>MSI Reports</dc:creator>
  <cp:keywords>robinetterie sanitaire, robinetterie domestique, robinetterie de collectivités, lavabos, vasques, douche bain et bain-douche, mitigeurs, mélangeurs, mitigeurs thermostatiques, robinetterie sanitaire domestique pour cuisine sans douchette, robinetterie sanitaire domestique pour cuisine avec douchette, mitigeurs temporisés, robinets temporisés, mitigeurs électroniques, ensembliers sanitaires</cp:keywords>
  <cp:lastModifiedBy>Geneviève Carvin</cp:lastModifiedBy>
  <cp:lastPrinted>2018-10-16T09:01:36Z</cp:lastPrinted>
  <dcterms:created xsi:type="dcterms:W3CDTF">1996-10-14T23:33:28Z</dcterms:created>
  <dcterms:modified xsi:type="dcterms:W3CDTF">2018-10-16T09:02:17Z</dcterms:modified>
</cp:coreProperties>
</file>