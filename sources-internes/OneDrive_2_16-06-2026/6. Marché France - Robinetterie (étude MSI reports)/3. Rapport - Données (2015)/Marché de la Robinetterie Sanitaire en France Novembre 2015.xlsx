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Z:\MSI Reports sarl WIP\Production\Robinetterie\"/>
    </mc:Choice>
  </mc:AlternateContent>
  <bookViews>
    <workbookView xWindow="0" yWindow="0" windowWidth="44280" windowHeight="12360" tabRatio="897" activeTab="1"/>
  </bookViews>
  <sheets>
    <sheet name="PEISR" sheetId="29" r:id="rId1"/>
    <sheet name="Taille de Marché" sheetId="3" r:id="rId2"/>
    <sheet name="Échanges Internationaux" sheetId="25" r:id="rId3"/>
    <sheet name="Distribution" sheetId="27" r:id="rId4"/>
    <sheet name="Parts de Marché" sheetId="22" r:id="rId5"/>
    <sheet name="Profils" sheetId="20" r:id="rId6"/>
  </sheets>
  <definedNames>
    <definedName name="_xlnm.Print_Area" localSheetId="3">Distribution!$A$1:$AJ$69</definedName>
    <definedName name="_xlnm.Print_Area" localSheetId="2">'Échanges Internationaux'!$A$1:$U$142</definedName>
    <definedName name="_xlnm.Print_Area" localSheetId="4">'Parts de Marché'!$A$1:$P$27</definedName>
    <definedName name="_xlnm.Print_Area" localSheetId="0">PEISR!$A$1:$P$632</definedName>
    <definedName name="_xlnm.Print_Area" localSheetId="5">Profils!$A$1:$T$159</definedName>
    <definedName name="_xlnm.Print_Area" localSheetId="1">'Taille de Marché'!$A$1:$U$315</definedName>
  </definedNames>
  <calcPr calcId="152511"/>
  <customWorkbookViews>
    <customWorkbookView name="Maud - Personal View" guid="{6EFF7B11-DE7E-4129-AF78-EEA0AB3489F2}" mergeInterval="0" personalView="1" maximized="1" windowWidth="1020" windowHeight="596" tabRatio="897" activeSheetId="13"/>
  </customWorkbookViews>
</workbook>
</file>

<file path=xl/calcChain.xml><?xml version="1.0" encoding="utf-8"?>
<calcChain xmlns="http://schemas.openxmlformats.org/spreadsheetml/2006/main">
  <c r="B604" i="29" l="1"/>
  <c r="C600" i="29" s="1"/>
  <c r="B590" i="29"/>
  <c r="C586" i="29" s="1"/>
  <c r="M370" i="29"/>
  <c r="P346" i="29"/>
  <c r="O346" i="29"/>
  <c r="N346" i="29"/>
  <c r="M346" i="29"/>
  <c r="L346" i="29"/>
  <c r="K346" i="29"/>
  <c r="J346" i="29"/>
  <c r="I346" i="29"/>
  <c r="H346" i="29"/>
  <c r="G346" i="29"/>
  <c r="F346" i="29"/>
  <c r="E346" i="29"/>
  <c r="D346" i="29"/>
  <c r="C346" i="29"/>
  <c r="B346" i="29"/>
  <c r="P343" i="29"/>
  <c r="O343" i="29"/>
  <c r="N343" i="29"/>
  <c r="M343" i="29"/>
  <c r="L343" i="29"/>
  <c r="K343" i="29"/>
  <c r="J343" i="29"/>
  <c r="I343" i="29"/>
  <c r="H343" i="29"/>
  <c r="G343" i="29"/>
  <c r="F343" i="29"/>
  <c r="E343" i="29"/>
  <c r="D343" i="29"/>
  <c r="C343" i="29"/>
  <c r="B343" i="29"/>
  <c r="P340" i="29"/>
  <c r="O340" i="29"/>
  <c r="N340" i="29"/>
  <c r="M340" i="29"/>
  <c r="L340" i="29"/>
  <c r="K340" i="29"/>
  <c r="J340" i="29"/>
  <c r="I340" i="29"/>
  <c r="H340" i="29"/>
  <c r="G340" i="29"/>
  <c r="F340" i="29"/>
  <c r="E340" i="29"/>
  <c r="D340" i="29"/>
  <c r="C340" i="29"/>
  <c r="B340" i="29"/>
  <c r="H299" i="29"/>
  <c r="G299" i="29"/>
  <c r="F299" i="29"/>
  <c r="E299" i="29"/>
  <c r="D299" i="29"/>
  <c r="C299" i="29"/>
  <c r="B299" i="29"/>
  <c r="M291" i="29"/>
  <c r="L291" i="29"/>
  <c r="K291" i="29"/>
  <c r="J291" i="29"/>
  <c r="I291" i="29"/>
  <c r="H291" i="29"/>
  <c r="G291" i="29"/>
  <c r="F291" i="29"/>
  <c r="E291" i="29"/>
  <c r="D291" i="29"/>
  <c r="C291" i="29"/>
  <c r="B291" i="29"/>
  <c r="M283" i="29"/>
  <c r="L283" i="29"/>
  <c r="K283" i="29"/>
  <c r="J283" i="29"/>
  <c r="I283" i="29"/>
  <c r="H283" i="29"/>
  <c r="G283" i="29"/>
  <c r="F283" i="29"/>
  <c r="E283" i="29"/>
  <c r="D283" i="29"/>
  <c r="C283" i="29"/>
  <c r="B283" i="29"/>
  <c r="M275" i="29"/>
  <c r="L275" i="29"/>
  <c r="K275" i="29"/>
  <c r="J275" i="29"/>
  <c r="I275" i="29"/>
  <c r="H275" i="29"/>
  <c r="G275" i="29"/>
  <c r="F275" i="29"/>
  <c r="E275" i="29"/>
  <c r="D275" i="29"/>
  <c r="C275" i="29"/>
  <c r="B275" i="29"/>
  <c r="M267" i="29"/>
  <c r="L267" i="29"/>
  <c r="K267" i="29"/>
  <c r="J267" i="29"/>
  <c r="I267" i="29"/>
  <c r="H267" i="29"/>
  <c r="G267" i="29"/>
  <c r="F267" i="29"/>
  <c r="E267" i="29"/>
  <c r="D267" i="29"/>
  <c r="C267" i="29"/>
  <c r="B267" i="29"/>
  <c r="M259" i="29"/>
  <c r="L259" i="29"/>
  <c r="K259" i="29"/>
  <c r="J259" i="29"/>
  <c r="I259" i="29"/>
  <c r="H259" i="29"/>
  <c r="G259" i="29"/>
  <c r="F259" i="29"/>
  <c r="E259" i="29"/>
  <c r="D259" i="29"/>
  <c r="C259" i="29"/>
  <c r="B259" i="29"/>
  <c r="M251" i="29"/>
  <c r="L251" i="29"/>
  <c r="K251" i="29"/>
  <c r="J251" i="29"/>
  <c r="I251" i="29"/>
  <c r="H251" i="29"/>
  <c r="G251" i="29"/>
  <c r="F251" i="29"/>
  <c r="E251" i="29"/>
  <c r="D251" i="29"/>
  <c r="C251" i="29"/>
  <c r="B251" i="29"/>
  <c r="H235" i="29"/>
  <c r="G235" i="29"/>
  <c r="F235" i="29"/>
  <c r="E235" i="29"/>
  <c r="D235" i="29"/>
  <c r="C235" i="29"/>
  <c r="B235" i="29"/>
  <c r="M227" i="29"/>
  <c r="L227" i="29"/>
  <c r="K227" i="29"/>
  <c r="J227" i="29"/>
  <c r="I227" i="29"/>
  <c r="H227" i="29"/>
  <c r="G227" i="29"/>
  <c r="F227" i="29"/>
  <c r="E227" i="29"/>
  <c r="D227" i="29"/>
  <c r="C227" i="29"/>
  <c r="B227" i="29"/>
  <c r="M219" i="29"/>
  <c r="L219" i="29"/>
  <c r="K219" i="29"/>
  <c r="J219" i="29"/>
  <c r="I219" i="29"/>
  <c r="H219" i="29"/>
  <c r="G219" i="29"/>
  <c r="F219" i="29"/>
  <c r="E219" i="29"/>
  <c r="D219" i="29"/>
  <c r="C219" i="29"/>
  <c r="B219" i="29"/>
  <c r="M211" i="29"/>
  <c r="L211" i="29"/>
  <c r="K211" i="29"/>
  <c r="J211" i="29"/>
  <c r="I211" i="29"/>
  <c r="H211" i="29"/>
  <c r="G211" i="29"/>
  <c r="F211" i="29"/>
  <c r="E211" i="29"/>
  <c r="D211" i="29"/>
  <c r="C211" i="29"/>
  <c r="B211" i="29"/>
  <c r="M203" i="29"/>
  <c r="L203" i="29"/>
  <c r="K203" i="29"/>
  <c r="J203" i="29"/>
  <c r="I203" i="29"/>
  <c r="H203" i="29"/>
  <c r="G203" i="29"/>
  <c r="F203" i="29"/>
  <c r="E203" i="29"/>
  <c r="D203" i="29"/>
  <c r="C203" i="29"/>
  <c r="B203" i="29"/>
  <c r="M195" i="29"/>
  <c r="L195" i="29"/>
  <c r="K195" i="29"/>
  <c r="J195" i="29"/>
  <c r="I195" i="29"/>
  <c r="H195" i="29"/>
  <c r="G195" i="29"/>
  <c r="F195" i="29"/>
  <c r="E195" i="29"/>
  <c r="D195" i="29"/>
  <c r="C195" i="29"/>
  <c r="B195" i="29"/>
  <c r="M187" i="29"/>
  <c r="L187" i="29"/>
  <c r="K187" i="29"/>
  <c r="J187" i="29"/>
  <c r="I187" i="29"/>
  <c r="H187" i="29"/>
  <c r="G187" i="29"/>
  <c r="F187" i="29"/>
  <c r="E187" i="29"/>
  <c r="D187" i="29"/>
  <c r="C187" i="29"/>
  <c r="B187" i="29"/>
  <c r="H171" i="29"/>
  <c r="G171" i="29"/>
  <c r="F171" i="29"/>
  <c r="E171" i="29"/>
  <c r="D171" i="29"/>
  <c r="C171" i="29"/>
  <c r="B171" i="29"/>
  <c r="M163" i="29"/>
  <c r="L163" i="29"/>
  <c r="K163" i="29"/>
  <c r="J163" i="29"/>
  <c r="I163" i="29"/>
  <c r="H163" i="29"/>
  <c r="G163" i="29"/>
  <c r="F163" i="29"/>
  <c r="E163" i="29"/>
  <c r="D163" i="29"/>
  <c r="C163" i="29"/>
  <c r="B163" i="29"/>
  <c r="M155" i="29"/>
  <c r="L155" i="29"/>
  <c r="K155" i="29"/>
  <c r="J155" i="29"/>
  <c r="I155" i="29"/>
  <c r="H155" i="29"/>
  <c r="G155" i="29"/>
  <c r="F155" i="29"/>
  <c r="E155" i="29"/>
  <c r="D155" i="29"/>
  <c r="C155" i="29"/>
  <c r="B155" i="29"/>
  <c r="M147" i="29"/>
  <c r="L147" i="29"/>
  <c r="K147" i="29"/>
  <c r="J147" i="29"/>
  <c r="I147" i="29"/>
  <c r="H147" i="29"/>
  <c r="G147" i="29"/>
  <c r="F147" i="29"/>
  <c r="E147" i="29"/>
  <c r="D147" i="29"/>
  <c r="C147" i="29"/>
  <c r="B147" i="29"/>
  <c r="M139" i="29"/>
  <c r="L139" i="29"/>
  <c r="K139" i="29"/>
  <c r="J139" i="29"/>
  <c r="I139" i="29"/>
  <c r="H139" i="29"/>
  <c r="G139" i="29"/>
  <c r="F139" i="29"/>
  <c r="E139" i="29"/>
  <c r="D139" i="29"/>
  <c r="C139" i="29"/>
  <c r="B139" i="29"/>
  <c r="M131" i="29"/>
  <c r="L131" i="29"/>
  <c r="K131" i="29"/>
  <c r="J131" i="29"/>
  <c r="I131" i="29"/>
  <c r="H131" i="29"/>
  <c r="G131" i="29"/>
  <c r="F131" i="29"/>
  <c r="E131" i="29"/>
  <c r="D131" i="29"/>
  <c r="C131" i="29"/>
  <c r="B131" i="29"/>
  <c r="M123" i="29"/>
  <c r="L123" i="29"/>
  <c r="K123" i="29"/>
  <c r="J123" i="29"/>
  <c r="I123" i="29"/>
  <c r="H123" i="29"/>
  <c r="G123" i="29"/>
  <c r="F123" i="29"/>
  <c r="E123" i="29"/>
  <c r="D123" i="29"/>
  <c r="C123" i="29"/>
  <c r="B123" i="29"/>
  <c r="E97" i="29"/>
  <c r="D97" i="29"/>
  <c r="C97" i="29"/>
  <c r="B97" i="29"/>
  <c r="L81" i="29"/>
  <c r="K81" i="29"/>
  <c r="J81" i="29"/>
  <c r="H81" i="29"/>
  <c r="G81" i="29"/>
  <c r="F81" i="29"/>
  <c r="D81" i="29"/>
  <c r="C81" i="29"/>
  <c r="B81" i="29"/>
  <c r="L65" i="29"/>
  <c r="K65" i="29"/>
  <c r="J65" i="29"/>
  <c r="H65" i="29"/>
  <c r="G65" i="29"/>
  <c r="F65" i="29"/>
  <c r="D65" i="29"/>
  <c r="C65" i="29"/>
  <c r="B65" i="29"/>
  <c r="D46" i="29"/>
  <c r="C45" i="29"/>
  <c r="B45" i="29"/>
  <c r="B43" i="29" s="1"/>
  <c r="D44" i="29"/>
  <c r="D42" i="29"/>
  <c r="D41" i="29"/>
  <c r="C40" i="29"/>
  <c r="B40" i="29"/>
  <c r="M17" i="29"/>
  <c r="L17" i="29"/>
  <c r="K17" i="29"/>
  <c r="J17" i="29"/>
  <c r="I17" i="29"/>
  <c r="H17" i="29"/>
  <c r="G17" i="29"/>
  <c r="F17" i="29"/>
  <c r="E17" i="29"/>
  <c r="D17" i="29"/>
  <c r="C17" i="29"/>
  <c r="B17" i="29"/>
  <c r="M16" i="29"/>
  <c r="L16" i="29"/>
  <c r="K16" i="29"/>
  <c r="K15" i="29" s="1"/>
  <c r="J16" i="29"/>
  <c r="I16" i="29"/>
  <c r="H16" i="29"/>
  <c r="G16" i="29"/>
  <c r="G15" i="29" s="1"/>
  <c r="F16" i="29"/>
  <c r="E16" i="29"/>
  <c r="E15" i="29" s="1"/>
  <c r="D16" i="29"/>
  <c r="D15" i="29" s="1"/>
  <c r="C16" i="29"/>
  <c r="C15" i="29" s="1"/>
  <c r="B16" i="29"/>
  <c r="M15" i="29"/>
  <c r="L15" i="29"/>
  <c r="M12" i="29"/>
  <c r="O14" i="29" s="1"/>
  <c r="L12" i="29"/>
  <c r="K12" i="29"/>
  <c r="J12" i="29"/>
  <c r="I12" i="29"/>
  <c r="H12" i="29"/>
  <c r="G12" i="29"/>
  <c r="F12" i="29"/>
  <c r="E12" i="29"/>
  <c r="D12" i="29"/>
  <c r="C12" i="29"/>
  <c r="B12" i="29"/>
  <c r="M9" i="29"/>
  <c r="O11" i="29" s="1"/>
  <c r="L9" i="29"/>
  <c r="K9" i="29"/>
  <c r="J9" i="29"/>
  <c r="I9" i="29"/>
  <c r="H9" i="29"/>
  <c r="G9" i="29"/>
  <c r="F9" i="29"/>
  <c r="E9" i="29"/>
  <c r="D9" i="29"/>
  <c r="C9" i="29"/>
  <c r="B9" i="29"/>
  <c r="M6" i="29"/>
  <c r="O8" i="29" s="1"/>
  <c r="L6" i="29"/>
  <c r="K6" i="29"/>
  <c r="J6" i="29"/>
  <c r="I6" i="29"/>
  <c r="H6" i="29"/>
  <c r="G6" i="29"/>
  <c r="F6" i="29"/>
  <c r="E6" i="29"/>
  <c r="D6" i="29"/>
  <c r="C6" i="29"/>
  <c r="B6" i="29"/>
  <c r="H15" i="29" l="1"/>
  <c r="D40" i="29"/>
  <c r="D45" i="29"/>
  <c r="C43" i="29"/>
  <c r="C47" i="29" s="1"/>
  <c r="G46" i="29" s="1"/>
  <c r="C602" i="29"/>
  <c r="B47" i="29"/>
  <c r="F46" i="29" s="1"/>
  <c r="D43" i="29"/>
  <c r="D47" i="29" s="1"/>
  <c r="C601" i="29"/>
  <c r="I15" i="29"/>
  <c r="O17" i="29"/>
  <c r="B15" i="29"/>
  <c r="J15" i="29"/>
  <c r="C589" i="29"/>
  <c r="C584" i="29"/>
  <c r="C587" i="29"/>
  <c r="C603" i="29"/>
  <c r="O16" i="29"/>
  <c r="C585" i="29"/>
  <c r="F15" i="29"/>
  <c r="O13" i="29"/>
  <c r="O12" i="29" s="1"/>
  <c r="C588" i="29"/>
  <c r="C599" i="29"/>
  <c r="F41" i="29"/>
  <c r="O10" i="29"/>
  <c r="O9" i="29" s="1"/>
  <c r="O7" i="29"/>
  <c r="O6" i="29" s="1"/>
  <c r="F44" i="29" l="1"/>
  <c r="G41" i="29"/>
  <c r="F42" i="29"/>
  <c r="F40" i="29" s="1"/>
  <c r="G45" i="29"/>
  <c r="F45" i="29"/>
  <c r="F43" i="29" s="1"/>
  <c r="G44" i="29"/>
  <c r="H44" i="29"/>
  <c r="H42" i="29"/>
  <c r="C604" i="29"/>
  <c r="G42" i="29"/>
  <c r="G40" i="29" s="1"/>
  <c r="C590" i="29"/>
  <c r="H41" i="29"/>
  <c r="O15" i="29"/>
  <c r="H45" i="29"/>
  <c r="H46" i="29"/>
  <c r="B18" i="25"/>
  <c r="G62" i="25"/>
  <c r="D30" i="25"/>
  <c r="D31" i="25"/>
  <c r="D32" i="25"/>
  <c r="D33" i="25"/>
  <c r="D34" i="25"/>
  <c r="D35" i="25"/>
  <c r="D36" i="25"/>
  <c r="D37" i="25"/>
  <c r="D38" i="25"/>
  <c r="D39" i="25"/>
  <c r="D40" i="25"/>
  <c r="D41" i="25"/>
  <c r="D42" i="25"/>
  <c r="D43" i="25"/>
  <c r="D44" i="25"/>
  <c r="D45" i="25"/>
  <c r="D46" i="25"/>
  <c r="D47" i="25"/>
  <c r="D48" i="25"/>
  <c r="D49" i="25"/>
  <c r="D50" i="25"/>
  <c r="D51" i="25"/>
  <c r="D52" i="25"/>
  <c r="D53" i="25"/>
  <c r="D54" i="25"/>
  <c r="D55" i="25"/>
  <c r="D56" i="25"/>
  <c r="D57" i="25"/>
  <c r="D58" i="25"/>
  <c r="D59" i="25"/>
  <c r="D61" i="25"/>
  <c r="G43" i="29" l="1"/>
  <c r="H40" i="29"/>
  <c r="F47" i="29"/>
  <c r="H43" i="29"/>
  <c r="G47" i="29"/>
  <c r="C47" i="3"/>
  <c r="D47" i="3"/>
  <c r="E47" i="3"/>
  <c r="F47" i="3"/>
  <c r="G47" i="3"/>
  <c r="H47" i="3"/>
  <c r="I47" i="3"/>
  <c r="J47" i="3"/>
  <c r="K47" i="3"/>
  <c r="B47" i="3"/>
  <c r="C22" i="3"/>
  <c r="D22" i="3"/>
  <c r="E22" i="3"/>
  <c r="F22" i="3"/>
  <c r="G22" i="3"/>
  <c r="H22" i="3"/>
  <c r="I22" i="3"/>
  <c r="J22" i="3"/>
  <c r="K22" i="3"/>
  <c r="B22" i="3"/>
  <c r="R306" i="3"/>
  <c r="T306" i="3"/>
  <c r="P306" i="3"/>
  <c r="N306" i="3"/>
  <c r="B308" i="3"/>
  <c r="E308" i="3"/>
  <c r="C308" i="3"/>
  <c r="H47" i="29" l="1"/>
  <c r="M307" i="3"/>
  <c r="O307" i="3"/>
  <c r="Q307" i="3"/>
  <c r="S307" i="3"/>
  <c r="U307" i="3"/>
  <c r="M308" i="3"/>
  <c r="M306" i="3"/>
  <c r="O306" i="3"/>
  <c r="Q306" i="3"/>
  <c r="S306" i="3"/>
  <c r="U306" i="3"/>
  <c r="N307" i="3"/>
  <c r="P307" i="3"/>
  <c r="R307" i="3"/>
  <c r="T307" i="3"/>
  <c r="D308" i="3"/>
  <c r="N308" i="3" s="1"/>
  <c r="F308" i="3"/>
  <c r="P308" i="3" s="1"/>
  <c r="R308" i="3"/>
  <c r="T308" i="3"/>
  <c r="B92" i="3"/>
  <c r="B89" i="3"/>
  <c r="C68" i="3"/>
  <c r="C79" i="3" s="1"/>
  <c r="D68" i="3"/>
  <c r="D79" i="3" s="1"/>
  <c r="E68" i="3"/>
  <c r="E79" i="3" s="1"/>
  <c r="F68" i="3"/>
  <c r="F80" i="3" s="1"/>
  <c r="B68" i="3"/>
  <c r="B79" i="3" s="1"/>
  <c r="C43" i="3"/>
  <c r="C58" i="3" s="1"/>
  <c r="D43" i="3"/>
  <c r="D57" i="3" s="1"/>
  <c r="E43" i="3"/>
  <c r="E58" i="3" s="1"/>
  <c r="F43" i="3"/>
  <c r="F57" i="3" s="1"/>
  <c r="G43" i="3"/>
  <c r="G58" i="3" s="1"/>
  <c r="H43" i="3"/>
  <c r="H57" i="3" s="1"/>
  <c r="I43" i="3"/>
  <c r="I58" i="3" s="1"/>
  <c r="J43" i="3"/>
  <c r="J57" i="3" s="1"/>
  <c r="K43" i="3"/>
  <c r="K58" i="3" s="1"/>
  <c r="B43" i="3"/>
  <c r="B59" i="3" s="1"/>
  <c r="B249" i="3"/>
  <c r="C247" i="3" l="1"/>
  <c r="F79" i="3"/>
  <c r="C91" i="3"/>
  <c r="C94" i="3"/>
  <c r="U308" i="3"/>
  <c r="B80" i="3"/>
  <c r="C248" i="3"/>
  <c r="Q308" i="3"/>
  <c r="S308" i="3"/>
  <c r="O308" i="3"/>
  <c r="E80" i="3"/>
  <c r="D80" i="3"/>
  <c r="C80" i="3"/>
  <c r="C249" i="3"/>
  <c r="C93" i="3"/>
  <c r="C90" i="3"/>
  <c r="K59" i="3"/>
  <c r="K57" i="3"/>
  <c r="J59" i="3"/>
  <c r="J58" i="3"/>
  <c r="I59" i="3"/>
  <c r="I57" i="3"/>
  <c r="H59" i="3"/>
  <c r="H58" i="3"/>
  <c r="G59" i="3"/>
  <c r="G57" i="3"/>
  <c r="F59" i="3"/>
  <c r="F58" i="3"/>
  <c r="E59" i="3"/>
  <c r="E57" i="3"/>
  <c r="D59" i="3"/>
  <c r="D58" i="3"/>
  <c r="C59" i="3"/>
  <c r="C57" i="3"/>
  <c r="B57" i="3"/>
  <c r="B58" i="3"/>
  <c r="B196" i="3"/>
  <c r="K125" i="20"/>
  <c r="J125" i="20"/>
  <c r="I125" i="20"/>
  <c r="H125" i="20"/>
  <c r="G125" i="20"/>
  <c r="F125" i="20"/>
  <c r="E125" i="20"/>
  <c r="D125" i="20"/>
  <c r="C125" i="20"/>
  <c r="B125" i="20"/>
  <c r="C194" i="3" l="1"/>
  <c r="C193" i="3"/>
  <c r="C195" i="3"/>
  <c r="D76" i="25"/>
  <c r="D75" i="25"/>
  <c r="J134" i="25"/>
  <c r="I134" i="25"/>
  <c r="I133" i="25"/>
  <c r="J132" i="25"/>
  <c r="I132" i="25"/>
  <c r="I131" i="25"/>
  <c r="J130" i="25"/>
  <c r="I130" i="25"/>
  <c r="I129" i="25"/>
  <c r="J128" i="25"/>
  <c r="I128" i="25"/>
  <c r="I127" i="25"/>
  <c r="J126" i="25"/>
  <c r="I126" i="25"/>
  <c r="I125" i="25"/>
  <c r="J124" i="25"/>
  <c r="I124" i="25"/>
  <c r="I123" i="25"/>
  <c r="J122" i="25"/>
  <c r="I122" i="25"/>
  <c r="I121" i="25"/>
  <c r="J120" i="25"/>
  <c r="I120" i="25"/>
  <c r="I119" i="25"/>
  <c r="J118" i="25"/>
  <c r="I118" i="25"/>
  <c r="I117" i="25"/>
  <c r="J116" i="25"/>
  <c r="I116" i="25"/>
  <c r="I115" i="25"/>
  <c r="J114" i="25"/>
  <c r="I114" i="25"/>
  <c r="I113" i="25"/>
  <c r="J112" i="25"/>
  <c r="I112" i="25"/>
  <c r="I111" i="25"/>
  <c r="J110" i="25"/>
  <c r="I110" i="25"/>
  <c r="I109" i="25"/>
  <c r="J108" i="25"/>
  <c r="I108" i="25"/>
  <c r="I107" i="25"/>
  <c r="J106" i="25"/>
  <c r="I106" i="25"/>
  <c r="I105" i="25"/>
  <c r="J104" i="25"/>
  <c r="I104" i="25"/>
  <c r="I103" i="25"/>
  <c r="D104" i="25"/>
  <c r="D105" i="25"/>
  <c r="D106" i="25"/>
  <c r="D107" i="25"/>
  <c r="D108" i="25"/>
  <c r="D109" i="25"/>
  <c r="D110" i="25"/>
  <c r="D111" i="25"/>
  <c r="D112" i="25"/>
  <c r="D113" i="25"/>
  <c r="D114" i="25"/>
  <c r="D115" i="25"/>
  <c r="D116" i="25"/>
  <c r="D117" i="25"/>
  <c r="D118" i="25"/>
  <c r="D119" i="25"/>
  <c r="D120" i="25"/>
  <c r="D121" i="25"/>
  <c r="D122" i="25"/>
  <c r="D123" i="25"/>
  <c r="D124" i="25"/>
  <c r="D125" i="25"/>
  <c r="D126" i="25"/>
  <c r="D127" i="25"/>
  <c r="D128" i="25"/>
  <c r="D129" i="25"/>
  <c r="D130" i="25"/>
  <c r="D131" i="25"/>
  <c r="D132" i="25"/>
  <c r="D133" i="25"/>
  <c r="D134" i="25"/>
  <c r="D103" i="25"/>
  <c r="I90" i="25"/>
  <c r="I89" i="25"/>
  <c r="I88" i="25"/>
  <c r="I87" i="25"/>
  <c r="I86" i="25"/>
  <c r="I85" i="25"/>
  <c r="I84" i="25"/>
  <c r="I83" i="25"/>
  <c r="I82" i="25"/>
  <c r="I81" i="25"/>
  <c r="I80" i="25"/>
  <c r="I79" i="25"/>
  <c r="I78" i="25"/>
  <c r="I77" i="25"/>
  <c r="I76" i="25"/>
  <c r="I75" i="25"/>
  <c r="D77" i="25"/>
  <c r="D78" i="25"/>
  <c r="D79" i="25"/>
  <c r="D80" i="25"/>
  <c r="D81" i="25"/>
  <c r="D82" i="25"/>
  <c r="D83" i="25"/>
  <c r="D84" i="25"/>
  <c r="D85" i="25"/>
  <c r="D86" i="25"/>
  <c r="D87" i="25"/>
  <c r="D88" i="25"/>
  <c r="D89" i="25"/>
  <c r="D90" i="25"/>
  <c r="I61" i="25"/>
  <c r="I59" i="25"/>
  <c r="I58" i="25"/>
  <c r="I57" i="25"/>
  <c r="I56" i="25"/>
  <c r="I55" i="25"/>
  <c r="I54" i="25"/>
  <c r="I53" i="25"/>
  <c r="I52" i="25"/>
  <c r="I51" i="25"/>
  <c r="I50" i="25"/>
  <c r="I49" i="25"/>
  <c r="I47" i="25"/>
  <c r="I46" i="25"/>
  <c r="I45" i="25"/>
  <c r="I44" i="25"/>
  <c r="I43" i="25"/>
  <c r="I42" i="25"/>
  <c r="I41" i="25"/>
  <c r="I40" i="25"/>
  <c r="I39" i="25"/>
  <c r="I38" i="25"/>
  <c r="I37" i="25"/>
  <c r="I36" i="25"/>
  <c r="I35" i="25"/>
  <c r="I34" i="25"/>
  <c r="I33" i="25"/>
  <c r="I32" i="25"/>
  <c r="I31" i="25"/>
  <c r="I30" i="25"/>
  <c r="J8" i="25"/>
  <c r="J7" i="25"/>
  <c r="I17" i="25"/>
  <c r="J16" i="25"/>
  <c r="I16" i="25"/>
  <c r="I15" i="25"/>
  <c r="J14" i="25"/>
  <c r="I14" i="25"/>
  <c r="I13" i="25"/>
  <c r="J12" i="25"/>
  <c r="I12" i="25"/>
  <c r="I11" i="25"/>
  <c r="J10" i="25"/>
  <c r="I10" i="25"/>
  <c r="I9" i="25"/>
  <c r="I8" i="25"/>
  <c r="I7" i="25"/>
  <c r="D8" i="25"/>
  <c r="D9" i="25"/>
  <c r="D10" i="25"/>
  <c r="D11" i="25"/>
  <c r="D12" i="25"/>
  <c r="D13" i="25"/>
  <c r="D14" i="25"/>
  <c r="D15" i="25"/>
  <c r="D16" i="25"/>
  <c r="D17" i="25"/>
  <c r="D7" i="25"/>
  <c r="H135" i="25"/>
  <c r="J133" i="25" s="1"/>
  <c r="G135" i="25"/>
  <c r="L119" i="25"/>
  <c r="L120" i="25"/>
  <c r="L121" i="25"/>
  <c r="L122" i="25"/>
  <c r="L123" i="25"/>
  <c r="L124" i="25"/>
  <c r="L125" i="25"/>
  <c r="L126" i="25"/>
  <c r="L127" i="25"/>
  <c r="L128" i="25"/>
  <c r="L129" i="25"/>
  <c r="L130" i="25"/>
  <c r="L131" i="25"/>
  <c r="L132" i="25"/>
  <c r="L134" i="25"/>
  <c r="L118" i="25"/>
  <c r="L117" i="25"/>
  <c r="L116" i="25"/>
  <c r="L115" i="25"/>
  <c r="L114" i="25"/>
  <c r="L113" i="25"/>
  <c r="L112" i="25"/>
  <c r="L111" i="25"/>
  <c r="L110" i="25"/>
  <c r="L109" i="25"/>
  <c r="L108" i="25"/>
  <c r="L107" i="25"/>
  <c r="L106" i="25"/>
  <c r="L105" i="25"/>
  <c r="L104" i="25"/>
  <c r="L103" i="25"/>
  <c r="L75" i="25"/>
  <c r="L76" i="25"/>
  <c r="L77" i="25"/>
  <c r="L78" i="25"/>
  <c r="L79" i="25"/>
  <c r="L80" i="25"/>
  <c r="L81" i="25"/>
  <c r="L82" i="25"/>
  <c r="L83" i="25"/>
  <c r="L84" i="25"/>
  <c r="L85" i="25"/>
  <c r="L86" i="25"/>
  <c r="L87" i="25"/>
  <c r="L88" i="25"/>
  <c r="L89" i="25"/>
  <c r="L90" i="25"/>
  <c r="L48" i="25"/>
  <c r="L45" i="25"/>
  <c r="L34" i="25"/>
  <c r="L39" i="25"/>
  <c r="L35" i="25"/>
  <c r="L38" i="25"/>
  <c r="L46" i="25"/>
  <c r="L50" i="25"/>
  <c r="L47" i="25"/>
  <c r="L57" i="25"/>
  <c r="L51" i="25"/>
  <c r="L53" i="25"/>
  <c r="L58" i="25"/>
  <c r="L52" i="25"/>
  <c r="L56" i="25"/>
  <c r="L49" i="25"/>
  <c r="L55" i="25"/>
  <c r="L59" i="25"/>
  <c r="L44" i="25"/>
  <c r="L54" i="25"/>
  <c r="L43" i="25"/>
  <c r="L61" i="25"/>
  <c r="L42" i="25"/>
  <c r="L37" i="25"/>
  <c r="L40" i="25"/>
  <c r="L33" i="25"/>
  <c r="L32" i="25"/>
  <c r="L36" i="25"/>
  <c r="L41" i="25"/>
  <c r="L31" i="25"/>
  <c r="L30" i="25"/>
  <c r="H18" i="25"/>
  <c r="I18" i="25" s="1"/>
  <c r="G18" i="25"/>
  <c r="L15" i="25"/>
  <c r="L8" i="25"/>
  <c r="L9" i="25"/>
  <c r="L10" i="25"/>
  <c r="L12" i="25"/>
  <c r="L11" i="25"/>
  <c r="L13" i="25"/>
  <c r="L14" i="25"/>
  <c r="L17" i="25"/>
  <c r="L7" i="25"/>
  <c r="J9" i="25" l="1"/>
  <c r="J18" i="25" s="1"/>
  <c r="J11" i="25"/>
  <c r="J13" i="25"/>
  <c r="J15" i="25"/>
  <c r="J17" i="25"/>
  <c r="I135" i="25"/>
  <c r="J103" i="25"/>
  <c r="J105" i="25"/>
  <c r="J107" i="25"/>
  <c r="J109" i="25"/>
  <c r="J111" i="25"/>
  <c r="J113" i="25"/>
  <c r="J115" i="25"/>
  <c r="J117" i="25"/>
  <c r="J119" i="25"/>
  <c r="J121" i="25"/>
  <c r="J123" i="25"/>
  <c r="J125" i="25"/>
  <c r="J127" i="25"/>
  <c r="J129" i="25"/>
  <c r="J131" i="25"/>
  <c r="C196" i="3"/>
  <c r="J135" i="25" l="1"/>
  <c r="J153" i="20"/>
  <c r="K153" i="20"/>
  <c r="L153" i="20"/>
  <c r="L140" i="20"/>
  <c r="K112" i="20"/>
  <c r="L112" i="20"/>
  <c r="J99" i="20"/>
  <c r="K99" i="20"/>
  <c r="L99" i="20"/>
  <c r="K87" i="20"/>
  <c r="J74" i="20"/>
  <c r="K74" i="20"/>
  <c r="L74" i="20"/>
  <c r="J61" i="20"/>
  <c r="K61" i="20"/>
  <c r="K8" i="20"/>
  <c r="L8" i="20"/>
  <c r="J48" i="20"/>
  <c r="K48" i="20"/>
  <c r="L48" i="20"/>
  <c r="J35" i="20"/>
  <c r="K35" i="20"/>
  <c r="L35" i="20"/>
  <c r="K22" i="20"/>
  <c r="L22" i="20"/>
  <c r="K233" i="3" l="1"/>
  <c r="K177" i="3"/>
  <c r="U232" i="3"/>
  <c r="T232" i="3"/>
  <c r="S232" i="3"/>
  <c r="R232" i="3"/>
  <c r="Q232" i="3"/>
  <c r="P232" i="3"/>
  <c r="O232" i="3"/>
  <c r="N232" i="3"/>
  <c r="M232" i="3"/>
  <c r="U231" i="3"/>
  <c r="T231" i="3"/>
  <c r="S231" i="3"/>
  <c r="R231" i="3"/>
  <c r="Q231" i="3"/>
  <c r="P231" i="3"/>
  <c r="O231" i="3"/>
  <c r="N231" i="3"/>
  <c r="M231" i="3"/>
  <c r="U176" i="3"/>
  <c r="T176" i="3"/>
  <c r="S176" i="3"/>
  <c r="R176" i="3"/>
  <c r="Q176" i="3"/>
  <c r="P176" i="3"/>
  <c r="O176" i="3"/>
  <c r="N176" i="3"/>
  <c r="M176" i="3"/>
  <c r="U175" i="3"/>
  <c r="T175" i="3"/>
  <c r="S175" i="3"/>
  <c r="R175" i="3"/>
  <c r="Q175" i="3"/>
  <c r="P175" i="3"/>
  <c r="O175" i="3"/>
  <c r="N175" i="3"/>
  <c r="M175" i="3"/>
  <c r="U174" i="3"/>
  <c r="T174" i="3"/>
  <c r="S174" i="3"/>
  <c r="R174" i="3"/>
  <c r="Q174" i="3"/>
  <c r="P174" i="3"/>
  <c r="O174" i="3"/>
  <c r="N174" i="3"/>
  <c r="M174" i="3"/>
  <c r="H62" i="25"/>
  <c r="G177" i="3"/>
  <c r="H177" i="3"/>
  <c r="I177" i="3"/>
  <c r="J177" i="3"/>
  <c r="B22" i="20"/>
  <c r="C22" i="20"/>
  <c r="D22" i="20"/>
  <c r="E22" i="20"/>
  <c r="F22" i="20"/>
  <c r="G22" i="20"/>
  <c r="H22" i="20"/>
  <c r="I22" i="20"/>
  <c r="J22" i="20"/>
  <c r="B35" i="20"/>
  <c r="C35" i="20"/>
  <c r="D35" i="20"/>
  <c r="E35" i="20"/>
  <c r="G35" i="20"/>
  <c r="H35" i="20"/>
  <c r="I35" i="20"/>
  <c r="B48" i="20"/>
  <c r="C48" i="20"/>
  <c r="D48" i="20"/>
  <c r="E48" i="20"/>
  <c r="F48" i="20"/>
  <c r="G48" i="20"/>
  <c r="H48" i="20"/>
  <c r="I48" i="20"/>
  <c r="B8" i="20"/>
  <c r="C8" i="20"/>
  <c r="D8" i="20"/>
  <c r="E8" i="20"/>
  <c r="F8" i="20"/>
  <c r="G8" i="20"/>
  <c r="H8" i="20"/>
  <c r="I8" i="20"/>
  <c r="J8" i="20"/>
  <c r="B61" i="20"/>
  <c r="C61" i="20"/>
  <c r="D61" i="20"/>
  <c r="E61" i="20"/>
  <c r="F61" i="20"/>
  <c r="G61" i="20"/>
  <c r="H61" i="20"/>
  <c r="I61" i="20"/>
  <c r="B74" i="20"/>
  <c r="C74" i="20"/>
  <c r="D74" i="20"/>
  <c r="E74" i="20"/>
  <c r="F74" i="20"/>
  <c r="G74" i="20"/>
  <c r="H74" i="20"/>
  <c r="I74" i="20"/>
  <c r="B87" i="20"/>
  <c r="C87" i="20"/>
  <c r="D87" i="20"/>
  <c r="E87" i="20"/>
  <c r="F87" i="20"/>
  <c r="G87" i="20"/>
  <c r="H87" i="20"/>
  <c r="B99" i="20"/>
  <c r="C99" i="20"/>
  <c r="D99" i="20"/>
  <c r="E99" i="20"/>
  <c r="F99" i="20"/>
  <c r="G99" i="20"/>
  <c r="H99" i="20"/>
  <c r="I99" i="20"/>
  <c r="B112" i="20"/>
  <c r="C112" i="20"/>
  <c r="D112" i="20"/>
  <c r="E112" i="20"/>
  <c r="F112" i="20"/>
  <c r="G112" i="20"/>
  <c r="H112" i="20"/>
  <c r="I112" i="20"/>
  <c r="J112" i="20"/>
  <c r="B140" i="20"/>
  <c r="C140" i="20"/>
  <c r="D140" i="20"/>
  <c r="E140" i="20"/>
  <c r="F140" i="20"/>
  <c r="G140" i="20"/>
  <c r="H140" i="20"/>
  <c r="I140" i="20"/>
  <c r="J140" i="20"/>
  <c r="K140" i="20"/>
  <c r="B153" i="20"/>
  <c r="C153" i="20"/>
  <c r="D153" i="20"/>
  <c r="E153" i="20"/>
  <c r="F153" i="20"/>
  <c r="G153" i="20"/>
  <c r="H153" i="20"/>
  <c r="I153" i="20"/>
  <c r="C18" i="25"/>
  <c r="B62" i="25"/>
  <c r="C62" i="25"/>
  <c r="B91" i="25"/>
  <c r="C91" i="25"/>
  <c r="G91" i="25"/>
  <c r="H91" i="25"/>
  <c r="B135" i="25"/>
  <c r="C135" i="25"/>
  <c r="B163" i="3"/>
  <c r="B177" i="3"/>
  <c r="C177" i="3"/>
  <c r="D177" i="3"/>
  <c r="E177" i="3"/>
  <c r="F177" i="3"/>
  <c r="B209" i="3"/>
  <c r="B221" i="3"/>
  <c r="B233" i="3"/>
  <c r="C233" i="3"/>
  <c r="D233" i="3"/>
  <c r="E233" i="3"/>
  <c r="F233" i="3"/>
  <c r="G233" i="3"/>
  <c r="H233" i="3"/>
  <c r="I233" i="3"/>
  <c r="J233" i="3"/>
  <c r="B260" i="3"/>
  <c r="B284" i="3"/>
  <c r="B296" i="3"/>
  <c r="J90" i="25" l="1"/>
  <c r="J88" i="25"/>
  <c r="J86" i="25"/>
  <c r="J84" i="25"/>
  <c r="J82" i="25"/>
  <c r="J80" i="25"/>
  <c r="J78" i="25"/>
  <c r="J76" i="25"/>
  <c r="J87" i="25"/>
  <c r="J83" i="25"/>
  <c r="J79" i="25"/>
  <c r="J75" i="25"/>
  <c r="J89" i="25"/>
  <c r="J85" i="25"/>
  <c r="J81" i="25"/>
  <c r="J77" i="25"/>
  <c r="I91" i="25"/>
  <c r="E61" i="25"/>
  <c r="E60" i="25"/>
  <c r="E30" i="25"/>
  <c r="E34" i="25"/>
  <c r="E38" i="25"/>
  <c r="E42" i="25"/>
  <c r="E46" i="25"/>
  <c r="E50" i="25"/>
  <c r="E54" i="25"/>
  <c r="E58" i="25"/>
  <c r="E31" i="25"/>
  <c r="E33" i="25"/>
  <c r="E35" i="25"/>
  <c r="E37" i="25"/>
  <c r="E39" i="25"/>
  <c r="E41" i="25"/>
  <c r="E43" i="25"/>
  <c r="E45" i="25"/>
  <c r="E47" i="25"/>
  <c r="E49" i="25"/>
  <c r="E51" i="25"/>
  <c r="E53" i="25"/>
  <c r="E55" i="25"/>
  <c r="E57" i="25"/>
  <c r="E59" i="25"/>
  <c r="D62" i="25"/>
  <c r="E32" i="25"/>
  <c r="E36" i="25"/>
  <c r="E40" i="25"/>
  <c r="E44" i="25"/>
  <c r="E48" i="25"/>
  <c r="E52" i="25"/>
  <c r="E56" i="25"/>
  <c r="L135" i="25"/>
  <c r="E106" i="25"/>
  <c r="E110" i="25"/>
  <c r="E114" i="25"/>
  <c r="E118" i="25"/>
  <c r="E122" i="25"/>
  <c r="E126" i="25"/>
  <c r="E130" i="25"/>
  <c r="E134" i="25"/>
  <c r="E108" i="25"/>
  <c r="E116" i="25"/>
  <c r="E124" i="25"/>
  <c r="E132" i="25"/>
  <c r="E109" i="25"/>
  <c r="E121" i="25"/>
  <c r="E129" i="25"/>
  <c r="E107" i="25"/>
  <c r="E111" i="25"/>
  <c r="E115" i="25"/>
  <c r="E119" i="25"/>
  <c r="E123" i="25"/>
  <c r="E127" i="25"/>
  <c r="E131" i="25"/>
  <c r="E103" i="25"/>
  <c r="D135" i="25"/>
  <c r="E104" i="25"/>
  <c r="E112" i="25"/>
  <c r="E120" i="25"/>
  <c r="E128" i="25"/>
  <c r="E105" i="25"/>
  <c r="E113" i="25"/>
  <c r="E117" i="25"/>
  <c r="E125" i="25"/>
  <c r="E133" i="25"/>
  <c r="E76" i="25"/>
  <c r="E80" i="25"/>
  <c r="E84" i="25"/>
  <c r="E88" i="25"/>
  <c r="E82" i="25"/>
  <c r="E90" i="25"/>
  <c r="D91" i="25"/>
  <c r="E79" i="25"/>
  <c r="E83" i="25"/>
  <c r="E75" i="25"/>
  <c r="E77" i="25"/>
  <c r="E81" i="25"/>
  <c r="E85" i="25"/>
  <c r="E89" i="25"/>
  <c r="E78" i="25"/>
  <c r="E86" i="25"/>
  <c r="E87" i="25"/>
  <c r="E11" i="25"/>
  <c r="E15" i="25"/>
  <c r="E9" i="25"/>
  <c r="E17" i="25"/>
  <c r="E10" i="25"/>
  <c r="E8" i="25"/>
  <c r="E12" i="25"/>
  <c r="E16" i="25"/>
  <c r="E13" i="25"/>
  <c r="D18" i="25"/>
  <c r="E14" i="25"/>
  <c r="E7" i="25"/>
  <c r="J61" i="25"/>
  <c r="J46" i="25"/>
  <c r="J44" i="25"/>
  <c r="J42" i="25"/>
  <c r="J40" i="25"/>
  <c r="J38" i="25"/>
  <c r="J36" i="25"/>
  <c r="J34" i="25"/>
  <c r="J32" i="25"/>
  <c r="J30" i="25"/>
  <c r="J45" i="25"/>
  <c r="J41" i="25"/>
  <c r="J35" i="25"/>
  <c r="J31" i="25"/>
  <c r="J59" i="25"/>
  <c r="J55" i="25"/>
  <c r="J51" i="25"/>
  <c r="J58" i="25"/>
  <c r="J56" i="25"/>
  <c r="J54" i="25"/>
  <c r="J52" i="25"/>
  <c r="J50" i="25"/>
  <c r="J48" i="25"/>
  <c r="J60" i="25"/>
  <c r="J47" i="25"/>
  <c r="J43" i="25"/>
  <c r="J39" i="25"/>
  <c r="J37" i="25"/>
  <c r="J33" i="25"/>
  <c r="I62" i="25"/>
  <c r="J57" i="25"/>
  <c r="J53" i="25"/>
  <c r="J49" i="25"/>
  <c r="C295" i="3"/>
  <c r="C294" i="3"/>
  <c r="C293" i="3"/>
  <c r="C281" i="3"/>
  <c r="C283" i="3"/>
  <c r="C282" i="3"/>
  <c r="C280" i="3"/>
  <c r="C258" i="3"/>
  <c r="C259" i="3"/>
  <c r="K238" i="3"/>
  <c r="K21" i="3"/>
  <c r="K239" i="3"/>
  <c r="J21" i="3"/>
  <c r="J238" i="3"/>
  <c r="J239" i="3"/>
  <c r="I238" i="3"/>
  <c r="I21" i="3"/>
  <c r="I239" i="3"/>
  <c r="H21" i="3"/>
  <c r="H238" i="3"/>
  <c r="H239" i="3"/>
  <c r="G238" i="3"/>
  <c r="G21" i="3"/>
  <c r="G239" i="3"/>
  <c r="F21" i="3"/>
  <c r="F238" i="3"/>
  <c r="F239" i="3"/>
  <c r="E238" i="3"/>
  <c r="E240" i="3" s="1"/>
  <c r="E21" i="3"/>
  <c r="E239" i="3"/>
  <c r="D21" i="3"/>
  <c r="D238" i="3"/>
  <c r="D240" i="3" s="1"/>
  <c r="D239" i="3"/>
  <c r="C238" i="3"/>
  <c r="C21" i="3"/>
  <c r="C239" i="3"/>
  <c r="B21" i="3"/>
  <c r="B238" i="3"/>
  <c r="B239" i="3"/>
  <c r="B240" i="3" s="1"/>
  <c r="C220" i="3"/>
  <c r="C219" i="3"/>
  <c r="C218" i="3"/>
  <c r="C207" i="3"/>
  <c r="C205" i="3"/>
  <c r="C206" i="3"/>
  <c r="C208" i="3"/>
  <c r="K184" i="3"/>
  <c r="K183" i="3"/>
  <c r="K185" i="3"/>
  <c r="J183" i="3"/>
  <c r="J184" i="3"/>
  <c r="J185" i="3"/>
  <c r="I184" i="3"/>
  <c r="I183" i="3"/>
  <c r="I185" i="3"/>
  <c r="H183" i="3"/>
  <c r="H184" i="3"/>
  <c r="H185" i="3"/>
  <c r="G184" i="3"/>
  <c r="G183" i="3"/>
  <c r="G186" i="3" s="1"/>
  <c r="G185" i="3"/>
  <c r="F183" i="3"/>
  <c r="F184" i="3"/>
  <c r="F185" i="3"/>
  <c r="E184" i="3"/>
  <c r="E183" i="3"/>
  <c r="E185" i="3"/>
  <c r="D183" i="3"/>
  <c r="D184" i="3"/>
  <c r="D185" i="3"/>
  <c r="C184" i="3"/>
  <c r="C183" i="3"/>
  <c r="C185" i="3"/>
  <c r="B184" i="3"/>
  <c r="B183" i="3"/>
  <c r="B185" i="3"/>
  <c r="C162" i="3"/>
  <c r="C161" i="3"/>
  <c r="C160" i="3"/>
  <c r="B48" i="3"/>
  <c r="L91" i="25"/>
  <c r="L62" i="25"/>
  <c r="L18" i="25"/>
  <c r="Q233" i="3"/>
  <c r="U233" i="3"/>
  <c r="Q177" i="3"/>
  <c r="T177" i="3"/>
  <c r="P177" i="3"/>
  <c r="R177" i="3"/>
  <c r="M177" i="3"/>
  <c r="T233" i="3"/>
  <c r="U177" i="3"/>
  <c r="N233" i="3"/>
  <c r="S177" i="3"/>
  <c r="P233" i="3"/>
  <c r="O233" i="3"/>
  <c r="M233" i="3"/>
  <c r="R233" i="3"/>
  <c r="S233" i="3"/>
  <c r="N177" i="3"/>
  <c r="O177" i="3"/>
  <c r="E91" i="25" l="1"/>
  <c r="E135" i="25"/>
  <c r="E18" i="25"/>
  <c r="J240" i="3"/>
  <c r="J62" i="25"/>
  <c r="E62" i="25"/>
  <c r="J91" i="25"/>
  <c r="G240" i="3"/>
  <c r="F240" i="3"/>
  <c r="H240" i="3"/>
  <c r="C260" i="3"/>
  <c r="K240" i="3"/>
  <c r="I240" i="3"/>
  <c r="C240" i="3"/>
  <c r="J186" i="3"/>
  <c r="I186" i="3"/>
  <c r="H186" i="3"/>
  <c r="E186" i="3"/>
  <c r="B5" i="3"/>
  <c r="B60" i="3"/>
  <c r="B56" i="3"/>
  <c r="D186" i="3"/>
  <c r="C163" i="3"/>
  <c r="C209" i="3"/>
  <c r="C186" i="3"/>
  <c r="B186" i="3"/>
  <c r="C284" i="3"/>
  <c r="C296" i="3"/>
  <c r="F186" i="3"/>
  <c r="K186" i="3"/>
  <c r="C221" i="3"/>
  <c r="B61" i="3" l="1"/>
  <c r="B72" i="3" l="1"/>
  <c r="B81" i="3" l="1"/>
  <c r="B78" i="3"/>
  <c r="B109" i="3"/>
  <c r="B82" i="3" l="1"/>
  <c r="B18" i="3"/>
  <c r="B115" i="3"/>
  <c r="B116" i="3"/>
  <c r="B126" i="3"/>
  <c r="B117" i="3" l="1"/>
  <c r="C124" i="3"/>
  <c r="C125" i="3"/>
  <c r="B17" i="3"/>
  <c r="M19" i="3"/>
  <c r="M21" i="3"/>
  <c r="M20" i="3"/>
  <c r="N21" i="3"/>
  <c r="N19" i="3"/>
  <c r="B31" i="3" l="1"/>
  <c r="C126" i="3"/>
  <c r="B34" i="3"/>
  <c r="B32" i="3"/>
  <c r="B33" i="3"/>
  <c r="M108" i="3"/>
  <c r="N108" i="3"/>
  <c r="N20" i="3"/>
  <c r="N22" i="3"/>
  <c r="D72" i="3"/>
  <c r="I71" i="3"/>
  <c r="H68" i="3"/>
  <c r="H69" i="3"/>
  <c r="H70" i="3"/>
  <c r="H71" i="3"/>
  <c r="C72" i="3"/>
  <c r="O22" i="3"/>
  <c r="I68" i="3"/>
  <c r="D81" i="3" l="1"/>
  <c r="D78" i="3"/>
  <c r="D82" i="3" s="1"/>
  <c r="H72" i="3"/>
  <c r="C81" i="3"/>
  <c r="C78" i="3"/>
  <c r="I70" i="3"/>
  <c r="I69" i="3"/>
  <c r="M107" i="3"/>
  <c r="C109" i="3"/>
  <c r="D109" i="3"/>
  <c r="N107" i="3"/>
  <c r="O21" i="3"/>
  <c r="O20" i="3"/>
  <c r="O19" i="3"/>
  <c r="I72" i="3"/>
  <c r="C82" i="3" l="1"/>
  <c r="D18" i="3"/>
  <c r="D17" i="3" s="1"/>
  <c r="D115" i="3"/>
  <c r="D116" i="3"/>
  <c r="M109" i="3"/>
  <c r="C115" i="3"/>
  <c r="C18" i="3"/>
  <c r="C116" i="3"/>
  <c r="O108" i="3"/>
  <c r="N109" i="3"/>
  <c r="P22" i="3"/>
  <c r="P21" i="3"/>
  <c r="P20" i="3"/>
  <c r="P19" i="3"/>
  <c r="E72" i="3"/>
  <c r="J71" i="3"/>
  <c r="J70" i="3"/>
  <c r="J69" i="3"/>
  <c r="J68" i="3"/>
  <c r="J72" i="3" l="1"/>
  <c r="E81" i="3"/>
  <c r="E78" i="3"/>
  <c r="D31" i="3"/>
  <c r="D33" i="3"/>
  <c r="D34" i="3"/>
  <c r="D32" i="3"/>
  <c r="D23" i="3"/>
  <c r="D117" i="3"/>
  <c r="C17" i="3"/>
  <c r="N18" i="3"/>
  <c r="M18" i="3"/>
  <c r="C117" i="3"/>
  <c r="O107" i="3"/>
  <c r="E109" i="3"/>
  <c r="P108" i="3"/>
  <c r="Q22" i="3"/>
  <c r="Q19" i="3"/>
  <c r="Q21" i="3"/>
  <c r="Q20" i="3"/>
  <c r="R22" i="3"/>
  <c r="K68" i="3"/>
  <c r="K71" i="3"/>
  <c r="F72" i="3"/>
  <c r="K72" i="3" l="1"/>
  <c r="F81" i="3"/>
  <c r="F78" i="3"/>
  <c r="E82" i="3"/>
  <c r="O109" i="3"/>
  <c r="E115" i="3"/>
  <c r="E18" i="3"/>
  <c r="E116" i="3"/>
  <c r="D35" i="3"/>
  <c r="D6" i="3"/>
  <c r="D30" i="3"/>
  <c r="C31" i="3"/>
  <c r="C34" i="3"/>
  <c r="C32" i="3"/>
  <c r="C33" i="3"/>
  <c r="N17" i="3"/>
  <c r="M17" i="3"/>
  <c r="C23" i="3"/>
  <c r="B139" i="3"/>
  <c r="K70" i="3"/>
  <c r="Q108" i="3"/>
  <c r="K69" i="3"/>
  <c r="F109" i="3"/>
  <c r="P107" i="3"/>
  <c r="R21" i="3"/>
  <c r="R20" i="3"/>
  <c r="R19" i="3"/>
  <c r="F82" i="3" l="1"/>
  <c r="C137" i="3"/>
  <c r="C135" i="3"/>
  <c r="C136" i="3"/>
  <c r="C138" i="3"/>
  <c r="P109" i="3"/>
  <c r="F18" i="3"/>
  <c r="P18" i="3" s="1"/>
  <c r="F115" i="3"/>
  <c r="F116" i="3"/>
  <c r="E117" i="3"/>
  <c r="E17" i="3"/>
  <c r="O18" i="3"/>
  <c r="D36" i="3"/>
  <c r="C35" i="3"/>
  <c r="C6" i="3"/>
  <c r="N6" i="3" s="1"/>
  <c r="N23" i="3"/>
  <c r="C30" i="3"/>
  <c r="R108" i="3"/>
  <c r="Q107" i="3"/>
  <c r="G109" i="3"/>
  <c r="S22" i="3"/>
  <c r="S21" i="3"/>
  <c r="S19" i="3"/>
  <c r="S20" i="3"/>
  <c r="C139" i="3" l="1"/>
  <c r="Q109" i="3"/>
  <c r="G115" i="3"/>
  <c r="G18" i="3"/>
  <c r="Q18" i="3" s="1"/>
  <c r="G116" i="3"/>
  <c r="F17" i="3"/>
  <c r="F117" i="3"/>
  <c r="E31" i="3"/>
  <c r="E32" i="3"/>
  <c r="E33" i="3"/>
  <c r="E34" i="3"/>
  <c r="E23" i="3"/>
  <c r="E30" i="3" s="1"/>
  <c r="O17" i="3"/>
  <c r="C36" i="3"/>
  <c r="S108" i="3"/>
  <c r="H109" i="3"/>
  <c r="R107" i="3"/>
  <c r="T22" i="3"/>
  <c r="T19" i="3"/>
  <c r="T21" i="3"/>
  <c r="T20" i="3"/>
  <c r="U22" i="3"/>
  <c r="R109" i="3" l="1"/>
  <c r="H18" i="3"/>
  <c r="R18" i="3" s="1"/>
  <c r="H115" i="3"/>
  <c r="H116" i="3"/>
  <c r="G117" i="3"/>
  <c r="G17" i="3"/>
  <c r="F31" i="3"/>
  <c r="F34" i="3"/>
  <c r="F32" i="3"/>
  <c r="F33" i="3"/>
  <c r="F23" i="3"/>
  <c r="F30" i="3" s="1"/>
  <c r="Q17" i="3"/>
  <c r="P17" i="3"/>
  <c r="E35" i="3"/>
  <c r="E36" i="3" s="1"/>
  <c r="E6" i="3"/>
  <c r="O23" i="3"/>
  <c r="T108" i="3"/>
  <c r="S107" i="3"/>
  <c r="I109" i="3"/>
  <c r="U21" i="3"/>
  <c r="U20" i="3"/>
  <c r="U19" i="3"/>
  <c r="P23" i="3" l="1"/>
  <c r="S109" i="3"/>
  <c r="I115" i="3"/>
  <c r="I18" i="3"/>
  <c r="I116" i="3"/>
  <c r="H117" i="3"/>
  <c r="H17" i="3"/>
  <c r="R17" i="3" s="1"/>
  <c r="S18" i="3"/>
  <c r="G31" i="3"/>
  <c r="G32" i="3"/>
  <c r="G33" i="3"/>
  <c r="G34" i="3"/>
  <c r="G23" i="3"/>
  <c r="F6" i="3"/>
  <c r="F35" i="3"/>
  <c r="F36" i="3" s="1"/>
  <c r="O6" i="3"/>
  <c r="U108" i="3"/>
  <c r="J109" i="3"/>
  <c r="T107" i="3"/>
  <c r="T109" i="3" l="1"/>
  <c r="J18" i="3"/>
  <c r="J115" i="3"/>
  <c r="J116" i="3"/>
  <c r="I117" i="3"/>
  <c r="I17" i="3"/>
  <c r="H31" i="3"/>
  <c r="H34" i="3"/>
  <c r="H32" i="3"/>
  <c r="H33" i="3"/>
  <c r="H23" i="3"/>
  <c r="H30" i="3" s="1"/>
  <c r="S17" i="3"/>
  <c r="G6" i="3"/>
  <c r="G35" i="3"/>
  <c r="Q23" i="3"/>
  <c r="Q6" i="3"/>
  <c r="G30" i="3"/>
  <c r="P6" i="3"/>
  <c r="U107" i="3"/>
  <c r="K109" i="3"/>
  <c r="B151" i="3"/>
  <c r="B271" i="3"/>
  <c r="C270" i="3" s="1"/>
  <c r="M22" i="3"/>
  <c r="B23" i="3"/>
  <c r="C269" i="3" l="1"/>
  <c r="C271" i="3" s="1"/>
  <c r="G36" i="3"/>
  <c r="R23" i="3"/>
  <c r="C149" i="3"/>
  <c r="C148" i="3"/>
  <c r="C150" i="3"/>
  <c r="U109" i="3"/>
  <c r="K115" i="3"/>
  <c r="K18" i="3"/>
  <c r="K17" i="3" s="1"/>
  <c r="K116" i="3"/>
  <c r="J17" i="3"/>
  <c r="T18" i="3"/>
  <c r="J117" i="3"/>
  <c r="I31" i="3"/>
  <c r="I34" i="3"/>
  <c r="I32" i="3"/>
  <c r="I33" i="3"/>
  <c r="I23" i="3"/>
  <c r="I30" i="3" s="1"/>
  <c r="H6" i="3"/>
  <c r="H35" i="3"/>
  <c r="H36" i="3" s="1"/>
  <c r="B35" i="3"/>
  <c r="B6" i="3"/>
  <c r="B30" i="3"/>
  <c r="M23" i="3"/>
  <c r="P45" i="3"/>
  <c r="O44" i="3"/>
  <c r="Q46" i="3"/>
  <c r="Q45" i="3"/>
  <c r="R46" i="3"/>
  <c r="S44" i="3"/>
  <c r="P44" i="3"/>
  <c r="R45" i="3"/>
  <c r="U46" i="3"/>
  <c r="P46" i="3"/>
  <c r="N44" i="3"/>
  <c r="R44" i="3"/>
  <c r="M44" i="3"/>
  <c r="T46" i="3"/>
  <c r="S46" i="3"/>
  <c r="N45" i="3"/>
  <c r="U45" i="3"/>
  <c r="Q44" i="3"/>
  <c r="M45" i="3"/>
  <c r="U44" i="3"/>
  <c r="N46" i="3"/>
  <c r="T45" i="3"/>
  <c r="O46" i="3"/>
  <c r="M46" i="3"/>
  <c r="S45" i="3"/>
  <c r="O45" i="3"/>
  <c r="T44" i="3"/>
  <c r="N43" i="3"/>
  <c r="S43" i="3"/>
  <c r="M43" i="3"/>
  <c r="O43" i="3"/>
  <c r="R43" i="3"/>
  <c r="U43" i="3"/>
  <c r="P43" i="3"/>
  <c r="T43" i="3"/>
  <c r="Q43" i="3"/>
  <c r="U47" i="3"/>
  <c r="S47" i="3"/>
  <c r="M47" i="3"/>
  <c r="O47" i="3"/>
  <c r="K48" i="3"/>
  <c r="I48" i="3"/>
  <c r="Q47" i="3"/>
  <c r="G48" i="3"/>
  <c r="N47" i="3"/>
  <c r="C48" i="3"/>
  <c r="M48" i="3" s="1"/>
  <c r="T47" i="3"/>
  <c r="J48" i="3"/>
  <c r="D48" i="3"/>
  <c r="E48" i="3"/>
  <c r="P47" i="3"/>
  <c r="F48" i="3"/>
  <c r="R47" i="3"/>
  <c r="H48" i="3"/>
  <c r="B36" i="3" l="1"/>
  <c r="S23" i="3"/>
  <c r="C151" i="3"/>
  <c r="K31" i="3"/>
  <c r="K34" i="3"/>
  <c r="K32" i="3"/>
  <c r="K33" i="3"/>
  <c r="K23" i="3"/>
  <c r="K30" i="3" s="1"/>
  <c r="U18" i="3"/>
  <c r="K117" i="3"/>
  <c r="J31" i="3"/>
  <c r="J34" i="3"/>
  <c r="J32" i="3"/>
  <c r="J33" i="3"/>
  <c r="J23" i="3"/>
  <c r="J30" i="3" s="1"/>
  <c r="U17" i="3"/>
  <c r="T17" i="3"/>
  <c r="I35" i="3"/>
  <c r="I36" i="3" s="1"/>
  <c r="I6" i="3"/>
  <c r="R6" i="3"/>
  <c r="K5" i="3"/>
  <c r="K60" i="3"/>
  <c r="K56" i="3"/>
  <c r="U48" i="3"/>
  <c r="T48" i="3"/>
  <c r="J5" i="3"/>
  <c r="J60" i="3"/>
  <c r="J56" i="3"/>
  <c r="I5" i="3"/>
  <c r="I60" i="3"/>
  <c r="I56" i="3"/>
  <c r="R48" i="3"/>
  <c r="H5" i="3"/>
  <c r="H60" i="3"/>
  <c r="H56" i="3"/>
  <c r="S48" i="3"/>
  <c r="G5" i="3"/>
  <c r="G60" i="3"/>
  <c r="G56" i="3"/>
  <c r="F5" i="3"/>
  <c r="F60" i="3"/>
  <c r="F56" i="3"/>
  <c r="Q48" i="3"/>
  <c r="P48" i="3"/>
  <c r="E5" i="3"/>
  <c r="E60" i="3"/>
  <c r="E56" i="3"/>
  <c r="D5" i="3"/>
  <c r="D60" i="3"/>
  <c r="D56" i="3"/>
  <c r="O48" i="3"/>
  <c r="N48" i="3"/>
  <c r="C5" i="3"/>
  <c r="C60" i="3"/>
  <c r="C56" i="3"/>
  <c r="M6" i="3"/>
  <c r="B7" i="3"/>
  <c r="T23" i="3" l="1"/>
  <c r="K35" i="3"/>
  <c r="K36" i="3" s="1"/>
  <c r="K6" i="3"/>
  <c r="J35" i="3"/>
  <c r="J36" i="3" s="1"/>
  <c r="J6" i="3"/>
  <c r="U6" i="3" s="1"/>
  <c r="U23" i="3"/>
  <c r="S6" i="3"/>
  <c r="K61" i="3"/>
  <c r="J61" i="3"/>
  <c r="U5" i="3"/>
  <c r="T5" i="3"/>
  <c r="I61" i="3"/>
  <c r="S5" i="3"/>
  <c r="S7" i="3"/>
  <c r="H61" i="3"/>
  <c r="G61" i="3"/>
  <c r="R5" i="3"/>
  <c r="R7" i="3"/>
  <c r="Q5" i="3"/>
  <c r="F7" i="3"/>
  <c r="Q7" i="3" s="1"/>
  <c r="F61" i="3"/>
  <c r="E61" i="3"/>
  <c r="P5" i="3"/>
  <c r="E7" i="3"/>
  <c r="P7" i="3" s="1"/>
  <c r="D7" i="3"/>
  <c r="O5" i="3"/>
  <c r="D61" i="3"/>
  <c r="N5" i="3"/>
  <c r="M5" i="3"/>
  <c r="C7" i="3"/>
  <c r="C61" i="3"/>
  <c r="T6" i="3" l="1"/>
  <c r="U7" i="3"/>
  <c r="O7" i="3"/>
  <c r="N7" i="3"/>
  <c r="M7" i="3"/>
  <c r="B95" i="3"/>
  <c r="B97" i="3"/>
  <c r="B96" i="3"/>
  <c r="C96" i="3" s="1"/>
  <c r="T7" i="3" l="1"/>
  <c r="C92" i="3"/>
  <c r="C89" i="3"/>
  <c r="C97" i="3"/>
  <c r="C95" i="3" s="1"/>
</calcChain>
</file>

<file path=xl/sharedStrings.xml><?xml version="1.0" encoding="utf-8"?>
<sst xmlns="http://schemas.openxmlformats.org/spreadsheetml/2006/main" count="1329" uniqueCount="491">
  <si>
    <t>Hors robinetterie sanitaire de collectivités</t>
  </si>
  <si>
    <t xml:space="preserve"> - Entretien-rénovation</t>
  </si>
  <si>
    <t xml:space="preserve"> - Construction neuve</t>
  </si>
  <si>
    <t>Le segment "bidets" est par défaut considéré comme négligeable</t>
  </si>
  <si>
    <t>Entreprises générales</t>
  </si>
  <si>
    <t>Grossistes sanitaires et autres négoces</t>
  </si>
  <si>
    <t>Distribution professionnelle</t>
  </si>
  <si>
    <r>
      <t>Artisans-poseurs</t>
    </r>
    <r>
      <rPr>
        <sz val="7.5"/>
        <rFont val="Arial"/>
        <family val="2"/>
      </rPr>
      <t xml:space="preserve"> (plombiers etc.)</t>
    </r>
  </si>
  <si>
    <t>Robinetterie domestique : robinets pour lavabos/vasques et lave-mains</t>
  </si>
  <si>
    <t>Nobili (Nobili, Stella, Superinox)</t>
  </si>
  <si>
    <t>Roca (Roca, Laufen)</t>
  </si>
  <si>
    <t>Unité : % du total en volume/valeur</t>
  </si>
  <si>
    <t>Dornbracht</t>
  </si>
  <si>
    <r>
      <t>Clients Finaux</t>
    </r>
    <r>
      <rPr>
        <b/>
        <sz val="7.5"/>
        <rFont val="Century Gothic"/>
        <family val="2"/>
      </rPr>
      <t xml:space="preserve"> (a)</t>
    </r>
  </si>
  <si>
    <t xml:space="preserve"> - Cuisine</t>
  </si>
  <si>
    <t>Bricolage</t>
  </si>
  <si>
    <t>Equipement</t>
  </si>
  <si>
    <t>Le poids de la vente directe est par défaut considéré comme négligeable</t>
  </si>
  <si>
    <t>Total</t>
  </si>
  <si>
    <t>PDM 11</t>
  </si>
  <si>
    <t>n/d</t>
  </si>
  <si>
    <t>Vente en ligne</t>
  </si>
  <si>
    <t>Grohe</t>
  </si>
  <si>
    <t>Hansa</t>
  </si>
  <si>
    <t>Mitigeurs</t>
  </si>
  <si>
    <t>Mélangeurs</t>
  </si>
  <si>
    <t>Classique</t>
  </si>
  <si>
    <t>Contemporain</t>
  </si>
  <si>
    <t>Rétro</t>
  </si>
  <si>
    <t>Source : estimations du secteur et de MSI</t>
  </si>
  <si>
    <t>Unité : % du total en volume</t>
  </si>
  <si>
    <t>Δ 10-11</t>
  </si>
  <si>
    <t>Δ 11-12</t>
  </si>
  <si>
    <t>Δ 12-13</t>
  </si>
  <si>
    <t>Δ 13-14</t>
  </si>
  <si>
    <t>Δ 14-15</t>
  </si>
  <si>
    <t>Δ 15-16</t>
  </si>
  <si>
    <t>Unité : milliers d'unités</t>
  </si>
  <si>
    <t>Source : estimations et prévisions du secteur et de MSI</t>
  </si>
  <si>
    <t>PDM 10</t>
  </si>
  <si>
    <t>PDM 12</t>
  </si>
  <si>
    <t>PDM 13</t>
  </si>
  <si>
    <t>PDM 14</t>
  </si>
  <si>
    <t>PDM 15</t>
  </si>
  <si>
    <t>PDM 16</t>
  </si>
  <si>
    <t>Marge nette</t>
  </si>
  <si>
    <t>Chiffre d'affaires</t>
  </si>
  <si>
    <t>Résultat net</t>
  </si>
  <si>
    <t>Note : l’exercice financier se termine en décembre</t>
  </si>
  <si>
    <t>Unité : milliers d'€</t>
  </si>
  <si>
    <t>Unité : millions d'€</t>
  </si>
  <si>
    <t>Ensembliers sanitaires</t>
  </si>
  <si>
    <t>Chrome</t>
  </si>
  <si>
    <t>Noir ou blanc</t>
  </si>
  <si>
    <t>Allemagne</t>
  </si>
  <si>
    <t>Italie</t>
  </si>
  <si>
    <t>Chine</t>
  </si>
  <si>
    <t>Espagne</t>
  </si>
  <si>
    <t>Bulgarie</t>
  </si>
  <si>
    <t>Suisse</t>
  </si>
  <si>
    <t>Egypte</t>
  </si>
  <si>
    <t>Retour France</t>
  </si>
  <si>
    <t>Autres pays</t>
  </si>
  <si>
    <t>Notes : ces données se rapportent au code 84818011 ("Mélangeurs et mitigeurs sanitaires") dans la nomenclature des douanes françaises</t>
  </si>
  <si>
    <t>Données brutes de collecte, CAF-FAB hors matériel militaire</t>
  </si>
  <si>
    <t>Russie</t>
  </si>
  <si>
    <t>Royaume-Uni</t>
  </si>
  <si>
    <t>Belgique</t>
  </si>
  <si>
    <t>Nouvelle Calédonie</t>
  </si>
  <si>
    <t>Emirats Arabes Unis</t>
  </si>
  <si>
    <t>Maroc</t>
  </si>
  <si>
    <t>Pays-Bas</t>
  </si>
  <si>
    <t>Gabon</t>
  </si>
  <si>
    <t>Suède</t>
  </si>
  <si>
    <t>Autriche</t>
  </si>
  <si>
    <t>Pologne</t>
  </si>
  <si>
    <t xml:space="preserve"> - Maisons individuelles</t>
  </si>
  <si>
    <t>Entretien-rénovation de logements :</t>
  </si>
  <si>
    <t>Construction neuve de logements :</t>
  </si>
  <si>
    <t>Secteur non-résidentiel</t>
  </si>
  <si>
    <t xml:space="preserve"> - Douche</t>
  </si>
  <si>
    <t>Secteur résidentiel :</t>
  </si>
  <si>
    <t xml:space="preserve"> - Lavabos/vasques et lave-mains</t>
  </si>
  <si>
    <t xml:space="preserve"> - Douche/bain</t>
  </si>
  <si>
    <t>Congo (République)</t>
  </si>
  <si>
    <t>Australie</t>
  </si>
  <si>
    <t>Hong-Kong</t>
  </si>
  <si>
    <t>Danemark</t>
  </si>
  <si>
    <t>Tunisie</t>
  </si>
  <si>
    <t>Arabie Saoudite</t>
  </si>
  <si>
    <t>Côte d'Ivoire</t>
  </si>
  <si>
    <t>Algérie</t>
  </si>
  <si>
    <t>Corée du Sud</t>
  </si>
  <si>
    <t>Portugal</t>
  </si>
  <si>
    <t>Notes : ces données se rapportent au code 84818019 ("Robinetterie sanitaire (sauf mélangeurs et mitigeurs)") dans la nomenclature des douanes françaises</t>
  </si>
  <si>
    <t>Fabricants / Importateurs</t>
  </si>
  <si>
    <t>Distribution Professionnelle</t>
  </si>
  <si>
    <t>Distribution Grand Public</t>
  </si>
  <si>
    <t>Spécialistes</t>
  </si>
  <si>
    <t>Coopératives d'artisans</t>
  </si>
  <si>
    <t>Grossistes sanitaires</t>
  </si>
  <si>
    <t>Négoces généralistes</t>
  </si>
  <si>
    <t>GSE, Jeune habitat</t>
  </si>
  <si>
    <t>Cuisinistes</t>
  </si>
  <si>
    <t>Bainistes</t>
  </si>
  <si>
    <r>
      <t>Artisans-poseurs</t>
    </r>
    <r>
      <rPr>
        <sz val="7"/>
        <rFont val="Century Gothic"/>
        <family val="2"/>
      </rPr>
      <t xml:space="preserve"> (plombiers etc.)</t>
    </r>
  </si>
  <si>
    <t>Source : MSI</t>
  </si>
  <si>
    <t>Ideal Standard (Ideal Standard, Porcher, Jado)</t>
  </si>
  <si>
    <t>Kohler (Jacob Delafon)</t>
  </si>
  <si>
    <t>Hansgrohe (Hansgrohe, Axor)</t>
  </si>
  <si>
    <t>Huber</t>
  </si>
  <si>
    <t>Ondyna (Cristina)</t>
  </si>
  <si>
    <t>Gessi</t>
  </si>
  <si>
    <t xml:space="preserve"> - dont export</t>
  </si>
  <si>
    <t>Source : Registre National du Commerce et des Sociétés</t>
  </si>
  <si>
    <t>Notes : l’exercice financier se termine en décembre</t>
  </si>
  <si>
    <t>Le chiffre d'affaires à l'export est nul ou peu significatif</t>
  </si>
  <si>
    <t>Entrée de gamme (60 à 99 €)</t>
  </si>
  <si>
    <t>Milieu de gamme (100 à 199 €)</t>
  </si>
  <si>
    <t>THG</t>
  </si>
  <si>
    <t>Polynésie Française</t>
  </si>
  <si>
    <t>Turquie</t>
  </si>
  <si>
    <t>Ukraine</t>
  </si>
  <si>
    <t>Etats-Unis</t>
  </si>
  <si>
    <t>Robinetterie sanitaire (sauf mélangeurs et mitigeurs)</t>
  </si>
  <si>
    <t>Mélangeurs et mitigeurs</t>
  </si>
  <si>
    <t>€/tonne</t>
  </si>
  <si>
    <t>On estime que, dans la distribution professionnelle (négoces), environ 80 à 85% de la robinetterie sanitaire est vendue à des artisans, et environ 15 à 20% à des particuliers</t>
  </si>
  <si>
    <t>GSB/MSB, GSS, discounters</t>
  </si>
  <si>
    <r>
      <t>Clients Finaux</t>
    </r>
    <r>
      <rPr>
        <sz val="7.5"/>
        <rFont val="Century Gothic"/>
        <family val="2"/>
      </rPr>
      <t xml:space="preserve"> (a)</t>
    </r>
  </si>
  <si>
    <t>Source : analyse MSI des données des Douanes Françaises</t>
  </si>
  <si>
    <t>Haut de gamme et luxe (plus de 200 €)</t>
  </si>
  <si>
    <t>Entrée de gamme (80 à 119 €)</t>
  </si>
  <si>
    <t>Milieu de gamme (120 à 219 €)</t>
  </si>
  <si>
    <t>Haut de gamme et luxe (plus de 220 €)</t>
  </si>
  <si>
    <t>Mitigeurs thermostatiques</t>
  </si>
  <si>
    <t xml:space="preserve"> - Logements collectifs</t>
  </si>
  <si>
    <t>Total :</t>
  </si>
  <si>
    <t>Robinetterie domestique : robinets pour éviers de cuisine</t>
  </si>
  <si>
    <t>Notes : (a) = particuliers, promoteurs immobiliers, entreprises/administrations etc.</t>
  </si>
  <si>
    <t>Sans douchette</t>
  </si>
  <si>
    <t>Avec douchette</t>
  </si>
  <si>
    <t>Unité : % du total en valeur</t>
  </si>
  <si>
    <t>Autres (a)</t>
  </si>
  <si>
    <t xml:space="preserve">Volume </t>
  </si>
  <si>
    <t>Valeur</t>
  </si>
  <si>
    <t>Unités : milliers d'€, tonnes</t>
  </si>
  <si>
    <t xml:space="preserve">Valeur </t>
  </si>
  <si>
    <t>PDM</t>
  </si>
  <si>
    <t>Économique (moins de 80 €)</t>
  </si>
  <si>
    <t>Économique (moins de 60 €)</t>
  </si>
  <si>
    <t>Norvège</t>
  </si>
  <si>
    <t xml:space="preserve">On estime que, dans la distribution grand public Bricolage (GSB/MSB, discounters), environ 90% de la robinetterie sanitaire est vendue à des particuliers, et environ 10% à des particuliers. </t>
  </si>
  <si>
    <t>Ces taux ne sont pas applicables à la GSS Lapeyre,</t>
  </si>
  <si>
    <t>Total marché (valeur)</t>
  </si>
  <si>
    <t>Total marché (volume)</t>
  </si>
  <si>
    <t xml:space="preserve">Prix moyen </t>
  </si>
  <si>
    <t>Unités : millions d'€ HT, milliers d'unités, € HT</t>
  </si>
  <si>
    <t>PDM 17</t>
  </si>
  <si>
    <t>Robinetterie domestique : robinets pour douche, bain et bain-douche</t>
  </si>
  <si>
    <t>Δ 16-17</t>
  </si>
  <si>
    <t xml:space="preserve">Unités : milliers d'unités et % du total </t>
  </si>
  <si>
    <t>Unités : milliers d'unités et % du total</t>
  </si>
  <si>
    <t xml:space="preserve"> - Bain et bain-douche</t>
  </si>
  <si>
    <t>Marché de la Robinetterie Sanitaire en France, 2010-2019</t>
  </si>
  <si>
    <t>Marché de la Robinetterie Sanitaire en France, par Application, en Volume, 2010-2019</t>
  </si>
  <si>
    <t>Marché de la Robinetterie Sanitaire en France, par Application, en Valeur, 2010-2019</t>
  </si>
  <si>
    <t>PDM 18</t>
  </si>
  <si>
    <t>PDM 19</t>
  </si>
  <si>
    <t>Δ 17-18</t>
  </si>
  <si>
    <t>Δ 18-19</t>
  </si>
  <si>
    <t>Notes : les données en valeur s'entendent à prix fabricants HT, fourniture seule. Les prévisions en valeur s'entendent à prix constants 2014</t>
  </si>
  <si>
    <t>Note : les données en valeur s'entendent à prix fabricants HT, fourniture seule. Les prévisions en valeur s'entendent à prix constants 2014</t>
  </si>
  <si>
    <t>Note : le segment "bidets" est par défaut considéré comme négligeable</t>
  </si>
  <si>
    <t>Note : les ventes de robinetterie électronique au secteur résidentiel sont par défaut considérées comme négligeables</t>
  </si>
  <si>
    <t>Distribution de Robinetterie Sanitaire dans le Secteur Diffus en France, par canal, 2014</t>
  </si>
  <si>
    <t>Distribution de Robinetterie Sanitaire dans le Secteur Diffus en France, par Canal, 2014</t>
  </si>
  <si>
    <t>Distribution de Robinetterie Sanitaire de Collectivités en France, par Canal, 2014</t>
  </si>
  <si>
    <t>Données Financières d'Hansgrohe Wasselonne, 2004-2014</t>
  </si>
  <si>
    <t>Données Financières d'Ondyna, 2004-2014</t>
  </si>
  <si>
    <t>Résidences principales :</t>
  </si>
  <si>
    <t xml:space="preserve"> - Logements individuels</t>
  </si>
  <si>
    <t>Résidences secondaires :</t>
  </si>
  <si>
    <t>Logements vacants :</t>
  </si>
  <si>
    <t>Unité : milliers de logements</t>
  </si>
  <si>
    <t>Note : France métropolitaine uniquement</t>
  </si>
  <si>
    <t>Source : Insee et SOeS</t>
  </si>
  <si>
    <t>Logements individuels</t>
  </si>
  <si>
    <t>Logements collectifs</t>
  </si>
  <si>
    <t>Ensemble</t>
  </si>
  <si>
    <t>Logements occupés par leur(s) propriétaire(s)</t>
  </si>
  <si>
    <t>Parc locatif (ensemble), dont :</t>
  </si>
  <si>
    <t xml:space="preserve">  - Secteur privé</t>
  </si>
  <si>
    <t xml:space="preserve">  - Secteur social</t>
  </si>
  <si>
    <t>Ensemble des logements</t>
  </si>
  <si>
    <t>Unité : % du total</t>
  </si>
  <si>
    <t>Source : MEDDE - SOeS, Filocom 2011</t>
  </si>
  <si>
    <t>Propriétaires occupants :</t>
  </si>
  <si>
    <t xml:space="preserve"> - Non accédants</t>
  </si>
  <si>
    <t xml:space="preserve"> - Accédants</t>
  </si>
  <si>
    <t>Locataires :</t>
  </si>
  <si>
    <t xml:space="preserve"> - de personnes physiques (a)</t>
  </si>
  <si>
    <t xml:space="preserve"> - de HLM et autres bailleurs sociaux</t>
  </si>
  <si>
    <t xml:space="preserve"> - d'autres personnes morales</t>
  </si>
  <si>
    <t>Notes : (a) = bailleurs privés</t>
  </si>
  <si>
    <t xml:space="preserve">Les ménages logés à titre gratuit (par leur famille, leur employeur ou toute autre personne physique ou morale), les crédirentiers et les usufruitiers (hors situation de donation ou de succession) sont compris dans la catégorie des "locataires". Ils représentaient 2,7% des ménages en 2009. </t>
  </si>
  <si>
    <t>En revanche, les usufruitiers à la suite de donation ou de succession sont classés dans la filière des propriétaires non-accédants.</t>
  </si>
  <si>
    <t>Source : Comptes du Logement (édition de décembre 2012)</t>
  </si>
  <si>
    <t>1 ou 2 pièces</t>
  </si>
  <si>
    <t>3 pièces</t>
  </si>
  <si>
    <t>4 pièces</t>
  </si>
  <si>
    <t>5 pièces</t>
  </si>
  <si>
    <t>6 pièces ou plus</t>
  </si>
  <si>
    <t>Maisons individuelles</t>
  </si>
  <si>
    <t>Appartements</t>
  </si>
  <si>
    <t>Unité : m²</t>
  </si>
  <si>
    <t>Logements individuels :</t>
  </si>
  <si>
    <t xml:space="preserve"> - Logements individuels purs</t>
  </si>
  <si>
    <t xml:space="preserve"> - Logements individuels groupés</t>
  </si>
  <si>
    <t>Logements en résidence</t>
  </si>
  <si>
    <t>Unité : nombre de logements autorisés au cours des 12 derniers mois (pour un mois donné)</t>
  </si>
  <si>
    <t>Notes : comprend également les travaux d'extension de logements existants ayant fait l'objet d'un permis de construire</t>
  </si>
  <si>
    <t>France entière (France métropolitaine et DROM)</t>
  </si>
  <si>
    <t>Source : Sit@del2, CGDD/SOeS</t>
  </si>
  <si>
    <t>Unité : nombre de logements mis en chantier au cours des 12 derniers mois (pour un mois donné)</t>
  </si>
  <si>
    <t>Unité : surface de l'ensemble des logements mis en chantier au cours des 12 derniers mois (pour un mois donné), en m²</t>
  </si>
  <si>
    <t>Source : SOeS, Sit@del2</t>
  </si>
  <si>
    <t>Source : analyse MSI des données de Sit@del2</t>
  </si>
  <si>
    <t>Hébergement hôtelier</t>
  </si>
  <si>
    <t>Bureaux</t>
  </si>
  <si>
    <t>Locaux commerciaux</t>
  </si>
  <si>
    <t>Bâtiments industriels</t>
  </si>
  <si>
    <t>Exploitations agricoles ou forestières</t>
  </si>
  <si>
    <t>Entrepôts</t>
  </si>
  <si>
    <t xml:space="preserve"> - Transport</t>
  </si>
  <si>
    <t xml:space="preserve"> - Enseignement et recherche</t>
  </si>
  <si>
    <t xml:space="preserve"> - Santé</t>
  </si>
  <si>
    <t xml:space="preserve"> - Action sociale</t>
  </si>
  <si>
    <t xml:space="preserve"> - Ouvrages spéciaux</t>
  </si>
  <si>
    <t xml:space="preserve"> - Culture et loisirs</t>
  </si>
  <si>
    <t>Unité : m² (surface mise en chantier au cours des 12 derniers mois, pour un mois donné)</t>
  </si>
  <si>
    <t>Notes : la réforme intervenue au 1er mars 2012 crée le concept de surface de plancher en lieu et place des précédentes SHON et SHOB. Les résultats diffusés dans ce tableau sont exprimés en surface de plancher sur l'ensemble de la période.</t>
  </si>
  <si>
    <t>(a) = la notion de « local artisanal » a été introduite en octobre 2007 lors de la réforme du droit des sols, et Sit@del2 prend dorénavant en compte l’artisanat de manière spécifique. Auparavant, les superficies de locaux artisanaux étaient comprises dans les données sur les bâtiments industriels et les commerces</t>
  </si>
  <si>
    <t>France entière (France métropolitaine et DROM, hors Mayotte)</t>
  </si>
  <si>
    <t>Nombre de mise en vente :</t>
  </si>
  <si>
    <t>Nombre de logements réservés :</t>
  </si>
  <si>
    <t>Encours en fin d'année :</t>
  </si>
  <si>
    <t>Unité : nombre de logements mis en vente ou réservés au cours de l'année, encours de logements proposés à la vente en fin d'année</t>
  </si>
  <si>
    <t>Source : SOeS, ECLN</t>
  </si>
  <si>
    <t>Investissement locatif</t>
  </si>
  <si>
    <t>Accession à la propriété</t>
  </si>
  <si>
    <t>Unité : nombre de logements réservés au cours de l'année, hors résidences avec services</t>
  </si>
  <si>
    <t>Notes : les logements commercialisés par les promoteurs immobiliers correspondent à des logements collectifs et à des logements individuels "groupés" (ce qui exclut les logements individuels "purs", dont la construction passe le plus souvent par des constructeurs de maisons individuelles)</t>
  </si>
  <si>
    <t>Ventes brutes : réservations à la vente avec dépôt d'arrhes. À la différence des ventes nettes, elles ne tiennent pas compte des désistements</t>
  </si>
  <si>
    <t>Sources : ECLN, CGDD/SOeS, FPI</t>
  </si>
  <si>
    <t>Nombre de ventes au cours du mois</t>
  </si>
  <si>
    <t>Cumul des ventes sur les 12 derniers mois</t>
  </si>
  <si>
    <t>Unités : nombre de logements, % d'évolution</t>
  </si>
  <si>
    <t>Note : l'indicateur Markémétron/UMF mesure l'évolution des ventes brutes par les constructeurs de maisons individuelles, soit 3 à 4 mois en amont des permis de construire et 5 à 8 mois en amont des ouvertures de chantier.</t>
  </si>
  <si>
    <t>Source : Caron Marketing/ Union des Maisons Françaises</t>
  </si>
  <si>
    <t>Nombre de transactions</t>
  </si>
  <si>
    <t>Unités : nombre de transactions réalisées au cours des 12 derniers mois pour un mois donné, % de variation par rapport à la même période un an auparavant</t>
  </si>
  <si>
    <t>Note : la date prise en considération est celle de la signature de l'acte de vente notarié, qui est postérieur de 100 jours en moyenne à l'avant-contrat (promesse ou compromis de vente) et antérieur de 50 jours en moyenne à l'enregistrement par la conservation des hypothèques</t>
  </si>
  <si>
    <t>Source : CGEDD d'après DGFiP (MEDOC) et bases notariales</t>
  </si>
  <si>
    <t>Social</t>
  </si>
  <si>
    <t>Nombre de ménages</t>
  </si>
  <si>
    <t>Personnes seules</t>
  </si>
  <si>
    <t>Couples sans enfant</t>
  </si>
  <si>
    <t>Couples avec enfant(s)</t>
  </si>
  <si>
    <t>Familles monoparentales</t>
  </si>
  <si>
    <t>Ménages complexes (a)</t>
  </si>
  <si>
    <t>Unités : milliers de ménages, nombre moyen de personnes par ménage</t>
  </si>
  <si>
    <t xml:space="preserve">Notes : les "enfants" sont comptabilisés sans limite d'âge, les "enfants de moins de 18 ans" le sont en âge révolu. </t>
  </si>
  <si>
    <t>(a) = ménage composé de deux familles, de plusieurs personnes isolées qui ne constituent pas une famille, ou de personnes isolées et de famille(s). </t>
  </si>
  <si>
    <t>Source : Insee</t>
  </si>
  <si>
    <t>1 personne</t>
  </si>
  <si>
    <t>2 personnes</t>
  </si>
  <si>
    <t>3 personnes</t>
  </si>
  <si>
    <t>4 personnes</t>
  </si>
  <si>
    <t>5 personnes</t>
  </si>
  <si>
    <t>6 personnes ou plus</t>
  </si>
  <si>
    <t>Ensembe</t>
  </si>
  <si>
    <t>Unités : milliers de ménages et % du total</t>
  </si>
  <si>
    <t>Femmes</t>
  </si>
  <si>
    <t>Hommes</t>
  </si>
  <si>
    <t>Unité : % du total de la population</t>
  </si>
  <si>
    <t>Note : France entière, hors Mayotte</t>
  </si>
  <si>
    <t>Données Financières d'Ideal Standard France, 2003-2013</t>
  </si>
  <si>
    <t>Données Financières de Kohler France, 2003-2013</t>
  </si>
  <si>
    <t>Données Financières de Grohe, 2003-2013</t>
  </si>
  <si>
    <t>Données Financières d'Hansa France, 2003-2012</t>
  </si>
  <si>
    <t>Données Financières d'Hansgrohe, 2003-2013</t>
  </si>
  <si>
    <t>Données Financières de Païni France, 2003-2013</t>
  </si>
  <si>
    <t>Données Financières d'Horus, 2001-2011</t>
  </si>
  <si>
    <t>Importations Françaises de Mélangeurs et Mitigeurs Sanitaires, par Pays d'Origine, 2013-2014</t>
  </si>
  <si>
    <t>Japon</t>
  </si>
  <si>
    <t>Exportations Françaises de Mélangeurs et Mitigeurs Sanitaires, par Pays de Destination, 2013-2014</t>
  </si>
  <si>
    <t>Madagascar</t>
  </si>
  <si>
    <t>Nigéria</t>
  </si>
  <si>
    <t>Cameroun</t>
  </si>
  <si>
    <t>Liban</t>
  </si>
  <si>
    <t>Volume</t>
  </si>
  <si>
    <t>Slovénie</t>
  </si>
  <si>
    <t>Finlande</t>
  </si>
  <si>
    <t>Importations Françaises de Robinetterie Sanitaire (sauf Mélangeurs et Mitigeurs), par Pays d'Origine, 2013-2014</t>
  </si>
  <si>
    <t>Exportations Françaises de Robinetterie Sanitaire (sauf Mélangeurs et Mitigeurs), par Pays de Destination, 2013-2014</t>
  </si>
  <si>
    <t>Malaysie</t>
  </si>
  <si>
    <t>Nouvelle-Zélande</t>
  </si>
  <si>
    <t>Roumanie</t>
  </si>
  <si>
    <t>Bahreïn</t>
  </si>
  <si>
    <t>Iran</t>
  </si>
  <si>
    <t>Δ13-14</t>
  </si>
  <si>
    <t>Robinetterie domestique :</t>
  </si>
  <si>
    <t>Robinetterie de collectivités</t>
  </si>
  <si>
    <t>Marché de la Robinetterie Sanitaire Domestique en France, par Secteur Utilisateur, 2010-2014</t>
  </si>
  <si>
    <t>Unités : millions d'€ et % du total</t>
  </si>
  <si>
    <t>Marché de la Robinetterie Sanitaire Domestique pour Lavabos/Vasques et Lave-Mains en France, par Gamme de Prix, 2014</t>
  </si>
  <si>
    <t>Marché de la Robinetterie Sanitaire Domestique pour Lavabos/Vasques et Lave-Mains en France, par Type de Coloris, 2014</t>
  </si>
  <si>
    <t>Marché de la Robinetterie Sanitaire Domestique pour Douche, Bain et Bain-Douche en France, par Gamme de Prix, 2014</t>
  </si>
  <si>
    <t>Marché de la Robinetterie Sanitaire Domestique pour Douche, Bain et Bain-douche en France, par Style, 2014</t>
  </si>
  <si>
    <t>Marché de la Robinetterie Sanitaire Domestique pour Cuisine en France en Volume : Mitigeurs, par Type (avec ou sans Douchette), 2014</t>
  </si>
  <si>
    <t>Marché de la Robinetterie Sanitaire Domestique pour Cuisine en France en Valeur : Mitigeurs, par Type (avec ou sans Douchette), 2014</t>
  </si>
  <si>
    <t>Marché de la Robinetterie Sanitaire Domestique pour Cuisine en France, par Gamme de Prix, 2014</t>
  </si>
  <si>
    <t>Marché de la Robinetterie Sanitaire Domestique pour Cuisine en France, par Style, 2014</t>
  </si>
  <si>
    <t>PDM 1</t>
  </si>
  <si>
    <t>Autres</t>
  </si>
  <si>
    <t>Marché de la Robinetterie Sanitaire de Collectivités en France, 2010-2019</t>
  </si>
  <si>
    <t>Païni</t>
  </si>
  <si>
    <t>4 à 5%</t>
  </si>
  <si>
    <t>3 à 4%</t>
  </si>
  <si>
    <t>&lt; 3%</t>
  </si>
  <si>
    <t>24 à 27%</t>
  </si>
  <si>
    <t>Données Financières de Robinetterie R. Hammel, 2004-2013</t>
  </si>
  <si>
    <t>Données Financières d'Ets Tétard Haudiquez Grisoni, 2003-2013</t>
  </si>
  <si>
    <t>Données Financières de Roca, 2003-2014</t>
  </si>
  <si>
    <t xml:space="preserve">Spécialistes Robinetterie </t>
  </si>
  <si>
    <t>Spécialistes Robinetterie haut de gamme</t>
  </si>
  <si>
    <t>Ramón Soler</t>
  </si>
  <si>
    <t>Note : (a) = particuliers, promoteurs immobiliers, entreprises/administrations etc.</t>
  </si>
  <si>
    <t>Note : (a) = État, collectivités territoriales, entreprises, promoteurs immobiliers etc.</t>
  </si>
  <si>
    <t xml:space="preserve">6) Tableau : </t>
  </si>
  <si>
    <t xml:space="preserve">7) Tableau : </t>
  </si>
  <si>
    <t xml:space="preserve">8) Tableau : </t>
  </si>
  <si>
    <t xml:space="preserve">9) Tableau : </t>
  </si>
  <si>
    <t>Nombre de Logements Autorisés en France au cours des 12 derniers mois, par Type de Logement, 2009-2015</t>
  </si>
  <si>
    <t>Nombre de Logements Commencés en France au cours des 12 derniers mois, par Type de Logement, 2009-2015</t>
  </si>
  <si>
    <t>II) Tableau :</t>
  </si>
  <si>
    <t>Surface des Logements Commencés en France au cours des 12 derniers mois, par Type de Logement, 2009-2015</t>
  </si>
  <si>
    <t>III) Tableau :</t>
  </si>
  <si>
    <t>IV) Tableau :</t>
  </si>
  <si>
    <t xml:space="preserve">15) Tableau : </t>
  </si>
  <si>
    <t>Commercialisation de Logements Neufs par les Promoteurs Immobiliers en France, par Type de Logement, 2000-2014</t>
  </si>
  <si>
    <t xml:space="preserve">Notes : les logements commercialisés par les promoteurs immobiliers correspondent à des logements collectifs et à des logements individuels "groupés" (ce qui exclut les logements individuels "purs", dont la construction passe le plus souvent par des constructeurs de maisons individuelles). </t>
  </si>
  <si>
    <t>Comprend également les ventes de logements dont la construction n’est pas achevée.</t>
  </si>
  <si>
    <t xml:space="preserve">16) Tableau : </t>
  </si>
  <si>
    <t>Transactions de Logements Anciens en France, 2004-2015</t>
  </si>
  <si>
    <t xml:space="preserve">V) Tableau : </t>
  </si>
  <si>
    <t>Evolution des ventes (12 derniers mois / 12 mois mois précédents)</t>
  </si>
  <si>
    <t>Construction de Bâtiments Non-Résidentiels</t>
  </si>
  <si>
    <t xml:space="preserve">17) Tableau : </t>
  </si>
  <si>
    <t>Mises en Chantier de Bâtiments Non-Résidentiels en France, par Secteur, 2008-2015</t>
  </si>
  <si>
    <t>Artisanat</t>
  </si>
  <si>
    <t>Bâtiment de service public ou d’intérêt collectif :</t>
  </si>
  <si>
    <t>Note : autres = dont couleurs, aspect brossé etc.</t>
  </si>
  <si>
    <t xml:space="preserve">27, 28) Tableaux : </t>
  </si>
  <si>
    <t xml:space="preserve">29, 31) Tableaux : </t>
  </si>
  <si>
    <t xml:space="preserve">30, 32) Tableaux : </t>
  </si>
  <si>
    <t xml:space="preserve">33) Tableau : </t>
  </si>
  <si>
    <t xml:space="preserve">34) Tableau : </t>
  </si>
  <si>
    <t>Marché de la Robinetterie Sanitaire Domestique en France, par Type de Travaux et par Type de Logement, 2014</t>
  </si>
  <si>
    <t xml:space="preserve">35, 37) Tableaux : </t>
  </si>
  <si>
    <t xml:space="preserve">36) Tableau : </t>
  </si>
  <si>
    <t xml:space="preserve">38) Tableau : </t>
  </si>
  <si>
    <t xml:space="preserve">39) Tableau : </t>
  </si>
  <si>
    <t>Marché de la Robinetterie Sanitaire Domestique pour Lavabos/Vasques et Lave-Mains en France, par Style, 2014</t>
  </si>
  <si>
    <t xml:space="preserve">40) Tableau : </t>
  </si>
  <si>
    <t xml:space="preserve">41, 43) Tableaux : </t>
  </si>
  <si>
    <t xml:space="preserve">42) Tableau : </t>
  </si>
  <si>
    <t>Marché de la Robinetterie Sanitaire Domestique pour Lavabos/Vasques et Lave-Mains en France, par Type, en Volume, 2010-2019</t>
  </si>
  <si>
    <t>Marché de la Robinetterie Sanitaire Domestique pour Lavabos/Vasques et Lave-Mains en France, par Type, en Valeur, 2014</t>
  </si>
  <si>
    <t>Marché de la Robinetterie Sanitaire Domestique pour Douche, Bain et Bain-Douche en France , par Type, en Volume, 2010-2019</t>
  </si>
  <si>
    <t>Marché de la Robinetterie Sanitaire Domestique pour Douche, Bain et Bain-Douche en France, par Type, en Valeur, 2014</t>
  </si>
  <si>
    <t xml:space="preserve">44) Tableau : </t>
  </si>
  <si>
    <t xml:space="preserve">45) Tableau : </t>
  </si>
  <si>
    <t>Marché de la Robinetterie Sanitaire Domestique pour Cuisine en France , par Type, en Volume, 2010-2019</t>
  </si>
  <si>
    <t>Marché de la Robinetterie Sanitaire Domestique pour Cuisine en France, par Type, en Valeur, 2014</t>
  </si>
  <si>
    <t xml:space="preserve">47) Tableau : </t>
  </si>
  <si>
    <t xml:space="preserve">46, 48) Tableaux : </t>
  </si>
  <si>
    <t xml:space="preserve">49) Tableau : </t>
  </si>
  <si>
    <t xml:space="preserve">50) Tableau : </t>
  </si>
  <si>
    <t xml:space="preserve">51) Tableau : </t>
  </si>
  <si>
    <t xml:space="preserve">52) Tableau : </t>
  </si>
  <si>
    <t xml:space="preserve">53, 54) Tableaux : </t>
  </si>
  <si>
    <t>55, 56 ) Tableaux :</t>
  </si>
  <si>
    <t>57, 58) Tableaux :</t>
  </si>
  <si>
    <t>63) Tableau :</t>
  </si>
  <si>
    <t>65) Tableau :</t>
  </si>
  <si>
    <t xml:space="preserve">66) Tableau : </t>
  </si>
  <si>
    <t xml:space="preserve">67) Tableau : </t>
  </si>
  <si>
    <t xml:space="preserve">68) Tableau : </t>
  </si>
  <si>
    <t xml:space="preserve">69) Tableau : </t>
  </si>
  <si>
    <t xml:space="preserve">70) Tableau : </t>
  </si>
  <si>
    <t xml:space="preserve">71) Tableau : </t>
  </si>
  <si>
    <t xml:space="preserve">72) Tableau : </t>
  </si>
  <si>
    <t xml:space="preserve">73) Tableau : </t>
  </si>
  <si>
    <t xml:space="preserve">74) Tableau : </t>
  </si>
  <si>
    <t xml:space="preserve">75) Tableau : </t>
  </si>
  <si>
    <t xml:space="preserve">76) Tableau : </t>
  </si>
  <si>
    <t xml:space="preserve">77) Tableau : </t>
  </si>
  <si>
    <t xml:space="preserve">78) Tableau : </t>
  </si>
  <si>
    <t xml:space="preserve">10) Tableau : </t>
  </si>
  <si>
    <t xml:space="preserve">18) Tableau : </t>
  </si>
  <si>
    <t xml:space="preserve">23) Tableau : </t>
  </si>
  <si>
    <t xml:space="preserve">24) Tableau : </t>
  </si>
  <si>
    <t xml:space="preserve">VI) Tableau : </t>
  </si>
  <si>
    <t>VII) Tableau :</t>
  </si>
  <si>
    <t>VIII) Tableau :</t>
  </si>
  <si>
    <t>Parts de Marché des Principaux Fabricants Actifs sur le Marché de la Robinetterie Sanitaire en France, 2015</t>
  </si>
  <si>
    <t>Notes : (a) = dont imports Chine et autres fabricants italiens notamment, MDD</t>
  </si>
  <si>
    <t>Immobilier : Parc de logements</t>
  </si>
  <si>
    <t>Logements occupés par leurs propriétaires</t>
  </si>
  <si>
    <t>Parc locatif privé</t>
  </si>
  <si>
    <t>Parc locatif social</t>
  </si>
  <si>
    <t>Avant 1949</t>
  </si>
  <si>
    <t>Entre 1949 et 1974</t>
  </si>
  <si>
    <t>Entre 1975 et 1999</t>
  </si>
  <si>
    <t>Après 1999</t>
  </si>
  <si>
    <t>Logements construits avant 1975</t>
  </si>
  <si>
    <t>Logements construits après 1975</t>
  </si>
  <si>
    <t>Logements construits après 2000</t>
  </si>
  <si>
    <t>A (&lt;50 kWh/m²/an)</t>
  </si>
  <si>
    <t>B (51 à 90 kWh/m²/an)</t>
  </si>
  <si>
    <t>C (91 à 150 kWh/m²/an)</t>
  </si>
  <si>
    <t>D (151 à 230 kWh/m²/an)</t>
  </si>
  <si>
    <t>E (231 à 330 kWh/m²/an)</t>
  </si>
  <si>
    <t>F (331 à 450 kWh/m²/an)</t>
  </si>
  <si>
    <t>G (&gt;450 kWh/m²/an)</t>
  </si>
  <si>
    <r>
      <t xml:space="preserve">Consommation moyenne </t>
    </r>
    <r>
      <rPr>
        <sz val="7"/>
        <rFont val="Century Gothic"/>
        <family val="2"/>
      </rPr>
      <t>(en kWh(ep)/m²/an)</t>
    </r>
  </si>
  <si>
    <t>Unité : % du total de l'échantillon</t>
  </si>
  <si>
    <t>Note : (a) = en kWh(ep)/m²/an</t>
  </si>
  <si>
    <t>Source : Ex’im (étude réalisée sur la base d'un échantillon de 150 000 DPE réalisés en France métropolitaine entre le 1er novembre 2006 et le 31 juillet 2011)</t>
  </si>
  <si>
    <t>106</t>
  </si>
  <si>
    <t>72</t>
  </si>
  <si>
    <t>99</t>
  </si>
  <si>
    <t>85</t>
  </si>
  <si>
    <t>57</t>
  </si>
  <si>
    <t>64</t>
  </si>
  <si>
    <t>87</t>
  </si>
  <si>
    <t>52</t>
  </si>
  <si>
    <t>63</t>
  </si>
  <si>
    <t>80</t>
  </si>
  <si>
    <t>66</t>
  </si>
  <si>
    <t>102</t>
  </si>
  <si>
    <t>61</t>
  </si>
  <si>
    <t>Immobilier : Construction neuve</t>
  </si>
  <si>
    <t xml:space="preserve">France entière (France métropolitaine et DROM, hors Mayotte). </t>
  </si>
  <si>
    <t>Immobilier : autres indicateurs</t>
  </si>
  <si>
    <t>Nombre moyen de personnes par ménage</t>
  </si>
  <si>
    <t xml:space="preserve">Moins de 15 ans </t>
  </si>
  <si>
    <t xml:space="preserve">15-19 ans </t>
  </si>
  <si>
    <t xml:space="preserve">20-24 ans </t>
  </si>
  <si>
    <t xml:space="preserve">25-29 ans </t>
  </si>
  <si>
    <t xml:space="preserve">30-34 ans </t>
  </si>
  <si>
    <t xml:space="preserve">35-39 ans </t>
  </si>
  <si>
    <t xml:space="preserve">40-44 ans </t>
  </si>
  <si>
    <t xml:space="preserve">45-49 ans </t>
  </si>
  <si>
    <t xml:space="preserve">50-54 ans </t>
  </si>
  <si>
    <t xml:space="preserve">55-59 ans </t>
  </si>
  <si>
    <t xml:space="preserve">60-64 ans </t>
  </si>
  <si>
    <t xml:space="preserve">65-69 ans </t>
  </si>
  <si>
    <t xml:space="preserve">70-74 ans </t>
  </si>
  <si>
    <t xml:space="preserve">75 ans ou plus </t>
  </si>
  <si>
    <t xml:space="preserve">Ensemble </t>
  </si>
  <si>
    <t xml:space="preserve">Source : Insee, estimations de population (résultats provisoires arrêtés à fin 2012) </t>
  </si>
  <si>
    <t>Parc de Logements en France Métropolitaine, par Type de Logement, 2001-2012</t>
  </si>
  <si>
    <t>Parc de Logements en France,  par Type d'Occupant et par Type de Logement, 2011</t>
  </si>
  <si>
    <t>Parc de Résidences Principales en France Métropolitaine, par Type de Logement et par Type d'Occupant, 2011</t>
  </si>
  <si>
    <t>Parc de Logements en France, par Ancienneté, 2011</t>
  </si>
  <si>
    <t>Parc de Logements en France, selon le Nombre de Pièces, 2011</t>
  </si>
  <si>
    <t>Parc de Logements en France, selon le Rang Énergétique et l'Ancienneté du Logement</t>
  </si>
  <si>
    <t>Parc de Logements en France : Surface Moyenne des Résidences Principales, par Type de Logement et selon le Type d’Occupant, 2011</t>
  </si>
  <si>
    <t>Surface Moyenne des Logements Commencés en France, par Type, 2000-2014</t>
  </si>
  <si>
    <t>Vente Brutes de Logements Neufs par les Promoteurs Immobiliers en France, par Type d'Opération, 2000-2014</t>
  </si>
  <si>
    <t>Ventes de Maisons Individuelles en Secteur Diffus nNuves en France (indicateur Markémétron), 2010-2015</t>
  </si>
  <si>
    <t>Structure des Ménages en France, 2009</t>
  </si>
  <si>
    <t>Nombre de Ménages en France, selon le Nombre de Personnes qui les Composent, 2009</t>
  </si>
  <si>
    <r>
      <t>Population Française, par Classe d'</t>
    </r>
    <r>
      <rPr>
        <sz val="8"/>
        <rFont val="Calibri"/>
        <family val="2"/>
      </rPr>
      <t>Â</t>
    </r>
    <r>
      <rPr>
        <sz val="8"/>
        <rFont val="Century Gothic"/>
        <family val="2"/>
      </rPr>
      <t>ge, au 1er Janvier 2013</t>
    </r>
  </si>
  <si>
    <t xml:space="preserve">I) Tableau : </t>
  </si>
  <si>
    <t xml:space="preserve">11) Tableau : </t>
  </si>
  <si>
    <t>12) Tableau :</t>
  </si>
  <si>
    <t>25) Analyse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</si>
</sst>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 _€_-;\-* #,##0.00\ _€_-;_-* &quot;-&quot;??\ _€_-;_-@_-"/>
    <numFmt numFmtId="164" formatCode="0.0%"/>
    <numFmt numFmtId="165" formatCode="0.0"/>
    <numFmt numFmtId="166" formatCode="#,##0.0"/>
    <numFmt numFmtId="167" formatCode="[$-40C]mmm\-yy;@"/>
    <numFmt numFmtId="168" formatCode="_-* #,##0.0\ _€_-;\-* #,##0.0\ _€_-;_-* &quot;-&quot;?\ _€_-;_-@_-"/>
    <numFmt numFmtId="169" formatCode="mmm\ yyyy"/>
  </numFmts>
  <fonts count="45">
    <font>
      <sz val="10"/>
      <name val="Arial"/>
    </font>
    <font>
      <sz val="11"/>
      <color theme="1"/>
      <name val="Calibri"/>
      <family val="2"/>
      <scheme val="minor"/>
    </font>
    <font>
      <sz val="10"/>
      <name val="Arial"/>
      <family val="2"/>
    </font>
    <font>
      <sz val="10"/>
      <name val="Century Gothic"/>
      <family val="2"/>
    </font>
    <font>
      <i/>
      <sz val="7"/>
      <name val="Century Gothic"/>
      <family val="2"/>
    </font>
    <font>
      <i/>
      <sz val="6"/>
      <name val="Century Gothic"/>
      <family val="2"/>
    </font>
    <font>
      <sz val="10"/>
      <name val="Arial"/>
      <family val="2"/>
    </font>
    <font>
      <sz val="8"/>
      <name val="Century Gothic"/>
      <family val="2"/>
    </font>
    <font>
      <b/>
      <sz val="8"/>
      <name val="Century Gothic"/>
      <family val="2"/>
    </font>
    <font>
      <i/>
      <sz val="8"/>
      <name val="Century Gothic"/>
      <family val="2"/>
    </font>
    <font>
      <sz val="8"/>
      <name val="Arial"/>
      <family val="2"/>
    </font>
    <font>
      <sz val="6"/>
      <name val="Century Gothic"/>
      <family val="2"/>
    </font>
    <font>
      <sz val="7.5"/>
      <name val="Century Gothic"/>
      <family val="2"/>
    </font>
    <font>
      <b/>
      <sz val="7.5"/>
      <name val="Century Gothic"/>
      <family val="2"/>
    </font>
    <font>
      <b/>
      <sz val="8"/>
      <color indexed="56"/>
      <name val="Century Gothic"/>
      <family val="2"/>
    </font>
    <font>
      <b/>
      <sz val="7"/>
      <name val="Century Gothic"/>
      <family val="2"/>
    </font>
    <font>
      <b/>
      <sz val="10"/>
      <name val="Arial"/>
      <family val="2"/>
    </font>
    <font>
      <sz val="7"/>
      <name val="Century Gothic"/>
      <family val="2"/>
    </font>
    <font>
      <b/>
      <sz val="11"/>
      <color indexed="9"/>
      <name val="Century Gothic"/>
      <family val="2"/>
    </font>
    <font>
      <b/>
      <sz val="8"/>
      <color indexed="9"/>
      <name val="Century Gothic"/>
      <family val="2"/>
    </font>
    <font>
      <sz val="8"/>
      <color indexed="10"/>
      <name val="Century Gothic"/>
      <family val="2"/>
    </font>
    <font>
      <sz val="7"/>
      <color indexed="12"/>
      <name val="Century Gothic"/>
      <family val="2"/>
    </font>
    <font>
      <i/>
      <sz val="7"/>
      <color indexed="12"/>
      <name val="Century Gothic"/>
      <family val="2"/>
    </font>
    <font>
      <sz val="10"/>
      <color indexed="12"/>
      <name val="Century Gothic"/>
      <family val="2"/>
    </font>
    <font>
      <sz val="7"/>
      <color indexed="8"/>
      <name val="Century Gothic"/>
      <family val="2"/>
    </font>
    <font>
      <sz val="7.5"/>
      <name val="Arial"/>
      <family val="2"/>
    </font>
    <font>
      <b/>
      <sz val="7.5"/>
      <name val="Arial"/>
      <family val="2"/>
    </font>
    <font>
      <b/>
      <sz val="8"/>
      <color indexed="12"/>
      <name val="Century Gothic"/>
      <family val="2"/>
    </font>
    <font>
      <sz val="7"/>
      <color indexed="10"/>
      <name val="Century Gothic"/>
      <family val="2"/>
    </font>
    <font>
      <sz val="8"/>
      <color indexed="12"/>
      <name val="Century Gothic"/>
      <family val="2"/>
    </font>
    <font>
      <b/>
      <sz val="10"/>
      <color indexed="8"/>
      <name val="Times New Roman"/>
      <family val="1"/>
    </font>
    <font>
      <b/>
      <sz val="10"/>
      <name val="Times New Roman"/>
      <family val="1"/>
    </font>
    <font>
      <sz val="10"/>
      <name val="Times New Roman"/>
      <family val="1"/>
    </font>
    <font>
      <b/>
      <sz val="8"/>
      <color indexed="10"/>
      <name val="Century Gothic"/>
      <family val="2"/>
    </font>
    <font>
      <b/>
      <sz val="6"/>
      <color indexed="10"/>
      <name val="Century Gothic"/>
      <family val="2"/>
    </font>
    <font>
      <b/>
      <sz val="8"/>
      <color indexed="8"/>
      <name val="Century Gothic"/>
      <family val="2"/>
    </font>
    <font>
      <sz val="8"/>
      <color indexed="8"/>
      <name val="Century Gothic"/>
      <family val="2"/>
    </font>
    <font>
      <sz val="7.5"/>
      <color indexed="8"/>
      <name val="Century Gothic"/>
      <family val="2"/>
    </font>
    <font>
      <sz val="10"/>
      <name val="Geneva"/>
    </font>
    <font>
      <b/>
      <sz val="10"/>
      <name val="Geneva"/>
    </font>
    <font>
      <b/>
      <sz val="8"/>
      <color indexed="8"/>
      <name val="Arial"/>
      <family val="2"/>
    </font>
    <font>
      <sz val="10"/>
      <name val="Arial"/>
      <family val="2"/>
    </font>
    <font>
      <b/>
      <i/>
      <sz val="10"/>
      <color rgb="FFFF0000"/>
      <name val="Century Gothic"/>
      <family val="2"/>
    </font>
    <font>
      <b/>
      <sz val="10"/>
      <color rgb="FFFF0000"/>
      <name val="Century Gothic"/>
      <family val="2"/>
    </font>
    <font>
      <sz val="8"/>
      <name val="Calibri"/>
      <family val="2"/>
    </font>
  </fonts>
  <fills count="15">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56"/>
        <bgColor indexed="64"/>
      </patternFill>
    </fill>
    <fill>
      <patternFill patternType="solid">
        <fgColor indexed="41"/>
        <bgColor indexed="64"/>
      </patternFill>
    </fill>
    <fill>
      <patternFill patternType="solid">
        <fgColor indexed="51"/>
        <bgColor indexed="64"/>
      </patternFill>
    </fill>
    <fill>
      <patternFill patternType="solid">
        <fgColor indexed="40"/>
        <bgColor indexed="64"/>
      </patternFill>
    </fill>
    <fill>
      <patternFill patternType="solid">
        <fgColor indexed="42"/>
        <bgColor indexed="64"/>
      </patternFill>
    </fill>
    <fill>
      <patternFill patternType="solid">
        <fgColor indexed="50"/>
        <bgColor indexed="64"/>
      </patternFill>
    </fill>
    <fill>
      <patternFill patternType="solid">
        <fgColor indexed="46"/>
        <bgColor indexed="64"/>
      </patternFill>
    </fill>
    <fill>
      <patternFill patternType="solid">
        <fgColor indexed="47"/>
        <bgColor indexed="64"/>
      </patternFill>
    </fill>
    <fill>
      <patternFill patternType="solid">
        <fgColor indexed="44"/>
        <bgColor indexed="9"/>
      </patternFill>
    </fill>
    <fill>
      <patternFill patternType="solid">
        <fgColor indexed="43"/>
        <bgColor indexed="9"/>
      </patternFill>
    </fill>
    <fill>
      <patternFill patternType="solid">
        <fgColor indexed="9"/>
        <bgColor indexed="64"/>
      </patternFill>
    </fill>
  </fills>
  <borders count="20">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right/>
      <top style="thin">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0">
    <xf numFmtId="0" fontId="0" fillId="0" borderId="0"/>
    <xf numFmtId="9" fontId="2" fillId="0" borderId="0" applyFont="0" applyFill="0" applyBorder="0" applyAlignment="0" applyProtection="0"/>
    <xf numFmtId="9" fontId="6" fillId="0" borderId="0" applyFont="0" applyFill="0" applyBorder="0" applyAlignment="0" applyProtection="0"/>
    <xf numFmtId="0" fontId="38" fillId="0" borderId="0"/>
    <xf numFmtId="43" fontId="41" fillId="0" borderId="0" applyFont="0" applyFill="0" applyBorder="0" applyAlignment="0" applyProtection="0"/>
    <xf numFmtId="9" fontId="2" fillId="0" borderId="0" applyFont="0" applyFill="0" applyBorder="0" applyAlignment="0" applyProtection="0"/>
    <xf numFmtId="0" fontId="1" fillId="0" borderId="0"/>
    <xf numFmtId="0" fontId="2" fillId="0" borderId="0"/>
    <xf numFmtId="43" fontId="2" fillId="0" borderId="0" applyFont="0" applyFill="0" applyBorder="0" applyAlignment="0" applyProtection="0"/>
    <xf numFmtId="9" fontId="2" fillId="0" borderId="0" applyFont="0" applyFill="0" applyBorder="0" applyAlignment="0" applyProtection="0"/>
  </cellStyleXfs>
  <cellXfs count="666">
    <xf numFmtId="0" fontId="0" fillId="0" borderId="0" xfId="0"/>
    <xf numFmtId="0" fontId="0" fillId="0" borderId="0" xfId="0" applyAlignment="1">
      <alignment vertical="center"/>
    </xf>
    <xf numFmtId="0" fontId="0" fillId="0" borderId="0" xfId="0" applyBorder="1" applyAlignment="1"/>
    <xf numFmtId="0" fontId="8" fillId="2" borderId="1" xfId="0" applyFont="1" applyFill="1" applyBorder="1" applyAlignment="1">
      <alignment horizontal="right" vertical="justify"/>
    </xf>
    <xf numFmtId="0" fontId="7" fillId="0" borderId="0" xfId="0" applyFont="1"/>
    <xf numFmtId="0" fontId="8" fillId="0" borderId="0" xfId="0" applyFont="1"/>
    <xf numFmtId="0" fontId="5" fillId="0" borderId="0" xfId="0" applyFont="1" applyAlignment="1">
      <alignment vertical="center"/>
    </xf>
    <xf numFmtId="0" fontId="11" fillId="0" borderId="0" xfId="0" applyFont="1" applyAlignment="1">
      <alignment vertical="center"/>
    </xf>
    <xf numFmtId="0" fontId="7" fillId="2" borderId="0" xfId="0" applyFont="1" applyFill="1" applyAlignment="1">
      <alignment vertical="center"/>
    </xf>
    <xf numFmtId="0" fontId="0" fillId="0" borderId="0" xfId="0" applyBorder="1" applyAlignment="1">
      <alignment vertical="center"/>
    </xf>
    <xf numFmtId="0" fontId="12" fillId="0" borderId="0" xfId="0" applyFont="1" applyAlignment="1">
      <alignment vertical="center"/>
    </xf>
    <xf numFmtId="0" fontId="4" fillId="0" borderId="0" xfId="0" applyFont="1" applyAlignment="1">
      <alignment vertical="center"/>
    </xf>
    <xf numFmtId="0" fontId="4" fillId="0" borderId="0" xfId="0" applyFont="1" applyBorder="1" applyAlignment="1">
      <alignment vertical="center"/>
    </xf>
    <xf numFmtId="3" fontId="7" fillId="0" borderId="0" xfId="0" applyNumberFormat="1" applyFont="1" applyBorder="1" applyAlignment="1">
      <alignment horizontal="right" vertical="center"/>
    </xf>
    <xf numFmtId="0" fontId="5" fillId="0" borderId="0" xfId="0" applyFont="1" applyFill="1" applyAlignment="1">
      <alignment vertical="center"/>
    </xf>
    <xf numFmtId="0" fontId="7" fillId="0" borderId="0" xfId="0" applyFont="1" applyAlignment="1">
      <alignment vertical="center"/>
    </xf>
    <xf numFmtId="0" fontId="7" fillId="0" borderId="0" xfId="0" applyFont="1" applyFill="1" applyAlignment="1">
      <alignment vertical="center"/>
    </xf>
    <xf numFmtId="0" fontId="3" fillId="0" borderId="0" xfId="0" applyFont="1" applyFill="1" applyAlignment="1">
      <alignment vertical="center"/>
    </xf>
    <xf numFmtId="0" fontId="3" fillId="0" borderId="0" xfId="0" applyFont="1" applyBorder="1" applyAlignment="1">
      <alignment vertical="center"/>
    </xf>
    <xf numFmtId="0" fontId="3" fillId="0" borderId="0" xfId="0" applyFont="1" applyAlignment="1">
      <alignment vertical="center"/>
    </xf>
    <xf numFmtId="0" fontId="4" fillId="0" borderId="0" xfId="0" applyFont="1" applyFill="1" applyAlignment="1">
      <alignment vertical="center"/>
    </xf>
    <xf numFmtId="164" fontId="3" fillId="0" borderId="0" xfId="0" applyNumberFormat="1" applyFont="1" applyAlignment="1">
      <alignment vertical="center"/>
    </xf>
    <xf numFmtId="0" fontId="3" fillId="0" borderId="8" xfId="0" applyFont="1" applyBorder="1" applyAlignment="1">
      <alignment vertical="center"/>
    </xf>
    <xf numFmtId="0" fontId="7" fillId="0" borderId="0" xfId="0" applyFont="1" applyFill="1" applyBorder="1" applyAlignment="1">
      <alignment vertical="center"/>
    </xf>
    <xf numFmtId="164" fontId="7" fillId="0" borderId="0" xfId="0" applyNumberFormat="1" applyFont="1" applyBorder="1" applyAlignment="1">
      <alignment horizontal="right" vertical="center"/>
    </xf>
    <xf numFmtId="0" fontId="7" fillId="0" borderId="0" xfId="0" applyFont="1" applyFill="1" applyBorder="1" applyAlignment="1">
      <alignment horizontal="left" vertical="center"/>
    </xf>
    <xf numFmtId="3" fontId="7" fillId="2" borderId="0" xfId="0" applyNumberFormat="1" applyFont="1" applyFill="1" applyAlignment="1">
      <alignment vertical="center"/>
    </xf>
    <xf numFmtId="164" fontId="7" fillId="0" borderId="0" xfId="0" applyNumberFormat="1" applyFont="1" applyAlignment="1">
      <alignment vertical="center"/>
    </xf>
    <xf numFmtId="9" fontId="7" fillId="0" borderId="0" xfId="0" applyNumberFormat="1" applyFont="1" applyAlignment="1">
      <alignment vertical="center"/>
    </xf>
    <xf numFmtId="0" fontId="8" fillId="0" borderId="0" xfId="0" applyFont="1" applyAlignment="1">
      <alignment vertical="center"/>
    </xf>
    <xf numFmtId="3" fontId="7" fillId="0" borderId="0" xfId="0" applyNumberFormat="1" applyFont="1" applyAlignment="1">
      <alignment vertical="center"/>
    </xf>
    <xf numFmtId="165" fontId="7" fillId="0" borderId="0" xfId="0" applyNumberFormat="1" applyFont="1" applyAlignment="1">
      <alignment vertical="center"/>
    </xf>
    <xf numFmtId="0" fontId="7" fillId="0" borderId="0" xfId="0" applyFont="1" applyFill="1" applyAlignment="1">
      <alignment horizontal="left" vertical="center"/>
    </xf>
    <xf numFmtId="9" fontId="7" fillId="0" borderId="0" xfId="0" applyNumberFormat="1" applyFont="1" applyFill="1" applyAlignment="1">
      <alignment vertical="center"/>
    </xf>
    <xf numFmtId="9" fontId="7" fillId="0" borderId="0" xfId="0" applyNumberFormat="1" applyFont="1" applyFill="1" applyAlignment="1">
      <alignment horizontal="right" vertical="center"/>
    </xf>
    <xf numFmtId="0" fontId="12" fillId="0" borderId="0" xfId="0" applyFont="1" applyFill="1" applyBorder="1" applyAlignment="1">
      <alignment horizontal="center" vertical="center" wrapText="1"/>
    </xf>
    <xf numFmtId="0" fontId="12" fillId="0" borderId="0" xfId="0" applyFont="1" applyFill="1" applyAlignment="1">
      <alignment vertical="center"/>
    </xf>
    <xf numFmtId="0" fontId="12" fillId="0" borderId="0" xfId="0" applyFont="1" applyFill="1" applyAlignment="1">
      <alignment horizontal="left" vertical="center"/>
    </xf>
    <xf numFmtId="0" fontId="7" fillId="0" borderId="0" xfId="0" applyFont="1" applyFill="1" applyBorder="1" applyAlignment="1">
      <alignment horizontal="center" vertical="center" wrapText="1"/>
    </xf>
    <xf numFmtId="0" fontId="8" fillId="0" borderId="0" xfId="0" applyFont="1" applyFill="1" applyBorder="1" applyAlignment="1">
      <alignment horizontal="center" vertical="center"/>
    </xf>
    <xf numFmtId="0" fontId="7" fillId="0" borderId="0" xfId="0" applyFont="1" applyFill="1" applyBorder="1" applyAlignment="1">
      <alignment horizontal="center" vertical="center"/>
    </xf>
    <xf numFmtId="0" fontId="7" fillId="0" borderId="0" xfId="0" applyFont="1" applyBorder="1" applyAlignment="1">
      <alignment vertical="center"/>
    </xf>
    <xf numFmtId="0" fontId="18" fillId="4" borderId="11" xfId="0" applyFont="1" applyFill="1" applyBorder="1" applyAlignment="1">
      <alignment vertical="center"/>
    </xf>
    <xf numFmtId="0" fontId="19" fillId="4" borderId="11" xfId="0" applyFont="1" applyFill="1" applyBorder="1" applyAlignment="1">
      <alignment vertical="center"/>
    </xf>
    <xf numFmtId="0" fontId="19" fillId="0" borderId="0" xfId="0" applyFont="1" applyFill="1" applyBorder="1" applyAlignment="1">
      <alignment vertical="center"/>
    </xf>
    <xf numFmtId="0" fontId="7" fillId="0" borderId="8" xfId="0" applyFont="1" applyBorder="1" applyAlignment="1">
      <alignment vertical="center"/>
    </xf>
    <xf numFmtId="0" fontId="9" fillId="0" borderId="0" xfId="0" applyFont="1" applyAlignment="1">
      <alignment vertical="center"/>
    </xf>
    <xf numFmtId="0" fontId="8" fillId="2" borderId="1" xfId="0" applyFont="1" applyFill="1" applyBorder="1" applyAlignment="1">
      <alignment vertical="justify"/>
    </xf>
    <xf numFmtId="0" fontId="8" fillId="2" borderId="2" xfId="0" applyFont="1" applyFill="1" applyBorder="1" applyAlignment="1">
      <alignment vertical="justify"/>
    </xf>
    <xf numFmtId="3" fontId="7" fillId="0" borderId="5" xfId="0" applyNumberFormat="1" applyFont="1" applyBorder="1" applyAlignment="1">
      <alignment vertical="justify"/>
    </xf>
    <xf numFmtId="3" fontId="7" fillId="0" borderId="13" xfId="0" applyNumberFormat="1" applyFont="1" applyBorder="1" applyAlignment="1">
      <alignment vertical="justify"/>
    </xf>
    <xf numFmtId="3" fontId="7" fillId="0" borderId="0" xfId="0" applyNumberFormat="1" applyFont="1" applyBorder="1" applyAlignment="1">
      <alignment vertical="justify"/>
    </xf>
    <xf numFmtId="3" fontId="7" fillId="0" borderId="0" xfId="0" applyNumberFormat="1" applyFont="1" applyBorder="1" applyAlignment="1">
      <alignment horizontal="right" vertical="justify"/>
    </xf>
    <xf numFmtId="3" fontId="7" fillId="0" borderId="10" xfId="0" applyNumberFormat="1" applyFont="1" applyBorder="1" applyAlignment="1">
      <alignment vertical="justify"/>
    </xf>
    <xf numFmtId="3" fontId="9" fillId="0" borderId="0" xfId="0" applyNumberFormat="1" applyFont="1" applyAlignment="1">
      <alignment vertical="center"/>
    </xf>
    <xf numFmtId="0" fontId="20" fillId="0" borderId="0" xfId="0" applyFont="1" applyAlignment="1">
      <alignment vertical="center"/>
    </xf>
    <xf numFmtId="0" fontId="13" fillId="0" borderId="0" xfId="0" applyFont="1" applyFill="1" applyBorder="1" applyAlignment="1">
      <alignment horizontal="center" vertical="center"/>
    </xf>
    <xf numFmtId="0" fontId="12" fillId="0" borderId="0" xfId="0" applyFont="1" applyFill="1" applyBorder="1" applyAlignment="1">
      <alignment horizontal="center" vertical="center"/>
    </xf>
    <xf numFmtId="164" fontId="8" fillId="0" borderId="0" xfId="0" applyNumberFormat="1" applyFont="1" applyBorder="1" applyAlignment="1">
      <alignment horizontal="right" vertical="center"/>
    </xf>
    <xf numFmtId="0" fontId="3" fillId="0" borderId="0" xfId="0" applyFont="1" applyFill="1" applyBorder="1" applyAlignment="1">
      <alignment vertical="center"/>
    </xf>
    <xf numFmtId="0" fontId="21"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164" fontId="7" fillId="0" borderId="0" xfId="0" applyNumberFormat="1" applyFont="1" applyBorder="1" applyAlignment="1">
      <alignment vertical="center"/>
    </xf>
    <xf numFmtId="0" fontId="7" fillId="0" borderId="0" xfId="0" applyFont="1" applyAlignment="1">
      <alignment horizontal="center" vertical="center"/>
    </xf>
    <xf numFmtId="0" fontId="14" fillId="0" borderId="0" xfId="0" applyFont="1" applyAlignment="1">
      <alignment horizontal="center" vertical="center"/>
    </xf>
    <xf numFmtId="0" fontId="8" fillId="0" borderId="0" xfId="0" applyFont="1" applyBorder="1" applyAlignment="1">
      <alignment vertical="center"/>
    </xf>
    <xf numFmtId="0" fontId="11" fillId="0" borderId="0" xfId="0" applyFont="1" applyBorder="1" applyAlignment="1">
      <alignment vertical="center"/>
    </xf>
    <xf numFmtId="9" fontId="8" fillId="0" borderId="0" xfId="0" applyNumberFormat="1" applyFont="1" applyFill="1" applyBorder="1" applyAlignment="1">
      <alignment vertical="center"/>
    </xf>
    <xf numFmtId="3" fontId="17" fillId="0" borderId="0" xfId="0" applyNumberFormat="1" applyFont="1" applyAlignment="1">
      <alignment vertical="center"/>
    </xf>
    <xf numFmtId="3" fontId="3" fillId="0" borderId="0" xfId="0" applyNumberFormat="1" applyFont="1" applyAlignment="1">
      <alignment vertical="center"/>
    </xf>
    <xf numFmtId="9" fontId="14" fillId="0" borderId="0" xfId="0" applyNumberFormat="1" applyFont="1" applyFill="1" applyBorder="1" applyAlignment="1">
      <alignment horizontal="center" vertical="center"/>
    </xf>
    <xf numFmtId="0" fontId="4" fillId="0" borderId="0" xfId="0" applyFont="1" applyFill="1" applyBorder="1" applyAlignment="1">
      <alignment vertical="center"/>
    </xf>
    <xf numFmtId="0" fontId="0" fillId="0" borderId="0" xfId="0" applyFill="1" applyBorder="1" applyAlignment="1"/>
    <xf numFmtId="0" fontId="16" fillId="0" borderId="0" xfId="0" applyFont="1" applyFill="1" applyBorder="1" applyAlignment="1">
      <alignment horizontal="center" vertical="center"/>
    </xf>
    <xf numFmtId="9" fontId="7" fillId="0" borderId="0" xfId="0" applyNumberFormat="1" applyFont="1" applyFill="1" applyBorder="1" applyAlignment="1">
      <alignment horizontal="left" vertical="center"/>
    </xf>
    <xf numFmtId="0" fontId="25" fillId="0" borderId="0" xfId="0" applyFont="1" applyBorder="1" applyAlignment="1">
      <alignment vertical="center"/>
    </xf>
    <xf numFmtId="9" fontId="3" fillId="0" borderId="0" xfId="0" applyNumberFormat="1" applyFont="1" applyAlignment="1">
      <alignment vertical="center"/>
    </xf>
    <xf numFmtId="9" fontId="8" fillId="0" borderId="0" xfId="0" applyNumberFormat="1" applyFont="1" applyFill="1" applyBorder="1" applyAlignment="1">
      <alignment horizontal="left" vertical="center"/>
    </xf>
    <xf numFmtId="9" fontId="8" fillId="0" borderId="0" xfId="0" applyNumberFormat="1" applyFont="1" applyFill="1" applyBorder="1" applyAlignment="1">
      <alignment horizontal="center" vertical="center"/>
    </xf>
    <xf numFmtId="9" fontId="15" fillId="0" borderId="0" xfId="0" applyNumberFormat="1" applyFont="1" applyFill="1" applyBorder="1" applyAlignment="1">
      <alignment horizontal="center" vertical="center"/>
    </xf>
    <xf numFmtId="165" fontId="7" fillId="0" borderId="0" xfId="0" applyNumberFormat="1" applyFont="1" applyBorder="1" applyAlignment="1">
      <alignment horizontal="right" vertical="center"/>
    </xf>
    <xf numFmtId="3" fontId="27" fillId="0" borderId="0" xfId="0" applyNumberFormat="1" applyFont="1" applyAlignment="1">
      <alignment vertical="center"/>
    </xf>
    <xf numFmtId="165" fontId="27" fillId="0" borderId="0" xfId="0" applyNumberFormat="1" applyFont="1" applyAlignment="1">
      <alignment vertical="center"/>
    </xf>
    <xf numFmtId="3" fontId="4" fillId="0" borderId="0" xfId="0" applyNumberFormat="1" applyFont="1" applyAlignment="1">
      <alignment vertical="center"/>
    </xf>
    <xf numFmtId="3" fontId="24" fillId="0" borderId="0" xfId="0" applyNumberFormat="1" applyFont="1" applyAlignment="1">
      <alignment horizontal="right" wrapText="1"/>
    </xf>
    <xf numFmtId="164" fontId="29" fillId="0" borderId="0" xfId="0" applyNumberFormat="1" applyFont="1" applyAlignment="1">
      <alignment vertical="center"/>
    </xf>
    <xf numFmtId="164" fontId="27" fillId="0" borderId="0" xfId="0" applyNumberFormat="1" applyFont="1" applyAlignment="1">
      <alignment vertical="center"/>
    </xf>
    <xf numFmtId="4" fontId="7" fillId="0" borderId="0" xfId="0" applyNumberFormat="1" applyFont="1" applyBorder="1" applyAlignment="1">
      <alignment vertical="justify"/>
    </xf>
    <xf numFmtId="3" fontId="7" fillId="0" borderId="3" xfId="0" applyNumberFormat="1" applyFont="1" applyBorder="1" applyAlignment="1">
      <alignment vertical="justify"/>
    </xf>
    <xf numFmtId="3" fontId="7" fillId="0" borderId="4" xfId="0" applyNumberFormat="1" applyFont="1" applyBorder="1" applyAlignment="1">
      <alignment vertical="justify"/>
    </xf>
    <xf numFmtId="3" fontId="7" fillId="0" borderId="4" xfId="0" applyNumberFormat="1" applyFont="1" applyBorder="1" applyAlignment="1">
      <alignment horizontal="right" vertical="justify"/>
    </xf>
    <xf numFmtId="3" fontId="7" fillId="0" borderId="0" xfId="0" applyNumberFormat="1" applyFont="1" applyFill="1" applyBorder="1" applyAlignment="1">
      <alignment horizontal="right" vertical="justify"/>
    </xf>
    <xf numFmtId="3" fontId="7" fillId="0" borderId="10" xfId="0" applyNumberFormat="1" applyFont="1" applyBorder="1" applyAlignment="1">
      <alignment horizontal="right" vertical="justify"/>
    </xf>
    <xf numFmtId="3" fontId="8" fillId="0" borderId="12" xfId="0" applyNumberFormat="1" applyFont="1" applyBorder="1" applyAlignment="1">
      <alignment horizontal="right" vertical="justify"/>
    </xf>
    <xf numFmtId="3" fontId="8" fillId="0" borderId="8" xfId="0" applyNumberFormat="1" applyFont="1" applyBorder="1" applyAlignment="1">
      <alignment horizontal="right" vertical="justify"/>
    </xf>
    <xf numFmtId="3" fontId="8" fillId="0" borderId="14" xfId="0" applyNumberFormat="1" applyFont="1" applyBorder="1" applyAlignment="1">
      <alignment horizontal="right" vertical="justify"/>
    </xf>
    <xf numFmtId="3" fontId="7" fillId="0" borderId="10" xfId="0" applyNumberFormat="1" applyFont="1" applyFill="1" applyBorder="1" applyAlignment="1">
      <alignment horizontal="right" vertical="justify"/>
    </xf>
    <xf numFmtId="3" fontId="8" fillId="0" borderId="12" xfId="0" applyNumberFormat="1" applyFont="1" applyBorder="1" applyAlignment="1">
      <alignment vertical="justify"/>
    </xf>
    <xf numFmtId="3" fontId="8" fillId="0" borderId="8" xfId="0" applyNumberFormat="1" applyFont="1" applyBorder="1" applyAlignment="1">
      <alignment vertical="justify"/>
    </xf>
    <xf numFmtId="3" fontId="8" fillId="0" borderId="14" xfId="0" applyNumberFormat="1" applyFont="1" applyBorder="1" applyAlignment="1">
      <alignment vertical="justify"/>
    </xf>
    <xf numFmtId="3" fontId="8" fillId="0" borderId="0" xfId="0" applyNumberFormat="1" applyFont="1" applyFill="1" applyBorder="1" applyAlignment="1">
      <alignment vertical="justify"/>
    </xf>
    <xf numFmtId="3" fontId="7" fillId="0" borderId="4" xfId="0" applyNumberFormat="1" applyFont="1" applyFill="1" applyBorder="1" applyAlignment="1">
      <alignment horizontal="right" vertical="justify"/>
    </xf>
    <xf numFmtId="165" fontId="7" fillId="0" borderId="4" xfId="0" applyNumberFormat="1" applyFont="1" applyBorder="1" applyAlignment="1">
      <alignment vertical="justify"/>
    </xf>
    <xf numFmtId="165" fontId="7" fillId="0" borderId="0" xfId="0" applyNumberFormat="1" applyFont="1" applyBorder="1" applyAlignment="1">
      <alignment vertical="justify"/>
    </xf>
    <xf numFmtId="164" fontId="7" fillId="0" borderId="0" xfId="0" applyNumberFormat="1" applyFont="1" applyBorder="1" applyAlignment="1">
      <alignment vertical="justify"/>
    </xf>
    <xf numFmtId="3" fontId="7" fillId="0" borderId="0" xfId="0" applyNumberFormat="1" applyFont="1" applyAlignment="1">
      <alignment vertical="justify"/>
    </xf>
    <xf numFmtId="9" fontId="7" fillId="0" borderId="0" xfId="0" applyNumberFormat="1" applyFont="1" applyBorder="1" applyAlignment="1">
      <alignment vertical="justify"/>
    </xf>
    <xf numFmtId="0" fontId="7" fillId="0" borderId="0" xfId="0" applyFont="1" applyBorder="1" applyAlignment="1">
      <alignment vertical="justify"/>
    </xf>
    <xf numFmtId="3" fontId="8" fillId="0" borderId="0" xfId="0" applyNumberFormat="1" applyFont="1" applyBorder="1" applyAlignment="1">
      <alignment horizontal="right" vertical="justify"/>
    </xf>
    <xf numFmtId="0" fontId="8" fillId="0" borderId="0" xfId="0" applyFont="1" applyBorder="1" applyAlignment="1">
      <alignment vertical="justify"/>
    </xf>
    <xf numFmtId="3" fontId="7" fillId="0" borderId="3" xfId="0" applyNumberFormat="1" applyFont="1" applyFill="1" applyBorder="1" applyAlignment="1">
      <alignment horizontal="right" vertical="justify"/>
    </xf>
    <xf numFmtId="3" fontId="7" fillId="0" borderId="5" xfId="0" applyNumberFormat="1" applyFont="1" applyFill="1" applyBorder="1" applyAlignment="1">
      <alignment horizontal="right" vertical="justify"/>
    </xf>
    <xf numFmtId="166" fontId="7" fillId="0" borderId="0" xfId="0" applyNumberFormat="1" applyFont="1" applyBorder="1" applyAlignment="1">
      <alignment vertical="justify"/>
    </xf>
    <xf numFmtId="1" fontId="8" fillId="2" borderId="5" xfId="0" applyNumberFormat="1" applyFont="1" applyFill="1" applyBorder="1" applyAlignment="1">
      <alignment horizontal="right" vertical="justify"/>
    </xf>
    <xf numFmtId="4" fontId="7" fillId="0" borderId="0" xfId="0" applyNumberFormat="1" applyFont="1" applyAlignment="1">
      <alignment vertical="justify"/>
    </xf>
    <xf numFmtId="0" fontId="8" fillId="2" borderId="15" xfId="0" applyFont="1" applyFill="1" applyBorder="1" applyAlignment="1">
      <alignment horizontal="right" vertical="justify"/>
    </xf>
    <xf numFmtId="0" fontId="8" fillId="6" borderId="1" xfId="0" applyFont="1" applyFill="1" applyBorder="1" applyAlignment="1">
      <alignment horizontal="right" vertical="justify"/>
    </xf>
    <xf numFmtId="0" fontId="8" fillId="6" borderId="2" xfId="0" applyFont="1" applyFill="1" applyBorder="1" applyAlignment="1">
      <alignment horizontal="right" vertical="justify"/>
    </xf>
    <xf numFmtId="0" fontId="10" fillId="0" borderId="0" xfId="0" applyFont="1" applyBorder="1" applyAlignment="1">
      <alignment vertical="justify"/>
    </xf>
    <xf numFmtId="0" fontId="10" fillId="0" borderId="0" xfId="0" applyFont="1" applyAlignment="1">
      <alignment vertical="justify"/>
    </xf>
    <xf numFmtId="0" fontId="7" fillId="3" borderId="3" xfId="0" applyFont="1" applyFill="1" applyBorder="1" applyAlignment="1">
      <alignment vertical="justify"/>
    </xf>
    <xf numFmtId="166" fontId="7" fillId="0" borderId="3" xfId="0" applyNumberFormat="1" applyFont="1" applyBorder="1" applyAlignment="1">
      <alignment horizontal="right" vertical="justify"/>
    </xf>
    <xf numFmtId="166" fontId="7" fillId="0" borderId="5" xfId="0" applyNumberFormat="1" applyFont="1" applyBorder="1" applyAlignment="1">
      <alignment horizontal="right" vertical="justify"/>
    </xf>
    <xf numFmtId="166" fontId="7" fillId="0" borderId="13" xfId="0" applyNumberFormat="1" applyFont="1" applyBorder="1" applyAlignment="1">
      <alignment horizontal="right" vertical="justify"/>
    </xf>
    <xf numFmtId="0" fontId="7" fillId="0" borderId="0" xfId="0" applyFont="1" applyAlignment="1">
      <alignment vertical="justify"/>
    </xf>
    <xf numFmtId="164" fontId="7" fillId="0" borderId="3" xfId="0" applyNumberFormat="1" applyFont="1" applyBorder="1" applyAlignment="1">
      <alignment horizontal="right" vertical="justify"/>
    </xf>
    <xf numFmtId="164" fontId="7" fillId="0" borderId="5" xfId="0" applyNumberFormat="1" applyFont="1" applyBorder="1" applyAlignment="1">
      <alignment horizontal="right" vertical="justify"/>
    </xf>
    <xf numFmtId="164" fontId="7" fillId="0" borderId="13" xfId="0" applyNumberFormat="1" applyFont="1" applyBorder="1" applyAlignment="1">
      <alignment horizontal="right" vertical="justify"/>
    </xf>
    <xf numFmtId="0" fontId="7" fillId="3" borderId="4" xfId="0" applyFont="1" applyFill="1" applyBorder="1" applyAlignment="1">
      <alignment vertical="justify"/>
    </xf>
    <xf numFmtId="164" fontId="7" fillId="0" borderId="4" xfId="0" applyNumberFormat="1" applyFont="1" applyBorder="1" applyAlignment="1">
      <alignment horizontal="right" vertical="justify"/>
    </xf>
    <xf numFmtId="164" fontId="7" fillId="0" borderId="0" xfId="0" applyNumberFormat="1" applyFont="1" applyBorder="1" applyAlignment="1">
      <alignment horizontal="right" vertical="justify"/>
    </xf>
    <xf numFmtId="164" fontId="7" fillId="0" borderId="10" xfId="0" applyNumberFormat="1" applyFont="1" applyBorder="1" applyAlignment="1">
      <alignment horizontal="right" vertical="justify"/>
    </xf>
    <xf numFmtId="0" fontId="7" fillId="3" borderId="12" xfId="0" applyFont="1" applyFill="1" applyBorder="1" applyAlignment="1">
      <alignment vertical="justify"/>
    </xf>
    <xf numFmtId="166" fontId="7" fillId="0" borderId="12" xfId="0" applyNumberFormat="1" applyFont="1" applyBorder="1" applyAlignment="1">
      <alignment horizontal="right" vertical="justify"/>
    </xf>
    <xf numFmtId="166" fontId="7" fillId="0" borderId="8" xfId="0" applyNumberFormat="1" applyFont="1" applyBorder="1" applyAlignment="1">
      <alignment horizontal="right" vertical="justify"/>
    </xf>
    <xf numFmtId="166" fontId="7" fillId="0" borderId="14" xfId="0" applyNumberFormat="1" applyFont="1" applyBorder="1" applyAlignment="1">
      <alignment horizontal="right" vertical="justify"/>
    </xf>
    <xf numFmtId="164" fontId="7" fillId="0" borderId="12" xfId="0" applyNumberFormat="1" applyFont="1" applyBorder="1" applyAlignment="1">
      <alignment horizontal="right" vertical="justify"/>
    </xf>
    <xf numFmtId="164" fontId="7" fillId="0" borderId="8" xfId="0" applyNumberFormat="1" applyFont="1" applyBorder="1" applyAlignment="1">
      <alignment horizontal="right" vertical="justify"/>
    </xf>
    <xf numFmtId="164" fontId="7" fillId="0" borderId="14" xfId="0" applyNumberFormat="1" applyFont="1" applyBorder="1" applyAlignment="1">
      <alignment horizontal="right" vertical="justify"/>
    </xf>
    <xf numFmtId="0" fontId="8" fillId="2" borderId="5" xfId="0" applyFont="1" applyFill="1" applyBorder="1" applyAlignment="1">
      <alignment horizontal="right" vertical="justify"/>
    </xf>
    <xf numFmtId="0" fontId="8" fillId="3" borderId="3" xfId="0" applyFont="1" applyFill="1" applyBorder="1" applyAlignment="1">
      <alignment vertical="justify"/>
    </xf>
    <xf numFmtId="3" fontId="8" fillId="0" borderId="3" xfId="0" applyNumberFormat="1" applyFont="1" applyBorder="1" applyAlignment="1">
      <alignment horizontal="right" vertical="justify"/>
    </xf>
    <xf numFmtId="3" fontId="8" fillId="0" borderId="5" xfId="0" applyNumberFormat="1" applyFont="1" applyBorder="1" applyAlignment="1">
      <alignment horizontal="right" vertical="justify"/>
    </xf>
    <xf numFmtId="3" fontId="8" fillId="0" borderId="13" xfId="0" applyNumberFormat="1" applyFont="1" applyBorder="1" applyAlignment="1">
      <alignment horizontal="right" vertical="justify"/>
    </xf>
    <xf numFmtId="0" fontId="8" fillId="0" borderId="0" xfId="0" applyFont="1" applyAlignment="1">
      <alignment vertical="justify"/>
    </xf>
    <xf numFmtId="164" fontId="8" fillId="0" borderId="3" xfId="0" applyNumberFormat="1" applyFont="1" applyBorder="1" applyAlignment="1">
      <alignment horizontal="right" vertical="justify"/>
    </xf>
    <xf numFmtId="164" fontId="8" fillId="0" borderId="5" xfId="0" applyNumberFormat="1" applyFont="1" applyBorder="1" applyAlignment="1">
      <alignment horizontal="right" vertical="justify"/>
    </xf>
    <xf numFmtId="164" fontId="8" fillId="0" borderId="13" xfId="0" applyNumberFormat="1" applyFont="1" applyBorder="1" applyAlignment="1">
      <alignment horizontal="right" vertical="justify"/>
    </xf>
    <xf numFmtId="0" fontId="8" fillId="3" borderId="4" xfId="0" applyFont="1" applyFill="1" applyBorder="1" applyAlignment="1">
      <alignment vertical="justify"/>
    </xf>
    <xf numFmtId="3" fontId="8" fillId="0" borderId="4" xfId="0" applyNumberFormat="1" applyFont="1" applyBorder="1" applyAlignment="1">
      <alignment horizontal="right" vertical="justify"/>
    </xf>
    <xf numFmtId="3" fontId="8" fillId="0" borderId="10" xfId="0" applyNumberFormat="1" applyFont="1" applyBorder="1" applyAlignment="1">
      <alignment horizontal="right" vertical="justify"/>
    </xf>
    <xf numFmtId="164" fontId="8" fillId="0" borderId="4" xfId="0" applyNumberFormat="1" applyFont="1" applyBorder="1" applyAlignment="1">
      <alignment horizontal="right" vertical="justify"/>
    </xf>
    <xf numFmtId="164" fontId="8" fillId="0" borderId="0" xfId="0" applyNumberFormat="1" applyFont="1" applyBorder="1" applyAlignment="1">
      <alignment horizontal="right" vertical="justify"/>
    </xf>
    <xf numFmtId="164" fontId="8" fillId="0" borderId="10" xfId="0" applyNumberFormat="1" applyFont="1" applyBorder="1" applyAlignment="1">
      <alignment horizontal="right" vertical="justify"/>
    </xf>
    <xf numFmtId="0" fontId="8" fillId="3" borderId="12" xfId="0" applyFont="1" applyFill="1" applyBorder="1" applyAlignment="1">
      <alignment vertical="justify"/>
    </xf>
    <xf numFmtId="164" fontId="8" fillId="0" borderId="12" xfId="0" applyNumberFormat="1" applyFont="1" applyBorder="1" applyAlignment="1">
      <alignment horizontal="right" vertical="justify"/>
    </xf>
    <xf numFmtId="164" fontId="8" fillId="0" borderId="8" xfId="0" applyNumberFormat="1" applyFont="1" applyBorder="1" applyAlignment="1">
      <alignment horizontal="right" vertical="justify"/>
    </xf>
    <xf numFmtId="164" fontId="8" fillId="0" borderId="14" xfId="0" applyNumberFormat="1" applyFont="1" applyBorder="1" applyAlignment="1">
      <alignment horizontal="right" vertical="justify"/>
    </xf>
    <xf numFmtId="3" fontId="3" fillId="0" borderId="0" xfId="0" applyNumberFormat="1" applyFont="1" applyAlignment="1">
      <alignment vertical="justify"/>
    </xf>
    <xf numFmtId="164" fontId="7" fillId="0" borderId="0" xfId="0" applyNumberFormat="1" applyFont="1" applyAlignment="1">
      <alignment vertical="justify"/>
    </xf>
    <xf numFmtId="9" fontId="7" fillId="0" borderId="0" xfId="1" applyFont="1" applyFill="1" applyBorder="1" applyAlignment="1">
      <alignment horizontal="right" vertical="justify"/>
    </xf>
    <xf numFmtId="0" fontId="3" fillId="0" borderId="0" xfId="0" applyFont="1" applyAlignment="1">
      <alignment vertical="justify"/>
    </xf>
    <xf numFmtId="165" fontId="8" fillId="0" borderId="3" xfId="0" applyNumberFormat="1" applyFont="1" applyBorder="1" applyAlignment="1">
      <alignment vertical="justify"/>
    </xf>
    <xf numFmtId="165" fontId="8" fillId="0" borderId="5" xfId="0" applyNumberFormat="1" applyFont="1" applyBorder="1" applyAlignment="1">
      <alignment vertical="justify"/>
    </xf>
    <xf numFmtId="165" fontId="8" fillId="0" borderId="13" xfId="0" applyNumberFormat="1" applyFont="1" applyBorder="1" applyAlignment="1">
      <alignment vertical="justify"/>
    </xf>
    <xf numFmtId="165" fontId="7" fillId="0" borderId="10" xfId="0" applyNumberFormat="1" applyFont="1" applyBorder="1" applyAlignment="1">
      <alignment vertical="justify"/>
    </xf>
    <xf numFmtId="165" fontId="8" fillId="0" borderId="4" xfId="0" applyNumberFormat="1" applyFont="1" applyBorder="1" applyAlignment="1">
      <alignment vertical="justify"/>
    </xf>
    <xf numFmtId="165" fontId="8" fillId="0" borderId="0" xfId="0" applyNumberFormat="1" applyFont="1" applyBorder="1" applyAlignment="1">
      <alignment vertical="justify"/>
    </xf>
    <xf numFmtId="165" fontId="8" fillId="0" borderId="10" xfId="0" applyNumberFormat="1" applyFont="1" applyBorder="1" applyAlignment="1">
      <alignment vertical="justify"/>
    </xf>
    <xf numFmtId="165" fontId="8" fillId="0" borderId="12" xfId="0" applyNumberFormat="1" applyFont="1" applyBorder="1" applyAlignment="1">
      <alignment vertical="justify"/>
    </xf>
    <xf numFmtId="165" fontId="8" fillId="0" borderId="8" xfId="0" applyNumberFormat="1" applyFont="1" applyBorder="1" applyAlignment="1">
      <alignment vertical="justify"/>
    </xf>
    <xf numFmtId="165" fontId="8" fillId="0" borderId="14" xfId="0" applyNumberFormat="1" applyFont="1" applyBorder="1" applyAlignment="1">
      <alignment vertical="justify"/>
    </xf>
    <xf numFmtId="0" fontId="7" fillId="0" borderId="0" xfId="0" applyFont="1" applyAlignment="1">
      <alignment horizontal="right" vertical="justify" wrapText="1"/>
    </xf>
    <xf numFmtId="1" fontId="8" fillId="2" borderId="13" xfId="0" applyNumberFormat="1" applyFont="1" applyFill="1" applyBorder="1" applyAlignment="1">
      <alignment horizontal="right" vertical="justify"/>
    </xf>
    <xf numFmtId="0" fontId="8" fillId="2" borderId="13" xfId="0" applyFont="1" applyFill="1" applyBorder="1" applyAlignment="1">
      <alignment horizontal="right" vertical="justify"/>
    </xf>
    <xf numFmtId="0" fontId="12" fillId="0" borderId="0" xfId="0" applyFont="1" applyAlignment="1">
      <alignment vertical="justify"/>
    </xf>
    <xf numFmtId="0" fontId="5" fillId="0" borderId="0" xfId="0" applyFont="1" applyAlignment="1">
      <alignment vertical="justify"/>
    </xf>
    <xf numFmtId="0" fontId="3" fillId="0" borderId="0" xfId="0" applyFont="1" applyBorder="1" applyAlignment="1">
      <alignment vertical="justify"/>
    </xf>
    <xf numFmtId="9" fontId="8" fillId="0" borderId="12" xfId="0" applyNumberFormat="1" applyFont="1" applyBorder="1" applyAlignment="1">
      <alignment horizontal="right" vertical="justify"/>
    </xf>
    <xf numFmtId="9" fontId="8" fillId="0" borderId="8" xfId="0" applyNumberFormat="1" applyFont="1" applyBorder="1" applyAlignment="1">
      <alignment horizontal="right" vertical="justify"/>
    </xf>
    <xf numFmtId="9" fontId="8" fillId="0" borderId="14" xfId="0" applyNumberFormat="1" applyFont="1" applyBorder="1" applyAlignment="1">
      <alignment horizontal="right" vertical="justify"/>
    </xf>
    <xf numFmtId="1" fontId="8" fillId="2" borderId="15" xfId="0" applyNumberFormat="1" applyFont="1" applyFill="1" applyBorder="1" applyAlignment="1">
      <alignment horizontal="right" vertical="justify"/>
    </xf>
    <xf numFmtId="0" fontId="8" fillId="2" borderId="2" xfId="0" applyFont="1" applyFill="1" applyBorder="1" applyAlignment="1">
      <alignment horizontal="right" vertical="justify"/>
    </xf>
    <xf numFmtId="0" fontId="7" fillId="0" borderId="0" xfId="0" applyFont="1" applyFill="1" applyAlignment="1">
      <alignment vertical="justify"/>
    </xf>
    <xf numFmtId="0" fontId="7" fillId="0" borderId="0" xfId="0" applyFont="1" applyFill="1" applyBorder="1" applyAlignment="1">
      <alignment vertical="justify"/>
    </xf>
    <xf numFmtId="0" fontId="8" fillId="3" borderId="6" xfId="0" applyFont="1" applyFill="1" applyBorder="1" applyAlignment="1">
      <alignment vertical="justify"/>
    </xf>
    <xf numFmtId="3" fontId="8" fillId="0" borderId="3" xfId="0" applyNumberFormat="1" applyFont="1" applyFill="1" applyBorder="1" applyAlignment="1">
      <alignment horizontal="right" vertical="justify"/>
    </xf>
    <xf numFmtId="9" fontId="8" fillId="0" borderId="13" xfId="0" applyNumberFormat="1" applyFont="1" applyBorder="1" applyAlignment="1">
      <alignment horizontal="right" vertical="justify"/>
    </xf>
    <xf numFmtId="0" fontId="7" fillId="3" borderId="7" xfId="0" applyFont="1" applyFill="1" applyBorder="1" applyAlignment="1">
      <alignment vertical="justify"/>
    </xf>
    <xf numFmtId="9" fontId="7" fillId="0" borderId="10" xfId="0" applyNumberFormat="1" applyFont="1" applyBorder="1" applyAlignment="1">
      <alignment horizontal="right" vertical="justify"/>
    </xf>
    <xf numFmtId="0" fontId="8" fillId="3" borderId="7" xfId="0" applyFont="1" applyFill="1" applyBorder="1" applyAlignment="1">
      <alignment vertical="justify"/>
    </xf>
    <xf numFmtId="3" fontId="8" fillId="0" borderId="4" xfId="0" applyNumberFormat="1" applyFont="1" applyFill="1" applyBorder="1" applyAlignment="1">
      <alignment horizontal="right" vertical="justify"/>
    </xf>
    <xf numFmtId="9" fontId="8" fillId="0" borderId="10" xfId="0" applyNumberFormat="1" applyFont="1" applyBorder="1" applyAlignment="1">
      <alignment horizontal="right" vertical="justify"/>
    </xf>
    <xf numFmtId="0" fontId="7" fillId="3" borderId="9" xfId="0" applyFont="1" applyFill="1" applyBorder="1" applyAlignment="1">
      <alignment vertical="justify"/>
    </xf>
    <xf numFmtId="3" fontId="7" fillId="0" borderId="12" xfId="0" applyNumberFormat="1" applyFont="1" applyFill="1" applyBorder="1" applyAlignment="1">
      <alignment horizontal="right" vertical="justify"/>
    </xf>
    <xf numFmtId="9" fontId="7" fillId="0" borderId="14" xfId="0" applyNumberFormat="1" applyFont="1" applyBorder="1" applyAlignment="1">
      <alignment horizontal="right" vertical="justify"/>
    </xf>
    <xf numFmtId="3" fontId="7" fillId="0" borderId="13" xfId="0" applyNumberFormat="1" applyFont="1" applyFill="1" applyBorder="1" applyAlignment="1">
      <alignment horizontal="right" vertical="justify"/>
    </xf>
    <xf numFmtId="1" fontId="8" fillId="2" borderId="3" xfId="0" applyNumberFormat="1" applyFont="1" applyFill="1" applyBorder="1" applyAlignment="1">
      <alignment horizontal="right" vertical="justify"/>
    </xf>
    <xf numFmtId="1" fontId="8" fillId="0" borderId="0" xfId="0" applyNumberFormat="1" applyFont="1" applyFill="1" applyBorder="1" applyAlignment="1">
      <alignment vertical="justify"/>
    </xf>
    <xf numFmtId="0" fontId="8" fillId="0" borderId="0" xfId="0" applyFont="1" applyFill="1" applyBorder="1" applyAlignment="1">
      <alignment horizontal="right" vertical="justify"/>
    </xf>
    <xf numFmtId="9" fontId="7" fillId="0" borderId="13" xfId="0" applyNumberFormat="1" applyFont="1" applyFill="1" applyBorder="1" applyAlignment="1">
      <alignment horizontal="right" vertical="justify"/>
    </xf>
    <xf numFmtId="164" fontId="7" fillId="0" borderId="0" xfId="0" applyNumberFormat="1" applyFont="1" applyFill="1" applyBorder="1" applyAlignment="1">
      <alignment vertical="justify"/>
    </xf>
    <xf numFmtId="164" fontId="7" fillId="0" borderId="0" xfId="0" applyNumberFormat="1" applyFont="1" applyFill="1" applyBorder="1" applyAlignment="1">
      <alignment horizontal="right" vertical="justify"/>
    </xf>
    <xf numFmtId="9" fontId="7" fillId="0" borderId="10" xfId="0" applyNumberFormat="1" applyFont="1" applyFill="1" applyBorder="1" applyAlignment="1">
      <alignment horizontal="right" vertical="justify"/>
    </xf>
    <xf numFmtId="0" fontId="8" fillId="0" borderId="0" xfId="0" applyFont="1" applyFill="1" applyBorder="1" applyAlignment="1">
      <alignment vertical="justify"/>
    </xf>
    <xf numFmtId="9" fontId="8" fillId="0" borderId="0" xfId="0" applyNumberFormat="1" applyFont="1" applyFill="1" applyBorder="1" applyAlignment="1">
      <alignment horizontal="right" vertical="justify"/>
    </xf>
    <xf numFmtId="164" fontId="8" fillId="0" borderId="0" xfId="0" applyNumberFormat="1" applyFont="1" applyFill="1" applyBorder="1" applyAlignment="1">
      <alignment horizontal="right" vertical="justify"/>
    </xf>
    <xf numFmtId="9" fontId="7" fillId="0" borderId="0" xfId="0" applyNumberFormat="1" applyFont="1" applyFill="1" applyBorder="1" applyAlignment="1">
      <alignment vertical="justify"/>
    </xf>
    <xf numFmtId="0" fontId="7" fillId="3" borderId="6" xfId="0" applyFont="1" applyFill="1" applyBorder="1" applyAlignment="1">
      <alignment vertical="justify"/>
    </xf>
    <xf numFmtId="1" fontId="7" fillId="0" borderId="0" xfId="0" applyNumberFormat="1" applyFont="1" applyAlignment="1">
      <alignment vertical="justify"/>
    </xf>
    <xf numFmtId="3" fontId="7" fillId="0" borderId="6" xfId="0" applyNumberFormat="1" applyFont="1" applyBorder="1" applyAlignment="1">
      <alignment vertical="justify"/>
    </xf>
    <xf numFmtId="3" fontId="7" fillId="0" borderId="7" xfId="0" applyNumberFormat="1" applyFont="1" applyBorder="1" applyAlignment="1">
      <alignment vertical="justify"/>
    </xf>
    <xf numFmtId="9" fontId="7" fillId="0" borderId="0" xfId="0" applyNumberFormat="1" applyFont="1" applyBorder="1" applyAlignment="1">
      <alignment horizontal="right" vertical="justify"/>
    </xf>
    <xf numFmtId="0" fontId="8" fillId="3" borderId="9" xfId="0" applyFont="1" applyFill="1" applyBorder="1" applyAlignment="1">
      <alignment vertical="justify"/>
    </xf>
    <xf numFmtId="3" fontId="8" fillId="0" borderId="9" xfId="0" applyNumberFormat="1" applyFont="1" applyBorder="1" applyAlignment="1">
      <alignment vertical="justify"/>
    </xf>
    <xf numFmtId="9" fontId="8" fillId="0" borderId="0" xfId="0" applyNumberFormat="1" applyFont="1" applyBorder="1" applyAlignment="1">
      <alignment vertical="justify"/>
    </xf>
    <xf numFmtId="9" fontId="7" fillId="0" borderId="0" xfId="0" applyNumberFormat="1" applyFont="1" applyAlignment="1">
      <alignment vertical="justify"/>
    </xf>
    <xf numFmtId="0" fontId="0" fillId="0" borderId="0" xfId="0" applyAlignment="1">
      <alignment vertical="justify"/>
    </xf>
    <xf numFmtId="0" fontId="0" fillId="0" borderId="0" xfId="0" applyBorder="1" applyAlignment="1">
      <alignment vertical="justify"/>
    </xf>
    <xf numFmtId="3" fontId="8" fillId="0" borderId="0" xfId="0" applyNumberFormat="1" applyFont="1" applyAlignment="1">
      <alignment vertical="justify"/>
    </xf>
    <xf numFmtId="1" fontId="0" fillId="0" borderId="0" xfId="0" applyNumberFormat="1" applyAlignment="1">
      <alignment vertical="justify"/>
    </xf>
    <xf numFmtId="0" fontId="8" fillId="2" borderId="15" xfId="0" applyFont="1" applyFill="1" applyBorder="1" applyAlignment="1">
      <alignment vertical="justify"/>
    </xf>
    <xf numFmtId="0" fontId="8" fillId="2" borderId="3" xfId="0" applyFont="1" applyFill="1" applyBorder="1" applyAlignment="1">
      <alignment vertical="justify"/>
    </xf>
    <xf numFmtId="0" fontId="8" fillId="2" borderId="5" xfId="0" applyFont="1" applyFill="1" applyBorder="1" applyAlignment="1">
      <alignment vertical="justify"/>
    </xf>
    <xf numFmtId="0" fontId="8" fillId="2" borderId="13" xfId="0" applyFont="1" applyFill="1" applyBorder="1" applyAlignment="1">
      <alignment vertical="justify"/>
    </xf>
    <xf numFmtId="164" fontId="7" fillId="0" borderId="12" xfId="0" applyNumberFormat="1" applyFont="1" applyFill="1" applyBorder="1" applyAlignment="1">
      <alignment horizontal="right" vertical="justify"/>
    </xf>
    <xf numFmtId="164" fontId="7" fillId="0" borderId="8" xfId="0" applyNumberFormat="1" applyFont="1" applyFill="1" applyBorder="1" applyAlignment="1">
      <alignment horizontal="right" vertical="justify"/>
    </xf>
    <xf numFmtId="164" fontId="7" fillId="0" borderId="14" xfId="0" applyNumberFormat="1" applyFont="1" applyFill="1" applyBorder="1" applyAlignment="1">
      <alignment horizontal="right" vertical="justify"/>
    </xf>
    <xf numFmtId="0" fontId="7" fillId="0" borderId="0" xfId="0" applyFont="1" applyBorder="1" applyAlignment="1">
      <alignment horizontal="center" vertical="center"/>
    </xf>
    <xf numFmtId="0" fontId="7" fillId="0" borderId="0" xfId="0" applyFont="1" applyFill="1" applyAlignment="1">
      <alignment horizontal="center" vertical="center"/>
    </xf>
    <xf numFmtId="0" fontId="0" fillId="0" borderId="0" xfId="0" applyAlignment="1">
      <alignment horizontal="center" vertical="center"/>
    </xf>
    <xf numFmtId="0" fontId="8" fillId="6" borderId="1" xfId="0" applyFont="1" applyFill="1" applyBorder="1" applyAlignment="1">
      <alignment vertical="justify"/>
    </xf>
    <xf numFmtId="0" fontId="8" fillId="6" borderId="2" xfId="0" applyFont="1" applyFill="1" applyBorder="1" applyAlignment="1">
      <alignment vertical="justify"/>
    </xf>
    <xf numFmtId="0" fontId="9" fillId="0" borderId="0" xfId="0" applyFont="1" applyBorder="1" applyAlignment="1">
      <alignment vertical="center"/>
    </xf>
    <xf numFmtId="0" fontId="0" fillId="0" borderId="0" xfId="0" applyBorder="1"/>
    <xf numFmtId="0" fontId="30" fillId="0" borderId="0" xfId="0" applyFont="1" applyBorder="1" applyAlignment="1">
      <alignment horizontal="center" vertical="center"/>
    </xf>
    <xf numFmtId="3" fontId="31" fillId="0" borderId="0" xfId="0" applyNumberFormat="1" applyFont="1" applyBorder="1" applyAlignment="1">
      <alignment horizontal="center" vertical="center"/>
    </xf>
    <xf numFmtId="3" fontId="7" fillId="0" borderId="0" xfId="0" applyNumberFormat="1" applyFont="1" applyFill="1" applyBorder="1" applyAlignment="1">
      <alignment horizontal="right" vertical="center"/>
    </xf>
    <xf numFmtId="3" fontId="32" fillId="0" borderId="0" xfId="0" applyNumberFormat="1" applyFont="1" applyBorder="1" applyAlignment="1">
      <alignment horizontal="center" vertical="center"/>
    </xf>
    <xf numFmtId="3" fontId="32" fillId="0" borderId="0" xfId="0" applyNumberFormat="1" applyFont="1" applyFill="1" applyBorder="1" applyAlignment="1">
      <alignment horizontal="center" vertical="center"/>
    </xf>
    <xf numFmtId="3" fontId="7" fillId="0" borderId="0" xfId="0" applyNumberFormat="1" applyFont="1" applyFill="1" applyBorder="1" applyAlignment="1">
      <alignment vertical="center"/>
    </xf>
    <xf numFmtId="3" fontId="0" fillId="0" borderId="0" xfId="0" applyNumberFormat="1" applyAlignment="1">
      <alignment vertical="center"/>
    </xf>
    <xf numFmtId="1" fontId="0" fillId="0" borderId="0" xfId="0" applyNumberFormat="1" applyAlignment="1">
      <alignment vertical="center"/>
    </xf>
    <xf numFmtId="9" fontId="0" fillId="0" borderId="0" xfId="0" applyNumberFormat="1" applyAlignment="1">
      <alignment vertical="center"/>
    </xf>
    <xf numFmtId="164" fontId="0" fillId="0" borderId="0" xfId="0" applyNumberFormat="1" applyAlignment="1">
      <alignment vertical="center"/>
    </xf>
    <xf numFmtId="1" fontId="7" fillId="0" borderId="8" xfId="0" applyNumberFormat="1" applyFont="1" applyBorder="1" applyAlignment="1">
      <alignment vertical="center"/>
    </xf>
    <xf numFmtId="0" fontId="8" fillId="2" borderId="3"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13" xfId="0" applyFont="1" applyFill="1" applyBorder="1" applyAlignment="1">
      <alignment horizontal="center" vertical="center" wrapText="1"/>
    </xf>
    <xf numFmtId="9" fontId="7" fillId="0" borderId="0" xfId="0" applyNumberFormat="1" applyFont="1" applyBorder="1" applyAlignment="1">
      <alignment vertical="center"/>
    </xf>
    <xf numFmtId="0" fontId="0" fillId="0" borderId="0" xfId="0" applyFill="1" applyAlignment="1">
      <alignment vertical="center"/>
    </xf>
    <xf numFmtId="0" fontId="0" fillId="0" borderId="0" xfId="0" applyFill="1" applyBorder="1" applyAlignment="1">
      <alignment vertical="center"/>
    </xf>
    <xf numFmtId="3" fontId="8" fillId="0" borderId="0" xfId="0" applyNumberFormat="1" applyFont="1" applyFill="1" applyBorder="1" applyAlignment="1">
      <alignment vertical="center"/>
    </xf>
    <xf numFmtId="9" fontId="7" fillId="0" borderId="0" xfId="0" applyNumberFormat="1" applyFont="1" applyFill="1" applyBorder="1" applyAlignment="1">
      <alignment vertical="center"/>
    </xf>
    <xf numFmtId="164" fontId="7" fillId="0" borderId="0" xfId="0" applyNumberFormat="1" applyFont="1" applyFill="1" applyBorder="1" applyAlignment="1">
      <alignment vertical="center"/>
    </xf>
    <xf numFmtId="3" fontId="7" fillId="0" borderId="0" xfId="0" applyNumberFormat="1" applyFont="1" applyBorder="1" applyAlignment="1">
      <alignment vertical="center"/>
    </xf>
    <xf numFmtId="3" fontId="0" fillId="0" borderId="0" xfId="0" applyNumberFormat="1" applyFill="1" applyBorder="1" applyAlignment="1">
      <alignment vertical="center"/>
    </xf>
    <xf numFmtId="0" fontId="8" fillId="0" borderId="0" xfId="0" applyFont="1" applyAlignment="1">
      <alignment horizontal="left" vertical="center" wrapText="1"/>
    </xf>
    <xf numFmtId="0" fontId="15" fillId="0" borderId="0" xfId="0" applyFont="1" applyAlignment="1">
      <alignment horizontal="left" vertical="center"/>
    </xf>
    <xf numFmtId="0" fontId="2" fillId="0" borderId="0" xfId="0" applyFont="1" applyAlignment="1">
      <alignment vertical="center"/>
    </xf>
    <xf numFmtId="0" fontId="17" fillId="0" borderId="0" xfId="0" applyFont="1" applyAlignment="1">
      <alignment vertical="center"/>
    </xf>
    <xf numFmtId="0" fontId="33" fillId="0" borderId="0" xfId="0" applyFont="1" applyAlignment="1">
      <alignment horizontal="left" vertical="center"/>
    </xf>
    <xf numFmtId="0" fontId="15" fillId="2" borderId="15" xfId="0" applyFont="1" applyFill="1" applyBorder="1" applyAlignment="1">
      <alignment horizontal="right" vertical="center" wrapText="1"/>
    </xf>
    <xf numFmtId="0" fontId="15" fillId="2" borderId="1" xfId="0" applyFont="1" applyFill="1" applyBorder="1" applyAlignment="1">
      <alignment horizontal="right" vertical="center" wrapText="1"/>
    </xf>
    <xf numFmtId="164" fontId="8" fillId="0" borderId="0" xfId="0" applyNumberFormat="1" applyFont="1" applyFill="1" applyBorder="1" applyAlignment="1">
      <alignment vertical="center"/>
    </xf>
    <xf numFmtId="0" fontId="8" fillId="2" borderId="2" xfId="0" applyFont="1" applyFill="1" applyBorder="1" applyAlignment="1">
      <alignment horizontal="right" vertical="center" wrapText="1"/>
    </xf>
    <xf numFmtId="0" fontId="31" fillId="0" borderId="0" xfId="0" applyFont="1" applyBorder="1" applyAlignment="1">
      <alignment horizontal="center" vertical="center"/>
    </xf>
    <xf numFmtId="0" fontId="5" fillId="0" borderId="0" xfId="0" applyFont="1" applyFill="1" applyBorder="1" applyAlignment="1">
      <alignment vertical="center"/>
    </xf>
    <xf numFmtId="9" fontId="3" fillId="0" borderId="0" xfId="0" applyNumberFormat="1" applyFont="1" applyBorder="1" applyAlignment="1">
      <alignment vertical="center"/>
    </xf>
    <xf numFmtId="3" fontId="0" fillId="0" borderId="0" xfId="0" applyNumberFormat="1" applyFill="1" applyAlignment="1">
      <alignment vertical="center"/>
    </xf>
    <xf numFmtId="3" fontId="7" fillId="0" borderId="5" xfId="0" applyNumberFormat="1" applyFont="1" applyBorder="1" applyAlignment="1">
      <alignment vertical="center"/>
    </xf>
    <xf numFmtId="3" fontId="0" fillId="0" borderId="0" xfId="0" applyNumberFormat="1" applyBorder="1" applyAlignment="1">
      <alignment vertical="center"/>
    </xf>
    <xf numFmtId="165" fontId="34" fillId="0" borderId="0" xfId="0" applyNumberFormat="1" applyFont="1" applyAlignment="1">
      <alignment vertical="center"/>
    </xf>
    <xf numFmtId="164" fontId="34" fillId="0" borderId="0" xfId="0" applyNumberFormat="1" applyFont="1" applyAlignment="1">
      <alignment vertical="center"/>
    </xf>
    <xf numFmtId="0" fontId="5" fillId="0" borderId="0" xfId="0" applyFont="1" applyBorder="1" applyAlignment="1">
      <alignment vertical="center"/>
    </xf>
    <xf numFmtId="10" fontId="7" fillId="0" borderId="0" xfId="0" applyNumberFormat="1" applyFont="1" applyBorder="1" applyAlignment="1">
      <alignment vertical="center"/>
    </xf>
    <xf numFmtId="3" fontId="12" fillId="0" borderId="0" xfId="0" applyNumberFormat="1" applyFont="1" applyFill="1" applyBorder="1" applyAlignment="1">
      <alignment horizontal="right" vertical="center"/>
    </xf>
    <xf numFmtId="3" fontId="37" fillId="0" borderId="0" xfId="0" applyNumberFormat="1" applyFont="1" applyFill="1" applyBorder="1" applyAlignment="1">
      <alignment horizontal="right" vertical="center"/>
    </xf>
    <xf numFmtId="3" fontId="8" fillId="0" borderId="5" xfId="0" applyNumberFormat="1" applyFont="1" applyBorder="1" applyAlignment="1">
      <alignment horizontal="right" vertical="center"/>
    </xf>
    <xf numFmtId="3" fontId="27" fillId="0" borderId="0" xfId="0" applyNumberFormat="1" applyFont="1" applyFill="1" applyBorder="1" applyAlignment="1">
      <alignment horizontal="left" vertical="center"/>
    </xf>
    <xf numFmtId="3" fontId="12" fillId="0" borderId="0" xfId="0" applyNumberFormat="1" applyFont="1" applyFill="1" applyBorder="1" applyAlignment="1">
      <alignment horizontal="left" vertical="center"/>
    </xf>
    <xf numFmtId="0" fontId="39" fillId="0" borderId="0" xfId="3" applyFont="1" applyAlignment="1">
      <alignment horizontal="right" vertical="center"/>
    </xf>
    <xf numFmtId="0" fontId="7" fillId="2" borderId="0" xfId="0" applyNumberFormat="1" applyFont="1" applyFill="1" applyAlignment="1">
      <alignment vertical="center"/>
    </xf>
    <xf numFmtId="0" fontId="0" fillId="0" borderId="0" xfId="0" applyNumberFormat="1" applyAlignment="1">
      <alignment vertical="center"/>
    </xf>
    <xf numFmtId="0" fontId="7" fillId="0" borderId="0" xfId="0" applyNumberFormat="1" applyFont="1" applyFill="1" applyBorder="1" applyAlignment="1">
      <alignment vertical="center"/>
    </xf>
    <xf numFmtId="0" fontId="7" fillId="0" borderId="0" xfId="0" applyNumberFormat="1" applyFont="1" applyFill="1" applyAlignment="1">
      <alignment vertical="center"/>
    </xf>
    <xf numFmtId="0" fontId="5" fillId="0" borderId="0" xfId="0" applyNumberFormat="1" applyFont="1" applyBorder="1" applyAlignment="1">
      <alignment vertical="center"/>
    </xf>
    <xf numFmtId="0" fontId="7" fillId="2" borderId="0" xfId="0" applyFont="1" applyFill="1" applyBorder="1" applyAlignment="1">
      <alignment vertical="center"/>
    </xf>
    <xf numFmtId="0" fontId="5" fillId="0" borderId="0" xfId="0" applyFont="1" applyAlignment="1">
      <alignment horizontal="left" vertical="center"/>
    </xf>
    <xf numFmtId="3" fontId="7" fillId="0" borderId="5" xfId="0" applyNumberFormat="1" applyFont="1" applyBorder="1" applyAlignment="1">
      <alignment horizontal="right" vertical="justify"/>
    </xf>
    <xf numFmtId="0" fontId="0" fillId="0" borderId="0" xfId="0" applyBorder="1" applyAlignment="1">
      <alignment horizontal="center" vertical="center"/>
    </xf>
    <xf numFmtId="1" fontId="8" fillId="2" borderId="6" xfId="0" applyNumberFormat="1" applyFont="1" applyFill="1" applyBorder="1" applyAlignment="1">
      <alignment horizontal="right" vertical="justify"/>
    </xf>
    <xf numFmtId="3" fontId="7" fillId="0" borderId="9" xfId="0" applyNumberFormat="1" applyFont="1" applyBorder="1" applyAlignment="1">
      <alignment vertical="justify"/>
    </xf>
    <xf numFmtId="3" fontId="7" fillId="0" borderId="7" xfId="0" applyNumberFormat="1" applyFont="1" applyBorder="1" applyAlignment="1">
      <alignment horizontal="right" vertical="justify"/>
    </xf>
    <xf numFmtId="164" fontId="7" fillId="0" borderId="0" xfId="1" applyNumberFormat="1" applyFont="1" applyBorder="1" applyAlignment="1">
      <alignment vertical="justify"/>
    </xf>
    <xf numFmtId="164" fontId="7" fillId="0" borderId="5" xfId="1" applyNumberFormat="1" applyFont="1" applyBorder="1" applyAlignment="1">
      <alignment vertical="justify"/>
    </xf>
    <xf numFmtId="164" fontId="7" fillId="0" borderId="13" xfId="1" applyNumberFormat="1" applyFont="1" applyBorder="1" applyAlignment="1">
      <alignment vertical="justify"/>
    </xf>
    <xf numFmtId="164" fontId="7" fillId="0" borderId="10" xfId="1" applyNumberFormat="1" applyFont="1" applyBorder="1" applyAlignment="1">
      <alignment vertical="justify"/>
    </xf>
    <xf numFmtId="164" fontId="8" fillId="0" borderId="8" xfId="1" applyNumberFormat="1" applyFont="1" applyBorder="1" applyAlignment="1">
      <alignment vertical="justify"/>
    </xf>
    <xf numFmtId="164" fontId="8" fillId="0" borderId="14" xfId="1" applyNumberFormat="1" applyFont="1" applyBorder="1" applyAlignment="1">
      <alignment vertical="justify"/>
    </xf>
    <xf numFmtId="9" fontId="8" fillId="0" borderId="14" xfId="1" applyNumberFormat="1" applyFont="1" applyBorder="1" applyAlignment="1">
      <alignment vertical="justify"/>
    </xf>
    <xf numFmtId="164" fontId="7" fillId="0" borderId="0" xfId="1" applyNumberFormat="1" applyFont="1" applyBorder="1" applyAlignment="1">
      <alignment horizontal="right" vertical="justify"/>
    </xf>
    <xf numFmtId="0" fontId="8" fillId="6" borderId="5" xfId="0" applyFont="1" applyFill="1" applyBorder="1" applyAlignment="1">
      <alignment vertical="justify"/>
    </xf>
    <xf numFmtId="0" fontId="8" fillId="6" borderId="13" xfId="0" applyFont="1" applyFill="1" applyBorder="1" applyAlignment="1">
      <alignment vertical="justify"/>
    </xf>
    <xf numFmtId="164" fontId="9" fillId="0" borderId="0" xfId="0" applyNumberFormat="1" applyFont="1" applyAlignment="1">
      <alignment vertical="center"/>
    </xf>
    <xf numFmtId="164" fontId="28" fillId="0" borderId="0" xfId="0" applyNumberFormat="1" applyFont="1" applyAlignment="1">
      <alignment horizontal="left" vertical="center"/>
    </xf>
    <xf numFmtId="166" fontId="7" fillId="0" borderId="3" xfId="0" applyNumberFormat="1" applyFont="1" applyFill="1" applyBorder="1" applyAlignment="1">
      <alignment horizontal="right" vertical="justify"/>
    </xf>
    <xf numFmtId="166" fontId="7" fillId="0" borderId="4" xfId="0" applyNumberFormat="1" applyFont="1" applyFill="1" applyBorder="1" applyAlignment="1">
      <alignment horizontal="right" vertical="justify"/>
    </xf>
    <xf numFmtId="166" fontId="8" fillId="0" borderId="12" xfId="0" applyNumberFormat="1" applyFont="1" applyBorder="1" applyAlignment="1">
      <alignment horizontal="right" vertical="justify"/>
    </xf>
    <xf numFmtId="165" fontId="7" fillId="0" borderId="0" xfId="0" applyNumberFormat="1" applyFont="1" applyFill="1" applyBorder="1" applyAlignment="1">
      <alignment vertical="justify"/>
    </xf>
    <xf numFmtId="166" fontId="8" fillId="0" borderId="12" xfId="0" applyNumberFormat="1" applyFont="1" applyBorder="1" applyAlignment="1">
      <alignment vertical="justify"/>
    </xf>
    <xf numFmtId="9" fontId="8" fillId="0" borderId="4" xfId="1" applyNumberFormat="1" applyFont="1" applyFill="1" applyBorder="1" applyAlignment="1">
      <alignment horizontal="right" vertical="justify"/>
    </xf>
    <xf numFmtId="9" fontId="8" fillId="0" borderId="0" xfId="1" applyNumberFormat="1" applyFont="1" applyFill="1" applyBorder="1" applyAlignment="1">
      <alignment horizontal="right" vertical="justify"/>
    </xf>
    <xf numFmtId="9" fontId="8" fillId="0" borderId="10" xfId="1" applyNumberFormat="1" applyFont="1" applyFill="1" applyBorder="1" applyAlignment="1">
      <alignment horizontal="right" vertical="justify"/>
    </xf>
    <xf numFmtId="9" fontId="7" fillId="0" borderId="4" xfId="1" applyNumberFormat="1" applyFont="1" applyFill="1" applyBorder="1" applyAlignment="1">
      <alignment horizontal="right" vertical="justify"/>
    </xf>
    <xf numFmtId="9" fontId="7" fillId="0" borderId="0" xfId="1" applyNumberFormat="1" applyFont="1" applyFill="1" applyBorder="1" applyAlignment="1">
      <alignment horizontal="right" vertical="justify"/>
    </xf>
    <xf numFmtId="9" fontId="7" fillId="0" borderId="10" xfId="1" applyNumberFormat="1" applyFont="1" applyFill="1" applyBorder="1" applyAlignment="1">
      <alignment horizontal="right" vertical="justify"/>
    </xf>
    <xf numFmtId="9" fontId="8" fillId="0" borderId="12" xfId="1" applyNumberFormat="1" applyFont="1" applyFill="1" applyBorder="1" applyAlignment="1">
      <alignment horizontal="right" vertical="justify"/>
    </xf>
    <xf numFmtId="9" fontId="8" fillId="0" borderId="8" xfId="1" applyNumberFormat="1" applyFont="1" applyFill="1" applyBorder="1" applyAlignment="1">
      <alignment horizontal="right" vertical="justify"/>
    </xf>
    <xf numFmtId="9" fontId="8" fillId="0" borderId="14" xfId="1" applyNumberFormat="1" applyFont="1" applyFill="1" applyBorder="1" applyAlignment="1">
      <alignment horizontal="right" vertical="justify"/>
    </xf>
    <xf numFmtId="9" fontId="7" fillId="0" borderId="3" xfId="1" applyNumberFormat="1" applyFont="1" applyFill="1" applyBorder="1" applyAlignment="1">
      <alignment horizontal="right" vertical="justify"/>
    </xf>
    <xf numFmtId="9" fontId="7" fillId="0" borderId="5" xfId="1" applyNumberFormat="1" applyFont="1" applyFill="1" applyBorder="1" applyAlignment="1">
      <alignment horizontal="right" vertical="justify"/>
    </xf>
    <xf numFmtId="9" fontId="7" fillId="0" borderId="13" xfId="1" applyNumberFormat="1" applyFont="1" applyFill="1" applyBorder="1" applyAlignment="1">
      <alignment horizontal="right" vertical="justify"/>
    </xf>
    <xf numFmtId="9" fontId="8" fillId="0" borderId="3" xfId="1" applyNumberFormat="1" applyFont="1" applyFill="1" applyBorder="1" applyAlignment="1">
      <alignment horizontal="right" vertical="justify"/>
    </xf>
    <xf numFmtId="9" fontId="8" fillId="0" borderId="5" xfId="1" applyNumberFormat="1" applyFont="1" applyFill="1" applyBorder="1" applyAlignment="1">
      <alignment horizontal="right" vertical="justify"/>
    </xf>
    <xf numFmtId="9" fontId="8" fillId="0" borderId="13" xfId="1" applyNumberFormat="1" applyFont="1" applyFill="1" applyBorder="1" applyAlignment="1">
      <alignment horizontal="right" vertical="justify"/>
    </xf>
    <xf numFmtId="9" fontId="8" fillId="0" borderId="14" xfId="1" applyNumberFormat="1" applyFont="1" applyBorder="1" applyAlignment="1">
      <alignment horizontal="right" vertical="justify"/>
    </xf>
    <xf numFmtId="9" fontId="7" fillId="0" borderId="10" xfId="1" applyNumberFormat="1" applyFont="1" applyBorder="1" applyAlignment="1">
      <alignment horizontal="right" vertical="justify"/>
    </xf>
    <xf numFmtId="3" fontId="7" fillId="0" borderId="3" xfId="0" applyNumberFormat="1" applyFont="1" applyBorder="1" applyAlignment="1">
      <alignment horizontal="right" vertical="justify"/>
    </xf>
    <xf numFmtId="0" fontId="8" fillId="2" borderId="6" xfId="0" applyFont="1" applyFill="1" applyBorder="1" applyAlignment="1">
      <alignment horizontal="right" vertical="justify"/>
    </xf>
    <xf numFmtId="9" fontId="7" fillId="0" borderId="6" xfId="0" applyNumberFormat="1" applyFont="1" applyFill="1" applyBorder="1" applyAlignment="1">
      <alignment horizontal="right" vertical="justify"/>
    </xf>
    <xf numFmtId="9" fontId="7" fillId="0" borderId="7" xfId="0" applyNumberFormat="1" applyFont="1" applyFill="1" applyBorder="1" applyAlignment="1">
      <alignment horizontal="right" vertical="justify"/>
    </xf>
    <xf numFmtId="164" fontId="7" fillId="0" borderId="7" xfId="0" applyNumberFormat="1" applyFont="1" applyFill="1" applyBorder="1" applyAlignment="1">
      <alignment horizontal="right" vertical="justify"/>
    </xf>
    <xf numFmtId="164" fontId="0" fillId="0" borderId="0" xfId="0" applyNumberFormat="1" applyAlignment="1">
      <alignment vertical="justify"/>
    </xf>
    <xf numFmtId="9" fontId="8" fillId="0" borderId="9" xfId="0" applyNumberFormat="1" applyFont="1" applyBorder="1" applyAlignment="1">
      <alignment vertical="justify"/>
    </xf>
    <xf numFmtId="9" fontId="8" fillId="0" borderId="0" xfId="0" applyNumberFormat="1" applyFont="1" applyFill="1" applyAlignment="1">
      <alignment vertical="center"/>
    </xf>
    <xf numFmtId="0" fontId="18" fillId="4" borderId="0" xfId="0" applyFont="1" applyFill="1" applyBorder="1" applyAlignment="1">
      <alignment vertical="center"/>
    </xf>
    <xf numFmtId="0" fontId="19" fillId="4" borderId="0" xfId="0" applyFont="1" applyFill="1" applyBorder="1" applyAlignment="1">
      <alignment vertical="center"/>
    </xf>
    <xf numFmtId="3" fontId="8" fillId="0" borderId="10" xfId="0" applyNumberFormat="1" applyFont="1" applyBorder="1" applyAlignment="1">
      <alignment vertical="justify"/>
    </xf>
    <xf numFmtId="3" fontId="8" fillId="0" borderId="4" xfId="0" applyNumberFormat="1" applyFont="1" applyBorder="1" applyAlignment="1">
      <alignment vertical="justify"/>
    </xf>
    <xf numFmtId="3" fontId="8" fillId="0" borderId="0" xfId="0" applyNumberFormat="1" applyFont="1" applyBorder="1" applyAlignment="1">
      <alignment vertical="justify"/>
    </xf>
    <xf numFmtId="0" fontId="7" fillId="0" borderId="0" xfId="0" applyNumberFormat="1" applyFont="1" applyAlignment="1">
      <alignment vertical="justify"/>
    </xf>
    <xf numFmtId="17" fontId="40" fillId="12" borderId="15" xfId="0" applyNumberFormat="1" applyFont="1" applyFill="1" applyBorder="1" applyAlignment="1">
      <alignment vertical="justify"/>
    </xf>
    <xf numFmtId="17" fontId="40" fillId="12" borderId="1" xfId="0" applyNumberFormat="1" applyFont="1" applyFill="1" applyBorder="1" applyAlignment="1">
      <alignment vertical="justify"/>
    </xf>
    <xf numFmtId="17" fontId="8" fillId="2" borderId="1" xfId="0" applyNumberFormat="1" applyFont="1" applyFill="1" applyBorder="1" applyAlignment="1">
      <alignment vertical="justify"/>
    </xf>
    <xf numFmtId="17" fontId="8" fillId="2" borderId="2" xfId="0" applyNumberFormat="1" applyFont="1" applyFill="1" applyBorder="1" applyAlignment="1">
      <alignment vertical="justify"/>
    </xf>
    <xf numFmtId="0" fontId="7" fillId="3" borderId="6" xfId="0" applyNumberFormat="1" applyFont="1" applyFill="1" applyBorder="1" applyAlignment="1">
      <alignment vertical="justify"/>
    </xf>
    <xf numFmtId="0" fontId="7" fillId="3" borderId="7" xfId="0" applyNumberFormat="1" applyFont="1" applyFill="1" applyBorder="1" applyAlignment="1">
      <alignment vertical="justify"/>
    </xf>
    <xf numFmtId="3" fontId="7" fillId="0" borderId="5" xfId="0" applyNumberFormat="1" applyFont="1" applyFill="1" applyBorder="1" applyAlignment="1">
      <alignment vertical="justify"/>
    </xf>
    <xf numFmtId="3" fontId="7" fillId="0" borderId="0" xfId="0" applyNumberFormat="1" applyFont="1" applyFill="1" applyBorder="1" applyAlignment="1">
      <alignment vertical="justify"/>
    </xf>
    <xf numFmtId="17" fontId="40" fillId="12" borderId="2" xfId="0" applyNumberFormat="1" applyFont="1" applyFill="1" applyBorder="1" applyAlignment="1">
      <alignment vertical="justify"/>
    </xf>
    <xf numFmtId="0" fontId="7" fillId="3" borderId="3" xfId="0" applyNumberFormat="1" applyFont="1" applyFill="1" applyBorder="1" applyAlignment="1">
      <alignment vertical="justify"/>
    </xf>
    <xf numFmtId="0" fontId="7" fillId="3" borderId="4" xfId="0" applyNumberFormat="1" applyFont="1" applyFill="1" applyBorder="1" applyAlignment="1">
      <alignment vertical="justify"/>
    </xf>
    <xf numFmtId="0" fontId="36" fillId="13" borderId="3" xfId="0" applyFont="1" applyFill="1" applyBorder="1" applyAlignment="1">
      <alignment vertical="justify"/>
    </xf>
    <xf numFmtId="3" fontId="36" fillId="0" borderId="0" xfId="0" applyNumberFormat="1" applyFont="1" applyFill="1" applyBorder="1" applyAlignment="1">
      <alignment vertical="justify"/>
    </xf>
    <xf numFmtId="0" fontId="36" fillId="13" borderId="4" xfId="0" applyFont="1" applyFill="1" applyBorder="1" applyAlignment="1">
      <alignment vertical="justify"/>
    </xf>
    <xf numFmtId="0" fontId="0" fillId="0" borderId="0" xfId="0" applyFill="1" applyAlignment="1">
      <alignment vertical="justify"/>
    </xf>
    <xf numFmtId="0" fontId="7" fillId="0" borderId="0" xfId="0" applyNumberFormat="1" applyFont="1" applyFill="1" applyBorder="1" applyAlignment="1">
      <alignment vertical="justify"/>
    </xf>
    <xf numFmtId="17" fontId="8" fillId="2" borderId="15" xfId="0" applyNumberFormat="1" applyFont="1" applyFill="1" applyBorder="1" applyAlignment="1">
      <alignment vertical="justify"/>
    </xf>
    <xf numFmtId="17" fontId="8" fillId="0" borderId="0" xfId="0" applyNumberFormat="1" applyFont="1" applyFill="1" applyBorder="1" applyAlignment="1">
      <alignment vertical="justify"/>
    </xf>
    <xf numFmtId="0" fontId="7" fillId="3" borderId="15" xfId="0" applyNumberFormat="1" applyFont="1" applyFill="1" applyBorder="1" applyAlignment="1">
      <alignment vertical="justify"/>
    </xf>
    <xf numFmtId="3" fontId="7" fillId="0" borderId="15" xfId="3" applyNumberFormat="1" applyFont="1" applyBorder="1" applyAlignment="1">
      <alignment vertical="justify"/>
    </xf>
    <xf numFmtId="3" fontId="7" fillId="0" borderId="1" xfId="3" applyNumberFormat="1" applyFont="1" applyBorder="1" applyAlignment="1">
      <alignment vertical="justify"/>
    </xf>
    <xf numFmtId="3" fontId="7" fillId="0" borderId="2" xfId="3" applyNumberFormat="1" applyFont="1" applyBorder="1" applyAlignment="1">
      <alignment vertical="justify"/>
    </xf>
    <xf numFmtId="3" fontId="7" fillId="0" borderId="0" xfId="3" applyNumberFormat="1" applyFont="1" applyFill="1" applyBorder="1" applyAlignment="1">
      <alignment vertical="justify"/>
    </xf>
    <xf numFmtId="3" fontId="7" fillId="0" borderId="0" xfId="5" applyNumberFormat="1" applyFont="1" applyFill="1" applyBorder="1" applyAlignment="1" applyProtection="1">
      <alignment vertical="justify"/>
      <protection locked="0"/>
    </xf>
    <xf numFmtId="0" fontId="7" fillId="0" borderId="0" xfId="0" applyNumberFormat="1" applyFont="1" applyBorder="1" applyAlignment="1">
      <alignment vertical="justify"/>
    </xf>
    <xf numFmtId="3" fontId="7" fillId="0" borderId="15" xfId="0" applyNumberFormat="1" applyFont="1" applyBorder="1" applyAlignment="1">
      <alignment vertical="justify"/>
    </xf>
    <xf numFmtId="3" fontId="7" fillId="0" borderId="1" xfId="0" applyNumberFormat="1" applyFont="1" applyBorder="1" applyAlignment="1">
      <alignment vertical="justify"/>
    </xf>
    <xf numFmtId="3" fontId="7" fillId="0" borderId="2" xfId="0" applyNumberFormat="1" applyFont="1" applyBorder="1" applyAlignment="1">
      <alignment vertical="justify"/>
    </xf>
    <xf numFmtId="0" fontId="7" fillId="3" borderId="16" xfId="0" applyNumberFormat="1" applyFont="1" applyFill="1" applyBorder="1" applyAlignment="1">
      <alignment vertical="justify"/>
    </xf>
    <xf numFmtId="17" fontId="8" fillId="2" borderId="13" xfId="0" applyNumberFormat="1" applyFont="1" applyFill="1" applyBorder="1" applyAlignment="1">
      <alignment vertical="justify"/>
    </xf>
    <xf numFmtId="0" fontId="39" fillId="0" borderId="0" xfId="3" applyFont="1" applyAlignment="1">
      <alignment horizontal="right"/>
    </xf>
    <xf numFmtId="0" fontId="16" fillId="0" borderId="0" xfId="0" applyFont="1"/>
    <xf numFmtId="3" fontId="39" fillId="0" borderId="0" xfId="5" applyNumberFormat="1" applyFont="1" applyFill="1" applyBorder="1" applyAlignment="1" applyProtection="1">
      <alignment horizontal="right"/>
      <protection locked="0"/>
    </xf>
    <xf numFmtId="17" fontId="36" fillId="0" borderId="3" xfId="0" applyNumberFormat="1" applyFont="1" applyFill="1" applyBorder="1" applyAlignment="1">
      <alignment horizontal="right" vertical="justify"/>
    </xf>
    <xf numFmtId="17" fontId="36" fillId="0" borderId="5" xfId="0" applyNumberFormat="1" applyFont="1" applyFill="1" applyBorder="1" applyAlignment="1">
      <alignment horizontal="right" vertical="justify"/>
    </xf>
    <xf numFmtId="17" fontId="36" fillId="0" borderId="13" xfId="0" applyNumberFormat="1" applyFont="1" applyFill="1" applyBorder="1" applyAlignment="1">
      <alignment horizontal="right" vertical="justify"/>
    </xf>
    <xf numFmtId="17" fontId="36" fillId="0" borderId="4" xfId="0" applyNumberFormat="1" applyFont="1" applyFill="1" applyBorder="1" applyAlignment="1">
      <alignment horizontal="right" vertical="justify"/>
    </xf>
    <xf numFmtId="17" fontId="36" fillId="0" borderId="0" xfId="0" applyNumberFormat="1" applyFont="1" applyFill="1" applyBorder="1" applyAlignment="1">
      <alignment horizontal="right" vertical="justify"/>
    </xf>
    <xf numFmtId="17" fontId="36" fillId="0" borderId="10" xfId="0" applyNumberFormat="1" applyFont="1" applyFill="1" applyBorder="1" applyAlignment="1">
      <alignment horizontal="right" vertical="justify"/>
    </xf>
    <xf numFmtId="0" fontId="7" fillId="3" borderId="9" xfId="0" applyNumberFormat="1" applyFont="1" applyFill="1" applyBorder="1" applyAlignment="1">
      <alignment vertical="justify"/>
    </xf>
    <xf numFmtId="9" fontId="7" fillId="0" borderId="12" xfId="0" applyNumberFormat="1" applyFont="1" applyBorder="1" applyAlignment="1">
      <alignment vertical="justify"/>
    </xf>
    <xf numFmtId="9" fontId="7" fillId="0" borderId="8" xfId="0" applyNumberFormat="1" applyFont="1" applyBorder="1" applyAlignment="1">
      <alignment vertical="justify"/>
    </xf>
    <xf numFmtId="9" fontId="7" fillId="0" borderId="14" xfId="0" applyNumberFormat="1" applyFont="1" applyBorder="1" applyAlignment="1">
      <alignment vertical="justify"/>
    </xf>
    <xf numFmtId="0" fontId="7" fillId="3" borderId="12" xfId="0" applyNumberFormat="1" applyFont="1" applyFill="1" applyBorder="1" applyAlignment="1">
      <alignment vertical="justify"/>
    </xf>
    <xf numFmtId="9" fontId="7" fillId="0" borderId="12" xfId="0" applyNumberFormat="1" applyFont="1" applyBorder="1" applyAlignment="1">
      <alignment horizontal="right" vertical="justify"/>
    </xf>
    <xf numFmtId="9" fontId="7" fillId="0" borderId="8" xfId="0" applyNumberFormat="1" applyFont="1" applyBorder="1" applyAlignment="1">
      <alignment horizontal="right" vertical="justify"/>
    </xf>
    <xf numFmtId="0" fontId="7" fillId="0" borderId="0" xfId="0" applyFont="1" applyBorder="1" applyAlignment="1">
      <alignment horizontal="right" vertical="justify"/>
    </xf>
    <xf numFmtId="17" fontId="8" fillId="2" borderId="15" xfId="0" applyNumberFormat="1" applyFont="1" applyFill="1" applyBorder="1" applyAlignment="1">
      <alignment horizontal="right" vertical="justify"/>
    </xf>
    <xf numFmtId="17" fontId="8" fillId="2" borderId="1" xfId="0" applyNumberFormat="1" applyFont="1" applyFill="1" applyBorder="1" applyAlignment="1">
      <alignment horizontal="right" vertical="justify"/>
    </xf>
    <xf numFmtId="17" fontId="8" fillId="2" borderId="2" xfId="0" applyNumberFormat="1" applyFont="1" applyFill="1" applyBorder="1" applyAlignment="1">
      <alignment horizontal="right" vertical="justify"/>
    </xf>
    <xf numFmtId="167" fontId="8" fillId="2" borderId="15" xfId="0" applyNumberFormat="1" applyFont="1" applyFill="1" applyBorder="1" applyAlignment="1">
      <alignment vertical="justify"/>
    </xf>
    <xf numFmtId="167" fontId="8" fillId="2" borderId="1" xfId="0" applyNumberFormat="1" applyFont="1" applyFill="1" applyBorder="1" applyAlignment="1">
      <alignment vertical="justify"/>
    </xf>
    <xf numFmtId="17" fontId="40" fillId="0" borderId="0" xfId="0" applyNumberFormat="1" applyFont="1" applyFill="1" applyBorder="1" applyAlignment="1">
      <alignment vertical="justify"/>
    </xf>
    <xf numFmtId="0" fontId="36" fillId="13" borderId="6" xfId="0" applyFont="1" applyFill="1" applyBorder="1" applyAlignment="1">
      <alignment vertical="justify"/>
    </xf>
    <xf numFmtId="0" fontId="36" fillId="13" borderId="7" xfId="0" applyFont="1" applyFill="1" applyBorder="1" applyAlignment="1">
      <alignment vertical="justify"/>
    </xf>
    <xf numFmtId="0" fontId="35" fillId="0" borderId="0" xfId="0" applyFont="1" applyFill="1" applyBorder="1" applyAlignment="1">
      <alignment vertical="justify"/>
    </xf>
    <xf numFmtId="17" fontId="8" fillId="2" borderId="3" xfId="0" applyNumberFormat="1" applyFont="1" applyFill="1" applyBorder="1" applyAlignment="1">
      <alignment vertical="justify"/>
    </xf>
    <xf numFmtId="17" fontId="8" fillId="2" borderId="5" xfId="0" applyNumberFormat="1" applyFont="1" applyFill="1" applyBorder="1" applyAlignment="1">
      <alignment vertical="justify"/>
    </xf>
    <xf numFmtId="166" fontId="42" fillId="0" borderId="0" xfId="0" applyNumberFormat="1" applyFont="1" applyAlignment="1">
      <alignment vertical="center"/>
    </xf>
    <xf numFmtId="3" fontId="43" fillId="0" borderId="0" xfId="0" applyNumberFormat="1" applyFont="1" applyFill="1" applyAlignment="1">
      <alignment vertical="justify"/>
    </xf>
    <xf numFmtId="0" fontId="43" fillId="0" borderId="0" xfId="0" applyFont="1" applyFill="1" applyAlignment="1">
      <alignment vertical="justify"/>
    </xf>
    <xf numFmtId="0" fontId="43" fillId="0" borderId="0" xfId="0" applyFont="1" applyAlignment="1">
      <alignment vertical="justify"/>
    </xf>
    <xf numFmtId="3" fontId="43" fillId="0" borderId="0" xfId="0" applyNumberFormat="1" applyFont="1" applyAlignment="1">
      <alignment vertical="justify"/>
    </xf>
    <xf numFmtId="3" fontId="42" fillId="0" borderId="0" xfId="0" applyNumberFormat="1" applyFont="1" applyAlignment="1">
      <alignment vertical="center"/>
    </xf>
    <xf numFmtId="0" fontId="43" fillId="0" borderId="0" xfId="0" applyFont="1" applyBorder="1" applyAlignment="1">
      <alignment vertical="center"/>
    </xf>
    <xf numFmtId="1" fontId="8" fillId="2" borderId="3" xfId="0" applyNumberFormat="1" applyFont="1" applyFill="1" applyBorder="1" applyAlignment="1">
      <alignment vertical="center"/>
    </xf>
    <xf numFmtId="1" fontId="8" fillId="2" borderId="5" xfId="0" applyNumberFormat="1" applyFont="1" applyFill="1" applyBorder="1" applyAlignment="1">
      <alignment vertical="center"/>
    </xf>
    <xf numFmtId="1" fontId="8" fillId="2" borderId="5" xfId="0" applyNumberFormat="1" applyFont="1" applyFill="1" applyBorder="1" applyAlignment="1">
      <alignment horizontal="right" vertical="center"/>
    </xf>
    <xf numFmtId="1" fontId="8" fillId="2" borderId="13" xfId="0" applyNumberFormat="1" applyFont="1" applyFill="1" applyBorder="1" applyAlignment="1">
      <alignment vertical="center"/>
    </xf>
    <xf numFmtId="0" fontId="8" fillId="2" borderId="6" xfId="0" applyFont="1" applyFill="1" applyBorder="1" applyAlignment="1">
      <alignment horizontal="right" vertical="center"/>
    </xf>
    <xf numFmtId="0" fontId="8" fillId="3" borderId="3" xfId="0" applyFont="1" applyFill="1" applyBorder="1" applyAlignment="1">
      <alignment vertical="center"/>
    </xf>
    <xf numFmtId="3" fontId="8" fillId="0" borderId="3" xfId="0" applyNumberFormat="1" applyFont="1" applyFill="1" applyBorder="1" applyAlignment="1">
      <alignment horizontal="right" vertical="center"/>
    </xf>
    <xf numFmtId="3" fontId="8" fillId="0" borderId="5" xfId="0" applyNumberFormat="1" applyFont="1" applyFill="1" applyBorder="1" applyAlignment="1">
      <alignment horizontal="right" vertical="center"/>
    </xf>
    <xf numFmtId="3" fontId="8" fillId="0" borderId="13" xfId="0" applyNumberFormat="1" applyFont="1" applyFill="1" applyBorder="1" applyAlignment="1">
      <alignment horizontal="right" vertical="center"/>
    </xf>
    <xf numFmtId="9" fontId="8" fillId="0" borderId="6" xfId="0" applyNumberFormat="1" applyFont="1" applyBorder="1" applyAlignment="1">
      <alignment horizontal="right" vertical="center"/>
    </xf>
    <xf numFmtId="0" fontId="7" fillId="3" borderId="4" xfId="0" applyFont="1" applyFill="1" applyBorder="1" applyAlignment="1">
      <alignment vertical="center"/>
    </xf>
    <xf numFmtId="3" fontId="7" fillId="0" borderId="4" xfId="0" applyNumberFormat="1" applyFont="1" applyFill="1" applyBorder="1" applyAlignment="1">
      <alignment horizontal="right" vertical="center"/>
    </xf>
    <xf numFmtId="3" fontId="7" fillId="0" borderId="10" xfId="0" applyNumberFormat="1" applyFont="1" applyFill="1" applyBorder="1" applyAlignment="1">
      <alignment horizontal="right" vertical="center"/>
    </xf>
    <xf numFmtId="9" fontId="7" fillId="0" borderId="7" xfId="0" applyNumberFormat="1" applyFont="1" applyBorder="1" applyAlignment="1">
      <alignment horizontal="right" vertical="center"/>
    </xf>
    <xf numFmtId="0" fontId="8" fillId="3" borderId="4" xfId="0" applyFont="1" applyFill="1" applyBorder="1" applyAlignment="1">
      <alignment vertical="center"/>
    </xf>
    <xf numFmtId="3" fontId="8" fillId="0" borderId="4" xfId="0" applyNumberFormat="1" applyFont="1" applyFill="1" applyBorder="1" applyAlignment="1">
      <alignment horizontal="right" vertical="center"/>
    </xf>
    <xf numFmtId="3" fontId="8" fillId="0" borderId="0" xfId="0" applyNumberFormat="1" applyFont="1" applyFill="1" applyBorder="1" applyAlignment="1">
      <alignment horizontal="right" vertical="center"/>
    </xf>
    <xf numFmtId="3" fontId="8" fillId="0" borderId="10" xfId="0" applyNumberFormat="1" applyFont="1" applyFill="1" applyBorder="1" applyAlignment="1">
      <alignment horizontal="right" vertical="center"/>
    </xf>
    <xf numFmtId="9" fontId="8" fillId="0" borderId="7" xfId="0" applyNumberFormat="1" applyFont="1" applyBorder="1" applyAlignment="1">
      <alignment horizontal="right" vertical="center"/>
    </xf>
    <xf numFmtId="3" fontId="31" fillId="0" borderId="0" xfId="0" applyNumberFormat="1" applyFont="1" applyFill="1" applyBorder="1" applyAlignment="1">
      <alignment horizontal="center" vertical="center"/>
    </xf>
    <xf numFmtId="9" fontId="31" fillId="0" borderId="0" xfId="0" applyNumberFormat="1" applyFont="1" applyFill="1" applyBorder="1" applyAlignment="1">
      <alignment horizontal="center" vertical="center"/>
    </xf>
    <xf numFmtId="0" fontId="7" fillId="3" borderId="12" xfId="0" applyFont="1" applyFill="1" applyBorder="1" applyAlignment="1">
      <alignment vertical="center"/>
    </xf>
    <xf numFmtId="3" fontId="7" fillId="0" borderId="12" xfId="0" applyNumberFormat="1" applyFont="1" applyFill="1" applyBorder="1" applyAlignment="1">
      <alignment horizontal="right" vertical="center"/>
    </xf>
    <xf numFmtId="3" fontId="7" fillId="0" borderId="8" xfId="0" applyNumberFormat="1" applyFont="1" applyFill="1" applyBorder="1" applyAlignment="1">
      <alignment horizontal="right" vertical="center"/>
    </xf>
    <xf numFmtId="3" fontId="7" fillId="0" borderId="14" xfId="0" applyNumberFormat="1" applyFont="1" applyFill="1" applyBorder="1" applyAlignment="1">
      <alignment horizontal="right" vertical="center"/>
    </xf>
    <xf numFmtId="9" fontId="7" fillId="0" borderId="9" xfId="0" applyNumberFormat="1" applyFont="1" applyBorder="1" applyAlignment="1">
      <alignment horizontal="right" vertical="center"/>
    </xf>
    <xf numFmtId="0" fontId="7" fillId="3" borderId="6" xfId="0" applyFont="1" applyFill="1" applyBorder="1" applyAlignment="1">
      <alignment vertical="center"/>
    </xf>
    <xf numFmtId="164" fontId="7" fillId="0" borderId="3" xfId="0" applyNumberFormat="1" applyFont="1" applyBorder="1" applyAlignment="1">
      <alignment vertical="center"/>
    </xf>
    <xf numFmtId="164" fontId="7" fillId="0" borderId="5" xfId="0" applyNumberFormat="1" applyFont="1" applyBorder="1" applyAlignment="1">
      <alignment vertical="center"/>
    </xf>
    <xf numFmtId="9" fontId="7" fillId="0" borderId="13" xfId="0" applyNumberFormat="1" applyFont="1" applyBorder="1" applyAlignment="1">
      <alignment vertical="center"/>
    </xf>
    <xf numFmtId="0" fontId="7" fillId="3" borderId="7" xfId="0" applyFont="1" applyFill="1" applyBorder="1" applyAlignment="1">
      <alignment vertical="center"/>
    </xf>
    <xf numFmtId="9" fontId="7" fillId="0" borderId="4" xfId="0" applyNumberFormat="1" applyFont="1" applyBorder="1" applyAlignment="1">
      <alignment vertical="center"/>
    </xf>
    <xf numFmtId="9" fontId="7" fillId="0" borderId="10" xfId="0" applyNumberFormat="1" applyFont="1" applyBorder="1" applyAlignment="1">
      <alignment vertical="center"/>
    </xf>
    <xf numFmtId="164" fontId="7" fillId="0" borderId="4" xfId="0" applyNumberFormat="1" applyFont="1" applyBorder="1" applyAlignment="1">
      <alignment vertical="center"/>
    </xf>
    <xf numFmtId="0" fontId="8" fillId="3" borderId="9" xfId="0" applyFont="1" applyFill="1" applyBorder="1" applyAlignment="1">
      <alignment vertical="center"/>
    </xf>
    <xf numFmtId="164" fontId="8" fillId="0" borderId="12" xfId="0" applyNumberFormat="1" applyFont="1" applyBorder="1" applyAlignment="1">
      <alignment vertical="center"/>
    </xf>
    <xf numFmtId="164" fontId="8" fillId="0" borderId="8" xfId="0" applyNumberFormat="1" applyFont="1" applyBorder="1" applyAlignment="1">
      <alignment vertical="center"/>
    </xf>
    <xf numFmtId="9" fontId="8" fillId="0" borderId="14" xfId="0" applyNumberFormat="1" applyFont="1" applyBorder="1" applyAlignment="1">
      <alignment vertical="center"/>
    </xf>
    <xf numFmtId="0" fontId="8" fillId="3" borderId="6" xfId="0" applyFont="1" applyFill="1" applyBorder="1" applyAlignment="1">
      <alignment vertical="center"/>
    </xf>
    <xf numFmtId="3" fontId="8" fillId="0" borderId="3" xfId="0" applyNumberFormat="1" applyFont="1" applyBorder="1" applyAlignment="1">
      <alignment vertical="center"/>
    </xf>
    <xf numFmtId="3" fontId="8" fillId="0" borderId="5" xfId="0" applyNumberFormat="1" applyFont="1" applyBorder="1" applyAlignment="1">
      <alignment vertical="center"/>
    </xf>
    <xf numFmtId="3" fontId="8" fillId="0" borderId="13" xfId="0" applyNumberFormat="1" applyFont="1" applyBorder="1" applyAlignment="1">
      <alignment vertical="center"/>
    </xf>
    <xf numFmtId="9" fontId="8" fillId="0" borderId="3" xfId="0" applyNumberFormat="1" applyFont="1" applyBorder="1" applyAlignment="1">
      <alignment horizontal="right" vertical="center"/>
    </xf>
    <xf numFmtId="9" fontId="8" fillId="0" borderId="5" xfId="0" applyNumberFormat="1" applyFont="1" applyBorder="1" applyAlignment="1">
      <alignment horizontal="right" vertical="center"/>
    </xf>
    <xf numFmtId="9" fontId="8" fillId="0" borderId="13" xfId="0" applyNumberFormat="1" applyFont="1" applyBorder="1" applyAlignment="1">
      <alignment horizontal="right" vertical="center"/>
    </xf>
    <xf numFmtId="3" fontId="7" fillId="0" borderId="4" xfId="0" applyNumberFormat="1" applyFont="1" applyBorder="1" applyAlignment="1">
      <alignment vertical="center"/>
    </xf>
    <xf numFmtId="3" fontId="7" fillId="0" borderId="10" xfId="0" applyNumberFormat="1" applyFont="1" applyBorder="1" applyAlignment="1">
      <alignment vertical="center"/>
    </xf>
    <xf numFmtId="9" fontId="7" fillId="0" borderId="4" xfId="0" applyNumberFormat="1" applyFont="1" applyBorder="1" applyAlignment="1">
      <alignment horizontal="right" vertical="center"/>
    </xf>
    <xf numFmtId="9" fontId="7" fillId="0" borderId="0" xfId="0" applyNumberFormat="1" applyFont="1" applyBorder="1" applyAlignment="1">
      <alignment horizontal="right" vertical="center"/>
    </xf>
    <xf numFmtId="9" fontId="7" fillId="0" borderId="10" xfId="0" applyNumberFormat="1" applyFont="1" applyBorder="1" applyAlignment="1">
      <alignment horizontal="right" vertical="center"/>
    </xf>
    <xf numFmtId="0" fontId="8" fillId="3" borderId="7" xfId="0" applyFont="1" applyFill="1" applyBorder="1" applyAlignment="1">
      <alignment vertical="center"/>
    </xf>
    <xf numFmtId="3" fontId="8" fillId="0" borderId="4" xfId="0" applyNumberFormat="1" applyFont="1" applyBorder="1" applyAlignment="1">
      <alignment vertical="center"/>
    </xf>
    <xf numFmtId="3" fontId="8" fillId="0" borderId="0" xfId="0" applyNumberFormat="1" applyFont="1" applyBorder="1" applyAlignment="1">
      <alignment vertical="center"/>
    </xf>
    <xf numFmtId="3" fontId="8" fillId="0" borderId="10" xfId="0" applyNumberFormat="1" applyFont="1" applyBorder="1" applyAlignment="1">
      <alignment vertical="center"/>
    </xf>
    <xf numFmtId="9" fontId="8" fillId="0" borderId="4" xfId="0" applyNumberFormat="1" applyFont="1" applyBorder="1" applyAlignment="1">
      <alignment horizontal="right" vertical="center"/>
    </xf>
    <xf numFmtId="9" fontId="8" fillId="0" borderId="0" xfId="0" applyNumberFormat="1" applyFont="1" applyBorder="1" applyAlignment="1">
      <alignment horizontal="right" vertical="center"/>
    </xf>
    <xf numFmtId="9" fontId="8" fillId="0" borderId="10" xfId="0" applyNumberFormat="1" applyFont="1" applyBorder="1" applyAlignment="1">
      <alignment horizontal="right" vertical="center"/>
    </xf>
    <xf numFmtId="3" fontId="8" fillId="0" borderId="12" xfId="0" applyNumberFormat="1" applyFont="1" applyFill="1" applyBorder="1" applyAlignment="1">
      <alignment vertical="center"/>
    </xf>
    <xf numFmtId="3" fontId="8" fillId="0" borderId="8" xfId="0" applyNumberFormat="1" applyFont="1" applyFill="1" applyBorder="1" applyAlignment="1">
      <alignment vertical="center"/>
    </xf>
    <xf numFmtId="3" fontId="8" fillId="0" borderId="14" xfId="0" applyNumberFormat="1" applyFont="1" applyFill="1" applyBorder="1" applyAlignment="1">
      <alignment vertical="center"/>
    </xf>
    <xf numFmtId="9" fontId="8" fillId="0" borderId="12" xfId="0" applyNumberFormat="1" applyFont="1" applyFill="1" applyBorder="1" applyAlignment="1">
      <alignment horizontal="right" vertical="center"/>
    </xf>
    <xf numFmtId="9" fontId="8" fillId="0" borderId="8" xfId="0" applyNumberFormat="1" applyFont="1" applyFill="1" applyBorder="1" applyAlignment="1">
      <alignment horizontal="right" vertical="center"/>
    </xf>
    <xf numFmtId="9" fontId="8" fillId="0" borderId="14" xfId="0" applyNumberFormat="1" applyFont="1" applyFill="1" applyBorder="1" applyAlignment="1">
      <alignment horizontal="right" vertical="center"/>
    </xf>
    <xf numFmtId="164" fontId="7" fillId="0" borderId="3" xfId="0" applyNumberFormat="1" applyFont="1" applyBorder="1" applyAlignment="1">
      <alignment horizontal="center" vertical="center"/>
    </xf>
    <xf numFmtId="164" fontId="7" fillId="0" borderId="5" xfId="0" applyNumberFormat="1" applyFont="1" applyBorder="1" applyAlignment="1">
      <alignment horizontal="center" vertical="center"/>
    </xf>
    <xf numFmtId="164" fontId="7" fillId="0" borderId="13" xfId="0" applyNumberFormat="1" applyFont="1" applyBorder="1" applyAlignment="1">
      <alignment horizontal="center" vertical="center"/>
    </xf>
    <xf numFmtId="164" fontId="7" fillId="0" borderId="4" xfId="0" applyNumberFormat="1" applyFont="1" applyBorder="1" applyAlignment="1">
      <alignment horizontal="center" vertical="center"/>
    </xf>
    <xf numFmtId="164" fontId="7" fillId="0" borderId="0" xfId="0" applyNumberFormat="1" applyFont="1" applyBorder="1" applyAlignment="1">
      <alignment horizontal="center" vertical="center"/>
    </xf>
    <xf numFmtId="164" fontId="7" fillId="0" borderId="10" xfId="0" applyNumberFormat="1" applyFont="1" applyBorder="1" applyAlignment="1">
      <alignment horizontal="center" vertical="center"/>
    </xf>
    <xf numFmtId="9" fontId="8" fillId="0" borderId="12" xfId="0" applyNumberFormat="1" applyFont="1" applyBorder="1" applyAlignment="1">
      <alignment horizontal="center" vertical="center"/>
    </xf>
    <xf numFmtId="9" fontId="8" fillId="0" borderId="8" xfId="0" applyNumberFormat="1" applyFont="1" applyBorder="1" applyAlignment="1">
      <alignment horizontal="center" vertical="center"/>
    </xf>
    <xf numFmtId="9" fontId="8" fillId="0" borderId="14" xfId="0" applyNumberFormat="1" applyFont="1" applyBorder="1" applyAlignment="1">
      <alignment horizontal="center" vertical="center"/>
    </xf>
    <xf numFmtId="0" fontId="15" fillId="14" borderId="0" xfId="0" applyFont="1" applyFill="1" applyAlignment="1">
      <alignment horizontal="right" vertical="center" wrapText="1"/>
    </xf>
    <xf numFmtId="0" fontId="15" fillId="2" borderId="2" xfId="0" applyFont="1" applyFill="1" applyBorder="1" applyAlignment="1">
      <alignment horizontal="right" vertical="center" wrapText="1"/>
    </xf>
    <xf numFmtId="0" fontId="8" fillId="0" borderId="0" xfId="0" applyFont="1" applyFill="1" applyBorder="1" applyAlignment="1">
      <alignment horizontal="right" vertical="center"/>
    </xf>
    <xf numFmtId="0" fontId="15" fillId="0" borderId="0" xfId="0" applyFont="1" applyFill="1" applyBorder="1" applyAlignment="1">
      <alignment horizontal="right" vertical="center" wrapText="1"/>
    </xf>
    <xf numFmtId="0" fontId="7" fillId="3" borderId="3" xfId="0" applyFont="1" applyFill="1" applyBorder="1" applyAlignment="1">
      <alignment vertical="center"/>
    </xf>
    <xf numFmtId="10" fontId="7" fillId="0" borderId="3" xfId="0" applyNumberFormat="1" applyFont="1" applyBorder="1" applyAlignment="1">
      <alignment horizontal="right" vertical="center"/>
    </xf>
    <xf numFmtId="10" fontId="7" fillId="0" borderId="5" xfId="0" applyNumberFormat="1" applyFont="1" applyBorder="1" applyAlignment="1">
      <alignment horizontal="right" vertical="center"/>
    </xf>
    <xf numFmtId="10" fontId="7" fillId="0" borderId="13" xfId="0" applyNumberFormat="1" applyFont="1" applyBorder="1" applyAlignment="1">
      <alignment horizontal="right" vertical="center"/>
    </xf>
    <xf numFmtId="10" fontId="7" fillId="0" borderId="0" xfId="0" applyNumberFormat="1" applyFont="1" applyFill="1" applyBorder="1" applyAlignment="1">
      <alignment horizontal="right" vertical="center"/>
    </xf>
    <xf numFmtId="10" fontId="7" fillId="0" borderId="4" xfId="0" applyNumberFormat="1" applyFont="1" applyBorder="1" applyAlignment="1">
      <alignment horizontal="right" vertical="center"/>
    </xf>
    <xf numFmtId="164" fontId="7" fillId="0" borderId="10" xfId="0" applyNumberFormat="1" applyFont="1" applyBorder="1" applyAlignment="1">
      <alignment horizontal="right" vertical="center"/>
    </xf>
    <xf numFmtId="164" fontId="7" fillId="0" borderId="0" xfId="0" applyNumberFormat="1" applyFont="1" applyFill="1" applyBorder="1" applyAlignment="1">
      <alignment horizontal="right" vertical="center"/>
    </xf>
    <xf numFmtId="164" fontId="7" fillId="0" borderId="4" xfId="0" applyNumberFormat="1" applyFont="1" applyBorder="1" applyAlignment="1">
      <alignment horizontal="right" vertical="center"/>
    </xf>
    <xf numFmtId="10" fontId="7" fillId="0" borderId="0" xfId="0" applyNumberFormat="1" applyFont="1" applyBorder="1" applyAlignment="1">
      <alignment horizontal="right" vertical="center"/>
    </xf>
    <xf numFmtId="0" fontId="8" fillId="3" borderId="12" xfId="0" applyFont="1" applyFill="1" applyBorder="1" applyAlignment="1">
      <alignment vertical="center"/>
    </xf>
    <xf numFmtId="9" fontId="8" fillId="0" borderId="12" xfId="0" applyNumberFormat="1" applyFont="1" applyBorder="1" applyAlignment="1">
      <alignment horizontal="right" vertical="center"/>
    </xf>
    <xf numFmtId="9" fontId="8" fillId="0" borderId="8" xfId="0" applyNumberFormat="1" applyFont="1" applyBorder="1" applyAlignment="1">
      <alignment horizontal="right" vertical="center"/>
    </xf>
    <xf numFmtId="9" fontId="8" fillId="0" borderId="14" xfId="0" applyNumberFormat="1" applyFont="1" applyBorder="1" applyAlignment="1">
      <alignment horizontal="right" vertical="center"/>
    </xf>
    <xf numFmtId="9" fontId="8" fillId="0" borderId="0" xfId="0" applyNumberFormat="1" applyFont="1" applyFill="1" applyBorder="1" applyAlignment="1">
      <alignment horizontal="right" vertical="center"/>
    </xf>
    <xf numFmtId="0" fontId="8" fillId="0" borderId="0" xfId="0" applyFont="1" applyFill="1" applyBorder="1" applyAlignment="1">
      <alignment vertical="center"/>
    </xf>
    <xf numFmtId="0" fontId="7" fillId="3" borderId="16" xfId="0" applyFont="1" applyFill="1" applyBorder="1" applyAlignment="1">
      <alignment vertical="center"/>
    </xf>
    <xf numFmtId="3" fontId="7" fillId="0" borderId="15" xfId="0" applyNumberFormat="1" applyFont="1" applyBorder="1" applyAlignment="1">
      <alignment horizontal="right" vertical="center"/>
    </xf>
    <xf numFmtId="3" fontId="7" fillId="0" borderId="1" xfId="0" applyNumberFormat="1" applyFont="1" applyBorder="1" applyAlignment="1">
      <alignment horizontal="right" vertical="center"/>
    </xf>
    <xf numFmtId="3" fontId="7" fillId="0" borderId="2" xfId="0" applyNumberFormat="1" applyFont="1" applyBorder="1" applyAlignment="1">
      <alignment horizontal="right" vertical="center"/>
    </xf>
    <xf numFmtId="0" fontId="2" fillId="0" borderId="0" xfId="0" applyFont="1" applyBorder="1" applyAlignment="1">
      <alignment vertical="center"/>
    </xf>
    <xf numFmtId="49" fontId="7" fillId="0" borderId="3" xfId="0" applyNumberFormat="1" applyFont="1" applyBorder="1" applyAlignment="1">
      <alignment horizontal="right" vertical="center"/>
    </xf>
    <xf numFmtId="49" fontId="7" fillId="0" borderId="5" xfId="0" applyNumberFormat="1" applyFont="1" applyBorder="1" applyAlignment="1">
      <alignment horizontal="right" vertical="center"/>
    </xf>
    <xf numFmtId="49" fontId="7" fillId="0" borderId="13" xfId="0" applyNumberFormat="1" applyFont="1" applyBorder="1" applyAlignment="1">
      <alignment horizontal="right" vertical="center"/>
    </xf>
    <xf numFmtId="49" fontId="7" fillId="0" borderId="4" xfId="0" applyNumberFormat="1" applyFont="1" applyBorder="1" applyAlignment="1">
      <alignment horizontal="right" vertical="center"/>
    </xf>
    <xf numFmtId="49" fontId="7" fillId="0" borderId="0" xfId="0" applyNumberFormat="1" applyFont="1" applyBorder="1" applyAlignment="1">
      <alignment horizontal="right" vertical="center"/>
    </xf>
    <xf numFmtId="49" fontId="7" fillId="0" borderId="10" xfId="0" applyNumberFormat="1" applyFont="1" applyBorder="1" applyAlignment="1">
      <alignment horizontal="right" vertical="center"/>
    </xf>
    <xf numFmtId="49" fontId="8" fillId="0" borderId="12" xfId="0" applyNumberFormat="1" applyFont="1" applyBorder="1" applyAlignment="1">
      <alignment horizontal="right" vertical="center"/>
    </xf>
    <xf numFmtId="49" fontId="8" fillId="0" borderId="8" xfId="0" applyNumberFormat="1" applyFont="1" applyBorder="1" applyAlignment="1">
      <alignment horizontal="right" vertical="center"/>
    </xf>
    <xf numFmtId="49" fontId="8" fillId="0" borderId="14" xfId="0" applyNumberFormat="1" applyFont="1" applyBorder="1" applyAlignment="1">
      <alignment horizontal="right" vertical="center"/>
    </xf>
    <xf numFmtId="167" fontId="8" fillId="2" borderId="15" xfId="0" applyNumberFormat="1" applyFont="1" applyFill="1" applyBorder="1" applyAlignment="1">
      <alignment vertical="center"/>
    </xf>
    <xf numFmtId="167" fontId="8" fillId="2" borderId="1" xfId="0" applyNumberFormat="1" applyFont="1" applyFill="1" applyBorder="1" applyAlignment="1">
      <alignment vertical="center"/>
    </xf>
    <xf numFmtId="167" fontId="8" fillId="2" borderId="2" xfId="0" applyNumberFormat="1" applyFont="1" applyFill="1" applyBorder="1" applyAlignment="1">
      <alignment vertical="center"/>
    </xf>
    <xf numFmtId="3" fontId="7" fillId="0" borderId="3" xfId="0" applyNumberFormat="1" applyFont="1" applyBorder="1" applyAlignment="1">
      <alignment vertical="center"/>
    </xf>
    <xf numFmtId="3" fontId="7" fillId="0" borderId="13" xfId="0" applyNumberFormat="1" applyFont="1" applyBorder="1" applyAlignment="1">
      <alignment vertical="center"/>
    </xf>
    <xf numFmtId="0" fontId="7" fillId="3" borderId="4" xfId="0" applyFont="1" applyFill="1" applyBorder="1" applyAlignment="1">
      <alignment horizontal="left" vertical="center"/>
    </xf>
    <xf numFmtId="0" fontId="8" fillId="3" borderId="12" xfId="0" applyFont="1" applyFill="1" applyBorder="1" applyAlignment="1">
      <alignment horizontal="left" vertical="center"/>
    </xf>
    <xf numFmtId="3" fontId="8" fillId="0" borderId="12" xfId="0" applyNumberFormat="1" applyFont="1" applyBorder="1" applyAlignment="1">
      <alignment vertical="center"/>
    </xf>
    <xf numFmtId="3" fontId="8" fillId="0" borderId="8" xfId="0" applyNumberFormat="1" applyFont="1" applyBorder="1" applyAlignment="1">
      <alignment vertical="center"/>
    </xf>
    <xf numFmtId="3" fontId="8" fillId="0" borderId="14" xfId="0" applyNumberFormat="1" applyFont="1" applyBorder="1" applyAlignment="1">
      <alignment vertical="center"/>
    </xf>
    <xf numFmtId="0" fontId="7" fillId="3" borderId="7" xfId="0" applyFont="1" applyFill="1" applyBorder="1" applyAlignment="1">
      <alignment horizontal="left" vertical="center"/>
    </xf>
    <xf numFmtId="0" fontId="8" fillId="3" borderId="9" xfId="0" applyFont="1" applyFill="1" applyBorder="1" applyAlignment="1">
      <alignment horizontal="left" vertical="center"/>
    </xf>
    <xf numFmtId="167" fontId="8" fillId="2" borderId="3" xfId="0" applyNumberFormat="1" applyFont="1" applyFill="1" applyBorder="1" applyAlignment="1">
      <alignment vertical="center"/>
    </xf>
    <xf numFmtId="167" fontId="8" fillId="2" borderId="5" xfId="0" applyNumberFormat="1" applyFont="1" applyFill="1" applyBorder="1" applyAlignment="1">
      <alignment vertical="center"/>
    </xf>
    <xf numFmtId="167" fontId="8" fillId="2" borderId="13" xfId="0" applyNumberFormat="1" applyFont="1" applyFill="1" applyBorder="1" applyAlignment="1">
      <alignment vertical="center"/>
    </xf>
    <xf numFmtId="167" fontId="8" fillId="0" borderId="0" xfId="0" applyNumberFormat="1" applyFont="1" applyFill="1" applyBorder="1" applyAlignment="1">
      <alignment vertical="center"/>
    </xf>
    <xf numFmtId="2" fontId="7" fillId="0" borderId="0" xfId="0" applyNumberFormat="1" applyFont="1" applyBorder="1" applyAlignment="1">
      <alignment vertical="center"/>
    </xf>
    <xf numFmtId="165" fontId="7" fillId="0" borderId="3" xfId="0" applyNumberFormat="1" applyFont="1" applyBorder="1" applyAlignment="1">
      <alignment vertical="center"/>
    </xf>
    <xf numFmtId="165" fontId="7" fillId="0" borderId="5" xfId="0" applyNumberFormat="1" applyFont="1" applyBorder="1" applyAlignment="1">
      <alignment vertical="center"/>
    </xf>
    <xf numFmtId="165" fontId="7" fillId="0" borderId="13" xfId="0" applyNumberFormat="1" applyFont="1" applyBorder="1" applyAlignment="1">
      <alignment vertical="center"/>
    </xf>
    <xf numFmtId="165" fontId="7" fillId="0" borderId="4" xfId="0" applyNumberFormat="1" applyFont="1" applyBorder="1" applyAlignment="1">
      <alignment vertical="center"/>
    </xf>
    <xf numFmtId="165" fontId="7" fillId="0" borderId="0" xfId="0" applyNumberFormat="1" applyFont="1" applyBorder="1" applyAlignment="1">
      <alignment vertical="center"/>
    </xf>
    <xf numFmtId="165" fontId="7" fillId="0" borderId="10" xfId="0" applyNumberFormat="1" applyFont="1" applyBorder="1" applyAlignment="1">
      <alignment vertical="center"/>
    </xf>
    <xf numFmtId="165" fontId="7" fillId="0" borderId="12" xfId="0" applyNumberFormat="1" applyFont="1" applyBorder="1" applyAlignment="1">
      <alignment vertical="center"/>
    </xf>
    <xf numFmtId="165" fontId="7" fillId="0" borderId="8" xfId="0" applyNumberFormat="1" applyFont="1" applyBorder="1" applyAlignment="1">
      <alignment vertical="center"/>
    </xf>
    <xf numFmtId="165" fontId="7" fillId="0" borderId="14" xfId="0" applyNumberFormat="1" applyFont="1" applyBorder="1" applyAlignment="1">
      <alignment vertical="center"/>
    </xf>
    <xf numFmtId="166" fontId="32" fillId="0" borderId="0" xfId="0" applyNumberFormat="1" applyFont="1" applyFill="1" applyBorder="1" applyAlignment="1">
      <alignment horizontal="center" vertical="center"/>
    </xf>
    <xf numFmtId="3" fontId="7" fillId="0" borderId="0" xfId="0" applyNumberFormat="1" applyFont="1"/>
    <xf numFmtId="1" fontId="8" fillId="2" borderId="15" xfId="0" applyNumberFormat="1" applyFont="1" applyFill="1" applyBorder="1" applyAlignment="1">
      <alignment horizontal="right" vertical="center"/>
    </xf>
    <xf numFmtId="1" fontId="8" fillId="2" borderId="1" xfId="0" applyNumberFormat="1" applyFont="1" applyFill="1" applyBorder="1" applyAlignment="1">
      <alignment horizontal="right" vertical="center"/>
    </xf>
    <xf numFmtId="1" fontId="8" fillId="2" borderId="2" xfId="0" applyNumberFormat="1" applyFont="1" applyFill="1" applyBorder="1" applyAlignment="1">
      <alignment horizontal="right" vertical="center"/>
    </xf>
    <xf numFmtId="3" fontId="8" fillId="0" borderId="3" xfId="0" applyNumberFormat="1" applyFont="1" applyBorder="1" applyAlignment="1">
      <alignment horizontal="right" vertical="center"/>
    </xf>
    <xf numFmtId="3" fontId="8" fillId="0" borderId="13" xfId="0" applyNumberFormat="1" applyFont="1" applyBorder="1" applyAlignment="1">
      <alignment horizontal="right" vertical="center"/>
    </xf>
    <xf numFmtId="3" fontId="7" fillId="0" borderId="4" xfId="0" applyNumberFormat="1" applyFont="1" applyBorder="1" applyAlignment="1">
      <alignment horizontal="right" vertical="center"/>
    </xf>
    <xf numFmtId="3" fontId="7" fillId="0" borderId="10" xfId="0" applyNumberFormat="1" applyFont="1" applyBorder="1" applyAlignment="1">
      <alignment horizontal="right" vertical="center"/>
    </xf>
    <xf numFmtId="3" fontId="8" fillId="0" borderId="4" xfId="0" applyNumberFormat="1" applyFont="1" applyBorder="1" applyAlignment="1">
      <alignment horizontal="right" vertical="center"/>
    </xf>
    <xf numFmtId="3" fontId="8" fillId="0" borderId="0" xfId="0" applyNumberFormat="1" applyFont="1" applyBorder="1" applyAlignment="1">
      <alignment horizontal="right" vertical="center"/>
    </xf>
    <xf numFmtId="3" fontId="8" fillId="0" borderId="10" xfId="0" applyNumberFormat="1" applyFont="1" applyBorder="1" applyAlignment="1">
      <alignment horizontal="right" vertical="center"/>
    </xf>
    <xf numFmtId="9" fontId="7" fillId="0" borderId="0" xfId="0" applyNumberFormat="1" applyFont="1" applyFill="1" applyBorder="1" applyAlignment="1">
      <alignment horizontal="right" vertical="center"/>
    </xf>
    <xf numFmtId="3" fontId="7" fillId="0" borderId="12" xfId="0" applyNumberFormat="1" applyFont="1" applyBorder="1" applyAlignment="1">
      <alignment horizontal="right" vertical="center"/>
    </xf>
    <xf numFmtId="3" fontId="7" fillId="0" borderId="8" xfId="0" applyNumberFormat="1" applyFont="1" applyBorder="1" applyAlignment="1">
      <alignment horizontal="right" vertical="center"/>
    </xf>
    <xf numFmtId="3" fontId="7" fillId="0" borderId="14" xfId="0" applyNumberFormat="1" applyFont="1" applyBorder="1" applyAlignment="1">
      <alignment horizontal="right" vertical="center"/>
    </xf>
    <xf numFmtId="1" fontId="8" fillId="0" borderId="0" xfId="0" applyNumberFormat="1" applyFont="1" applyFill="1" applyBorder="1" applyAlignment="1">
      <alignment horizontal="right" vertical="center"/>
    </xf>
    <xf numFmtId="3" fontId="7" fillId="0" borderId="3" xfId="0" applyNumberFormat="1" applyFont="1" applyBorder="1" applyAlignment="1">
      <alignment horizontal="right" vertical="center"/>
    </xf>
    <xf numFmtId="3" fontId="7" fillId="0" borderId="5" xfId="0" applyNumberFormat="1" applyFont="1" applyBorder="1" applyAlignment="1">
      <alignment horizontal="right" vertical="center"/>
    </xf>
    <xf numFmtId="3" fontId="7" fillId="0" borderId="5" xfId="0" applyNumberFormat="1" applyFont="1" applyFill="1" applyBorder="1" applyAlignment="1">
      <alignment horizontal="right" vertical="center"/>
    </xf>
    <xf numFmtId="3" fontId="7" fillId="0" borderId="13" xfId="0" applyNumberFormat="1" applyFont="1" applyFill="1" applyBorder="1" applyAlignment="1">
      <alignment horizontal="right" vertical="center"/>
    </xf>
    <xf numFmtId="3" fontId="8" fillId="0" borderId="12" xfId="0" applyNumberFormat="1" applyFont="1" applyBorder="1" applyAlignment="1">
      <alignment horizontal="right" vertical="center"/>
    </xf>
    <xf numFmtId="3" fontId="8" fillId="0" borderId="8" xfId="0" applyNumberFormat="1" applyFont="1" applyBorder="1" applyAlignment="1">
      <alignment horizontal="right" vertical="center"/>
    </xf>
    <xf numFmtId="3" fontId="8" fillId="0" borderId="14" xfId="0" applyNumberFormat="1" applyFont="1" applyBorder="1" applyAlignment="1">
      <alignment horizontal="right" vertical="center"/>
    </xf>
    <xf numFmtId="17" fontId="8" fillId="0" borderId="0" xfId="0" applyNumberFormat="1" applyFont="1" applyFill="1" applyBorder="1" applyAlignment="1">
      <alignment vertical="center"/>
    </xf>
    <xf numFmtId="17" fontId="36" fillId="0" borderId="0" xfId="0" applyNumberFormat="1" applyFont="1" applyFill="1" applyBorder="1" applyAlignment="1">
      <alignment horizontal="right" vertical="center"/>
    </xf>
    <xf numFmtId="0" fontId="7" fillId="0" borderId="0" xfId="0" applyNumberFormat="1" applyFont="1" applyBorder="1" applyAlignment="1">
      <alignment vertical="center"/>
    </xf>
    <xf numFmtId="169" fontId="39" fillId="0" borderId="0" xfId="3" applyNumberFormat="1" applyFont="1" applyFill="1" applyBorder="1" applyAlignment="1" applyProtection="1">
      <alignment horizontal="center"/>
      <protection locked="0"/>
    </xf>
    <xf numFmtId="0" fontId="15" fillId="2" borderId="16" xfId="0" applyFont="1" applyFill="1" applyBorder="1" applyAlignment="1">
      <alignment horizontal="right" vertical="center" wrapText="1"/>
    </xf>
    <xf numFmtId="164" fontId="7" fillId="0" borderId="13" xfId="4" applyNumberFormat="1" applyFont="1" applyBorder="1" applyAlignment="1">
      <alignment horizontal="right" vertical="center"/>
    </xf>
    <xf numFmtId="165" fontId="7" fillId="0" borderId="7" xfId="0" applyNumberFormat="1" applyFont="1" applyBorder="1" applyAlignment="1">
      <alignment vertical="center"/>
    </xf>
    <xf numFmtId="164" fontId="7" fillId="0" borderId="10" xfId="4" applyNumberFormat="1" applyFont="1" applyBorder="1" applyAlignment="1">
      <alignment horizontal="right" vertical="center"/>
    </xf>
    <xf numFmtId="168" fontId="2" fillId="0" borderId="0" xfId="0" applyNumberFormat="1" applyFont="1" applyFill="1" applyBorder="1" applyAlignment="1">
      <alignment horizontal="center" vertical="center"/>
    </xf>
    <xf numFmtId="2" fontId="7" fillId="0" borderId="7" xfId="0" applyNumberFormat="1" applyFont="1" applyBorder="1" applyAlignment="1">
      <alignment vertical="center"/>
    </xf>
    <xf numFmtId="2" fontId="7" fillId="0" borderId="7" xfId="0" applyNumberFormat="1" applyFont="1" applyBorder="1" applyAlignment="1">
      <alignment horizontal="right" vertical="center"/>
    </xf>
    <xf numFmtId="9" fontId="8" fillId="0" borderId="14" xfId="4" applyNumberFormat="1" applyFont="1" applyBorder="1" applyAlignment="1">
      <alignment horizontal="right" vertical="center"/>
    </xf>
    <xf numFmtId="168" fontId="16" fillId="0" borderId="0" xfId="0" applyNumberFormat="1" applyFont="1" applyFill="1" applyBorder="1" applyAlignment="1">
      <alignment horizontal="center" vertical="center"/>
    </xf>
    <xf numFmtId="2" fontId="8" fillId="0" borderId="9" xfId="0" applyNumberFormat="1" applyFont="1" applyBorder="1" applyAlignment="1">
      <alignment vertical="center"/>
    </xf>
    <xf numFmtId="168" fontId="0" fillId="0" borderId="0" xfId="0" applyNumberFormat="1" applyAlignment="1">
      <alignment vertical="center"/>
    </xf>
    <xf numFmtId="0" fontId="15" fillId="2" borderId="3" xfId="0" applyFont="1" applyFill="1" applyBorder="1" applyAlignment="1">
      <alignment horizontal="right" vertical="center" wrapText="1"/>
    </xf>
    <xf numFmtId="0" fontId="15" fillId="2" borderId="13" xfId="0" applyFont="1" applyFill="1" applyBorder="1" applyAlignment="1">
      <alignment horizontal="right" vertical="center" wrapText="1"/>
    </xf>
    <xf numFmtId="0" fontId="7" fillId="3" borderId="3" xfId="0" applyFont="1" applyFill="1" applyBorder="1" applyAlignment="1">
      <alignment horizontal="left" vertical="center"/>
    </xf>
    <xf numFmtId="164" fontId="7" fillId="0" borderId="0" xfId="4" applyNumberFormat="1" applyFont="1" applyBorder="1" applyAlignment="1">
      <alignment horizontal="right" vertical="center"/>
    </xf>
    <xf numFmtId="0" fontId="8" fillId="2" borderId="15" xfId="0" applyFont="1" applyFill="1" applyBorder="1" applyAlignment="1">
      <alignment horizontal="right" vertical="center"/>
    </xf>
    <xf numFmtId="0" fontId="8" fillId="2" borderId="1" xfId="0" applyFont="1" applyFill="1" applyBorder="1" applyAlignment="1">
      <alignment horizontal="right" vertical="center"/>
    </xf>
    <xf numFmtId="0" fontId="8" fillId="2" borderId="2" xfId="0" applyFont="1" applyFill="1" applyBorder="1" applyAlignment="1">
      <alignment horizontal="right" vertical="center"/>
    </xf>
    <xf numFmtId="164" fontId="7" fillId="0" borderId="3" xfId="4" applyNumberFormat="1" applyFont="1" applyBorder="1" applyAlignment="1">
      <alignment horizontal="right" vertical="center"/>
    </xf>
    <xf numFmtId="164" fontId="7" fillId="0" borderId="5" xfId="4" applyNumberFormat="1" applyFont="1" applyBorder="1" applyAlignment="1">
      <alignment horizontal="right" vertical="center"/>
    </xf>
    <xf numFmtId="164" fontId="7" fillId="0" borderId="4" xfId="4" applyNumberFormat="1" applyFont="1" applyBorder="1" applyAlignment="1">
      <alignment horizontal="right" vertical="center"/>
    </xf>
    <xf numFmtId="9" fontId="8" fillId="0" borderId="12" xfId="4" applyNumberFormat="1" applyFont="1" applyBorder="1" applyAlignment="1">
      <alignment horizontal="right" vertical="center"/>
    </xf>
    <xf numFmtId="9" fontId="8" fillId="0" borderId="8" xfId="4" applyNumberFormat="1" applyFont="1" applyBorder="1" applyAlignment="1">
      <alignment horizontal="right" vertical="center"/>
    </xf>
    <xf numFmtId="165" fontId="2" fillId="0" borderId="0" xfId="4" applyNumberFormat="1" applyFont="1" applyBorder="1" applyAlignment="1">
      <alignment vertical="center"/>
    </xf>
    <xf numFmtId="0" fontId="14" fillId="0" borderId="0" xfId="0" applyFont="1" applyBorder="1" applyAlignment="1">
      <alignment horizontal="center" vertical="center"/>
    </xf>
    <xf numFmtId="0" fontId="0" fillId="0" borderId="0" xfId="0" applyBorder="1" applyAlignment="1">
      <alignment horizontal="center" vertical="center"/>
    </xf>
    <xf numFmtId="0" fontId="12" fillId="11" borderId="3" xfId="0" applyFont="1" applyFill="1" applyBorder="1" applyAlignment="1">
      <alignment horizontal="center" vertical="center" wrapText="1"/>
    </xf>
    <xf numFmtId="0" fontId="12" fillId="11" borderId="5" xfId="0" applyFont="1" applyFill="1" applyBorder="1" applyAlignment="1">
      <alignment horizontal="center" vertical="center" wrapText="1"/>
    </xf>
    <xf numFmtId="0" fontId="12" fillId="11" borderId="13" xfId="0" applyFont="1" applyFill="1" applyBorder="1" applyAlignment="1">
      <alignment horizontal="center" vertical="center" wrapText="1"/>
    </xf>
    <xf numFmtId="0" fontId="12" fillId="11" borderId="4" xfId="0" applyFont="1" applyFill="1" applyBorder="1" applyAlignment="1">
      <alignment horizontal="center" vertical="center" wrapText="1"/>
    </xf>
    <xf numFmtId="0" fontId="12" fillId="11" borderId="0" xfId="0" applyFont="1" applyFill="1" applyBorder="1" applyAlignment="1">
      <alignment horizontal="center" vertical="center" wrapText="1"/>
    </xf>
    <xf numFmtId="0" fontId="12" fillId="11" borderId="10" xfId="0" applyFont="1" applyFill="1" applyBorder="1" applyAlignment="1">
      <alignment horizontal="center" vertical="center" wrapText="1"/>
    </xf>
    <xf numFmtId="0" fontId="12" fillId="11" borderId="12" xfId="0" applyFont="1" applyFill="1" applyBorder="1" applyAlignment="1">
      <alignment horizontal="center" vertical="center" wrapText="1"/>
    </xf>
    <xf numFmtId="0" fontId="12" fillId="11" borderId="8" xfId="0" applyFont="1" applyFill="1" applyBorder="1" applyAlignment="1">
      <alignment horizontal="center" vertical="center" wrapText="1"/>
    </xf>
    <xf numFmtId="0" fontId="12" fillId="11" borderId="14"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13"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0"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5" borderId="12"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2" fillId="5" borderId="14" xfId="0" applyFont="1" applyFill="1" applyBorder="1" applyAlignment="1">
      <alignment horizontal="center" vertical="center" wrapText="1"/>
    </xf>
    <xf numFmtId="0" fontId="13" fillId="9" borderId="17" xfId="0" applyFont="1" applyFill="1" applyBorder="1" applyAlignment="1">
      <alignment horizontal="center" vertical="center" wrapText="1"/>
    </xf>
    <xf numFmtId="0" fontId="16" fillId="9" borderId="18"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12" fillId="8" borderId="4" xfId="0" applyFont="1" applyFill="1" applyBorder="1" applyAlignment="1">
      <alignment horizontal="center" vertical="center" wrapText="1"/>
    </xf>
    <xf numFmtId="0" fontId="12" fillId="8" borderId="0" xfId="0" applyFont="1" applyFill="1" applyAlignment="1">
      <alignment horizontal="center" vertical="center" wrapText="1"/>
    </xf>
    <xf numFmtId="0" fontId="12" fillId="8" borderId="10" xfId="0" applyFont="1" applyFill="1" applyBorder="1" applyAlignment="1">
      <alignment horizontal="center" vertical="center" wrapText="1"/>
    </xf>
    <xf numFmtId="0" fontId="12" fillId="8" borderId="12" xfId="0" applyFont="1" applyFill="1" applyBorder="1" applyAlignment="1">
      <alignment horizontal="center" vertical="center" wrapText="1"/>
    </xf>
    <xf numFmtId="0" fontId="12" fillId="8" borderId="8" xfId="0" applyFont="1" applyFill="1" applyBorder="1" applyAlignment="1">
      <alignment horizontal="center" vertical="center" wrapText="1"/>
    </xf>
    <xf numFmtId="0" fontId="12" fillId="8" borderId="14" xfId="0" applyFont="1" applyFill="1" applyBorder="1" applyAlignment="1">
      <alignment horizontal="center" vertical="center" wrapText="1"/>
    </xf>
    <xf numFmtId="0" fontId="8" fillId="0" borderId="15" xfId="0" applyFont="1" applyFill="1" applyBorder="1" applyAlignment="1">
      <alignment horizontal="center" vertical="center"/>
    </xf>
    <xf numFmtId="0" fontId="0" fillId="0" borderId="1" xfId="0" applyBorder="1" applyAlignment="1">
      <alignment vertical="center"/>
    </xf>
    <xf numFmtId="0" fontId="0" fillId="0" borderId="2" xfId="0" applyBorder="1" applyAlignment="1">
      <alignment vertical="center"/>
    </xf>
    <xf numFmtId="0" fontId="8" fillId="7" borderId="15" xfId="0" applyFont="1" applyFill="1" applyBorder="1" applyAlignment="1">
      <alignment horizontal="center" vertical="center"/>
    </xf>
    <xf numFmtId="0" fontId="16" fillId="7" borderId="1" xfId="0" applyFont="1" applyFill="1" applyBorder="1" applyAlignment="1">
      <alignment horizontal="center" vertical="center"/>
    </xf>
    <xf numFmtId="0" fontId="16" fillId="7" borderId="2" xfId="0" applyFont="1" applyFill="1" applyBorder="1" applyAlignment="1">
      <alignment horizontal="center" vertical="center"/>
    </xf>
    <xf numFmtId="0" fontId="8" fillId="9" borderId="15" xfId="0" applyFont="1" applyFill="1" applyBorder="1" applyAlignment="1">
      <alignment horizontal="center" vertical="center"/>
    </xf>
    <xf numFmtId="0" fontId="0" fillId="9" borderId="1" xfId="0" applyFill="1" applyBorder="1" applyAlignment="1">
      <alignment vertical="center"/>
    </xf>
    <xf numFmtId="0" fontId="0" fillId="9" borderId="2" xfId="0" applyFill="1" applyBorder="1" applyAlignment="1">
      <alignment vertical="center"/>
    </xf>
    <xf numFmtId="0" fontId="8" fillId="6" borderId="15" xfId="0" applyFont="1" applyFill="1" applyBorder="1" applyAlignment="1">
      <alignment horizontal="center" vertical="center"/>
    </xf>
    <xf numFmtId="0" fontId="8" fillId="10" borderId="15" xfId="0" applyFont="1" applyFill="1" applyBorder="1" applyAlignment="1">
      <alignment horizontal="center" vertical="center"/>
    </xf>
    <xf numFmtId="0" fontId="8" fillId="10" borderId="1" xfId="0" applyFont="1" applyFill="1" applyBorder="1" applyAlignment="1">
      <alignment horizontal="center" vertical="center"/>
    </xf>
    <xf numFmtId="0" fontId="8" fillId="10" borderId="2" xfId="0" applyFont="1" applyFill="1" applyBorder="1" applyAlignment="1">
      <alignment horizontal="center" vertical="center"/>
    </xf>
    <xf numFmtId="0" fontId="8" fillId="0" borderId="1" xfId="0" applyFont="1" applyFill="1" applyBorder="1" applyAlignment="1">
      <alignment horizontal="center" vertical="center"/>
    </xf>
    <xf numFmtId="0" fontId="8" fillId="0" borderId="2" xfId="0" applyFont="1" applyFill="1" applyBorder="1" applyAlignment="1">
      <alignment horizontal="center" vertical="center"/>
    </xf>
    <xf numFmtId="0" fontId="8" fillId="7" borderId="1" xfId="0" applyFont="1" applyFill="1" applyBorder="1" applyAlignment="1">
      <alignment horizontal="center" vertical="center"/>
    </xf>
    <xf numFmtId="0" fontId="8" fillId="7" borderId="2" xfId="0" applyFont="1" applyFill="1" applyBorder="1" applyAlignment="1">
      <alignment horizontal="center" vertical="center"/>
    </xf>
    <xf numFmtId="0" fontId="8" fillId="9" borderId="1" xfId="0" applyFont="1" applyFill="1" applyBorder="1" applyAlignment="1">
      <alignment horizontal="center" vertical="center"/>
    </xf>
    <xf numFmtId="0" fontId="8" fillId="9" borderId="2" xfId="0" applyFont="1" applyFill="1" applyBorder="1" applyAlignment="1">
      <alignment horizontal="center" vertical="center"/>
    </xf>
    <xf numFmtId="0" fontId="8" fillId="6"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0" borderId="3" xfId="0" applyFont="1" applyFill="1" applyBorder="1" applyAlignment="1">
      <alignment horizontal="center" vertical="center"/>
    </xf>
    <xf numFmtId="0" fontId="0" fillId="0" borderId="5" xfId="0" applyBorder="1" applyAlignment="1">
      <alignment vertical="center"/>
    </xf>
    <xf numFmtId="0" fontId="0" fillId="0" borderId="13" xfId="0" applyBorder="1" applyAlignment="1">
      <alignment vertical="center"/>
    </xf>
    <xf numFmtId="0" fontId="0" fillId="0" borderId="12" xfId="0" applyBorder="1" applyAlignment="1">
      <alignment vertical="center"/>
    </xf>
    <xf numFmtId="0" fontId="0" fillId="0" borderId="8" xfId="0" applyBorder="1" applyAlignment="1">
      <alignment vertical="center"/>
    </xf>
    <xf numFmtId="0" fontId="0" fillId="0" borderId="14" xfId="0" applyBorder="1" applyAlignment="1">
      <alignment vertical="center"/>
    </xf>
    <xf numFmtId="0" fontId="8" fillId="0" borderId="5"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14" xfId="0" applyFont="1" applyFill="1" applyBorder="1" applyAlignment="1">
      <alignment horizontal="center" vertical="center"/>
    </xf>
    <xf numFmtId="0" fontId="26" fillId="0" borderId="3" xfId="0" applyFont="1" applyBorder="1" applyAlignment="1">
      <alignment horizontal="center" vertical="center" wrapText="1"/>
    </xf>
    <xf numFmtId="0" fontId="0" fillId="0" borderId="5"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8" xfId="0" applyBorder="1" applyAlignment="1">
      <alignment horizontal="center" vertical="center" wrapText="1"/>
    </xf>
    <xf numFmtId="0" fontId="0" fillId="0" borderId="14" xfId="0" applyBorder="1" applyAlignment="1">
      <alignment horizontal="center" vertical="center" wrapText="1"/>
    </xf>
    <xf numFmtId="0" fontId="13" fillId="7" borderId="17"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0" fillId="7" borderId="18" xfId="0" applyFill="1" applyBorder="1" applyAlignment="1">
      <alignment horizontal="center" vertical="center"/>
    </xf>
    <xf numFmtId="0" fontId="0" fillId="7" borderId="19" xfId="0" applyFill="1" applyBorder="1" applyAlignment="1">
      <alignment horizontal="center" vertical="center"/>
    </xf>
    <xf numFmtId="0" fontId="12" fillId="8" borderId="3" xfId="0" applyFont="1" applyFill="1" applyBorder="1" applyAlignment="1">
      <alignment horizontal="center" vertical="center" wrapText="1"/>
    </xf>
    <xf numFmtId="0" fontId="0" fillId="5" borderId="8" xfId="0" applyFill="1" applyBorder="1" applyAlignment="1">
      <alignment vertical="center"/>
    </xf>
    <xf numFmtId="0" fontId="0" fillId="5" borderId="14" xfId="0" applyFill="1" applyBorder="1" applyAlignment="1">
      <alignment vertical="center"/>
    </xf>
  </cellXfs>
  <cellStyles count="10">
    <cellStyle name="Milliers" xfId="4" builtinId="3"/>
    <cellStyle name="Milliers 2" xfId="8"/>
    <cellStyle name="Normal" xfId="0" builtinId="0"/>
    <cellStyle name="Normal 3" xfId="7"/>
    <cellStyle name="Normal 4" xfId="6"/>
    <cellStyle name="Normal_Suivi des indices" xfId="3"/>
    <cellStyle name="Percent 2" xfId="2"/>
    <cellStyle name="Percent 2 2 2" xfId="5"/>
    <cellStyle name="Pourcentage" xfId="1" builtinId="5"/>
    <cellStyle name="Pourcentage 2"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20</xdr:col>
      <xdr:colOff>0</xdr:colOff>
      <xdr:row>5</xdr:row>
      <xdr:rowOff>0</xdr:rowOff>
    </xdr:from>
    <xdr:to>
      <xdr:col>20</xdr:col>
      <xdr:colOff>0</xdr:colOff>
      <xdr:row>5</xdr:row>
      <xdr:rowOff>0</xdr:rowOff>
    </xdr:to>
    <xdr:sp macro="" textlink="">
      <xdr:nvSpPr>
        <xdr:cNvPr id="38204" name="Line 91"/>
        <xdr:cNvSpPr>
          <a:spLocks noChangeShapeType="1"/>
        </xdr:cNvSpPr>
      </xdr:nvSpPr>
      <xdr:spPr bwMode="auto">
        <a:xfrm>
          <a:off x="44767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xdr:row>
      <xdr:rowOff>0</xdr:rowOff>
    </xdr:from>
    <xdr:to>
      <xdr:col>6</xdr:col>
      <xdr:colOff>0</xdr:colOff>
      <xdr:row>5</xdr:row>
      <xdr:rowOff>0</xdr:rowOff>
    </xdr:to>
    <xdr:sp macro="" textlink="">
      <xdr:nvSpPr>
        <xdr:cNvPr id="38205" name="Line 92"/>
        <xdr:cNvSpPr>
          <a:spLocks noChangeShapeType="1"/>
        </xdr:cNvSpPr>
      </xdr:nvSpPr>
      <xdr:spPr bwMode="auto">
        <a:xfrm flipH="1">
          <a:off x="13144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06" name="Line 93"/>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xdr:row>
      <xdr:rowOff>0</xdr:rowOff>
    </xdr:from>
    <xdr:to>
      <xdr:col>7</xdr:col>
      <xdr:colOff>0</xdr:colOff>
      <xdr:row>5</xdr:row>
      <xdr:rowOff>0</xdr:rowOff>
    </xdr:to>
    <xdr:sp macro="" textlink="">
      <xdr:nvSpPr>
        <xdr:cNvPr id="38207" name="Line 94"/>
        <xdr:cNvSpPr>
          <a:spLocks noChangeShapeType="1"/>
        </xdr:cNvSpPr>
      </xdr:nvSpPr>
      <xdr:spPr bwMode="auto">
        <a:xfrm>
          <a:off x="15621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08" name="Line 95"/>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0</xdr:colOff>
      <xdr:row>5</xdr:row>
      <xdr:rowOff>0</xdr:rowOff>
    </xdr:from>
    <xdr:to>
      <xdr:col>21</xdr:col>
      <xdr:colOff>0</xdr:colOff>
      <xdr:row>5</xdr:row>
      <xdr:rowOff>0</xdr:rowOff>
    </xdr:to>
    <xdr:sp macro="" textlink="">
      <xdr:nvSpPr>
        <xdr:cNvPr id="38209" name="Line 96"/>
        <xdr:cNvSpPr>
          <a:spLocks noChangeShapeType="1"/>
        </xdr:cNvSpPr>
      </xdr:nvSpPr>
      <xdr:spPr bwMode="auto">
        <a:xfrm>
          <a:off x="47244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xdr:row>
      <xdr:rowOff>0</xdr:rowOff>
    </xdr:from>
    <xdr:to>
      <xdr:col>5</xdr:col>
      <xdr:colOff>0</xdr:colOff>
      <xdr:row>5</xdr:row>
      <xdr:rowOff>0</xdr:rowOff>
    </xdr:to>
    <xdr:sp macro="" textlink="">
      <xdr:nvSpPr>
        <xdr:cNvPr id="38210" name="Line 97"/>
        <xdr:cNvSpPr>
          <a:spLocks noChangeShapeType="1"/>
        </xdr:cNvSpPr>
      </xdr:nvSpPr>
      <xdr:spPr bwMode="auto">
        <a:xfrm>
          <a:off x="119062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5</xdr:row>
      <xdr:rowOff>0</xdr:rowOff>
    </xdr:from>
    <xdr:to>
      <xdr:col>20</xdr:col>
      <xdr:colOff>0</xdr:colOff>
      <xdr:row>5</xdr:row>
      <xdr:rowOff>0</xdr:rowOff>
    </xdr:to>
    <xdr:sp macro="" textlink="">
      <xdr:nvSpPr>
        <xdr:cNvPr id="38211" name="Line 98"/>
        <xdr:cNvSpPr>
          <a:spLocks noChangeShapeType="1"/>
        </xdr:cNvSpPr>
      </xdr:nvSpPr>
      <xdr:spPr bwMode="auto">
        <a:xfrm>
          <a:off x="44767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0</xdr:colOff>
      <xdr:row>5</xdr:row>
      <xdr:rowOff>0</xdr:rowOff>
    </xdr:from>
    <xdr:to>
      <xdr:col>21</xdr:col>
      <xdr:colOff>0</xdr:colOff>
      <xdr:row>5</xdr:row>
      <xdr:rowOff>0</xdr:rowOff>
    </xdr:to>
    <xdr:sp macro="" textlink="">
      <xdr:nvSpPr>
        <xdr:cNvPr id="38212" name="Line 99"/>
        <xdr:cNvSpPr>
          <a:spLocks noChangeShapeType="1"/>
        </xdr:cNvSpPr>
      </xdr:nvSpPr>
      <xdr:spPr bwMode="auto">
        <a:xfrm>
          <a:off x="47244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xdr:row>
      <xdr:rowOff>0</xdr:rowOff>
    </xdr:from>
    <xdr:to>
      <xdr:col>6</xdr:col>
      <xdr:colOff>0</xdr:colOff>
      <xdr:row>5</xdr:row>
      <xdr:rowOff>0</xdr:rowOff>
    </xdr:to>
    <xdr:sp macro="" textlink="">
      <xdr:nvSpPr>
        <xdr:cNvPr id="38213" name="Line 100"/>
        <xdr:cNvSpPr>
          <a:spLocks noChangeShapeType="1"/>
        </xdr:cNvSpPr>
      </xdr:nvSpPr>
      <xdr:spPr bwMode="auto">
        <a:xfrm flipH="1">
          <a:off x="13144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14" name="Line 101"/>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xdr:row>
      <xdr:rowOff>0</xdr:rowOff>
    </xdr:from>
    <xdr:to>
      <xdr:col>7</xdr:col>
      <xdr:colOff>0</xdr:colOff>
      <xdr:row>5</xdr:row>
      <xdr:rowOff>0</xdr:rowOff>
    </xdr:to>
    <xdr:sp macro="" textlink="">
      <xdr:nvSpPr>
        <xdr:cNvPr id="38215" name="Line 102"/>
        <xdr:cNvSpPr>
          <a:spLocks noChangeShapeType="1"/>
        </xdr:cNvSpPr>
      </xdr:nvSpPr>
      <xdr:spPr bwMode="auto">
        <a:xfrm>
          <a:off x="15621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16" name="Line 103"/>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xdr:row>
      <xdr:rowOff>0</xdr:rowOff>
    </xdr:from>
    <xdr:to>
      <xdr:col>5</xdr:col>
      <xdr:colOff>0</xdr:colOff>
      <xdr:row>5</xdr:row>
      <xdr:rowOff>0</xdr:rowOff>
    </xdr:to>
    <xdr:sp macro="" textlink="">
      <xdr:nvSpPr>
        <xdr:cNvPr id="38217" name="Line 104"/>
        <xdr:cNvSpPr>
          <a:spLocks noChangeShapeType="1"/>
        </xdr:cNvSpPr>
      </xdr:nvSpPr>
      <xdr:spPr bwMode="auto">
        <a:xfrm>
          <a:off x="119062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xdr:row>
      <xdr:rowOff>0</xdr:rowOff>
    </xdr:from>
    <xdr:to>
      <xdr:col>9</xdr:col>
      <xdr:colOff>0</xdr:colOff>
      <xdr:row>5</xdr:row>
      <xdr:rowOff>0</xdr:rowOff>
    </xdr:to>
    <xdr:sp macro="" textlink="">
      <xdr:nvSpPr>
        <xdr:cNvPr id="38218" name="Line 106"/>
        <xdr:cNvSpPr>
          <a:spLocks noChangeShapeType="1"/>
        </xdr:cNvSpPr>
      </xdr:nvSpPr>
      <xdr:spPr bwMode="auto">
        <a:xfrm>
          <a:off x="20574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xdr:row>
      <xdr:rowOff>0</xdr:rowOff>
    </xdr:from>
    <xdr:to>
      <xdr:col>9</xdr:col>
      <xdr:colOff>0</xdr:colOff>
      <xdr:row>5</xdr:row>
      <xdr:rowOff>0</xdr:rowOff>
    </xdr:to>
    <xdr:sp macro="" textlink="">
      <xdr:nvSpPr>
        <xdr:cNvPr id="38219" name="Line 107"/>
        <xdr:cNvSpPr>
          <a:spLocks noChangeShapeType="1"/>
        </xdr:cNvSpPr>
      </xdr:nvSpPr>
      <xdr:spPr bwMode="auto">
        <a:xfrm flipH="1">
          <a:off x="20574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xdr:row>
      <xdr:rowOff>0</xdr:rowOff>
    </xdr:from>
    <xdr:to>
      <xdr:col>5</xdr:col>
      <xdr:colOff>0</xdr:colOff>
      <xdr:row>5</xdr:row>
      <xdr:rowOff>0</xdr:rowOff>
    </xdr:to>
    <xdr:sp macro="" textlink="">
      <xdr:nvSpPr>
        <xdr:cNvPr id="38220" name="Line 108"/>
        <xdr:cNvSpPr>
          <a:spLocks noChangeShapeType="1"/>
        </xdr:cNvSpPr>
      </xdr:nvSpPr>
      <xdr:spPr bwMode="auto">
        <a:xfrm>
          <a:off x="119062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21" name="Line 109"/>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5</xdr:row>
      <xdr:rowOff>0</xdr:rowOff>
    </xdr:from>
    <xdr:to>
      <xdr:col>20</xdr:col>
      <xdr:colOff>0</xdr:colOff>
      <xdr:row>5</xdr:row>
      <xdr:rowOff>0</xdr:rowOff>
    </xdr:to>
    <xdr:sp macro="" textlink="">
      <xdr:nvSpPr>
        <xdr:cNvPr id="38222" name="Line 110"/>
        <xdr:cNvSpPr>
          <a:spLocks noChangeShapeType="1"/>
        </xdr:cNvSpPr>
      </xdr:nvSpPr>
      <xdr:spPr bwMode="auto">
        <a:xfrm>
          <a:off x="44767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xdr:row>
      <xdr:rowOff>0</xdr:rowOff>
    </xdr:from>
    <xdr:to>
      <xdr:col>5</xdr:col>
      <xdr:colOff>0</xdr:colOff>
      <xdr:row>5</xdr:row>
      <xdr:rowOff>0</xdr:rowOff>
    </xdr:to>
    <xdr:sp macro="" textlink="">
      <xdr:nvSpPr>
        <xdr:cNvPr id="38223" name="Line 111"/>
        <xdr:cNvSpPr>
          <a:spLocks noChangeShapeType="1"/>
        </xdr:cNvSpPr>
      </xdr:nvSpPr>
      <xdr:spPr bwMode="auto">
        <a:xfrm>
          <a:off x="119062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24" name="Line 112"/>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5</xdr:row>
      <xdr:rowOff>0</xdr:rowOff>
    </xdr:from>
    <xdr:to>
      <xdr:col>20</xdr:col>
      <xdr:colOff>0</xdr:colOff>
      <xdr:row>5</xdr:row>
      <xdr:rowOff>0</xdr:rowOff>
    </xdr:to>
    <xdr:sp macro="" textlink="">
      <xdr:nvSpPr>
        <xdr:cNvPr id="38225" name="Line 113"/>
        <xdr:cNvSpPr>
          <a:spLocks noChangeShapeType="1"/>
        </xdr:cNvSpPr>
      </xdr:nvSpPr>
      <xdr:spPr bwMode="auto">
        <a:xfrm>
          <a:off x="44767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0</xdr:colOff>
      <xdr:row>5</xdr:row>
      <xdr:rowOff>0</xdr:rowOff>
    </xdr:from>
    <xdr:to>
      <xdr:col>21</xdr:col>
      <xdr:colOff>0</xdr:colOff>
      <xdr:row>5</xdr:row>
      <xdr:rowOff>0</xdr:rowOff>
    </xdr:to>
    <xdr:sp macro="" textlink="">
      <xdr:nvSpPr>
        <xdr:cNvPr id="38226" name="Line 114"/>
        <xdr:cNvSpPr>
          <a:spLocks noChangeShapeType="1"/>
        </xdr:cNvSpPr>
      </xdr:nvSpPr>
      <xdr:spPr bwMode="auto">
        <a:xfrm>
          <a:off x="47244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xdr:row>
      <xdr:rowOff>0</xdr:rowOff>
    </xdr:from>
    <xdr:to>
      <xdr:col>6</xdr:col>
      <xdr:colOff>0</xdr:colOff>
      <xdr:row>5</xdr:row>
      <xdr:rowOff>0</xdr:rowOff>
    </xdr:to>
    <xdr:sp macro="" textlink="">
      <xdr:nvSpPr>
        <xdr:cNvPr id="38227" name="Line 115"/>
        <xdr:cNvSpPr>
          <a:spLocks noChangeShapeType="1"/>
        </xdr:cNvSpPr>
      </xdr:nvSpPr>
      <xdr:spPr bwMode="auto">
        <a:xfrm flipH="1">
          <a:off x="13144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28" name="Line 116"/>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xdr:row>
      <xdr:rowOff>0</xdr:rowOff>
    </xdr:from>
    <xdr:to>
      <xdr:col>7</xdr:col>
      <xdr:colOff>0</xdr:colOff>
      <xdr:row>5</xdr:row>
      <xdr:rowOff>0</xdr:rowOff>
    </xdr:to>
    <xdr:sp macro="" textlink="">
      <xdr:nvSpPr>
        <xdr:cNvPr id="38229" name="Line 117"/>
        <xdr:cNvSpPr>
          <a:spLocks noChangeShapeType="1"/>
        </xdr:cNvSpPr>
      </xdr:nvSpPr>
      <xdr:spPr bwMode="auto">
        <a:xfrm>
          <a:off x="15621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30" name="Line 118"/>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0</xdr:colOff>
      <xdr:row>5</xdr:row>
      <xdr:rowOff>0</xdr:rowOff>
    </xdr:from>
    <xdr:to>
      <xdr:col>19</xdr:col>
      <xdr:colOff>0</xdr:colOff>
      <xdr:row>5</xdr:row>
      <xdr:rowOff>0</xdr:rowOff>
    </xdr:to>
    <xdr:sp macro="" textlink="">
      <xdr:nvSpPr>
        <xdr:cNvPr id="38231" name="Line 119"/>
        <xdr:cNvSpPr>
          <a:spLocks noChangeShapeType="1"/>
        </xdr:cNvSpPr>
      </xdr:nvSpPr>
      <xdr:spPr bwMode="auto">
        <a:xfrm>
          <a:off x="42291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0</xdr:colOff>
      <xdr:row>5</xdr:row>
      <xdr:rowOff>0</xdr:rowOff>
    </xdr:from>
    <xdr:to>
      <xdr:col>19</xdr:col>
      <xdr:colOff>0</xdr:colOff>
      <xdr:row>5</xdr:row>
      <xdr:rowOff>0</xdr:rowOff>
    </xdr:to>
    <xdr:sp macro="" textlink="">
      <xdr:nvSpPr>
        <xdr:cNvPr id="38232" name="Line 120"/>
        <xdr:cNvSpPr>
          <a:spLocks noChangeShapeType="1"/>
        </xdr:cNvSpPr>
      </xdr:nvSpPr>
      <xdr:spPr bwMode="auto">
        <a:xfrm>
          <a:off x="42291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16</xdr:row>
      <xdr:rowOff>0</xdr:rowOff>
    </xdr:from>
    <xdr:to>
      <xdr:col>20</xdr:col>
      <xdr:colOff>0</xdr:colOff>
      <xdr:row>16</xdr:row>
      <xdr:rowOff>0</xdr:rowOff>
    </xdr:to>
    <xdr:sp macro="" textlink="">
      <xdr:nvSpPr>
        <xdr:cNvPr id="38233" name="Line 1"/>
        <xdr:cNvSpPr>
          <a:spLocks noChangeShapeType="1"/>
        </xdr:cNvSpPr>
      </xdr:nvSpPr>
      <xdr:spPr bwMode="auto">
        <a:xfrm>
          <a:off x="4476750" y="26098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16</xdr:row>
      <xdr:rowOff>0</xdr:rowOff>
    </xdr:from>
    <xdr:to>
      <xdr:col>20</xdr:col>
      <xdr:colOff>0</xdr:colOff>
      <xdr:row>16</xdr:row>
      <xdr:rowOff>0</xdr:rowOff>
    </xdr:to>
    <xdr:sp macro="" textlink="">
      <xdr:nvSpPr>
        <xdr:cNvPr id="38234" name="Line 2"/>
        <xdr:cNvSpPr>
          <a:spLocks noChangeShapeType="1"/>
        </xdr:cNvSpPr>
      </xdr:nvSpPr>
      <xdr:spPr bwMode="auto">
        <a:xfrm>
          <a:off x="4476750" y="26098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123825</xdr:colOff>
      <xdr:row>10</xdr:row>
      <xdr:rowOff>0</xdr:rowOff>
    </xdr:from>
    <xdr:to>
      <xdr:col>3</xdr:col>
      <xdr:colOff>123825</xdr:colOff>
      <xdr:row>12</xdr:row>
      <xdr:rowOff>0</xdr:rowOff>
    </xdr:to>
    <xdr:sp macro="" textlink="">
      <xdr:nvSpPr>
        <xdr:cNvPr id="38236" name="Line 56"/>
        <xdr:cNvSpPr>
          <a:spLocks noChangeShapeType="1"/>
        </xdr:cNvSpPr>
      </xdr:nvSpPr>
      <xdr:spPr bwMode="auto">
        <a:xfrm>
          <a:off x="819150"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123825</xdr:colOff>
      <xdr:row>12</xdr:row>
      <xdr:rowOff>0</xdr:rowOff>
    </xdr:from>
    <xdr:to>
      <xdr:col>11</xdr:col>
      <xdr:colOff>123825</xdr:colOff>
      <xdr:row>12</xdr:row>
      <xdr:rowOff>0</xdr:rowOff>
    </xdr:to>
    <xdr:sp macro="" textlink="">
      <xdr:nvSpPr>
        <xdr:cNvPr id="38237" name="Line 57"/>
        <xdr:cNvSpPr>
          <a:spLocks noChangeShapeType="1"/>
        </xdr:cNvSpPr>
      </xdr:nvSpPr>
      <xdr:spPr bwMode="auto">
        <a:xfrm>
          <a:off x="819150" y="2152650"/>
          <a:ext cx="1733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123825</xdr:colOff>
      <xdr:row>10</xdr:row>
      <xdr:rowOff>9525</xdr:rowOff>
    </xdr:from>
    <xdr:to>
      <xdr:col>11</xdr:col>
      <xdr:colOff>123825</xdr:colOff>
      <xdr:row>12</xdr:row>
      <xdr:rowOff>0</xdr:rowOff>
    </xdr:to>
    <xdr:sp macro="" textlink="">
      <xdr:nvSpPr>
        <xdr:cNvPr id="38238" name="Line 59"/>
        <xdr:cNvSpPr>
          <a:spLocks noChangeShapeType="1"/>
        </xdr:cNvSpPr>
      </xdr:nvSpPr>
      <xdr:spPr bwMode="auto">
        <a:xfrm>
          <a:off x="2552700" y="192405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123825</xdr:colOff>
      <xdr:row>10</xdr:row>
      <xdr:rowOff>9525</xdr:rowOff>
    </xdr:from>
    <xdr:to>
      <xdr:col>15</xdr:col>
      <xdr:colOff>123825</xdr:colOff>
      <xdr:row>12</xdr:row>
      <xdr:rowOff>0</xdr:rowOff>
    </xdr:to>
    <xdr:sp macro="" textlink="">
      <xdr:nvSpPr>
        <xdr:cNvPr id="38239" name="Line 61"/>
        <xdr:cNvSpPr>
          <a:spLocks noChangeShapeType="1"/>
        </xdr:cNvSpPr>
      </xdr:nvSpPr>
      <xdr:spPr bwMode="auto">
        <a:xfrm>
          <a:off x="3486150" y="192405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123825</xdr:colOff>
      <xdr:row>10</xdr:row>
      <xdr:rowOff>0</xdr:rowOff>
    </xdr:from>
    <xdr:to>
      <xdr:col>19</xdr:col>
      <xdr:colOff>123825</xdr:colOff>
      <xdr:row>12</xdr:row>
      <xdr:rowOff>0</xdr:rowOff>
    </xdr:to>
    <xdr:sp macro="" textlink="">
      <xdr:nvSpPr>
        <xdr:cNvPr id="38240" name="Line 71"/>
        <xdr:cNvSpPr>
          <a:spLocks noChangeShapeType="1"/>
        </xdr:cNvSpPr>
      </xdr:nvSpPr>
      <xdr:spPr bwMode="auto">
        <a:xfrm>
          <a:off x="4352925"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133350</xdr:colOff>
      <xdr:row>12</xdr:row>
      <xdr:rowOff>0</xdr:rowOff>
    </xdr:from>
    <xdr:to>
      <xdr:col>19</xdr:col>
      <xdr:colOff>123825</xdr:colOff>
      <xdr:row>12</xdr:row>
      <xdr:rowOff>0</xdr:rowOff>
    </xdr:to>
    <xdr:sp macro="" textlink="">
      <xdr:nvSpPr>
        <xdr:cNvPr id="38241" name="Line 74"/>
        <xdr:cNvSpPr>
          <a:spLocks noChangeShapeType="1"/>
        </xdr:cNvSpPr>
      </xdr:nvSpPr>
      <xdr:spPr bwMode="auto">
        <a:xfrm>
          <a:off x="3495675" y="2152650"/>
          <a:ext cx="8572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123825</xdr:colOff>
      <xdr:row>10</xdr:row>
      <xdr:rowOff>9525</xdr:rowOff>
    </xdr:from>
    <xdr:to>
      <xdr:col>7</xdr:col>
      <xdr:colOff>123825</xdr:colOff>
      <xdr:row>12</xdr:row>
      <xdr:rowOff>0</xdr:rowOff>
    </xdr:to>
    <xdr:sp macro="" textlink="">
      <xdr:nvSpPr>
        <xdr:cNvPr id="38242" name="Line 59"/>
        <xdr:cNvSpPr>
          <a:spLocks noChangeShapeType="1"/>
        </xdr:cNvSpPr>
      </xdr:nvSpPr>
      <xdr:spPr bwMode="auto">
        <a:xfrm>
          <a:off x="1685925" y="192405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9525</xdr:colOff>
      <xdr:row>17</xdr:row>
      <xdr:rowOff>0</xdr:rowOff>
    </xdr:from>
    <xdr:to>
      <xdr:col>18</xdr:col>
      <xdr:colOff>9525</xdr:colOff>
      <xdr:row>17</xdr:row>
      <xdr:rowOff>0</xdr:rowOff>
    </xdr:to>
    <xdr:sp macro="" textlink="">
      <xdr:nvSpPr>
        <xdr:cNvPr id="38243" name="Line 55"/>
        <xdr:cNvSpPr>
          <a:spLocks noChangeShapeType="1"/>
        </xdr:cNvSpPr>
      </xdr:nvSpPr>
      <xdr:spPr bwMode="auto">
        <a:xfrm flipV="1">
          <a:off x="2933700" y="2781300"/>
          <a:ext cx="10572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9525</xdr:colOff>
      <xdr:row>14</xdr:row>
      <xdr:rowOff>0</xdr:rowOff>
    </xdr:from>
    <xdr:to>
      <xdr:col>25</xdr:col>
      <xdr:colOff>47625</xdr:colOff>
      <xdr:row>14</xdr:row>
      <xdr:rowOff>0</xdr:rowOff>
    </xdr:to>
    <xdr:sp macro="" textlink="">
      <xdr:nvSpPr>
        <xdr:cNvPr id="38244" name="Line 57"/>
        <xdr:cNvSpPr>
          <a:spLocks noChangeShapeType="1"/>
        </xdr:cNvSpPr>
      </xdr:nvSpPr>
      <xdr:spPr bwMode="auto">
        <a:xfrm flipV="1">
          <a:off x="2066925" y="2343150"/>
          <a:ext cx="3638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14</xdr:row>
      <xdr:rowOff>9525</xdr:rowOff>
    </xdr:from>
    <xdr:to>
      <xdr:col>11</xdr:col>
      <xdr:colOff>0</xdr:colOff>
      <xdr:row>16</xdr:row>
      <xdr:rowOff>0</xdr:rowOff>
    </xdr:to>
    <xdr:sp macro="" textlink="">
      <xdr:nvSpPr>
        <xdr:cNvPr id="38245" name="Line 55"/>
        <xdr:cNvSpPr>
          <a:spLocks noChangeShapeType="1"/>
        </xdr:cNvSpPr>
      </xdr:nvSpPr>
      <xdr:spPr bwMode="auto">
        <a:xfrm>
          <a:off x="2428875" y="2352675"/>
          <a:ext cx="0" cy="2571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133350</xdr:colOff>
      <xdr:row>14</xdr:row>
      <xdr:rowOff>9525</xdr:rowOff>
    </xdr:from>
    <xdr:to>
      <xdr:col>20</xdr:col>
      <xdr:colOff>133350</xdr:colOff>
      <xdr:row>16</xdr:row>
      <xdr:rowOff>0</xdr:rowOff>
    </xdr:to>
    <xdr:sp macro="" textlink="">
      <xdr:nvSpPr>
        <xdr:cNvPr id="38246" name="Line 55"/>
        <xdr:cNvSpPr>
          <a:spLocks noChangeShapeType="1"/>
        </xdr:cNvSpPr>
      </xdr:nvSpPr>
      <xdr:spPr bwMode="auto">
        <a:xfrm>
          <a:off x="4610100" y="2352675"/>
          <a:ext cx="0" cy="2571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123825</xdr:colOff>
      <xdr:row>4</xdr:row>
      <xdr:rowOff>0</xdr:rowOff>
    </xdr:from>
    <xdr:to>
      <xdr:col>7</xdr:col>
      <xdr:colOff>123825</xdr:colOff>
      <xdr:row>5</xdr:row>
      <xdr:rowOff>0</xdr:rowOff>
    </xdr:to>
    <xdr:sp macro="" textlink="">
      <xdr:nvSpPr>
        <xdr:cNvPr id="38247" name="Line 55"/>
        <xdr:cNvSpPr>
          <a:spLocks noChangeShapeType="1"/>
        </xdr:cNvSpPr>
      </xdr:nvSpPr>
      <xdr:spPr bwMode="auto">
        <a:xfrm flipH="1">
          <a:off x="1685925" y="771525"/>
          <a:ext cx="0"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123825</xdr:colOff>
      <xdr:row>10</xdr:row>
      <xdr:rowOff>0</xdr:rowOff>
    </xdr:from>
    <xdr:to>
      <xdr:col>23</xdr:col>
      <xdr:colOff>123825</xdr:colOff>
      <xdr:row>12</xdr:row>
      <xdr:rowOff>0</xdr:rowOff>
    </xdr:to>
    <xdr:sp macro="" textlink="">
      <xdr:nvSpPr>
        <xdr:cNvPr id="38248" name="Line 46"/>
        <xdr:cNvSpPr>
          <a:spLocks noChangeShapeType="1"/>
        </xdr:cNvSpPr>
      </xdr:nvSpPr>
      <xdr:spPr bwMode="auto">
        <a:xfrm>
          <a:off x="5286375"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133350</xdr:colOff>
      <xdr:row>10</xdr:row>
      <xdr:rowOff>0</xdr:rowOff>
    </xdr:from>
    <xdr:to>
      <xdr:col>27</xdr:col>
      <xdr:colOff>133350</xdr:colOff>
      <xdr:row>12</xdr:row>
      <xdr:rowOff>0</xdr:rowOff>
    </xdr:to>
    <xdr:sp macro="" textlink="">
      <xdr:nvSpPr>
        <xdr:cNvPr id="38249" name="Line 47"/>
        <xdr:cNvSpPr>
          <a:spLocks noChangeShapeType="1"/>
        </xdr:cNvSpPr>
      </xdr:nvSpPr>
      <xdr:spPr bwMode="auto">
        <a:xfrm>
          <a:off x="6162675"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123825</xdr:colOff>
      <xdr:row>12</xdr:row>
      <xdr:rowOff>0</xdr:rowOff>
    </xdr:from>
    <xdr:to>
      <xdr:col>27</xdr:col>
      <xdr:colOff>133350</xdr:colOff>
      <xdr:row>12</xdr:row>
      <xdr:rowOff>0</xdr:rowOff>
    </xdr:to>
    <xdr:sp macro="" textlink="">
      <xdr:nvSpPr>
        <xdr:cNvPr id="38250" name="Line 74"/>
        <xdr:cNvSpPr>
          <a:spLocks noChangeShapeType="1"/>
        </xdr:cNvSpPr>
      </xdr:nvSpPr>
      <xdr:spPr bwMode="auto">
        <a:xfrm>
          <a:off x="5286375" y="2152650"/>
          <a:ext cx="876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66675</xdr:colOff>
      <xdr:row>3</xdr:row>
      <xdr:rowOff>247650</xdr:rowOff>
    </xdr:from>
    <xdr:to>
      <xdr:col>25</xdr:col>
      <xdr:colOff>66675</xdr:colOff>
      <xdr:row>5</xdr:row>
      <xdr:rowOff>0</xdr:rowOff>
    </xdr:to>
    <xdr:sp macro="" textlink="">
      <xdr:nvSpPr>
        <xdr:cNvPr id="38251" name="Line 55"/>
        <xdr:cNvSpPr>
          <a:spLocks noChangeShapeType="1"/>
        </xdr:cNvSpPr>
      </xdr:nvSpPr>
      <xdr:spPr bwMode="auto">
        <a:xfrm>
          <a:off x="5724525" y="762000"/>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0</xdr:colOff>
      <xdr:row>3</xdr:row>
      <xdr:rowOff>133350</xdr:rowOff>
    </xdr:from>
    <xdr:to>
      <xdr:col>1</xdr:col>
      <xdr:colOff>0</xdr:colOff>
      <xdr:row>17</xdr:row>
      <xdr:rowOff>0</xdr:rowOff>
    </xdr:to>
    <xdr:sp macro="" textlink="">
      <xdr:nvSpPr>
        <xdr:cNvPr id="38252" name="Line 59"/>
        <xdr:cNvSpPr>
          <a:spLocks noChangeShapeType="1"/>
        </xdr:cNvSpPr>
      </xdr:nvSpPr>
      <xdr:spPr bwMode="auto">
        <a:xfrm>
          <a:off x="200025" y="647700"/>
          <a:ext cx="0" cy="2133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17</xdr:row>
      <xdr:rowOff>0</xdr:rowOff>
    </xdr:from>
    <xdr:to>
      <xdr:col>6</xdr:col>
      <xdr:colOff>0</xdr:colOff>
      <xdr:row>17</xdr:row>
      <xdr:rowOff>0</xdr:rowOff>
    </xdr:to>
    <xdr:sp macro="" textlink="">
      <xdr:nvSpPr>
        <xdr:cNvPr id="38253" name="Line 55"/>
        <xdr:cNvSpPr>
          <a:spLocks noChangeShapeType="1"/>
        </xdr:cNvSpPr>
      </xdr:nvSpPr>
      <xdr:spPr bwMode="auto">
        <a:xfrm flipV="1">
          <a:off x="200025" y="2781300"/>
          <a:ext cx="11144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0</xdr:colOff>
      <xdr:row>3</xdr:row>
      <xdr:rowOff>123825</xdr:rowOff>
    </xdr:from>
    <xdr:to>
      <xdr:col>2</xdr:col>
      <xdr:colOff>0</xdr:colOff>
      <xdr:row>3</xdr:row>
      <xdr:rowOff>123825</xdr:rowOff>
    </xdr:to>
    <xdr:sp macro="" textlink="">
      <xdr:nvSpPr>
        <xdr:cNvPr id="38254" name="Line 57"/>
        <xdr:cNvSpPr>
          <a:spLocks noChangeShapeType="1"/>
        </xdr:cNvSpPr>
      </xdr:nvSpPr>
      <xdr:spPr bwMode="auto">
        <a:xfrm flipV="1">
          <a:off x="200025" y="638175"/>
          <a:ext cx="2476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0</xdr:colOff>
      <xdr:row>12</xdr:row>
      <xdr:rowOff>0</xdr:rowOff>
    </xdr:from>
    <xdr:to>
      <xdr:col>9</xdr:col>
      <xdr:colOff>0</xdr:colOff>
      <xdr:row>14</xdr:row>
      <xdr:rowOff>0</xdr:rowOff>
    </xdr:to>
    <xdr:sp macro="" textlink="">
      <xdr:nvSpPr>
        <xdr:cNvPr id="38255" name="Line 59"/>
        <xdr:cNvSpPr>
          <a:spLocks noChangeShapeType="1"/>
        </xdr:cNvSpPr>
      </xdr:nvSpPr>
      <xdr:spPr bwMode="auto">
        <a:xfrm>
          <a:off x="2057400" y="215265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57150</xdr:colOff>
      <xdr:row>12</xdr:row>
      <xdr:rowOff>0</xdr:rowOff>
    </xdr:from>
    <xdr:to>
      <xdr:col>25</xdr:col>
      <xdr:colOff>57150</xdr:colOff>
      <xdr:row>14</xdr:row>
      <xdr:rowOff>0</xdr:rowOff>
    </xdr:to>
    <xdr:sp macro="" textlink="">
      <xdr:nvSpPr>
        <xdr:cNvPr id="38256" name="Line 59"/>
        <xdr:cNvSpPr>
          <a:spLocks noChangeShapeType="1"/>
        </xdr:cNvSpPr>
      </xdr:nvSpPr>
      <xdr:spPr bwMode="auto">
        <a:xfrm>
          <a:off x="5715000" y="215265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66675</xdr:colOff>
      <xdr:row>12</xdr:row>
      <xdr:rowOff>0</xdr:rowOff>
    </xdr:from>
    <xdr:to>
      <xdr:col>17</xdr:col>
      <xdr:colOff>66675</xdr:colOff>
      <xdr:row>14</xdr:row>
      <xdr:rowOff>0</xdr:rowOff>
    </xdr:to>
    <xdr:sp macro="" textlink="">
      <xdr:nvSpPr>
        <xdr:cNvPr id="38257" name="Line 59"/>
        <xdr:cNvSpPr>
          <a:spLocks noChangeShapeType="1"/>
        </xdr:cNvSpPr>
      </xdr:nvSpPr>
      <xdr:spPr bwMode="auto">
        <a:xfrm>
          <a:off x="3924300" y="215265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0</xdr:colOff>
      <xdr:row>4</xdr:row>
      <xdr:rowOff>9525</xdr:rowOff>
    </xdr:from>
    <xdr:to>
      <xdr:col>32</xdr:col>
      <xdr:colOff>0</xdr:colOff>
      <xdr:row>5</xdr:row>
      <xdr:rowOff>9525</xdr:rowOff>
    </xdr:to>
    <xdr:sp macro="" textlink="">
      <xdr:nvSpPr>
        <xdr:cNvPr id="38258" name="Line 55"/>
        <xdr:cNvSpPr>
          <a:spLocks noChangeShapeType="1"/>
        </xdr:cNvSpPr>
      </xdr:nvSpPr>
      <xdr:spPr bwMode="auto">
        <a:xfrm>
          <a:off x="7172325" y="781050"/>
          <a:ext cx="0"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32</xdr:col>
      <xdr:colOff>0</xdr:colOff>
      <xdr:row>6</xdr:row>
      <xdr:rowOff>0</xdr:rowOff>
    </xdr:from>
    <xdr:to>
      <xdr:col>32</xdr:col>
      <xdr:colOff>0</xdr:colOff>
      <xdr:row>17</xdr:row>
      <xdr:rowOff>0</xdr:rowOff>
    </xdr:to>
    <xdr:sp macro="" textlink="">
      <xdr:nvSpPr>
        <xdr:cNvPr id="38259" name="Line 59"/>
        <xdr:cNvSpPr>
          <a:spLocks noChangeShapeType="1"/>
        </xdr:cNvSpPr>
      </xdr:nvSpPr>
      <xdr:spPr bwMode="auto">
        <a:xfrm>
          <a:off x="7172325" y="1333500"/>
          <a:ext cx="0" cy="1447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238125</xdr:colOff>
      <xdr:row>17</xdr:row>
      <xdr:rowOff>0</xdr:rowOff>
    </xdr:from>
    <xdr:to>
      <xdr:col>32</xdr:col>
      <xdr:colOff>0</xdr:colOff>
      <xdr:row>17</xdr:row>
      <xdr:rowOff>0</xdr:rowOff>
    </xdr:to>
    <xdr:sp macro="" textlink="">
      <xdr:nvSpPr>
        <xdr:cNvPr id="38260" name="Line 55"/>
        <xdr:cNvSpPr>
          <a:spLocks noChangeShapeType="1"/>
        </xdr:cNvSpPr>
      </xdr:nvSpPr>
      <xdr:spPr bwMode="auto">
        <a:xfrm flipH="1" flipV="1">
          <a:off x="5153025" y="2781300"/>
          <a:ext cx="20193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5</xdr:row>
      <xdr:rowOff>0</xdr:rowOff>
    </xdr:from>
    <xdr:to>
      <xdr:col>20</xdr:col>
      <xdr:colOff>0</xdr:colOff>
      <xdr:row>5</xdr:row>
      <xdr:rowOff>0</xdr:rowOff>
    </xdr:to>
    <xdr:sp macro="" textlink="">
      <xdr:nvSpPr>
        <xdr:cNvPr id="38261" name="Line 91"/>
        <xdr:cNvSpPr>
          <a:spLocks noChangeShapeType="1"/>
        </xdr:cNvSpPr>
      </xdr:nvSpPr>
      <xdr:spPr bwMode="auto">
        <a:xfrm>
          <a:off x="44767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xdr:row>
      <xdr:rowOff>0</xdr:rowOff>
    </xdr:from>
    <xdr:to>
      <xdr:col>6</xdr:col>
      <xdr:colOff>0</xdr:colOff>
      <xdr:row>5</xdr:row>
      <xdr:rowOff>0</xdr:rowOff>
    </xdr:to>
    <xdr:sp macro="" textlink="">
      <xdr:nvSpPr>
        <xdr:cNvPr id="38262" name="Line 92"/>
        <xdr:cNvSpPr>
          <a:spLocks noChangeShapeType="1"/>
        </xdr:cNvSpPr>
      </xdr:nvSpPr>
      <xdr:spPr bwMode="auto">
        <a:xfrm flipH="1">
          <a:off x="13144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63" name="Line 93"/>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xdr:row>
      <xdr:rowOff>0</xdr:rowOff>
    </xdr:from>
    <xdr:to>
      <xdr:col>7</xdr:col>
      <xdr:colOff>0</xdr:colOff>
      <xdr:row>5</xdr:row>
      <xdr:rowOff>0</xdr:rowOff>
    </xdr:to>
    <xdr:sp macro="" textlink="">
      <xdr:nvSpPr>
        <xdr:cNvPr id="38264" name="Line 94"/>
        <xdr:cNvSpPr>
          <a:spLocks noChangeShapeType="1"/>
        </xdr:cNvSpPr>
      </xdr:nvSpPr>
      <xdr:spPr bwMode="auto">
        <a:xfrm>
          <a:off x="15621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65" name="Line 95"/>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0</xdr:colOff>
      <xdr:row>5</xdr:row>
      <xdr:rowOff>0</xdr:rowOff>
    </xdr:from>
    <xdr:to>
      <xdr:col>21</xdr:col>
      <xdr:colOff>0</xdr:colOff>
      <xdr:row>5</xdr:row>
      <xdr:rowOff>0</xdr:rowOff>
    </xdr:to>
    <xdr:sp macro="" textlink="">
      <xdr:nvSpPr>
        <xdr:cNvPr id="38266" name="Line 96"/>
        <xdr:cNvSpPr>
          <a:spLocks noChangeShapeType="1"/>
        </xdr:cNvSpPr>
      </xdr:nvSpPr>
      <xdr:spPr bwMode="auto">
        <a:xfrm>
          <a:off x="47244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xdr:row>
      <xdr:rowOff>0</xdr:rowOff>
    </xdr:from>
    <xdr:to>
      <xdr:col>5</xdr:col>
      <xdr:colOff>0</xdr:colOff>
      <xdr:row>5</xdr:row>
      <xdr:rowOff>0</xdr:rowOff>
    </xdr:to>
    <xdr:sp macro="" textlink="">
      <xdr:nvSpPr>
        <xdr:cNvPr id="38267" name="Line 97"/>
        <xdr:cNvSpPr>
          <a:spLocks noChangeShapeType="1"/>
        </xdr:cNvSpPr>
      </xdr:nvSpPr>
      <xdr:spPr bwMode="auto">
        <a:xfrm>
          <a:off x="119062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5</xdr:row>
      <xdr:rowOff>0</xdr:rowOff>
    </xdr:from>
    <xdr:to>
      <xdr:col>20</xdr:col>
      <xdr:colOff>0</xdr:colOff>
      <xdr:row>5</xdr:row>
      <xdr:rowOff>0</xdr:rowOff>
    </xdr:to>
    <xdr:sp macro="" textlink="">
      <xdr:nvSpPr>
        <xdr:cNvPr id="38268" name="Line 98"/>
        <xdr:cNvSpPr>
          <a:spLocks noChangeShapeType="1"/>
        </xdr:cNvSpPr>
      </xdr:nvSpPr>
      <xdr:spPr bwMode="auto">
        <a:xfrm>
          <a:off x="44767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0</xdr:colOff>
      <xdr:row>5</xdr:row>
      <xdr:rowOff>0</xdr:rowOff>
    </xdr:from>
    <xdr:to>
      <xdr:col>21</xdr:col>
      <xdr:colOff>0</xdr:colOff>
      <xdr:row>5</xdr:row>
      <xdr:rowOff>0</xdr:rowOff>
    </xdr:to>
    <xdr:sp macro="" textlink="">
      <xdr:nvSpPr>
        <xdr:cNvPr id="38269" name="Line 99"/>
        <xdr:cNvSpPr>
          <a:spLocks noChangeShapeType="1"/>
        </xdr:cNvSpPr>
      </xdr:nvSpPr>
      <xdr:spPr bwMode="auto">
        <a:xfrm>
          <a:off x="47244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xdr:row>
      <xdr:rowOff>0</xdr:rowOff>
    </xdr:from>
    <xdr:to>
      <xdr:col>6</xdr:col>
      <xdr:colOff>0</xdr:colOff>
      <xdr:row>5</xdr:row>
      <xdr:rowOff>0</xdr:rowOff>
    </xdr:to>
    <xdr:sp macro="" textlink="">
      <xdr:nvSpPr>
        <xdr:cNvPr id="38270" name="Line 100"/>
        <xdr:cNvSpPr>
          <a:spLocks noChangeShapeType="1"/>
        </xdr:cNvSpPr>
      </xdr:nvSpPr>
      <xdr:spPr bwMode="auto">
        <a:xfrm flipH="1">
          <a:off x="13144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71" name="Line 101"/>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xdr:row>
      <xdr:rowOff>0</xdr:rowOff>
    </xdr:from>
    <xdr:to>
      <xdr:col>7</xdr:col>
      <xdr:colOff>0</xdr:colOff>
      <xdr:row>5</xdr:row>
      <xdr:rowOff>0</xdr:rowOff>
    </xdr:to>
    <xdr:sp macro="" textlink="">
      <xdr:nvSpPr>
        <xdr:cNvPr id="38272" name="Line 102"/>
        <xdr:cNvSpPr>
          <a:spLocks noChangeShapeType="1"/>
        </xdr:cNvSpPr>
      </xdr:nvSpPr>
      <xdr:spPr bwMode="auto">
        <a:xfrm>
          <a:off x="15621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73" name="Line 103"/>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xdr:row>
      <xdr:rowOff>0</xdr:rowOff>
    </xdr:from>
    <xdr:to>
      <xdr:col>5</xdr:col>
      <xdr:colOff>0</xdr:colOff>
      <xdr:row>5</xdr:row>
      <xdr:rowOff>0</xdr:rowOff>
    </xdr:to>
    <xdr:sp macro="" textlink="">
      <xdr:nvSpPr>
        <xdr:cNvPr id="38274" name="Line 104"/>
        <xdr:cNvSpPr>
          <a:spLocks noChangeShapeType="1"/>
        </xdr:cNvSpPr>
      </xdr:nvSpPr>
      <xdr:spPr bwMode="auto">
        <a:xfrm>
          <a:off x="119062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xdr:row>
      <xdr:rowOff>0</xdr:rowOff>
    </xdr:from>
    <xdr:to>
      <xdr:col>9</xdr:col>
      <xdr:colOff>0</xdr:colOff>
      <xdr:row>5</xdr:row>
      <xdr:rowOff>0</xdr:rowOff>
    </xdr:to>
    <xdr:sp macro="" textlink="">
      <xdr:nvSpPr>
        <xdr:cNvPr id="38275" name="Line 106"/>
        <xdr:cNvSpPr>
          <a:spLocks noChangeShapeType="1"/>
        </xdr:cNvSpPr>
      </xdr:nvSpPr>
      <xdr:spPr bwMode="auto">
        <a:xfrm>
          <a:off x="20574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xdr:row>
      <xdr:rowOff>0</xdr:rowOff>
    </xdr:from>
    <xdr:to>
      <xdr:col>9</xdr:col>
      <xdr:colOff>0</xdr:colOff>
      <xdr:row>5</xdr:row>
      <xdr:rowOff>0</xdr:rowOff>
    </xdr:to>
    <xdr:sp macro="" textlink="">
      <xdr:nvSpPr>
        <xdr:cNvPr id="38276" name="Line 107"/>
        <xdr:cNvSpPr>
          <a:spLocks noChangeShapeType="1"/>
        </xdr:cNvSpPr>
      </xdr:nvSpPr>
      <xdr:spPr bwMode="auto">
        <a:xfrm flipH="1">
          <a:off x="20574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xdr:row>
      <xdr:rowOff>0</xdr:rowOff>
    </xdr:from>
    <xdr:to>
      <xdr:col>5</xdr:col>
      <xdr:colOff>0</xdr:colOff>
      <xdr:row>5</xdr:row>
      <xdr:rowOff>0</xdr:rowOff>
    </xdr:to>
    <xdr:sp macro="" textlink="">
      <xdr:nvSpPr>
        <xdr:cNvPr id="38277" name="Line 108"/>
        <xdr:cNvSpPr>
          <a:spLocks noChangeShapeType="1"/>
        </xdr:cNvSpPr>
      </xdr:nvSpPr>
      <xdr:spPr bwMode="auto">
        <a:xfrm>
          <a:off x="119062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78" name="Line 109"/>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5</xdr:row>
      <xdr:rowOff>0</xdr:rowOff>
    </xdr:from>
    <xdr:to>
      <xdr:col>20</xdr:col>
      <xdr:colOff>0</xdr:colOff>
      <xdr:row>5</xdr:row>
      <xdr:rowOff>0</xdr:rowOff>
    </xdr:to>
    <xdr:sp macro="" textlink="">
      <xdr:nvSpPr>
        <xdr:cNvPr id="38279" name="Line 110"/>
        <xdr:cNvSpPr>
          <a:spLocks noChangeShapeType="1"/>
        </xdr:cNvSpPr>
      </xdr:nvSpPr>
      <xdr:spPr bwMode="auto">
        <a:xfrm>
          <a:off x="44767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xdr:row>
      <xdr:rowOff>0</xdr:rowOff>
    </xdr:from>
    <xdr:to>
      <xdr:col>5</xdr:col>
      <xdr:colOff>0</xdr:colOff>
      <xdr:row>5</xdr:row>
      <xdr:rowOff>0</xdr:rowOff>
    </xdr:to>
    <xdr:sp macro="" textlink="">
      <xdr:nvSpPr>
        <xdr:cNvPr id="38280" name="Line 111"/>
        <xdr:cNvSpPr>
          <a:spLocks noChangeShapeType="1"/>
        </xdr:cNvSpPr>
      </xdr:nvSpPr>
      <xdr:spPr bwMode="auto">
        <a:xfrm>
          <a:off x="119062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81" name="Line 112"/>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5</xdr:row>
      <xdr:rowOff>0</xdr:rowOff>
    </xdr:from>
    <xdr:to>
      <xdr:col>20</xdr:col>
      <xdr:colOff>0</xdr:colOff>
      <xdr:row>5</xdr:row>
      <xdr:rowOff>0</xdr:rowOff>
    </xdr:to>
    <xdr:sp macro="" textlink="">
      <xdr:nvSpPr>
        <xdr:cNvPr id="38282" name="Line 113"/>
        <xdr:cNvSpPr>
          <a:spLocks noChangeShapeType="1"/>
        </xdr:cNvSpPr>
      </xdr:nvSpPr>
      <xdr:spPr bwMode="auto">
        <a:xfrm>
          <a:off x="44767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0</xdr:colOff>
      <xdr:row>5</xdr:row>
      <xdr:rowOff>0</xdr:rowOff>
    </xdr:from>
    <xdr:to>
      <xdr:col>21</xdr:col>
      <xdr:colOff>0</xdr:colOff>
      <xdr:row>5</xdr:row>
      <xdr:rowOff>0</xdr:rowOff>
    </xdr:to>
    <xdr:sp macro="" textlink="">
      <xdr:nvSpPr>
        <xdr:cNvPr id="38283" name="Line 114"/>
        <xdr:cNvSpPr>
          <a:spLocks noChangeShapeType="1"/>
        </xdr:cNvSpPr>
      </xdr:nvSpPr>
      <xdr:spPr bwMode="auto">
        <a:xfrm>
          <a:off x="47244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xdr:row>
      <xdr:rowOff>0</xdr:rowOff>
    </xdr:from>
    <xdr:to>
      <xdr:col>6</xdr:col>
      <xdr:colOff>0</xdr:colOff>
      <xdr:row>5</xdr:row>
      <xdr:rowOff>0</xdr:rowOff>
    </xdr:to>
    <xdr:sp macro="" textlink="">
      <xdr:nvSpPr>
        <xdr:cNvPr id="38284" name="Line 115"/>
        <xdr:cNvSpPr>
          <a:spLocks noChangeShapeType="1"/>
        </xdr:cNvSpPr>
      </xdr:nvSpPr>
      <xdr:spPr bwMode="auto">
        <a:xfrm flipH="1">
          <a:off x="131445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85" name="Line 116"/>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xdr:row>
      <xdr:rowOff>0</xdr:rowOff>
    </xdr:from>
    <xdr:to>
      <xdr:col>7</xdr:col>
      <xdr:colOff>0</xdr:colOff>
      <xdr:row>5</xdr:row>
      <xdr:rowOff>0</xdr:rowOff>
    </xdr:to>
    <xdr:sp macro="" textlink="">
      <xdr:nvSpPr>
        <xdr:cNvPr id="38286" name="Line 117"/>
        <xdr:cNvSpPr>
          <a:spLocks noChangeShapeType="1"/>
        </xdr:cNvSpPr>
      </xdr:nvSpPr>
      <xdr:spPr bwMode="auto">
        <a:xfrm>
          <a:off x="15621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xdr:row>
      <xdr:rowOff>0</xdr:rowOff>
    </xdr:from>
    <xdr:to>
      <xdr:col>13</xdr:col>
      <xdr:colOff>0</xdr:colOff>
      <xdr:row>5</xdr:row>
      <xdr:rowOff>0</xdr:rowOff>
    </xdr:to>
    <xdr:sp macro="" textlink="">
      <xdr:nvSpPr>
        <xdr:cNvPr id="38287" name="Line 118"/>
        <xdr:cNvSpPr>
          <a:spLocks noChangeShapeType="1"/>
        </xdr:cNvSpPr>
      </xdr:nvSpPr>
      <xdr:spPr bwMode="auto">
        <a:xfrm>
          <a:off x="2924175"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0</xdr:colOff>
      <xdr:row>5</xdr:row>
      <xdr:rowOff>0</xdr:rowOff>
    </xdr:from>
    <xdr:to>
      <xdr:col>19</xdr:col>
      <xdr:colOff>0</xdr:colOff>
      <xdr:row>5</xdr:row>
      <xdr:rowOff>0</xdr:rowOff>
    </xdr:to>
    <xdr:sp macro="" textlink="">
      <xdr:nvSpPr>
        <xdr:cNvPr id="38288" name="Line 119"/>
        <xdr:cNvSpPr>
          <a:spLocks noChangeShapeType="1"/>
        </xdr:cNvSpPr>
      </xdr:nvSpPr>
      <xdr:spPr bwMode="auto">
        <a:xfrm>
          <a:off x="42291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0</xdr:colOff>
      <xdr:row>5</xdr:row>
      <xdr:rowOff>0</xdr:rowOff>
    </xdr:from>
    <xdr:to>
      <xdr:col>19</xdr:col>
      <xdr:colOff>0</xdr:colOff>
      <xdr:row>5</xdr:row>
      <xdr:rowOff>0</xdr:rowOff>
    </xdr:to>
    <xdr:sp macro="" textlink="">
      <xdr:nvSpPr>
        <xdr:cNvPr id="38289" name="Line 120"/>
        <xdr:cNvSpPr>
          <a:spLocks noChangeShapeType="1"/>
        </xdr:cNvSpPr>
      </xdr:nvSpPr>
      <xdr:spPr bwMode="auto">
        <a:xfrm>
          <a:off x="4229100" y="107632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16</xdr:row>
      <xdr:rowOff>0</xdr:rowOff>
    </xdr:from>
    <xdr:to>
      <xdr:col>20</xdr:col>
      <xdr:colOff>0</xdr:colOff>
      <xdr:row>16</xdr:row>
      <xdr:rowOff>0</xdr:rowOff>
    </xdr:to>
    <xdr:sp macro="" textlink="">
      <xdr:nvSpPr>
        <xdr:cNvPr id="38290" name="Line 1"/>
        <xdr:cNvSpPr>
          <a:spLocks noChangeShapeType="1"/>
        </xdr:cNvSpPr>
      </xdr:nvSpPr>
      <xdr:spPr bwMode="auto">
        <a:xfrm>
          <a:off x="4476750" y="26098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16</xdr:row>
      <xdr:rowOff>0</xdr:rowOff>
    </xdr:from>
    <xdr:to>
      <xdr:col>20</xdr:col>
      <xdr:colOff>0</xdr:colOff>
      <xdr:row>16</xdr:row>
      <xdr:rowOff>0</xdr:rowOff>
    </xdr:to>
    <xdr:sp macro="" textlink="">
      <xdr:nvSpPr>
        <xdr:cNvPr id="38291" name="Line 2"/>
        <xdr:cNvSpPr>
          <a:spLocks noChangeShapeType="1"/>
        </xdr:cNvSpPr>
      </xdr:nvSpPr>
      <xdr:spPr bwMode="auto">
        <a:xfrm>
          <a:off x="4476750" y="260985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123825</xdr:colOff>
      <xdr:row>10</xdr:row>
      <xdr:rowOff>0</xdr:rowOff>
    </xdr:from>
    <xdr:to>
      <xdr:col>3</xdr:col>
      <xdr:colOff>123825</xdr:colOff>
      <xdr:row>12</xdr:row>
      <xdr:rowOff>0</xdr:rowOff>
    </xdr:to>
    <xdr:sp macro="" textlink="">
      <xdr:nvSpPr>
        <xdr:cNvPr id="38293" name="Line 56"/>
        <xdr:cNvSpPr>
          <a:spLocks noChangeShapeType="1"/>
        </xdr:cNvSpPr>
      </xdr:nvSpPr>
      <xdr:spPr bwMode="auto">
        <a:xfrm>
          <a:off x="819150"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123825</xdr:colOff>
      <xdr:row>12</xdr:row>
      <xdr:rowOff>0</xdr:rowOff>
    </xdr:from>
    <xdr:to>
      <xdr:col>11</xdr:col>
      <xdr:colOff>123825</xdr:colOff>
      <xdr:row>12</xdr:row>
      <xdr:rowOff>0</xdr:rowOff>
    </xdr:to>
    <xdr:sp macro="" textlink="">
      <xdr:nvSpPr>
        <xdr:cNvPr id="38294" name="Line 57"/>
        <xdr:cNvSpPr>
          <a:spLocks noChangeShapeType="1"/>
        </xdr:cNvSpPr>
      </xdr:nvSpPr>
      <xdr:spPr bwMode="auto">
        <a:xfrm>
          <a:off x="819150" y="2152650"/>
          <a:ext cx="1733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123825</xdr:colOff>
      <xdr:row>10</xdr:row>
      <xdr:rowOff>9525</xdr:rowOff>
    </xdr:from>
    <xdr:to>
      <xdr:col>11</xdr:col>
      <xdr:colOff>123825</xdr:colOff>
      <xdr:row>12</xdr:row>
      <xdr:rowOff>0</xdr:rowOff>
    </xdr:to>
    <xdr:sp macro="" textlink="">
      <xdr:nvSpPr>
        <xdr:cNvPr id="38295" name="Line 59"/>
        <xdr:cNvSpPr>
          <a:spLocks noChangeShapeType="1"/>
        </xdr:cNvSpPr>
      </xdr:nvSpPr>
      <xdr:spPr bwMode="auto">
        <a:xfrm>
          <a:off x="2552700" y="192405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123825</xdr:colOff>
      <xdr:row>10</xdr:row>
      <xdr:rowOff>9525</xdr:rowOff>
    </xdr:from>
    <xdr:to>
      <xdr:col>15</xdr:col>
      <xdr:colOff>123825</xdr:colOff>
      <xdr:row>12</xdr:row>
      <xdr:rowOff>0</xdr:rowOff>
    </xdr:to>
    <xdr:sp macro="" textlink="">
      <xdr:nvSpPr>
        <xdr:cNvPr id="38296" name="Line 61"/>
        <xdr:cNvSpPr>
          <a:spLocks noChangeShapeType="1"/>
        </xdr:cNvSpPr>
      </xdr:nvSpPr>
      <xdr:spPr bwMode="auto">
        <a:xfrm>
          <a:off x="3486150" y="192405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123825</xdr:colOff>
      <xdr:row>10</xdr:row>
      <xdr:rowOff>0</xdr:rowOff>
    </xdr:from>
    <xdr:to>
      <xdr:col>19</xdr:col>
      <xdr:colOff>123825</xdr:colOff>
      <xdr:row>12</xdr:row>
      <xdr:rowOff>0</xdr:rowOff>
    </xdr:to>
    <xdr:sp macro="" textlink="">
      <xdr:nvSpPr>
        <xdr:cNvPr id="38297" name="Line 71"/>
        <xdr:cNvSpPr>
          <a:spLocks noChangeShapeType="1"/>
        </xdr:cNvSpPr>
      </xdr:nvSpPr>
      <xdr:spPr bwMode="auto">
        <a:xfrm>
          <a:off x="4352925"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133350</xdr:colOff>
      <xdr:row>12</xdr:row>
      <xdr:rowOff>0</xdr:rowOff>
    </xdr:from>
    <xdr:to>
      <xdr:col>19</xdr:col>
      <xdr:colOff>123825</xdr:colOff>
      <xdr:row>12</xdr:row>
      <xdr:rowOff>0</xdr:rowOff>
    </xdr:to>
    <xdr:sp macro="" textlink="">
      <xdr:nvSpPr>
        <xdr:cNvPr id="38298" name="Line 74"/>
        <xdr:cNvSpPr>
          <a:spLocks noChangeShapeType="1"/>
        </xdr:cNvSpPr>
      </xdr:nvSpPr>
      <xdr:spPr bwMode="auto">
        <a:xfrm>
          <a:off x="3495675" y="2152650"/>
          <a:ext cx="8572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123825</xdr:colOff>
      <xdr:row>10</xdr:row>
      <xdr:rowOff>9525</xdr:rowOff>
    </xdr:from>
    <xdr:to>
      <xdr:col>7</xdr:col>
      <xdr:colOff>123825</xdr:colOff>
      <xdr:row>12</xdr:row>
      <xdr:rowOff>0</xdr:rowOff>
    </xdr:to>
    <xdr:sp macro="" textlink="">
      <xdr:nvSpPr>
        <xdr:cNvPr id="38299" name="Line 97"/>
        <xdr:cNvSpPr>
          <a:spLocks noChangeShapeType="1"/>
        </xdr:cNvSpPr>
      </xdr:nvSpPr>
      <xdr:spPr bwMode="auto">
        <a:xfrm>
          <a:off x="1685925" y="192405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9525</xdr:colOff>
      <xdr:row>17</xdr:row>
      <xdr:rowOff>0</xdr:rowOff>
    </xdr:from>
    <xdr:to>
      <xdr:col>18</xdr:col>
      <xdr:colOff>9525</xdr:colOff>
      <xdr:row>17</xdr:row>
      <xdr:rowOff>0</xdr:rowOff>
    </xdr:to>
    <xdr:sp macro="" textlink="">
      <xdr:nvSpPr>
        <xdr:cNvPr id="38300" name="Line 55"/>
        <xdr:cNvSpPr>
          <a:spLocks noChangeShapeType="1"/>
        </xdr:cNvSpPr>
      </xdr:nvSpPr>
      <xdr:spPr bwMode="auto">
        <a:xfrm flipV="1">
          <a:off x="2933700" y="2781300"/>
          <a:ext cx="10572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9525</xdr:colOff>
      <xdr:row>14</xdr:row>
      <xdr:rowOff>0</xdr:rowOff>
    </xdr:from>
    <xdr:to>
      <xdr:col>25</xdr:col>
      <xdr:colOff>47625</xdr:colOff>
      <xdr:row>14</xdr:row>
      <xdr:rowOff>0</xdr:rowOff>
    </xdr:to>
    <xdr:sp macro="" textlink="">
      <xdr:nvSpPr>
        <xdr:cNvPr id="38301" name="Line 99"/>
        <xdr:cNvSpPr>
          <a:spLocks noChangeShapeType="1"/>
        </xdr:cNvSpPr>
      </xdr:nvSpPr>
      <xdr:spPr bwMode="auto">
        <a:xfrm flipV="1">
          <a:off x="2066925" y="2343150"/>
          <a:ext cx="3638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14</xdr:row>
      <xdr:rowOff>9525</xdr:rowOff>
    </xdr:from>
    <xdr:to>
      <xdr:col>11</xdr:col>
      <xdr:colOff>0</xdr:colOff>
      <xdr:row>16</xdr:row>
      <xdr:rowOff>0</xdr:rowOff>
    </xdr:to>
    <xdr:sp macro="" textlink="">
      <xdr:nvSpPr>
        <xdr:cNvPr id="38302" name="Line 100"/>
        <xdr:cNvSpPr>
          <a:spLocks noChangeShapeType="1"/>
        </xdr:cNvSpPr>
      </xdr:nvSpPr>
      <xdr:spPr bwMode="auto">
        <a:xfrm>
          <a:off x="2428875" y="2352675"/>
          <a:ext cx="0" cy="2571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133350</xdr:colOff>
      <xdr:row>14</xdr:row>
      <xdr:rowOff>9525</xdr:rowOff>
    </xdr:from>
    <xdr:to>
      <xdr:col>20</xdr:col>
      <xdr:colOff>133350</xdr:colOff>
      <xdr:row>16</xdr:row>
      <xdr:rowOff>0</xdr:rowOff>
    </xdr:to>
    <xdr:sp macro="" textlink="">
      <xdr:nvSpPr>
        <xdr:cNvPr id="38303" name="Line 101"/>
        <xdr:cNvSpPr>
          <a:spLocks noChangeShapeType="1"/>
        </xdr:cNvSpPr>
      </xdr:nvSpPr>
      <xdr:spPr bwMode="auto">
        <a:xfrm>
          <a:off x="4610100" y="2352675"/>
          <a:ext cx="0" cy="2571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123825</xdr:colOff>
      <xdr:row>10</xdr:row>
      <xdr:rowOff>0</xdr:rowOff>
    </xdr:from>
    <xdr:to>
      <xdr:col>23</xdr:col>
      <xdr:colOff>123825</xdr:colOff>
      <xdr:row>12</xdr:row>
      <xdr:rowOff>0</xdr:rowOff>
    </xdr:to>
    <xdr:sp macro="" textlink="">
      <xdr:nvSpPr>
        <xdr:cNvPr id="38304" name="Line 102"/>
        <xdr:cNvSpPr>
          <a:spLocks noChangeShapeType="1"/>
        </xdr:cNvSpPr>
      </xdr:nvSpPr>
      <xdr:spPr bwMode="auto">
        <a:xfrm>
          <a:off x="5286375"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133350</xdr:colOff>
      <xdr:row>10</xdr:row>
      <xdr:rowOff>0</xdr:rowOff>
    </xdr:from>
    <xdr:to>
      <xdr:col>27</xdr:col>
      <xdr:colOff>133350</xdr:colOff>
      <xdr:row>12</xdr:row>
      <xdr:rowOff>0</xdr:rowOff>
    </xdr:to>
    <xdr:sp macro="" textlink="">
      <xdr:nvSpPr>
        <xdr:cNvPr id="38305" name="Line 103"/>
        <xdr:cNvSpPr>
          <a:spLocks noChangeShapeType="1"/>
        </xdr:cNvSpPr>
      </xdr:nvSpPr>
      <xdr:spPr bwMode="auto">
        <a:xfrm>
          <a:off x="6162675" y="191452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123825</xdr:colOff>
      <xdr:row>12</xdr:row>
      <xdr:rowOff>0</xdr:rowOff>
    </xdr:from>
    <xdr:to>
      <xdr:col>27</xdr:col>
      <xdr:colOff>133350</xdr:colOff>
      <xdr:row>12</xdr:row>
      <xdr:rowOff>0</xdr:rowOff>
    </xdr:to>
    <xdr:sp macro="" textlink="">
      <xdr:nvSpPr>
        <xdr:cNvPr id="38306" name="Line 104"/>
        <xdr:cNvSpPr>
          <a:spLocks noChangeShapeType="1"/>
        </xdr:cNvSpPr>
      </xdr:nvSpPr>
      <xdr:spPr bwMode="auto">
        <a:xfrm>
          <a:off x="5286375" y="2152650"/>
          <a:ext cx="876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66675</xdr:colOff>
      <xdr:row>4</xdr:row>
      <xdr:rowOff>0</xdr:rowOff>
    </xdr:from>
    <xdr:to>
      <xdr:col>25</xdr:col>
      <xdr:colOff>66675</xdr:colOff>
      <xdr:row>5</xdr:row>
      <xdr:rowOff>9525</xdr:rowOff>
    </xdr:to>
    <xdr:sp macro="" textlink="">
      <xdr:nvSpPr>
        <xdr:cNvPr id="38307" name="Line 105"/>
        <xdr:cNvSpPr>
          <a:spLocks noChangeShapeType="1"/>
        </xdr:cNvSpPr>
      </xdr:nvSpPr>
      <xdr:spPr bwMode="auto">
        <a:xfrm>
          <a:off x="5724525" y="771525"/>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12</xdr:row>
      <xdr:rowOff>0</xdr:rowOff>
    </xdr:from>
    <xdr:to>
      <xdr:col>9</xdr:col>
      <xdr:colOff>0</xdr:colOff>
      <xdr:row>14</xdr:row>
      <xdr:rowOff>0</xdr:rowOff>
    </xdr:to>
    <xdr:sp macro="" textlink="">
      <xdr:nvSpPr>
        <xdr:cNvPr id="38308" name="Line 106"/>
        <xdr:cNvSpPr>
          <a:spLocks noChangeShapeType="1"/>
        </xdr:cNvSpPr>
      </xdr:nvSpPr>
      <xdr:spPr bwMode="auto">
        <a:xfrm>
          <a:off x="2057400" y="215265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57150</xdr:colOff>
      <xdr:row>12</xdr:row>
      <xdr:rowOff>0</xdr:rowOff>
    </xdr:from>
    <xdr:to>
      <xdr:col>25</xdr:col>
      <xdr:colOff>57150</xdr:colOff>
      <xdr:row>14</xdr:row>
      <xdr:rowOff>0</xdr:rowOff>
    </xdr:to>
    <xdr:sp macro="" textlink="">
      <xdr:nvSpPr>
        <xdr:cNvPr id="38309" name="Line 107"/>
        <xdr:cNvSpPr>
          <a:spLocks noChangeShapeType="1"/>
        </xdr:cNvSpPr>
      </xdr:nvSpPr>
      <xdr:spPr bwMode="auto">
        <a:xfrm>
          <a:off x="5715000" y="215265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66675</xdr:colOff>
      <xdr:row>12</xdr:row>
      <xdr:rowOff>0</xdr:rowOff>
    </xdr:from>
    <xdr:to>
      <xdr:col>17</xdr:col>
      <xdr:colOff>66675</xdr:colOff>
      <xdr:row>14</xdr:row>
      <xdr:rowOff>0</xdr:rowOff>
    </xdr:to>
    <xdr:sp macro="" textlink="">
      <xdr:nvSpPr>
        <xdr:cNvPr id="38310" name="Line 108"/>
        <xdr:cNvSpPr>
          <a:spLocks noChangeShapeType="1"/>
        </xdr:cNvSpPr>
      </xdr:nvSpPr>
      <xdr:spPr bwMode="auto">
        <a:xfrm>
          <a:off x="3924300" y="215265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0</xdr:colOff>
      <xdr:row>4</xdr:row>
      <xdr:rowOff>9525</xdr:rowOff>
    </xdr:from>
    <xdr:to>
      <xdr:col>32</xdr:col>
      <xdr:colOff>0</xdr:colOff>
      <xdr:row>5</xdr:row>
      <xdr:rowOff>9525</xdr:rowOff>
    </xdr:to>
    <xdr:sp macro="" textlink="">
      <xdr:nvSpPr>
        <xdr:cNvPr id="38311" name="Line 109"/>
        <xdr:cNvSpPr>
          <a:spLocks noChangeShapeType="1"/>
        </xdr:cNvSpPr>
      </xdr:nvSpPr>
      <xdr:spPr bwMode="auto">
        <a:xfrm>
          <a:off x="7172325" y="781050"/>
          <a:ext cx="0"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32</xdr:col>
      <xdr:colOff>0</xdr:colOff>
      <xdr:row>6</xdr:row>
      <xdr:rowOff>0</xdr:rowOff>
    </xdr:from>
    <xdr:to>
      <xdr:col>32</xdr:col>
      <xdr:colOff>0</xdr:colOff>
      <xdr:row>17</xdr:row>
      <xdr:rowOff>0</xdr:rowOff>
    </xdr:to>
    <xdr:sp macro="" textlink="">
      <xdr:nvSpPr>
        <xdr:cNvPr id="38312" name="Line 110"/>
        <xdr:cNvSpPr>
          <a:spLocks noChangeShapeType="1"/>
        </xdr:cNvSpPr>
      </xdr:nvSpPr>
      <xdr:spPr bwMode="auto">
        <a:xfrm>
          <a:off x="7172325" y="1333500"/>
          <a:ext cx="0" cy="1447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238125</xdr:colOff>
      <xdr:row>17</xdr:row>
      <xdr:rowOff>0</xdr:rowOff>
    </xdr:from>
    <xdr:to>
      <xdr:col>32</xdr:col>
      <xdr:colOff>0</xdr:colOff>
      <xdr:row>17</xdr:row>
      <xdr:rowOff>0</xdr:rowOff>
    </xdr:to>
    <xdr:sp macro="" textlink="">
      <xdr:nvSpPr>
        <xdr:cNvPr id="38313" name="Line 111"/>
        <xdr:cNvSpPr>
          <a:spLocks noChangeShapeType="1"/>
        </xdr:cNvSpPr>
      </xdr:nvSpPr>
      <xdr:spPr bwMode="auto">
        <a:xfrm flipH="1" flipV="1">
          <a:off x="5153025" y="2781300"/>
          <a:ext cx="20193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25</xdr:row>
      <xdr:rowOff>0</xdr:rowOff>
    </xdr:from>
    <xdr:to>
      <xdr:col>3</xdr:col>
      <xdr:colOff>0</xdr:colOff>
      <xdr:row>25</xdr:row>
      <xdr:rowOff>0</xdr:rowOff>
    </xdr:to>
    <xdr:sp macro="" textlink="">
      <xdr:nvSpPr>
        <xdr:cNvPr id="38350" name="Line 151"/>
        <xdr:cNvSpPr>
          <a:spLocks noChangeShapeType="1"/>
        </xdr:cNvSpPr>
      </xdr:nvSpPr>
      <xdr:spPr bwMode="auto">
        <a:xfrm>
          <a:off x="695325" y="41719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57150</xdr:colOff>
      <xdr:row>4</xdr:row>
      <xdr:rowOff>0</xdr:rowOff>
    </xdr:from>
    <xdr:to>
      <xdr:col>17</xdr:col>
      <xdr:colOff>57150</xdr:colOff>
      <xdr:row>5</xdr:row>
      <xdr:rowOff>0</xdr:rowOff>
    </xdr:to>
    <xdr:sp macro="" textlink="">
      <xdr:nvSpPr>
        <xdr:cNvPr id="38351" name="Line 55"/>
        <xdr:cNvSpPr>
          <a:spLocks noChangeShapeType="1"/>
        </xdr:cNvSpPr>
      </xdr:nvSpPr>
      <xdr:spPr bwMode="auto">
        <a:xfrm flipH="1">
          <a:off x="3914775" y="771525"/>
          <a:ext cx="0"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28</xdr:row>
      <xdr:rowOff>0</xdr:rowOff>
    </xdr:from>
    <xdr:to>
      <xdr:col>20</xdr:col>
      <xdr:colOff>0</xdr:colOff>
      <xdr:row>28</xdr:row>
      <xdr:rowOff>0</xdr:rowOff>
    </xdr:to>
    <xdr:sp macro="" textlink="">
      <xdr:nvSpPr>
        <xdr:cNvPr id="38352" name="Line 91"/>
        <xdr:cNvSpPr>
          <a:spLocks noChangeShapeType="1"/>
        </xdr:cNvSpPr>
      </xdr:nvSpPr>
      <xdr:spPr bwMode="auto">
        <a:xfrm>
          <a:off x="447675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28</xdr:row>
      <xdr:rowOff>0</xdr:rowOff>
    </xdr:from>
    <xdr:to>
      <xdr:col>6</xdr:col>
      <xdr:colOff>0</xdr:colOff>
      <xdr:row>28</xdr:row>
      <xdr:rowOff>0</xdr:rowOff>
    </xdr:to>
    <xdr:sp macro="" textlink="">
      <xdr:nvSpPr>
        <xdr:cNvPr id="38353" name="Line 92"/>
        <xdr:cNvSpPr>
          <a:spLocks noChangeShapeType="1"/>
        </xdr:cNvSpPr>
      </xdr:nvSpPr>
      <xdr:spPr bwMode="auto">
        <a:xfrm flipH="1">
          <a:off x="131445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28</xdr:row>
      <xdr:rowOff>0</xdr:rowOff>
    </xdr:from>
    <xdr:to>
      <xdr:col>13</xdr:col>
      <xdr:colOff>0</xdr:colOff>
      <xdr:row>28</xdr:row>
      <xdr:rowOff>0</xdr:rowOff>
    </xdr:to>
    <xdr:sp macro="" textlink="">
      <xdr:nvSpPr>
        <xdr:cNvPr id="38354" name="Line 93"/>
        <xdr:cNvSpPr>
          <a:spLocks noChangeShapeType="1"/>
        </xdr:cNvSpPr>
      </xdr:nvSpPr>
      <xdr:spPr bwMode="auto">
        <a:xfrm>
          <a:off x="2924175"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28</xdr:row>
      <xdr:rowOff>0</xdr:rowOff>
    </xdr:from>
    <xdr:to>
      <xdr:col>7</xdr:col>
      <xdr:colOff>0</xdr:colOff>
      <xdr:row>28</xdr:row>
      <xdr:rowOff>0</xdr:rowOff>
    </xdr:to>
    <xdr:sp macro="" textlink="">
      <xdr:nvSpPr>
        <xdr:cNvPr id="38355" name="Line 94"/>
        <xdr:cNvSpPr>
          <a:spLocks noChangeShapeType="1"/>
        </xdr:cNvSpPr>
      </xdr:nvSpPr>
      <xdr:spPr bwMode="auto">
        <a:xfrm>
          <a:off x="156210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28</xdr:row>
      <xdr:rowOff>0</xdr:rowOff>
    </xdr:from>
    <xdr:to>
      <xdr:col>13</xdr:col>
      <xdr:colOff>0</xdr:colOff>
      <xdr:row>28</xdr:row>
      <xdr:rowOff>0</xdr:rowOff>
    </xdr:to>
    <xdr:sp macro="" textlink="">
      <xdr:nvSpPr>
        <xdr:cNvPr id="38356" name="Line 95"/>
        <xdr:cNvSpPr>
          <a:spLocks noChangeShapeType="1"/>
        </xdr:cNvSpPr>
      </xdr:nvSpPr>
      <xdr:spPr bwMode="auto">
        <a:xfrm>
          <a:off x="2924175"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0</xdr:colOff>
      <xdr:row>28</xdr:row>
      <xdr:rowOff>0</xdr:rowOff>
    </xdr:from>
    <xdr:to>
      <xdr:col>21</xdr:col>
      <xdr:colOff>0</xdr:colOff>
      <xdr:row>28</xdr:row>
      <xdr:rowOff>0</xdr:rowOff>
    </xdr:to>
    <xdr:sp macro="" textlink="">
      <xdr:nvSpPr>
        <xdr:cNvPr id="38357" name="Line 96"/>
        <xdr:cNvSpPr>
          <a:spLocks noChangeShapeType="1"/>
        </xdr:cNvSpPr>
      </xdr:nvSpPr>
      <xdr:spPr bwMode="auto">
        <a:xfrm>
          <a:off x="472440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28</xdr:row>
      <xdr:rowOff>0</xdr:rowOff>
    </xdr:from>
    <xdr:to>
      <xdr:col>5</xdr:col>
      <xdr:colOff>0</xdr:colOff>
      <xdr:row>28</xdr:row>
      <xdr:rowOff>0</xdr:rowOff>
    </xdr:to>
    <xdr:sp macro="" textlink="">
      <xdr:nvSpPr>
        <xdr:cNvPr id="38358" name="Line 97"/>
        <xdr:cNvSpPr>
          <a:spLocks noChangeShapeType="1"/>
        </xdr:cNvSpPr>
      </xdr:nvSpPr>
      <xdr:spPr bwMode="auto">
        <a:xfrm>
          <a:off x="1190625"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28</xdr:row>
      <xdr:rowOff>0</xdr:rowOff>
    </xdr:from>
    <xdr:to>
      <xdr:col>20</xdr:col>
      <xdr:colOff>0</xdr:colOff>
      <xdr:row>28</xdr:row>
      <xdr:rowOff>0</xdr:rowOff>
    </xdr:to>
    <xdr:sp macro="" textlink="">
      <xdr:nvSpPr>
        <xdr:cNvPr id="38359" name="Line 98"/>
        <xdr:cNvSpPr>
          <a:spLocks noChangeShapeType="1"/>
        </xdr:cNvSpPr>
      </xdr:nvSpPr>
      <xdr:spPr bwMode="auto">
        <a:xfrm>
          <a:off x="447675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0</xdr:colOff>
      <xdr:row>28</xdr:row>
      <xdr:rowOff>0</xdr:rowOff>
    </xdr:from>
    <xdr:to>
      <xdr:col>21</xdr:col>
      <xdr:colOff>0</xdr:colOff>
      <xdr:row>28</xdr:row>
      <xdr:rowOff>0</xdr:rowOff>
    </xdr:to>
    <xdr:sp macro="" textlink="">
      <xdr:nvSpPr>
        <xdr:cNvPr id="38360" name="Line 99"/>
        <xdr:cNvSpPr>
          <a:spLocks noChangeShapeType="1"/>
        </xdr:cNvSpPr>
      </xdr:nvSpPr>
      <xdr:spPr bwMode="auto">
        <a:xfrm>
          <a:off x="472440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28</xdr:row>
      <xdr:rowOff>0</xdr:rowOff>
    </xdr:from>
    <xdr:to>
      <xdr:col>6</xdr:col>
      <xdr:colOff>0</xdr:colOff>
      <xdr:row>28</xdr:row>
      <xdr:rowOff>0</xdr:rowOff>
    </xdr:to>
    <xdr:sp macro="" textlink="">
      <xdr:nvSpPr>
        <xdr:cNvPr id="38361" name="Line 100"/>
        <xdr:cNvSpPr>
          <a:spLocks noChangeShapeType="1"/>
        </xdr:cNvSpPr>
      </xdr:nvSpPr>
      <xdr:spPr bwMode="auto">
        <a:xfrm flipH="1">
          <a:off x="131445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28</xdr:row>
      <xdr:rowOff>0</xdr:rowOff>
    </xdr:from>
    <xdr:to>
      <xdr:col>13</xdr:col>
      <xdr:colOff>0</xdr:colOff>
      <xdr:row>28</xdr:row>
      <xdr:rowOff>0</xdr:rowOff>
    </xdr:to>
    <xdr:sp macro="" textlink="">
      <xdr:nvSpPr>
        <xdr:cNvPr id="38362" name="Line 101"/>
        <xdr:cNvSpPr>
          <a:spLocks noChangeShapeType="1"/>
        </xdr:cNvSpPr>
      </xdr:nvSpPr>
      <xdr:spPr bwMode="auto">
        <a:xfrm>
          <a:off x="2924175"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28</xdr:row>
      <xdr:rowOff>0</xdr:rowOff>
    </xdr:from>
    <xdr:to>
      <xdr:col>7</xdr:col>
      <xdr:colOff>0</xdr:colOff>
      <xdr:row>28</xdr:row>
      <xdr:rowOff>0</xdr:rowOff>
    </xdr:to>
    <xdr:sp macro="" textlink="">
      <xdr:nvSpPr>
        <xdr:cNvPr id="38363" name="Line 102"/>
        <xdr:cNvSpPr>
          <a:spLocks noChangeShapeType="1"/>
        </xdr:cNvSpPr>
      </xdr:nvSpPr>
      <xdr:spPr bwMode="auto">
        <a:xfrm>
          <a:off x="156210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28</xdr:row>
      <xdr:rowOff>0</xdr:rowOff>
    </xdr:from>
    <xdr:to>
      <xdr:col>13</xdr:col>
      <xdr:colOff>0</xdr:colOff>
      <xdr:row>28</xdr:row>
      <xdr:rowOff>0</xdr:rowOff>
    </xdr:to>
    <xdr:sp macro="" textlink="">
      <xdr:nvSpPr>
        <xdr:cNvPr id="38364" name="Line 103"/>
        <xdr:cNvSpPr>
          <a:spLocks noChangeShapeType="1"/>
        </xdr:cNvSpPr>
      </xdr:nvSpPr>
      <xdr:spPr bwMode="auto">
        <a:xfrm>
          <a:off x="2924175"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28</xdr:row>
      <xdr:rowOff>0</xdr:rowOff>
    </xdr:from>
    <xdr:to>
      <xdr:col>5</xdr:col>
      <xdr:colOff>0</xdr:colOff>
      <xdr:row>28</xdr:row>
      <xdr:rowOff>0</xdr:rowOff>
    </xdr:to>
    <xdr:sp macro="" textlink="">
      <xdr:nvSpPr>
        <xdr:cNvPr id="38365" name="Line 104"/>
        <xdr:cNvSpPr>
          <a:spLocks noChangeShapeType="1"/>
        </xdr:cNvSpPr>
      </xdr:nvSpPr>
      <xdr:spPr bwMode="auto">
        <a:xfrm>
          <a:off x="1190625"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28</xdr:row>
      <xdr:rowOff>0</xdr:rowOff>
    </xdr:from>
    <xdr:to>
      <xdr:col>9</xdr:col>
      <xdr:colOff>0</xdr:colOff>
      <xdr:row>28</xdr:row>
      <xdr:rowOff>0</xdr:rowOff>
    </xdr:to>
    <xdr:sp macro="" textlink="">
      <xdr:nvSpPr>
        <xdr:cNvPr id="38366" name="Line 106"/>
        <xdr:cNvSpPr>
          <a:spLocks noChangeShapeType="1"/>
        </xdr:cNvSpPr>
      </xdr:nvSpPr>
      <xdr:spPr bwMode="auto">
        <a:xfrm>
          <a:off x="205740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28</xdr:row>
      <xdr:rowOff>0</xdr:rowOff>
    </xdr:from>
    <xdr:to>
      <xdr:col>9</xdr:col>
      <xdr:colOff>0</xdr:colOff>
      <xdr:row>28</xdr:row>
      <xdr:rowOff>0</xdr:rowOff>
    </xdr:to>
    <xdr:sp macro="" textlink="">
      <xdr:nvSpPr>
        <xdr:cNvPr id="38367" name="Line 107"/>
        <xdr:cNvSpPr>
          <a:spLocks noChangeShapeType="1"/>
        </xdr:cNvSpPr>
      </xdr:nvSpPr>
      <xdr:spPr bwMode="auto">
        <a:xfrm flipH="1">
          <a:off x="205740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28</xdr:row>
      <xdr:rowOff>0</xdr:rowOff>
    </xdr:from>
    <xdr:to>
      <xdr:col>5</xdr:col>
      <xdr:colOff>0</xdr:colOff>
      <xdr:row>28</xdr:row>
      <xdr:rowOff>0</xdr:rowOff>
    </xdr:to>
    <xdr:sp macro="" textlink="">
      <xdr:nvSpPr>
        <xdr:cNvPr id="38368" name="Line 108"/>
        <xdr:cNvSpPr>
          <a:spLocks noChangeShapeType="1"/>
        </xdr:cNvSpPr>
      </xdr:nvSpPr>
      <xdr:spPr bwMode="auto">
        <a:xfrm>
          <a:off x="1190625"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28</xdr:row>
      <xdr:rowOff>0</xdr:rowOff>
    </xdr:from>
    <xdr:to>
      <xdr:col>13</xdr:col>
      <xdr:colOff>0</xdr:colOff>
      <xdr:row>28</xdr:row>
      <xdr:rowOff>0</xdr:rowOff>
    </xdr:to>
    <xdr:sp macro="" textlink="">
      <xdr:nvSpPr>
        <xdr:cNvPr id="38369" name="Line 109"/>
        <xdr:cNvSpPr>
          <a:spLocks noChangeShapeType="1"/>
        </xdr:cNvSpPr>
      </xdr:nvSpPr>
      <xdr:spPr bwMode="auto">
        <a:xfrm>
          <a:off x="2924175"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28</xdr:row>
      <xdr:rowOff>0</xdr:rowOff>
    </xdr:from>
    <xdr:to>
      <xdr:col>20</xdr:col>
      <xdr:colOff>0</xdr:colOff>
      <xdr:row>28</xdr:row>
      <xdr:rowOff>0</xdr:rowOff>
    </xdr:to>
    <xdr:sp macro="" textlink="">
      <xdr:nvSpPr>
        <xdr:cNvPr id="38370" name="Line 110"/>
        <xdr:cNvSpPr>
          <a:spLocks noChangeShapeType="1"/>
        </xdr:cNvSpPr>
      </xdr:nvSpPr>
      <xdr:spPr bwMode="auto">
        <a:xfrm>
          <a:off x="447675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28</xdr:row>
      <xdr:rowOff>0</xdr:rowOff>
    </xdr:from>
    <xdr:to>
      <xdr:col>5</xdr:col>
      <xdr:colOff>0</xdr:colOff>
      <xdr:row>28</xdr:row>
      <xdr:rowOff>0</xdr:rowOff>
    </xdr:to>
    <xdr:sp macro="" textlink="">
      <xdr:nvSpPr>
        <xdr:cNvPr id="38371" name="Line 111"/>
        <xdr:cNvSpPr>
          <a:spLocks noChangeShapeType="1"/>
        </xdr:cNvSpPr>
      </xdr:nvSpPr>
      <xdr:spPr bwMode="auto">
        <a:xfrm>
          <a:off x="1190625"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28</xdr:row>
      <xdr:rowOff>0</xdr:rowOff>
    </xdr:from>
    <xdr:to>
      <xdr:col>13</xdr:col>
      <xdr:colOff>0</xdr:colOff>
      <xdr:row>28</xdr:row>
      <xdr:rowOff>0</xdr:rowOff>
    </xdr:to>
    <xdr:sp macro="" textlink="">
      <xdr:nvSpPr>
        <xdr:cNvPr id="38372" name="Line 112"/>
        <xdr:cNvSpPr>
          <a:spLocks noChangeShapeType="1"/>
        </xdr:cNvSpPr>
      </xdr:nvSpPr>
      <xdr:spPr bwMode="auto">
        <a:xfrm>
          <a:off x="2924175"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28</xdr:row>
      <xdr:rowOff>0</xdr:rowOff>
    </xdr:from>
    <xdr:to>
      <xdr:col>20</xdr:col>
      <xdr:colOff>0</xdr:colOff>
      <xdr:row>28</xdr:row>
      <xdr:rowOff>0</xdr:rowOff>
    </xdr:to>
    <xdr:sp macro="" textlink="">
      <xdr:nvSpPr>
        <xdr:cNvPr id="38373" name="Line 113"/>
        <xdr:cNvSpPr>
          <a:spLocks noChangeShapeType="1"/>
        </xdr:cNvSpPr>
      </xdr:nvSpPr>
      <xdr:spPr bwMode="auto">
        <a:xfrm>
          <a:off x="447675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0</xdr:colOff>
      <xdr:row>28</xdr:row>
      <xdr:rowOff>0</xdr:rowOff>
    </xdr:from>
    <xdr:to>
      <xdr:col>21</xdr:col>
      <xdr:colOff>0</xdr:colOff>
      <xdr:row>28</xdr:row>
      <xdr:rowOff>0</xdr:rowOff>
    </xdr:to>
    <xdr:sp macro="" textlink="">
      <xdr:nvSpPr>
        <xdr:cNvPr id="38374" name="Line 114"/>
        <xdr:cNvSpPr>
          <a:spLocks noChangeShapeType="1"/>
        </xdr:cNvSpPr>
      </xdr:nvSpPr>
      <xdr:spPr bwMode="auto">
        <a:xfrm>
          <a:off x="472440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28</xdr:row>
      <xdr:rowOff>0</xdr:rowOff>
    </xdr:from>
    <xdr:to>
      <xdr:col>6</xdr:col>
      <xdr:colOff>0</xdr:colOff>
      <xdr:row>28</xdr:row>
      <xdr:rowOff>0</xdr:rowOff>
    </xdr:to>
    <xdr:sp macro="" textlink="">
      <xdr:nvSpPr>
        <xdr:cNvPr id="38375" name="Line 115"/>
        <xdr:cNvSpPr>
          <a:spLocks noChangeShapeType="1"/>
        </xdr:cNvSpPr>
      </xdr:nvSpPr>
      <xdr:spPr bwMode="auto">
        <a:xfrm flipH="1">
          <a:off x="131445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28</xdr:row>
      <xdr:rowOff>0</xdr:rowOff>
    </xdr:from>
    <xdr:to>
      <xdr:col>13</xdr:col>
      <xdr:colOff>0</xdr:colOff>
      <xdr:row>28</xdr:row>
      <xdr:rowOff>0</xdr:rowOff>
    </xdr:to>
    <xdr:sp macro="" textlink="">
      <xdr:nvSpPr>
        <xdr:cNvPr id="38376" name="Line 116"/>
        <xdr:cNvSpPr>
          <a:spLocks noChangeShapeType="1"/>
        </xdr:cNvSpPr>
      </xdr:nvSpPr>
      <xdr:spPr bwMode="auto">
        <a:xfrm>
          <a:off x="2924175"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28</xdr:row>
      <xdr:rowOff>0</xdr:rowOff>
    </xdr:from>
    <xdr:to>
      <xdr:col>7</xdr:col>
      <xdr:colOff>0</xdr:colOff>
      <xdr:row>28</xdr:row>
      <xdr:rowOff>0</xdr:rowOff>
    </xdr:to>
    <xdr:sp macro="" textlink="">
      <xdr:nvSpPr>
        <xdr:cNvPr id="38377" name="Line 117"/>
        <xdr:cNvSpPr>
          <a:spLocks noChangeShapeType="1"/>
        </xdr:cNvSpPr>
      </xdr:nvSpPr>
      <xdr:spPr bwMode="auto">
        <a:xfrm>
          <a:off x="156210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28</xdr:row>
      <xdr:rowOff>0</xdr:rowOff>
    </xdr:from>
    <xdr:to>
      <xdr:col>13</xdr:col>
      <xdr:colOff>0</xdr:colOff>
      <xdr:row>28</xdr:row>
      <xdr:rowOff>0</xdr:rowOff>
    </xdr:to>
    <xdr:sp macro="" textlink="">
      <xdr:nvSpPr>
        <xdr:cNvPr id="38378" name="Line 118"/>
        <xdr:cNvSpPr>
          <a:spLocks noChangeShapeType="1"/>
        </xdr:cNvSpPr>
      </xdr:nvSpPr>
      <xdr:spPr bwMode="auto">
        <a:xfrm>
          <a:off x="2924175"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0</xdr:colOff>
      <xdr:row>28</xdr:row>
      <xdr:rowOff>0</xdr:rowOff>
    </xdr:from>
    <xdr:to>
      <xdr:col>19</xdr:col>
      <xdr:colOff>0</xdr:colOff>
      <xdr:row>28</xdr:row>
      <xdr:rowOff>0</xdr:rowOff>
    </xdr:to>
    <xdr:sp macro="" textlink="">
      <xdr:nvSpPr>
        <xdr:cNvPr id="38379" name="Line 119"/>
        <xdr:cNvSpPr>
          <a:spLocks noChangeShapeType="1"/>
        </xdr:cNvSpPr>
      </xdr:nvSpPr>
      <xdr:spPr bwMode="auto">
        <a:xfrm>
          <a:off x="422910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0</xdr:colOff>
      <xdr:row>28</xdr:row>
      <xdr:rowOff>0</xdr:rowOff>
    </xdr:from>
    <xdr:to>
      <xdr:col>19</xdr:col>
      <xdr:colOff>0</xdr:colOff>
      <xdr:row>28</xdr:row>
      <xdr:rowOff>0</xdr:rowOff>
    </xdr:to>
    <xdr:sp macro="" textlink="">
      <xdr:nvSpPr>
        <xdr:cNvPr id="38380" name="Line 120"/>
        <xdr:cNvSpPr>
          <a:spLocks noChangeShapeType="1"/>
        </xdr:cNvSpPr>
      </xdr:nvSpPr>
      <xdr:spPr bwMode="auto">
        <a:xfrm>
          <a:off x="4229100" y="4905375"/>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39</xdr:row>
      <xdr:rowOff>0</xdr:rowOff>
    </xdr:from>
    <xdr:to>
      <xdr:col>20</xdr:col>
      <xdr:colOff>0</xdr:colOff>
      <xdr:row>39</xdr:row>
      <xdr:rowOff>0</xdr:rowOff>
    </xdr:to>
    <xdr:sp macro="" textlink="">
      <xdr:nvSpPr>
        <xdr:cNvPr id="38381" name="Line 1"/>
        <xdr:cNvSpPr>
          <a:spLocks noChangeShapeType="1"/>
        </xdr:cNvSpPr>
      </xdr:nvSpPr>
      <xdr:spPr bwMode="auto">
        <a:xfrm>
          <a:off x="4476750" y="64389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0</xdr:colOff>
      <xdr:row>39</xdr:row>
      <xdr:rowOff>0</xdr:rowOff>
    </xdr:from>
    <xdr:to>
      <xdr:col>20</xdr:col>
      <xdr:colOff>0</xdr:colOff>
      <xdr:row>39</xdr:row>
      <xdr:rowOff>0</xdr:rowOff>
    </xdr:to>
    <xdr:sp macro="" textlink="">
      <xdr:nvSpPr>
        <xdr:cNvPr id="38382" name="Line 2"/>
        <xdr:cNvSpPr>
          <a:spLocks noChangeShapeType="1"/>
        </xdr:cNvSpPr>
      </xdr:nvSpPr>
      <xdr:spPr bwMode="auto">
        <a:xfrm>
          <a:off x="4476750" y="64389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123825</xdr:colOff>
      <xdr:row>33</xdr:row>
      <xdr:rowOff>0</xdr:rowOff>
    </xdr:from>
    <xdr:to>
      <xdr:col>3</xdr:col>
      <xdr:colOff>123825</xdr:colOff>
      <xdr:row>35</xdr:row>
      <xdr:rowOff>0</xdr:rowOff>
    </xdr:to>
    <xdr:sp macro="" textlink="">
      <xdr:nvSpPr>
        <xdr:cNvPr id="38384" name="Line 56"/>
        <xdr:cNvSpPr>
          <a:spLocks noChangeShapeType="1"/>
        </xdr:cNvSpPr>
      </xdr:nvSpPr>
      <xdr:spPr bwMode="auto">
        <a:xfrm>
          <a:off x="819150" y="574357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123825</xdr:colOff>
      <xdr:row>35</xdr:row>
      <xdr:rowOff>0</xdr:rowOff>
    </xdr:from>
    <xdr:to>
      <xdr:col>11</xdr:col>
      <xdr:colOff>123825</xdr:colOff>
      <xdr:row>35</xdr:row>
      <xdr:rowOff>0</xdr:rowOff>
    </xdr:to>
    <xdr:sp macro="" textlink="">
      <xdr:nvSpPr>
        <xdr:cNvPr id="38385" name="Line 57"/>
        <xdr:cNvSpPr>
          <a:spLocks noChangeShapeType="1"/>
        </xdr:cNvSpPr>
      </xdr:nvSpPr>
      <xdr:spPr bwMode="auto">
        <a:xfrm>
          <a:off x="819150" y="5981700"/>
          <a:ext cx="17335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123825</xdr:colOff>
      <xdr:row>33</xdr:row>
      <xdr:rowOff>9525</xdr:rowOff>
    </xdr:from>
    <xdr:to>
      <xdr:col>11</xdr:col>
      <xdr:colOff>123825</xdr:colOff>
      <xdr:row>35</xdr:row>
      <xdr:rowOff>0</xdr:rowOff>
    </xdr:to>
    <xdr:sp macro="" textlink="">
      <xdr:nvSpPr>
        <xdr:cNvPr id="38386" name="Line 59"/>
        <xdr:cNvSpPr>
          <a:spLocks noChangeShapeType="1"/>
        </xdr:cNvSpPr>
      </xdr:nvSpPr>
      <xdr:spPr bwMode="auto">
        <a:xfrm>
          <a:off x="2552700" y="575310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123825</xdr:colOff>
      <xdr:row>33</xdr:row>
      <xdr:rowOff>9525</xdr:rowOff>
    </xdr:from>
    <xdr:to>
      <xdr:col>15</xdr:col>
      <xdr:colOff>123825</xdr:colOff>
      <xdr:row>35</xdr:row>
      <xdr:rowOff>0</xdr:rowOff>
    </xdr:to>
    <xdr:sp macro="" textlink="">
      <xdr:nvSpPr>
        <xdr:cNvPr id="38387" name="Line 61"/>
        <xdr:cNvSpPr>
          <a:spLocks noChangeShapeType="1"/>
        </xdr:cNvSpPr>
      </xdr:nvSpPr>
      <xdr:spPr bwMode="auto">
        <a:xfrm>
          <a:off x="3486150" y="575310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123825</xdr:colOff>
      <xdr:row>33</xdr:row>
      <xdr:rowOff>0</xdr:rowOff>
    </xdr:from>
    <xdr:to>
      <xdr:col>19</xdr:col>
      <xdr:colOff>123825</xdr:colOff>
      <xdr:row>35</xdr:row>
      <xdr:rowOff>0</xdr:rowOff>
    </xdr:to>
    <xdr:sp macro="" textlink="">
      <xdr:nvSpPr>
        <xdr:cNvPr id="38388" name="Line 71"/>
        <xdr:cNvSpPr>
          <a:spLocks noChangeShapeType="1"/>
        </xdr:cNvSpPr>
      </xdr:nvSpPr>
      <xdr:spPr bwMode="auto">
        <a:xfrm>
          <a:off x="4352925" y="574357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133350</xdr:colOff>
      <xdr:row>35</xdr:row>
      <xdr:rowOff>0</xdr:rowOff>
    </xdr:from>
    <xdr:to>
      <xdr:col>19</xdr:col>
      <xdr:colOff>123825</xdr:colOff>
      <xdr:row>35</xdr:row>
      <xdr:rowOff>0</xdr:rowOff>
    </xdr:to>
    <xdr:sp macro="" textlink="">
      <xdr:nvSpPr>
        <xdr:cNvPr id="38389" name="Line 74"/>
        <xdr:cNvSpPr>
          <a:spLocks noChangeShapeType="1"/>
        </xdr:cNvSpPr>
      </xdr:nvSpPr>
      <xdr:spPr bwMode="auto">
        <a:xfrm>
          <a:off x="3495675" y="5981700"/>
          <a:ext cx="8572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123825</xdr:colOff>
      <xdr:row>33</xdr:row>
      <xdr:rowOff>9525</xdr:rowOff>
    </xdr:from>
    <xdr:to>
      <xdr:col>7</xdr:col>
      <xdr:colOff>123825</xdr:colOff>
      <xdr:row>35</xdr:row>
      <xdr:rowOff>0</xdr:rowOff>
    </xdr:to>
    <xdr:sp macro="" textlink="">
      <xdr:nvSpPr>
        <xdr:cNvPr id="38390" name="Line 192"/>
        <xdr:cNvSpPr>
          <a:spLocks noChangeShapeType="1"/>
        </xdr:cNvSpPr>
      </xdr:nvSpPr>
      <xdr:spPr bwMode="auto">
        <a:xfrm>
          <a:off x="1685925" y="5753100"/>
          <a:ext cx="0" cy="2286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9525</xdr:colOff>
      <xdr:row>40</xdr:row>
      <xdr:rowOff>0</xdr:rowOff>
    </xdr:from>
    <xdr:to>
      <xdr:col>18</xdr:col>
      <xdr:colOff>9525</xdr:colOff>
      <xdr:row>40</xdr:row>
      <xdr:rowOff>0</xdr:rowOff>
    </xdr:to>
    <xdr:sp macro="" textlink="">
      <xdr:nvSpPr>
        <xdr:cNvPr id="38391" name="Line 55"/>
        <xdr:cNvSpPr>
          <a:spLocks noChangeShapeType="1"/>
        </xdr:cNvSpPr>
      </xdr:nvSpPr>
      <xdr:spPr bwMode="auto">
        <a:xfrm flipV="1">
          <a:off x="2933700" y="6610350"/>
          <a:ext cx="10572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9525</xdr:colOff>
      <xdr:row>36</xdr:row>
      <xdr:rowOff>57149</xdr:rowOff>
    </xdr:from>
    <xdr:to>
      <xdr:col>25</xdr:col>
      <xdr:colOff>47625</xdr:colOff>
      <xdr:row>37</xdr:row>
      <xdr:rowOff>9524</xdr:rowOff>
    </xdr:to>
    <xdr:sp macro="" textlink="">
      <xdr:nvSpPr>
        <xdr:cNvPr id="38392" name="Line 194"/>
        <xdr:cNvSpPr>
          <a:spLocks noChangeShapeType="1"/>
        </xdr:cNvSpPr>
      </xdr:nvSpPr>
      <xdr:spPr bwMode="auto">
        <a:xfrm>
          <a:off x="2066925" y="6172199"/>
          <a:ext cx="36385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0</xdr:colOff>
      <xdr:row>37</xdr:row>
      <xdr:rowOff>9525</xdr:rowOff>
    </xdr:from>
    <xdr:to>
      <xdr:col>11</xdr:col>
      <xdr:colOff>0</xdr:colOff>
      <xdr:row>39</xdr:row>
      <xdr:rowOff>0</xdr:rowOff>
    </xdr:to>
    <xdr:sp macro="" textlink="">
      <xdr:nvSpPr>
        <xdr:cNvPr id="38393" name="Line 195"/>
        <xdr:cNvSpPr>
          <a:spLocks noChangeShapeType="1"/>
        </xdr:cNvSpPr>
      </xdr:nvSpPr>
      <xdr:spPr bwMode="auto">
        <a:xfrm>
          <a:off x="2428875" y="6181725"/>
          <a:ext cx="0" cy="2571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20</xdr:col>
      <xdr:colOff>133350</xdr:colOff>
      <xdr:row>37</xdr:row>
      <xdr:rowOff>9525</xdr:rowOff>
    </xdr:from>
    <xdr:to>
      <xdr:col>20</xdr:col>
      <xdr:colOff>133350</xdr:colOff>
      <xdr:row>39</xdr:row>
      <xdr:rowOff>0</xdr:rowOff>
    </xdr:to>
    <xdr:sp macro="" textlink="">
      <xdr:nvSpPr>
        <xdr:cNvPr id="38394" name="Line 196"/>
        <xdr:cNvSpPr>
          <a:spLocks noChangeShapeType="1"/>
        </xdr:cNvSpPr>
      </xdr:nvSpPr>
      <xdr:spPr bwMode="auto">
        <a:xfrm>
          <a:off x="4610100" y="6181725"/>
          <a:ext cx="0" cy="2571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123825</xdr:colOff>
      <xdr:row>33</xdr:row>
      <xdr:rowOff>0</xdr:rowOff>
    </xdr:from>
    <xdr:to>
      <xdr:col>23</xdr:col>
      <xdr:colOff>123825</xdr:colOff>
      <xdr:row>35</xdr:row>
      <xdr:rowOff>0</xdr:rowOff>
    </xdr:to>
    <xdr:sp macro="" textlink="">
      <xdr:nvSpPr>
        <xdr:cNvPr id="38395" name="Line 197"/>
        <xdr:cNvSpPr>
          <a:spLocks noChangeShapeType="1"/>
        </xdr:cNvSpPr>
      </xdr:nvSpPr>
      <xdr:spPr bwMode="auto">
        <a:xfrm>
          <a:off x="5286375" y="574357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133350</xdr:colOff>
      <xdr:row>33</xdr:row>
      <xdr:rowOff>0</xdr:rowOff>
    </xdr:from>
    <xdr:to>
      <xdr:col>27</xdr:col>
      <xdr:colOff>133350</xdr:colOff>
      <xdr:row>35</xdr:row>
      <xdr:rowOff>0</xdr:rowOff>
    </xdr:to>
    <xdr:sp macro="" textlink="">
      <xdr:nvSpPr>
        <xdr:cNvPr id="38396" name="Line 198"/>
        <xdr:cNvSpPr>
          <a:spLocks noChangeShapeType="1"/>
        </xdr:cNvSpPr>
      </xdr:nvSpPr>
      <xdr:spPr bwMode="auto">
        <a:xfrm>
          <a:off x="6162675" y="5743575"/>
          <a:ext cx="0" cy="238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123825</xdr:colOff>
      <xdr:row>35</xdr:row>
      <xdr:rowOff>0</xdr:rowOff>
    </xdr:from>
    <xdr:to>
      <xdr:col>27</xdr:col>
      <xdr:colOff>133350</xdr:colOff>
      <xdr:row>35</xdr:row>
      <xdr:rowOff>0</xdr:rowOff>
    </xdr:to>
    <xdr:sp macro="" textlink="">
      <xdr:nvSpPr>
        <xdr:cNvPr id="38397" name="Line 199"/>
        <xdr:cNvSpPr>
          <a:spLocks noChangeShapeType="1"/>
        </xdr:cNvSpPr>
      </xdr:nvSpPr>
      <xdr:spPr bwMode="auto">
        <a:xfrm>
          <a:off x="5286375" y="5981700"/>
          <a:ext cx="8763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0</xdr:colOff>
      <xdr:row>26</xdr:row>
      <xdr:rowOff>247650</xdr:rowOff>
    </xdr:from>
    <xdr:to>
      <xdr:col>25</xdr:col>
      <xdr:colOff>0</xdr:colOff>
      <xdr:row>28</xdr:row>
      <xdr:rowOff>0</xdr:rowOff>
    </xdr:to>
    <xdr:sp macro="" textlink="">
      <xdr:nvSpPr>
        <xdr:cNvPr id="38398" name="Line 200"/>
        <xdr:cNvSpPr>
          <a:spLocks noChangeShapeType="1"/>
        </xdr:cNvSpPr>
      </xdr:nvSpPr>
      <xdr:spPr bwMode="auto">
        <a:xfrm>
          <a:off x="5657850" y="4591050"/>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35</xdr:row>
      <xdr:rowOff>0</xdr:rowOff>
    </xdr:from>
    <xdr:to>
      <xdr:col>9</xdr:col>
      <xdr:colOff>0</xdr:colOff>
      <xdr:row>37</xdr:row>
      <xdr:rowOff>0</xdr:rowOff>
    </xdr:to>
    <xdr:sp macro="" textlink="">
      <xdr:nvSpPr>
        <xdr:cNvPr id="38399" name="Line 201"/>
        <xdr:cNvSpPr>
          <a:spLocks noChangeShapeType="1"/>
        </xdr:cNvSpPr>
      </xdr:nvSpPr>
      <xdr:spPr bwMode="auto">
        <a:xfrm>
          <a:off x="2057400" y="598170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57150</xdr:colOff>
      <xdr:row>35</xdr:row>
      <xdr:rowOff>0</xdr:rowOff>
    </xdr:from>
    <xdr:to>
      <xdr:col>25</xdr:col>
      <xdr:colOff>57150</xdr:colOff>
      <xdr:row>37</xdr:row>
      <xdr:rowOff>0</xdr:rowOff>
    </xdr:to>
    <xdr:sp macro="" textlink="">
      <xdr:nvSpPr>
        <xdr:cNvPr id="38400" name="Line 202"/>
        <xdr:cNvSpPr>
          <a:spLocks noChangeShapeType="1"/>
        </xdr:cNvSpPr>
      </xdr:nvSpPr>
      <xdr:spPr bwMode="auto">
        <a:xfrm>
          <a:off x="5715000" y="598170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66675</xdr:colOff>
      <xdr:row>35</xdr:row>
      <xdr:rowOff>0</xdr:rowOff>
    </xdr:from>
    <xdr:to>
      <xdr:col>17</xdr:col>
      <xdr:colOff>66675</xdr:colOff>
      <xdr:row>37</xdr:row>
      <xdr:rowOff>0</xdr:rowOff>
    </xdr:to>
    <xdr:sp macro="" textlink="">
      <xdr:nvSpPr>
        <xdr:cNvPr id="38401" name="Line 203"/>
        <xdr:cNvSpPr>
          <a:spLocks noChangeShapeType="1"/>
        </xdr:cNvSpPr>
      </xdr:nvSpPr>
      <xdr:spPr bwMode="auto">
        <a:xfrm>
          <a:off x="3924300" y="5981700"/>
          <a:ext cx="0" cy="1905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0</xdr:colOff>
      <xdr:row>26</xdr:row>
      <xdr:rowOff>247650</xdr:rowOff>
    </xdr:from>
    <xdr:to>
      <xdr:col>32</xdr:col>
      <xdr:colOff>0</xdr:colOff>
      <xdr:row>27</xdr:row>
      <xdr:rowOff>295275</xdr:rowOff>
    </xdr:to>
    <xdr:sp macro="" textlink="">
      <xdr:nvSpPr>
        <xdr:cNvPr id="38402" name="Line 204"/>
        <xdr:cNvSpPr>
          <a:spLocks noChangeShapeType="1"/>
        </xdr:cNvSpPr>
      </xdr:nvSpPr>
      <xdr:spPr bwMode="auto">
        <a:xfrm>
          <a:off x="7172325" y="4591050"/>
          <a:ext cx="0"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32</xdr:col>
      <xdr:colOff>0</xdr:colOff>
      <xdr:row>29</xdr:row>
      <xdr:rowOff>0</xdr:rowOff>
    </xdr:from>
    <xdr:to>
      <xdr:col>32</xdr:col>
      <xdr:colOff>0</xdr:colOff>
      <xdr:row>40</xdr:row>
      <xdr:rowOff>0</xdr:rowOff>
    </xdr:to>
    <xdr:sp macro="" textlink="">
      <xdr:nvSpPr>
        <xdr:cNvPr id="38403" name="Line 205"/>
        <xdr:cNvSpPr>
          <a:spLocks noChangeShapeType="1"/>
        </xdr:cNvSpPr>
      </xdr:nvSpPr>
      <xdr:spPr bwMode="auto">
        <a:xfrm>
          <a:off x="7172325" y="5162550"/>
          <a:ext cx="0" cy="14478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238125</xdr:colOff>
      <xdr:row>40</xdr:row>
      <xdr:rowOff>0</xdr:rowOff>
    </xdr:from>
    <xdr:to>
      <xdr:col>32</xdr:col>
      <xdr:colOff>0</xdr:colOff>
      <xdr:row>40</xdr:row>
      <xdr:rowOff>0</xdr:rowOff>
    </xdr:to>
    <xdr:sp macro="" textlink="">
      <xdr:nvSpPr>
        <xdr:cNvPr id="38404" name="Line 206"/>
        <xdr:cNvSpPr>
          <a:spLocks noChangeShapeType="1"/>
        </xdr:cNvSpPr>
      </xdr:nvSpPr>
      <xdr:spPr bwMode="auto">
        <a:xfrm flipH="1" flipV="1">
          <a:off x="5153025" y="6610350"/>
          <a:ext cx="20193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66675</xdr:colOff>
      <xdr:row>27</xdr:row>
      <xdr:rowOff>0</xdr:rowOff>
    </xdr:from>
    <xdr:to>
      <xdr:col>17</xdr:col>
      <xdr:colOff>66675</xdr:colOff>
      <xdr:row>28</xdr:row>
      <xdr:rowOff>9525</xdr:rowOff>
    </xdr:to>
    <xdr:sp macro="" textlink="">
      <xdr:nvSpPr>
        <xdr:cNvPr id="38405" name="Line 207"/>
        <xdr:cNvSpPr>
          <a:spLocks noChangeShapeType="1"/>
        </xdr:cNvSpPr>
      </xdr:nvSpPr>
      <xdr:spPr bwMode="auto">
        <a:xfrm>
          <a:off x="3924300" y="4600575"/>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133350</xdr:colOff>
      <xdr:row>27</xdr:row>
      <xdr:rowOff>0</xdr:rowOff>
    </xdr:from>
    <xdr:to>
      <xdr:col>7</xdr:col>
      <xdr:colOff>133350</xdr:colOff>
      <xdr:row>28</xdr:row>
      <xdr:rowOff>9525</xdr:rowOff>
    </xdr:to>
    <xdr:sp macro="" textlink="">
      <xdr:nvSpPr>
        <xdr:cNvPr id="38406" name="Line 208"/>
        <xdr:cNvSpPr>
          <a:spLocks noChangeShapeType="1"/>
        </xdr:cNvSpPr>
      </xdr:nvSpPr>
      <xdr:spPr bwMode="auto">
        <a:xfrm>
          <a:off x="1695450" y="4600575"/>
          <a:ext cx="0" cy="3143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56</xdr:row>
      <xdr:rowOff>0</xdr:rowOff>
    </xdr:from>
    <xdr:to>
      <xdr:col>6</xdr:col>
      <xdr:colOff>0</xdr:colOff>
      <xdr:row>56</xdr:row>
      <xdr:rowOff>0</xdr:rowOff>
    </xdr:to>
    <xdr:sp macro="" textlink="">
      <xdr:nvSpPr>
        <xdr:cNvPr id="38408" name="Line 210"/>
        <xdr:cNvSpPr>
          <a:spLocks noChangeShapeType="1"/>
        </xdr:cNvSpPr>
      </xdr:nvSpPr>
      <xdr:spPr bwMode="auto">
        <a:xfrm flipH="1">
          <a:off x="1314450"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56</xdr:row>
      <xdr:rowOff>0</xdr:rowOff>
    </xdr:from>
    <xdr:to>
      <xdr:col>13</xdr:col>
      <xdr:colOff>0</xdr:colOff>
      <xdr:row>56</xdr:row>
      <xdr:rowOff>0</xdr:rowOff>
    </xdr:to>
    <xdr:sp macro="" textlink="">
      <xdr:nvSpPr>
        <xdr:cNvPr id="38409" name="Line 211"/>
        <xdr:cNvSpPr>
          <a:spLocks noChangeShapeType="1"/>
        </xdr:cNvSpPr>
      </xdr:nvSpPr>
      <xdr:spPr bwMode="auto">
        <a:xfrm>
          <a:off x="2924175"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56</xdr:row>
      <xdr:rowOff>0</xdr:rowOff>
    </xdr:from>
    <xdr:to>
      <xdr:col>7</xdr:col>
      <xdr:colOff>0</xdr:colOff>
      <xdr:row>56</xdr:row>
      <xdr:rowOff>0</xdr:rowOff>
    </xdr:to>
    <xdr:sp macro="" textlink="">
      <xdr:nvSpPr>
        <xdr:cNvPr id="38410" name="Line 212"/>
        <xdr:cNvSpPr>
          <a:spLocks noChangeShapeType="1"/>
        </xdr:cNvSpPr>
      </xdr:nvSpPr>
      <xdr:spPr bwMode="auto">
        <a:xfrm>
          <a:off x="1562100"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56</xdr:row>
      <xdr:rowOff>0</xdr:rowOff>
    </xdr:from>
    <xdr:to>
      <xdr:col>13</xdr:col>
      <xdr:colOff>0</xdr:colOff>
      <xdr:row>56</xdr:row>
      <xdr:rowOff>0</xdr:rowOff>
    </xdr:to>
    <xdr:sp macro="" textlink="">
      <xdr:nvSpPr>
        <xdr:cNvPr id="38411" name="Line 213"/>
        <xdr:cNvSpPr>
          <a:spLocks noChangeShapeType="1"/>
        </xdr:cNvSpPr>
      </xdr:nvSpPr>
      <xdr:spPr bwMode="auto">
        <a:xfrm>
          <a:off x="2924175"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56</xdr:row>
      <xdr:rowOff>0</xdr:rowOff>
    </xdr:from>
    <xdr:to>
      <xdr:col>5</xdr:col>
      <xdr:colOff>0</xdr:colOff>
      <xdr:row>56</xdr:row>
      <xdr:rowOff>0</xdr:rowOff>
    </xdr:to>
    <xdr:sp macro="" textlink="">
      <xdr:nvSpPr>
        <xdr:cNvPr id="38413" name="Line 215"/>
        <xdr:cNvSpPr>
          <a:spLocks noChangeShapeType="1"/>
        </xdr:cNvSpPr>
      </xdr:nvSpPr>
      <xdr:spPr bwMode="auto">
        <a:xfrm>
          <a:off x="1190625"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56</xdr:row>
      <xdr:rowOff>0</xdr:rowOff>
    </xdr:from>
    <xdr:to>
      <xdr:col>6</xdr:col>
      <xdr:colOff>0</xdr:colOff>
      <xdr:row>56</xdr:row>
      <xdr:rowOff>0</xdr:rowOff>
    </xdr:to>
    <xdr:sp macro="" textlink="">
      <xdr:nvSpPr>
        <xdr:cNvPr id="38416" name="Line 218"/>
        <xdr:cNvSpPr>
          <a:spLocks noChangeShapeType="1"/>
        </xdr:cNvSpPr>
      </xdr:nvSpPr>
      <xdr:spPr bwMode="auto">
        <a:xfrm flipH="1">
          <a:off x="1314450"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56</xdr:row>
      <xdr:rowOff>0</xdr:rowOff>
    </xdr:from>
    <xdr:to>
      <xdr:col>13</xdr:col>
      <xdr:colOff>0</xdr:colOff>
      <xdr:row>56</xdr:row>
      <xdr:rowOff>0</xdr:rowOff>
    </xdr:to>
    <xdr:sp macro="" textlink="">
      <xdr:nvSpPr>
        <xdr:cNvPr id="38417" name="Line 219"/>
        <xdr:cNvSpPr>
          <a:spLocks noChangeShapeType="1"/>
        </xdr:cNvSpPr>
      </xdr:nvSpPr>
      <xdr:spPr bwMode="auto">
        <a:xfrm>
          <a:off x="2924175"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56</xdr:row>
      <xdr:rowOff>0</xdr:rowOff>
    </xdr:from>
    <xdr:to>
      <xdr:col>7</xdr:col>
      <xdr:colOff>0</xdr:colOff>
      <xdr:row>56</xdr:row>
      <xdr:rowOff>0</xdr:rowOff>
    </xdr:to>
    <xdr:sp macro="" textlink="">
      <xdr:nvSpPr>
        <xdr:cNvPr id="38418" name="Line 220"/>
        <xdr:cNvSpPr>
          <a:spLocks noChangeShapeType="1"/>
        </xdr:cNvSpPr>
      </xdr:nvSpPr>
      <xdr:spPr bwMode="auto">
        <a:xfrm>
          <a:off x="1562100"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56</xdr:row>
      <xdr:rowOff>0</xdr:rowOff>
    </xdr:from>
    <xdr:to>
      <xdr:col>13</xdr:col>
      <xdr:colOff>0</xdr:colOff>
      <xdr:row>56</xdr:row>
      <xdr:rowOff>0</xdr:rowOff>
    </xdr:to>
    <xdr:sp macro="" textlink="">
      <xdr:nvSpPr>
        <xdr:cNvPr id="38419" name="Line 221"/>
        <xdr:cNvSpPr>
          <a:spLocks noChangeShapeType="1"/>
        </xdr:cNvSpPr>
      </xdr:nvSpPr>
      <xdr:spPr bwMode="auto">
        <a:xfrm>
          <a:off x="2924175"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56</xdr:row>
      <xdr:rowOff>0</xdr:rowOff>
    </xdr:from>
    <xdr:to>
      <xdr:col>5</xdr:col>
      <xdr:colOff>0</xdr:colOff>
      <xdr:row>56</xdr:row>
      <xdr:rowOff>0</xdr:rowOff>
    </xdr:to>
    <xdr:sp macro="" textlink="">
      <xdr:nvSpPr>
        <xdr:cNvPr id="38420" name="Line 222"/>
        <xdr:cNvSpPr>
          <a:spLocks noChangeShapeType="1"/>
        </xdr:cNvSpPr>
      </xdr:nvSpPr>
      <xdr:spPr bwMode="auto">
        <a:xfrm>
          <a:off x="1190625"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56</xdr:row>
      <xdr:rowOff>0</xdr:rowOff>
    </xdr:from>
    <xdr:to>
      <xdr:col>9</xdr:col>
      <xdr:colOff>0</xdr:colOff>
      <xdr:row>56</xdr:row>
      <xdr:rowOff>0</xdr:rowOff>
    </xdr:to>
    <xdr:sp macro="" textlink="">
      <xdr:nvSpPr>
        <xdr:cNvPr id="38421" name="Line 223"/>
        <xdr:cNvSpPr>
          <a:spLocks noChangeShapeType="1"/>
        </xdr:cNvSpPr>
      </xdr:nvSpPr>
      <xdr:spPr bwMode="auto">
        <a:xfrm>
          <a:off x="2057400"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56</xdr:row>
      <xdr:rowOff>0</xdr:rowOff>
    </xdr:from>
    <xdr:to>
      <xdr:col>9</xdr:col>
      <xdr:colOff>0</xdr:colOff>
      <xdr:row>56</xdr:row>
      <xdr:rowOff>0</xdr:rowOff>
    </xdr:to>
    <xdr:sp macro="" textlink="">
      <xdr:nvSpPr>
        <xdr:cNvPr id="38422" name="Line 224"/>
        <xdr:cNvSpPr>
          <a:spLocks noChangeShapeType="1"/>
        </xdr:cNvSpPr>
      </xdr:nvSpPr>
      <xdr:spPr bwMode="auto">
        <a:xfrm flipH="1">
          <a:off x="2057400"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56</xdr:row>
      <xdr:rowOff>0</xdr:rowOff>
    </xdr:from>
    <xdr:to>
      <xdr:col>5</xdr:col>
      <xdr:colOff>0</xdr:colOff>
      <xdr:row>56</xdr:row>
      <xdr:rowOff>0</xdr:rowOff>
    </xdr:to>
    <xdr:sp macro="" textlink="">
      <xdr:nvSpPr>
        <xdr:cNvPr id="38423" name="Line 225"/>
        <xdr:cNvSpPr>
          <a:spLocks noChangeShapeType="1"/>
        </xdr:cNvSpPr>
      </xdr:nvSpPr>
      <xdr:spPr bwMode="auto">
        <a:xfrm>
          <a:off x="1190625"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56</xdr:row>
      <xdr:rowOff>0</xdr:rowOff>
    </xdr:from>
    <xdr:to>
      <xdr:col>13</xdr:col>
      <xdr:colOff>0</xdr:colOff>
      <xdr:row>56</xdr:row>
      <xdr:rowOff>0</xdr:rowOff>
    </xdr:to>
    <xdr:sp macro="" textlink="">
      <xdr:nvSpPr>
        <xdr:cNvPr id="38424" name="Line 226"/>
        <xdr:cNvSpPr>
          <a:spLocks noChangeShapeType="1"/>
        </xdr:cNvSpPr>
      </xdr:nvSpPr>
      <xdr:spPr bwMode="auto">
        <a:xfrm>
          <a:off x="2924175"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56</xdr:row>
      <xdr:rowOff>0</xdr:rowOff>
    </xdr:from>
    <xdr:to>
      <xdr:col>5</xdr:col>
      <xdr:colOff>0</xdr:colOff>
      <xdr:row>56</xdr:row>
      <xdr:rowOff>0</xdr:rowOff>
    </xdr:to>
    <xdr:sp macro="" textlink="">
      <xdr:nvSpPr>
        <xdr:cNvPr id="38426" name="Line 228"/>
        <xdr:cNvSpPr>
          <a:spLocks noChangeShapeType="1"/>
        </xdr:cNvSpPr>
      </xdr:nvSpPr>
      <xdr:spPr bwMode="auto">
        <a:xfrm>
          <a:off x="1190625"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56</xdr:row>
      <xdr:rowOff>0</xdr:rowOff>
    </xdr:from>
    <xdr:to>
      <xdr:col>13</xdr:col>
      <xdr:colOff>0</xdr:colOff>
      <xdr:row>56</xdr:row>
      <xdr:rowOff>0</xdr:rowOff>
    </xdr:to>
    <xdr:sp macro="" textlink="">
      <xdr:nvSpPr>
        <xdr:cNvPr id="38427" name="Line 229"/>
        <xdr:cNvSpPr>
          <a:spLocks noChangeShapeType="1"/>
        </xdr:cNvSpPr>
      </xdr:nvSpPr>
      <xdr:spPr bwMode="auto">
        <a:xfrm>
          <a:off x="2924175"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56</xdr:row>
      <xdr:rowOff>0</xdr:rowOff>
    </xdr:from>
    <xdr:to>
      <xdr:col>6</xdr:col>
      <xdr:colOff>0</xdr:colOff>
      <xdr:row>56</xdr:row>
      <xdr:rowOff>0</xdr:rowOff>
    </xdr:to>
    <xdr:sp macro="" textlink="">
      <xdr:nvSpPr>
        <xdr:cNvPr id="38430" name="Line 232"/>
        <xdr:cNvSpPr>
          <a:spLocks noChangeShapeType="1"/>
        </xdr:cNvSpPr>
      </xdr:nvSpPr>
      <xdr:spPr bwMode="auto">
        <a:xfrm flipH="1">
          <a:off x="1314450"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56</xdr:row>
      <xdr:rowOff>0</xdr:rowOff>
    </xdr:from>
    <xdr:to>
      <xdr:col>13</xdr:col>
      <xdr:colOff>0</xdr:colOff>
      <xdr:row>56</xdr:row>
      <xdr:rowOff>0</xdr:rowOff>
    </xdr:to>
    <xdr:sp macro="" textlink="">
      <xdr:nvSpPr>
        <xdr:cNvPr id="38431" name="Line 233"/>
        <xdr:cNvSpPr>
          <a:spLocks noChangeShapeType="1"/>
        </xdr:cNvSpPr>
      </xdr:nvSpPr>
      <xdr:spPr bwMode="auto">
        <a:xfrm>
          <a:off x="2924175"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56</xdr:row>
      <xdr:rowOff>0</xdr:rowOff>
    </xdr:from>
    <xdr:to>
      <xdr:col>7</xdr:col>
      <xdr:colOff>0</xdr:colOff>
      <xdr:row>56</xdr:row>
      <xdr:rowOff>0</xdr:rowOff>
    </xdr:to>
    <xdr:sp macro="" textlink="">
      <xdr:nvSpPr>
        <xdr:cNvPr id="38432" name="Line 234"/>
        <xdr:cNvSpPr>
          <a:spLocks noChangeShapeType="1"/>
        </xdr:cNvSpPr>
      </xdr:nvSpPr>
      <xdr:spPr bwMode="auto">
        <a:xfrm>
          <a:off x="1562100"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56</xdr:row>
      <xdr:rowOff>0</xdr:rowOff>
    </xdr:from>
    <xdr:to>
      <xdr:col>13</xdr:col>
      <xdr:colOff>0</xdr:colOff>
      <xdr:row>56</xdr:row>
      <xdr:rowOff>0</xdr:rowOff>
    </xdr:to>
    <xdr:sp macro="" textlink="">
      <xdr:nvSpPr>
        <xdr:cNvPr id="38433" name="Line 235"/>
        <xdr:cNvSpPr>
          <a:spLocks noChangeShapeType="1"/>
        </xdr:cNvSpPr>
      </xdr:nvSpPr>
      <xdr:spPr bwMode="auto">
        <a:xfrm>
          <a:off x="2924175" y="9715500"/>
          <a:ext cx="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133350</xdr:colOff>
      <xdr:row>55</xdr:row>
      <xdr:rowOff>0</xdr:rowOff>
    </xdr:from>
    <xdr:to>
      <xdr:col>7</xdr:col>
      <xdr:colOff>133350</xdr:colOff>
      <xdr:row>56</xdr:row>
      <xdr:rowOff>9525</xdr:rowOff>
    </xdr:to>
    <xdr:sp macro="" textlink="">
      <xdr:nvSpPr>
        <xdr:cNvPr id="38439" name="Line 241"/>
        <xdr:cNvSpPr>
          <a:spLocks noChangeShapeType="1"/>
        </xdr:cNvSpPr>
      </xdr:nvSpPr>
      <xdr:spPr bwMode="auto">
        <a:xfrm>
          <a:off x="1695450" y="932497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152400</xdr:colOff>
      <xdr:row>58</xdr:row>
      <xdr:rowOff>9525</xdr:rowOff>
    </xdr:from>
    <xdr:to>
      <xdr:col>6</xdr:col>
      <xdr:colOff>152400</xdr:colOff>
      <xdr:row>60</xdr:row>
      <xdr:rowOff>0</xdr:rowOff>
    </xdr:to>
    <xdr:sp macro="" textlink="">
      <xdr:nvSpPr>
        <xdr:cNvPr id="38440" name="Line 242"/>
        <xdr:cNvSpPr>
          <a:spLocks noChangeShapeType="1"/>
        </xdr:cNvSpPr>
      </xdr:nvSpPr>
      <xdr:spPr bwMode="auto">
        <a:xfrm>
          <a:off x="1466850" y="10353675"/>
          <a:ext cx="0"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114300</xdr:colOff>
      <xdr:row>55</xdr:row>
      <xdr:rowOff>0</xdr:rowOff>
    </xdr:from>
    <xdr:to>
      <xdr:col>14</xdr:col>
      <xdr:colOff>114300</xdr:colOff>
      <xdr:row>56</xdr:row>
      <xdr:rowOff>9525</xdr:rowOff>
    </xdr:to>
    <xdr:sp macro="" textlink="">
      <xdr:nvSpPr>
        <xdr:cNvPr id="38441" name="Line 243"/>
        <xdr:cNvSpPr>
          <a:spLocks noChangeShapeType="1"/>
        </xdr:cNvSpPr>
      </xdr:nvSpPr>
      <xdr:spPr bwMode="auto">
        <a:xfrm>
          <a:off x="3228975" y="9324975"/>
          <a:ext cx="0" cy="4000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0</xdr:colOff>
      <xdr:row>61</xdr:row>
      <xdr:rowOff>0</xdr:rowOff>
    </xdr:from>
    <xdr:to>
      <xdr:col>11</xdr:col>
      <xdr:colOff>219075</xdr:colOff>
      <xdr:row>61</xdr:row>
      <xdr:rowOff>0</xdr:rowOff>
    </xdr:to>
    <xdr:sp macro="" textlink="">
      <xdr:nvSpPr>
        <xdr:cNvPr id="38442" name="Line 244"/>
        <xdr:cNvSpPr>
          <a:spLocks noChangeShapeType="1"/>
        </xdr:cNvSpPr>
      </xdr:nvSpPr>
      <xdr:spPr bwMode="auto">
        <a:xfrm flipV="1">
          <a:off x="2181225" y="10868025"/>
          <a:ext cx="4667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76200</xdr:colOff>
      <xdr:row>58</xdr:row>
      <xdr:rowOff>9525</xdr:rowOff>
    </xdr:from>
    <xdr:to>
      <xdr:col>14</xdr:col>
      <xdr:colOff>76200</xdr:colOff>
      <xdr:row>60</xdr:row>
      <xdr:rowOff>0</xdr:rowOff>
    </xdr:to>
    <xdr:sp macro="" textlink="">
      <xdr:nvSpPr>
        <xdr:cNvPr id="38443" name="Line 245"/>
        <xdr:cNvSpPr>
          <a:spLocks noChangeShapeType="1"/>
        </xdr:cNvSpPr>
      </xdr:nvSpPr>
      <xdr:spPr bwMode="auto">
        <a:xfrm>
          <a:off x="3190875" y="10353675"/>
          <a:ext cx="0"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0</xdr:colOff>
      <xdr:row>54</xdr:row>
      <xdr:rowOff>257175</xdr:rowOff>
    </xdr:from>
    <xdr:to>
      <xdr:col>3</xdr:col>
      <xdr:colOff>0</xdr:colOff>
      <xdr:row>61</xdr:row>
      <xdr:rowOff>0</xdr:rowOff>
    </xdr:to>
    <xdr:sp macro="" textlink="">
      <xdr:nvSpPr>
        <xdr:cNvPr id="38444" name="Line 246"/>
        <xdr:cNvSpPr>
          <a:spLocks noChangeShapeType="1"/>
        </xdr:cNvSpPr>
      </xdr:nvSpPr>
      <xdr:spPr bwMode="auto">
        <a:xfrm>
          <a:off x="695325" y="9296400"/>
          <a:ext cx="0" cy="1571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9525</xdr:colOff>
      <xdr:row>61</xdr:row>
      <xdr:rowOff>0</xdr:rowOff>
    </xdr:from>
    <xdr:to>
      <xdr:col>4</xdr:col>
      <xdr:colOff>238125</xdr:colOff>
      <xdr:row>61</xdr:row>
      <xdr:rowOff>0</xdr:rowOff>
    </xdr:to>
    <xdr:sp macro="" textlink="">
      <xdr:nvSpPr>
        <xdr:cNvPr id="38445" name="Line 247"/>
        <xdr:cNvSpPr>
          <a:spLocks noChangeShapeType="1"/>
        </xdr:cNvSpPr>
      </xdr:nvSpPr>
      <xdr:spPr bwMode="auto">
        <a:xfrm flipV="1">
          <a:off x="704850" y="10868025"/>
          <a:ext cx="47625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U636"/>
  <sheetViews>
    <sheetView zoomScaleNormal="100" workbookViewId="0"/>
  </sheetViews>
  <sheetFormatPr baseColWidth="10" defaultRowHeight="12.75"/>
  <cols>
    <col min="1" max="1" width="36.28515625" customWidth="1"/>
  </cols>
  <sheetData>
    <row r="1" spans="1:128" ht="13.5" customHeight="1">
      <c r="A1" s="42" t="s">
        <v>419</v>
      </c>
      <c r="B1" s="43"/>
      <c r="C1" s="43"/>
      <c r="D1" s="43"/>
      <c r="E1" s="43"/>
      <c r="F1" s="43"/>
      <c r="G1" s="43"/>
      <c r="H1" s="43"/>
      <c r="I1" s="43"/>
      <c r="J1" s="43"/>
      <c r="K1" s="43"/>
      <c r="L1" s="43"/>
      <c r="M1" s="43"/>
      <c r="N1" s="43"/>
      <c r="O1" s="43"/>
      <c r="P1" s="43"/>
      <c r="Q1" s="43"/>
      <c r="R1" s="43"/>
      <c r="S1" s="43"/>
      <c r="T1" s="43"/>
      <c r="U1" s="43"/>
      <c r="V1" s="43"/>
      <c r="W1" s="43"/>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c r="DO1" s="44"/>
      <c r="DP1" s="44"/>
      <c r="DQ1" s="44"/>
      <c r="DR1" s="44"/>
      <c r="DS1" s="44"/>
      <c r="DT1" s="44"/>
      <c r="DU1" s="44"/>
      <c r="DV1" s="44"/>
      <c r="DW1" s="44"/>
      <c r="DX1" s="44"/>
    </row>
    <row r="2" spans="1:128" s="1" customFormat="1" ht="13.5" customHeight="1">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row>
    <row r="3" spans="1:128" s="1" customFormat="1" ht="13.5" customHeight="1">
      <c r="A3" s="23" t="s">
        <v>340</v>
      </c>
      <c r="B3" s="8" t="s">
        <v>474</v>
      </c>
      <c r="C3" s="15"/>
      <c r="I3" s="407"/>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row>
    <row r="4" spans="1:128" s="1" customFormat="1" ht="13.5" customHeight="1" thickBot="1">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row>
    <row r="5" spans="1:128" s="1" customFormat="1" ht="13.5" customHeight="1" thickBot="1">
      <c r="B5" s="408">
        <v>2001</v>
      </c>
      <c r="C5" s="409">
        <v>2002</v>
      </c>
      <c r="D5" s="410">
        <v>2003</v>
      </c>
      <c r="E5" s="410">
        <v>2004</v>
      </c>
      <c r="F5" s="409">
        <v>2005</v>
      </c>
      <c r="G5" s="409">
        <v>2006</v>
      </c>
      <c r="H5" s="409">
        <v>2007</v>
      </c>
      <c r="I5" s="410">
        <v>2008</v>
      </c>
      <c r="J5" s="410">
        <v>2009</v>
      </c>
      <c r="K5" s="409">
        <v>2010</v>
      </c>
      <c r="L5" s="409">
        <v>2011</v>
      </c>
      <c r="M5" s="411">
        <v>2012</v>
      </c>
      <c r="O5" s="412" t="s">
        <v>40</v>
      </c>
      <c r="P5" s="236"/>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row>
    <row r="6" spans="1:128" s="1" customFormat="1" ht="13.5" customHeight="1">
      <c r="A6" s="413" t="s">
        <v>180</v>
      </c>
      <c r="B6" s="414">
        <f>B7+B8</f>
        <v>24421.253832568684</v>
      </c>
      <c r="C6" s="415">
        <f t="shared" ref="C6:M6" si="0">C7+C8</f>
        <v>24760.263436287343</v>
      </c>
      <c r="D6" s="415">
        <f t="shared" si="0"/>
        <v>25095.820321509076</v>
      </c>
      <c r="E6" s="415">
        <f t="shared" si="0"/>
        <v>25420.401409560429</v>
      </c>
      <c r="F6" s="415">
        <f t="shared" si="0"/>
        <v>25743.266802933147</v>
      </c>
      <c r="G6" s="415">
        <f t="shared" si="0"/>
        <v>26046.755715448598</v>
      </c>
      <c r="H6" s="415">
        <f t="shared" si="0"/>
        <v>26352.815449999998</v>
      </c>
      <c r="I6" s="415">
        <f t="shared" si="0"/>
        <v>26615.510309999998</v>
      </c>
      <c r="J6" s="415">
        <f t="shared" si="0"/>
        <v>26866.279102619512</v>
      </c>
      <c r="K6" s="415">
        <f t="shared" si="0"/>
        <v>27154.903283171414</v>
      </c>
      <c r="L6" s="415">
        <f t="shared" si="0"/>
        <v>27414.20472291566</v>
      </c>
      <c r="M6" s="416">
        <f t="shared" si="0"/>
        <v>27680.007011007066</v>
      </c>
      <c r="O6" s="417">
        <f>O7+O8</f>
        <v>1</v>
      </c>
      <c r="P6" s="237"/>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row>
    <row r="7" spans="1:128" s="1" customFormat="1" ht="13.5" customHeight="1">
      <c r="A7" s="418" t="s">
        <v>181</v>
      </c>
      <c r="B7" s="419">
        <v>13689.551141103564</v>
      </c>
      <c r="C7" s="238">
        <v>13896.079636973391</v>
      </c>
      <c r="D7" s="238">
        <v>14103.574530714144</v>
      </c>
      <c r="E7" s="238">
        <v>14304.603647120086</v>
      </c>
      <c r="F7" s="238">
        <v>14501.164941966299</v>
      </c>
      <c r="G7" s="238">
        <v>14685.281544340962</v>
      </c>
      <c r="H7" s="238">
        <v>14882.257099999999</v>
      </c>
      <c r="I7" s="238">
        <v>15056.8598</v>
      </c>
      <c r="J7" s="238">
        <v>15214.60749490488</v>
      </c>
      <c r="K7" s="238">
        <v>15394.111915484686</v>
      </c>
      <c r="L7" s="238">
        <v>15557.317212080063</v>
      </c>
      <c r="M7" s="420">
        <v>15724.522124711066</v>
      </c>
      <c r="O7" s="421">
        <f>M7/M6</f>
        <v>0.56808230281365701</v>
      </c>
      <c r="P7" s="23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row>
    <row r="8" spans="1:128" s="1" customFormat="1" ht="13.5" customHeight="1">
      <c r="A8" s="418" t="s">
        <v>136</v>
      </c>
      <c r="B8" s="419">
        <v>10731.702691465121</v>
      </c>
      <c r="C8" s="238">
        <v>10864.183799313952</v>
      </c>
      <c r="D8" s="238">
        <v>10992.245790794932</v>
      </c>
      <c r="E8" s="238">
        <v>11115.797762440343</v>
      </c>
      <c r="F8" s="238">
        <v>11242.101860966846</v>
      </c>
      <c r="G8" s="238">
        <v>11361.474171107635</v>
      </c>
      <c r="H8" s="238">
        <v>11470.558349999999</v>
      </c>
      <c r="I8" s="238">
        <v>11558.650509999999</v>
      </c>
      <c r="J8" s="238">
        <v>11651.671607714634</v>
      </c>
      <c r="K8" s="238">
        <v>11760.791367686727</v>
      </c>
      <c r="L8" s="238">
        <v>11856.887510835597</v>
      </c>
      <c r="M8" s="420">
        <v>11955.484886296001</v>
      </c>
      <c r="O8" s="421">
        <f>M8/M6</f>
        <v>0.43191769718634299</v>
      </c>
      <c r="P8" s="23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row>
    <row r="9" spans="1:128" s="1" customFormat="1" ht="13.5" customHeight="1">
      <c r="A9" s="422" t="s">
        <v>182</v>
      </c>
      <c r="B9" s="423">
        <f>B10+B11</f>
        <v>2930.8174223534552</v>
      </c>
      <c r="C9" s="424">
        <f t="shared" ref="C9:M9" si="1">C10+C11</f>
        <v>2946.2036306309637</v>
      </c>
      <c r="D9" s="424">
        <f t="shared" si="1"/>
        <v>2967.8417531257146</v>
      </c>
      <c r="E9" s="424">
        <f t="shared" si="1"/>
        <v>2993.2229607311801</v>
      </c>
      <c r="F9" s="424">
        <f t="shared" si="1"/>
        <v>3023.2026841858242</v>
      </c>
      <c r="G9" s="424">
        <f t="shared" si="1"/>
        <v>3063.9709258223747</v>
      </c>
      <c r="H9" s="424">
        <f t="shared" si="1"/>
        <v>3082.0001000000002</v>
      </c>
      <c r="I9" s="424">
        <f t="shared" si="1"/>
        <v>3098.9995600000002</v>
      </c>
      <c r="J9" s="424">
        <f t="shared" si="1"/>
        <v>3099.1938086563359</v>
      </c>
      <c r="K9" s="424">
        <f t="shared" si="1"/>
        <v>3121.1864965312861</v>
      </c>
      <c r="L9" s="424">
        <f t="shared" si="1"/>
        <v>3138.1497180060796</v>
      </c>
      <c r="M9" s="425">
        <f t="shared" si="1"/>
        <v>3153.4839985583121</v>
      </c>
      <c r="O9" s="426">
        <f>O10+O11</f>
        <v>1</v>
      </c>
      <c r="P9" s="427"/>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row>
    <row r="10" spans="1:128" s="1" customFormat="1" ht="13.5" customHeight="1">
      <c r="A10" s="418" t="s">
        <v>181</v>
      </c>
      <c r="B10" s="419">
        <v>1791.277571676492</v>
      </c>
      <c r="C10" s="238">
        <v>1804.9223407391405</v>
      </c>
      <c r="D10" s="238">
        <v>1821.6502780611195</v>
      </c>
      <c r="E10" s="238">
        <v>1840.2609450153118</v>
      </c>
      <c r="F10" s="238">
        <v>1860.9671102257685</v>
      </c>
      <c r="G10" s="238">
        <v>1887.4026268998061</v>
      </c>
      <c r="H10" s="238">
        <v>1885.2342100000001</v>
      </c>
      <c r="I10" s="238">
        <v>1875.11697</v>
      </c>
      <c r="J10" s="238">
        <v>1853.4197725585075</v>
      </c>
      <c r="K10" s="238">
        <v>1844.602588002017</v>
      </c>
      <c r="L10" s="238">
        <v>1832.5388143817738</v>
      </c>
      <c r="M10" s="420">
        <v>1819.2964752810196</v>
      </c>
      <c r="O10" s="421">
        <f>M10/M9</f>
        <v>0.57691634906432154</v>
      </c>
      <c r="P10" s="240"/>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row>
    <row r="11" spans="1:128" s="1" customFormat="1" ht="13.5" customHeight="1">
      <c r="A11" s="418" t="s">
        <v>136</v>
      </c>
      <c r="B11" s="419">
        <v>1139.5398506769629</v>
      </c>
      <c r="C11" s="238">
        <v>1141.2812898918232</v>
      </c>
      <c r="D11" s="238">
        <v>1146.1914750645951</v>
      </c>
      <c r="E11" s="238">
        <v>1152.9620157158683</v>
      </c>
      <c r="F11" s="238">
        <v>1162.2355739600555</v>
      </c>
      <c r="G11" s="238">
        <v>1176.5682989225688</v>
      </c>
      <c r="H11" s="238">
        <v>1196.7658899999999</v>
      </c>
      <c r="I11" s="238">
        <v>1223.8825900000002</v>
      </c>
      <c r="J11" s="238">
        <v>1245.7740360978282</v>
      </c>
      <c r="K11" s="238">
        <v>1276.5839085292689</v>
      </c>
      <c r="L11" s="238">
        <v>1305.6109036243058</v>
      </c>
      <c r="M11" s="420">
        <v>1334.1875232772925</v>
      </c>
      <c r="O11" s="421">
        <f>M11/M9</f>
        <v>0.42308365093567846</v>
      </c>
      <c r="P11" s="240"/>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row>
    <row r="12" spans="1:128" s="1" customFormat="1" ht="13.5" customHeight="1">
      <c r="A12" s="422" t="s">
        <v>183</v>
      </c>
      <c r="B12" s="423">
        <f>B13+B14</f>
        <v>1977.3997697896671</v>
      </c>
      <c r="C12" s="424">
        <f t="shared" ref="C12:M12" si="2">C13+C14</f>
        <v>1953.5530273766851</v>
      </c>
      <c r="D12" s="424">
        <f t="shared" si="2"/>
        <v>1930.521132025201</v>
      </c>
      <c r="E12" s="424">
        <f t="shared" si="2"/>
        <v>1925.5855758687107</v>
      </c>
      <c r="F12" s="424">
        <f t="shared" si="2"/>
        <v>1920.4079504757733</v>
      </c>
      <c r="G12" s="424">
        <f t="shared" si="2"/>
        <v>1948.8043527829177</v>
      </c>
      <c r="H12" s="424">
        <f t="shared" si="2"/>
        <v>2013.8915000000002</v>
      </c>
      <c r="I12" s="424">
        <f t="shared" si="2"/>
        <v>2104.4113899999998</v>
      </c>
      <c r="J12" s="424">
        <f t="shared" si="2"/>
        <v>2208.4313150619719</v>
      </c>
      <c r="K12" s="424">
        <f t="shared" si="2"/>
        <v>2263.0679296323915</v>
      </c>
      <c r="L12" s="424">
        <f t="shared" si="2"/>
        <v>2309.3320519107638</v>
      </c>
      <c r="M12" s="425">
        <f t="shared" si="2"/>
        <v>2358.7517578216539</v>
      </c>
      <c r="O12" s="426">
        <f>O13+O14</f>
        <v>1</v>
      </c>
      <c r="P12" s="237"/>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c r="DX12" s="9"/>
    </row>
    <row r="13" spans="1:128" s="1" customFormat="1" ht="13.5" customHeight="1">
      <c r="A13" s="418" t="s">
        <v>181</v>
      </c>
      <c r="B13" s="419">
        <v>884.38228875257414</v>
      </c>
      <c r="C13" s="238">
        <v>882.51092989614585</v>
      </c>
      <c r="D13" s="238">
        <v>881.06249588522587</v>
      </c>
      <c r="E13" s="238">
        <v>887.92406386904213</v>
      </c>
      <c r="F13" s="238">
        <v>894.63258597549543</v>
      </c>
      <c r="G13" s="238">
        <v>917.20066057795464</v>
      </c>
      <c r="H13" s="238">
        <v>951.85037999999997</v>
      </c>
      <c r="I13" s="238">
        <v>995.11974999999995</v>
      </c>
      <c r="J13" s="238">
        <v>1044.2767378826288</v>
      </c>
      <c r="K13" s="238">
        <v>1066.7761522548074</v>
      </c>
      <c r="L13" s="238">
        <v>1086.8822621838317</v>
      </c>
      <c r="M13" s="420">
        <v>1109.2722797051629</v>
      </c>
      <c r="O13" s="421">
        <f>M13/M12</f>
        <v>0.47027936535788495</v>
      </c>
      <c r="P13" s="23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row>
    <row r="14" spans="1:128" s="1" customFormat="1" ht="13.5" customHeight="1">
      <c r="A14" s="418" t="s">
        <v>136</v>
      </c>
      <c r="B14" s="419">
        <v>1093.0174810370929</v>
      </c>
      <c r="C14" s="238">
        <v>1071.0420974805393</v>
      </c>
      <c r="D14" s="238">
        <v>1049.4586361399752</v>
      </c>
      <c r="E14" s="238">
        <v>1037.6615119996686</v>
      </c>
      <c r="F14" s="238">
        <v>1025.7753645002779</v>
      </c>
      <c r="G14" s="238">
        <v>1031.603692204963</v>
      </c>
      <c r="H14" s="238">
        <v>1062.0411200000001</v>
      </c>
      <c r="I14" s="238">
        <v>1109.2916399999999</v>
      </c>
      <c r="J14" s="238">
        <v>1164.1545771793433</v>
      </c>
      <c r="K14" s="238">
        <v>1196.2917773775839</v>
      </c>
      <c r="L14" s="238">
        <v>1222.4497897269318</v>
      </c>
      <c r="M14" s="420">
        <v>1249.479478116491</v>
      </c>
      <c r="O14" s="421">
        <f>M14/M12</f>
        <v>0.52972063464211505</v>
      </c>
      <c r="P14" s="23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c r="DX14" s="9"/>
    </row>
    <row r="15" spans="1:128" s="1" customFormat="1" ht="13.5" customHeight="1">
      <c r="A15" s="422" t="s">
        <v>137</v>
      </c>
      <c r="B15" s="423">
        <f>B16+B17</f>
        <v>29329.471024711809</v>
      </c>
      <c r="C15" s="424">
        <f t="shared" ref="C15:M15" si="3">C16+C17</f>
        <v>29660.020094294992</v>
      </c>
      <c r="D15" s="424">
        <f t="shared" si="3"/>
        <v>29994.183206659989</v>
      </c>
      <c r="E15" s="424">
        <f t="shared" si="3"/>
        <v>30339.209946160317</v>
      </c>
      <c r="F15" s="424">
        <f t="shared" si="3"/>
        <v>30686.87743759474</v>
      </c>
      <c r="G15" s="424">
        <f t="shared" si="3"/>
        <v>31059.530994053886</v>
      </c>
      <c r="H15" s="424">
        <f t="shared" si="3"/>
        <v>31448.707049999997</v>
      </c>
      <c r="I15" s="424">
        <f t="shared" si="3"/>
        <v>31818.921260000003</v>
      </c>
      <c r="J15" s="424">
        <f t="shared" si="3"/>
        <v>32173.904226337821</v>
      </c>
      <c r="K15" s="424">
        <f t="shared" si="3"/>
        <v>32539.157709335086</v>
      </c>
      <c r="L15" s="424">
        <f t="shared" si="3"/>
        <v>32861.686492832501</v>
      </c>
      <c r="M15" s="425">
        <f t="shared" si="3"/>
        <v>33192.242767387033</v>
      </c>
      <c r="O15" s="426">
        <f>O16+O17</f>
        <v>1</v>
      </c>
      <c r="P15" s="428"/>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c r="DX15" s="9"/>
    </row>
    <row r="16" spans="1:128" s="1" customFormat="1" ht="13.5" customHeight="1">
      <c r="A16" s="418" t="s">
        <v>181</v>
      </c>
      <c r="B16" s="419">
        <f>B7+B10+B13</f>
        <v>16365.211001532631</v>
      </c>
      <c r="C16" s="238">
        <f t="shared" ref="C16:M17" si="4">C7+C10+C13</f>
        <v>16583.512907608678</v>
      </c>
      <c r="D16" s="238">
        <f t="shared" si="4"/>
        <v>16806.287304660487</v>
      </c>
      <c r="E16" s="238">
        <f t="shared" si="4"/>
        <v>17032.788656004439</v>
      </c>
      <c r="F16" s="238">
        <f t="shared" si="4"/>
        <v>17256.764638167562</v>
      </c>
      <c r="G16" s="238">
        <f t="shared" si="4"/>
        <v>17489.884831818723</v>
      </c>
      <c r="H16" s="238">
        <f t="shared" si="4"/>
        <v>17719.341689999997</v>
      </c>
      <c r="I16" s="238">
        <f t="shared" si="4"/>
        <v>17927.096520000003</v>
      </c>
      <c r="J16" s="238">
        <f t="shared" si="4"/>
        <v>18112.304005346017</v>
      </c>
      <c r="K16" s="238">
        <f t="shared" si="4"/>
        <v>18305.490655741509</v>
      </c>
      <c r="L16" s="238">
        <f t="shared" si="4"/>
        <v>18476.738288645669</v>
      </c>
      <c r="M16" s="420">
        <f t="shared" si="4"/>
        <v>18653.090879697251</v>
      </c>
      <c r="O16" s="421">
        <f>M16/M15</f>
        <v>0.56197139224423864</v>
      </c>
      <c r="P16" s="240"/>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row>
    <row r="17" spans="1:128" s="1" customFormat="1" ht="13.5" customHeight="1" thickBot="1">
      <c r="A17" s="429" t="s">
        <v>136</v>
      </c>
      <c r="B17" s="430">
        <f>B8+B11+B14</f>
        <v>12964.260023179178</v>
      </c>
      <c r="C17" s="431">
        <f t="shared" si="4"/>
        <v>13076.507186686315</v>
      </c>
      <c r="D17" s="431">
        <f t="shared" si="4"/>
        <v>13187.895901999502</v>
      </c>
      <c r="E17" s="431">
        <f t="shared" si="4"/>
        <v>13306.421290155879</v>
      </c>
      <c r="F17" s="431">
        <f t="shared" si="4"/>
        <v>13430.112799427179</v>
      </c>
      <c r="G17" s="431">
        <f t="shared" si="4"/>
        <v>13569.646162235165</v>
      </c>
      <c r="H17" s="431">
        <f t="shared" si="4"/>
        <v>13729.36536</v>
      </c>
      <c r="I17" s="431">
        <f t="shared" si="4"/>
        <v>13891.82474</v>
      </c>
      <c r="J17" s="431">
        <f t="shared" si="4"/>
        <v>14061.600220991804</v>
      </c>
      <c r="K17" s="431">
        <f t="shared" si="4"/>
        <v>14233.667053593579</v>
      </c>
      <c r="L17" s="431">
        <f t="shared" si="4"/>
        <v>14384.948204186834</v>
      </c>
      <c r="M17" s="432">
        <f t="shared" si="4"/>
        <v>14539.151887689784</v>
      </c>
      <c r="O17" s="433">
        <f>M17/M15</f>
        <v>0.43802860775576141</v>
      </c>
      <c r="P17" s="240"/>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c r="DX17" s="9"/>
    </row>
    <row r="18" spans="1:128" s="1" customFormat="1" ht="13.5" customHeight="1">
      <c r="A18" s="14" t="s">
        <v>184</v>
      </c>
      <c r="B18" s="15"/>
      <c r="C18" s="15"/>
      <c r="D18" s="15"/>
      <c r="E18" s="15"/>
      <c r="F18" s="15"/>
      <c r="G18" s="27"/>
      <c r="H18" s="241"/>
      <c r="I18" s="241"/>
      <c r="J18" s="241"/>
      <c r="K18" s="242"/>
      <c r="O18" s="9"/>
      <c r="P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c r="DX18" s="9"/>
    </row>
    <row r="19" spans="1:128" s="1" customFormat="1" ht="13.5" customHeight="1">
      <c r="A19" s="14" t="s">
        <v>185</v>
      </c>
      <c r="B19" s="243"/>
      <c r="C19" s="243"/>
      <c r="D19" s="243"/>
      <c r="E19" s="243"/>
      <c r="F19" s="243"/>
      <c r="G19" s="243"/>
      <c r="H19" s="243"/>
      <c r="I19" s="243"/>
      <c r="J19" s="243"/>
      <c r="K19" s="243"/>
      <c r="L19" s="243"/>
      <c r="M19" s="244"/>
      <c r="O19" s="9"/>
      <c r="P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c r="DX19" s="9"/>
    </row>
    <row r="20" spans="1:128" s="1" customFormat="1" ht="13.5" customHeight="1">
      <c r="A20" s="14" t="s">
        <v>186</v>
      </c>
      <c r="B20" s="243"/>
      <c r="C20" s="243"/>
      <c r="D20" s="243"/>
      <c r="E20" s="243"/>
      <c r="F20" s="243"/>
      <c r="G20" s="243"/>
      <c r="H20" s="243"/>
      <c r="I20" s="243"/>
      <c r="J20" s="243"/>
      <c r="K20" s="243"/>
      <c r="L20" s="243"/>
      <c r="M20" s="243"/>
      <c r="O20" s="245"/>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row>
    <row r="21" spans="1:128" s="1" customFormat="1" ht="13.5" customHeight="1">
      <c r="A21" s="14"/>
      <c r="B21" s="243"/>
      <c r="C21" s="243"/>
      <c r="D21" s="243"/>
      <c r="E21" s="243"/>
      <c r="F21" s="243"/>
      <c r="G21" s="243"/>
      <c r="H21" s="243"/>
      <c r="I21" s="243"/>
      <c r="J21" s="243"/>
      <c r="K21" s="243"/>
      <c r="L21" s="243"/>
      <c r="M21" s="243"/>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c r="DX21" s="9"/>
    </row>
    <row r="22" spans="1:128" s="1" customFormat="1" ht="13.5" customHeight="1" thickBot="1">
      <c r="A22" s="45"/>
      <c r="B22" s="246"/>
      <c r="C22" s="246"/>
      <c r="D22" s="246"/>
      <c r="E22" s="246"/>
      <c r="F22" s="246"/>
      <c r="G22" s="246"/>
      <c r="H22" s="246"/>
      <c r="I22" s="246"/>
      <c r="J22" s="246"/>
      <c r="K22" s="246"/>
      <c r="L22" s="246"/>
      <c r="M22" s="246"/>
      <c r="N22" s="45"/>
      <c r="O22" s="45"/>
      <c r="P22" s="45"/>
      <c r="Q22" s="45"/>
      <c r="R22" s="45"/>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c r="DX22" s="9"/>
    </row>
    <row r="23" spans="1:128" s="1" customFormat="1" ht="13.5" customHeight="1">
      <c r="A23" s="41"/>
      <c r="B23" s="41"/>
      <c r="C23" s="41"/>
      <c r="D23" s="41"/>
      <c r="E23" s="41"/>
      <c r="F23" s="41"/>
      <c r="G23" s="41"/>
      <c r="H23" s="41"/>
      <c r="I23" s="41"/>
      <c r="J23" s="41"/>
      <c r="K23" s="41"/>
      <c r="L23" s="41"/>
      <c r="M23" s="41"/>
      <c r="N23" s="41"/>
      <c r="O23" s="41"/>
      <c r="P23" s="41"/>
      <c r="Q23" s="41"/>
      <c r="R23" s="41"/>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c r="DX23" s="9"/>
    </row>
    <row r="24" spans="1:128" s="15" customFormat="1" ht="13.5" customHeight="1">
      <c r="A24" s="23" t="s">
        <v>341</v>
      </c>
      <c r="B24" s="8" t="s">
        <v>475</v>
      </c>
      <c r="C24" s="1"/>
      <c r="D24" s="1"/>
      <c r="E24" s="1"/>
      <c r="I24" s="407"/>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c r="CD24" s="41"/>
      <c r="CE24" s="41"/>
      <c r="CF24" s="41"/>
      <c r="CG24" s="41"/>
      <c r="CH24" s="41"/>
      <c r="CI24" s="41"/>
      <c r="CJ24" s="41"/>
      <c r="CK24" s="41"/>
      <c r="CL24" s="41"/>
      <c r="CM24" s="41"/>
      <c r="CN24" s="41"/>
      <c r="CO24" s="41"/>
      <c r="CP24" s="41"/>
      <c r="CQ24" s="41"/>
      <c r="CR24" s="41"/>
      <c r="CS24" s="41"/>
      <c r="CT24" s="41"/>
      <c r="CU24" s="41"/>
      <c r="CV24" s="41"/>
      <c r="CW24" s="41"/>
      <c r="CX24" s="41"/>
      <c r="CY24" s="41"/>
      <c r="CZ24" s="41"/>
      <c r="DA24" s="41"/>
      <c r="DB24" s="41"/>
      <c r="DC24" s="41"/>
      <c r="DD24" s="41"/>
      <c r="DE24" s="41"/>
      <c r="DF24" s="41"/>
      <c r="DG24" s="41"/>
      <c r="DH24" s="41"/>
      <c r="DI24" s="41"/>
      <c r="DJ24" s="41"/>
      <c r="DK24" s="41"/>
      <c r="DL24" s="41"/>
      <c r="DM24" s="41"/>
      <c r="DN24" s="41"/>
      <c r="DO24" s="41"/>
      <c r="DP24" s="41"/>
      <c r="DQ24" s="41"/>
      <c r="DR24" s="41"/>
      <c r="DS24" s="41"/>
      <c r="DT24" s="41"/>
      <c r="DU24" s="41"/>
      <c r="DV24" s="41"/>
      <c r="DW24" s="41"/>
      <c r="DX24" s="41"/>
    </row>
    <row r="25" spans="1:128" s="15" customFormat="1" ht="13.5" customHeight="1" thickBot="1">
      <c r="A25" s="1"/>
      <c r="B25" s="1"/>
      <c r="C25" s="1"/>
      <c r="D25" s="1"/>
      <c r="E25" s="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c r="CD25" s="41"/>
      <c r="CE25" s="41"/>
      <c r="CF25" s="41"/>
      <c r="CG25" s="41"/>
      <c r="CH25" s="41"/>
      <c r="CI25" s="41"/>
      <c r="CJ25" s="41"/>
      <c r="CK25" s="41"/>
      <c r="CL25" s="41"/>
      <c r="CM25" s="41"/>
      <c r="CN25" s="41"/>
      <c r="CO25" s="41"/>
      <c r="CP25" s="41"/>
      <c r="CQ25" s="41"/>
      <c r="CR25" s="41"/>
      <c r="CS25" s="41"/>
      <c r="CT25" s="41"/>
      <c r="CU25" s="41"/>
      <c r="CV25" s="41"/>
      <c r="CW25" s="41"/>
      <c r="CX25" s="41"/>
      <c r="CY25" s="41"/>
      <c r="CZ25" s="41"/>
      <c r="DA25" s="41"/>
      <c r="DB25" s="41"/>
      <c r="DC25" s="41"/>
      <c r="DD25" s="41"/>
      <c r="DE25" s="41"/>
      <c r="DF25" s="41"/>
      <c r="DG25" s="41"/>
      <c r="DH25" s="41"/>
      <c r="DI25" s="41"/>
      <c r="DJ25" s="41"/>
      <c r="DK25" s="41"/>
      <c r="DL25" s="41"/>
      <c r="DM25" s="41"/>
      <c r="DN25" s="41"/>
      <c r="DO25" s="41"/>
      <c r="DP25" s="41"/>
      <c r="DQ25" s="41"/>
      <c r="DR25" s="41"/>
      <c r="DS25" s="41"/>
      <c r="DT25" s="41"/>
      <c r="DU25" s="41"/>
      <c r="DV25" s="41"/>
      <c r="DW25" s="41"/>
      <c r="DX25" s="41"/>
    </row>
    <row r="26" spans="1:128" s="1" customFormat="1" ht="29.25" customHeight="1" thickBot="1">
      <c r="A26" s="14"/>
      <c r="B26" s="247" t="s">
        <v>187</v>
      </c>
      <c r="C26" s="248" t="s">
        <v>188</v>
      </c>
      <c r="D26" s="249" t="s">
        <v>189</v>
      </c>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row>
    <row r="27" spans="1:128" s="1" customFormat="1" ht="13.5" customHeight="1">
      <c r="A27" s="434" t="s">
        <v>190</v>
      </c>
      <c r="B27" s="435">
        <v>0.77500000000000002</v>
      </c>
      <c r="C27" s="436">
        <v>0.22500000000000001</v>
      </c>
      <c r="D27" s="437">
        <v>1</v>
      </c>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row>
    <row r="28" spans="1:128" s="1" customFormat="1" ht="13.5" customHeight="1">
      <c r="A28" s="438" t="s">
        <v>191</v>
      </c>
      <c r="B28" s="439">
        <v>0.25</v>
      </c>
      <c r="C28" s="250">
        <v>0.75</v>
      </c>
      <c r="D28" s="440">
        <v>1</v>
      </c>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c r="DX28" s="9"/>
    </row>
    <row r="29" spans="1:128" s="1" customFormat="1" ht="13.5" customHeight="1">
      <c r="A29" s="438" t="s">
        <v>192</v>
      </c>
      <c r="B29" s="441">
        <v>0.30599999999999999</v>
      </c>
      <c r="C29" s="63">
        <v>0.69399999999999995</v>
      </c>
      <c r="D29" s="440">
        <v>1</v>
      </c>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row>
    <row r="30" spans="1:128" s="1" customFormat="1" ht="13.5" customHeight="1">
      <c r="A30" s="438" t="s">
        <v>193</v>
      </c>
      <c r="B30" s="441">
        <v>0.154</v>
      </c>
      <c r="C30" s="63">
        <v>0.84599999999999997</v>
      </c>
      <c r="D30" s="440">
        <v>1</v>
      </c>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c r="DX30" s="9"/>
    </row>
    <row r="31" spans="1:128" s="1" customFormat="1" ht="13.5" customHeight="1" thickBot="1">
      <c r="A31" s="442" t="s">
        <v>194</v>
      </c>
      <c r="B31" s="443">
        <v>0.56200000000000006</v>
      </c>
      <c r="C31" s="444">
        <v>0.438</v>
      </c>
      <c r="D31" s="445">
        <v>1</v>
      </c>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c r="DX31" s="9"/>
    </row>
    <row r="32" spans="1:128" s="1" customFormat="1" ht="13.5" customHeight="1">
      <c r="A32" s="14" t="s">
        <v>195</v>
      </c>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row>
    <row r="33" spans="1:128" s="1" customFormat="1" ht="13.5" customHeight="1">
      <c r="A33" s="14" t="s">
        <v>196</v>
      </c>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row>
    <row r="34" spans="1:128" s="1" customFormat="1" ht="13.5" customHeight="1">
      <c r="A34" s="14"/>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row>
    <row r="35" spans="1:128" s="1" customFormat="1" ht="13.5" customHeight="1" thickBot="1">
      <c r="A35" s="45"/>
      <c r="B35" s="45"/>
      <c r="C35" s="45"/>
      <c r="D35" s="45"/>
      <c r="E35" s="45"/>
      <c r="F35" s="45"/>
      <c r="G35" s="45"/>
      <c r="H35" s="45"/>
      <c r="I35" s="45"/>
      <c r="J35" s="45"/>
      <c r="K35" s="45"/>
      <c r="L35" s="45"/>
      <c r="M35" s="45"/>
      <c r="N35" s="45"/>
      <c r="O35" s="45"/>
      <c r="P35" s="45"/>
      <c r="Q35" s="45"/>
      <c r="R35" s="45"/>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row>
    <row r="36" spans="1:128" s="1" customFormat="1" ht="13.5" customHeight="1">
      <c r="A36" s="41"/>
      <c r="B36" s="41"/>
      <c r="C36" s="41"/>
      <c r="D36" s="41"/>
      <c r="E36" s="41"/>
      <c r="F36" s="41"/>
      <c r="G36" s="41"/>
      <c r="H36" s="41"/>
      <c r="I36" s="41"/>
      <c r="J36" s="41"/>
      <c r="K36" s="41"/>
      <c r="L36" s="41"/>
      <c r="M36" s="41"/>
      <c r="N36" s="41"/>
      <c r="O36" s="41"/>
      <c r="P36" s="41"/>
      <c r="Q36" s="41"/>
      <c r="R36" s="41"/>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row>
    <row r="37" spans="1:128" s="1" customFormat="1" ht="13.5" customHeight="1">
      <c r="A37" s="23" t="s">
        <v>342</v>
      </c>
      <c r="B37" s="8" t="s">
        <v>476</v>
      </c>
      <c r="C37" s="15"/>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row>
    <row r="38" spans="1:128" s="1" customFormat="1" ht="13.5" customHeight="1" thickBot="1">
      <c r="A38" s="251"/>
      <c r="I38" s="252"/>
      <c r="J38" s="407"/>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row>
    <row r="39" spans="1:128" s="1" customFormat="1" ht="32.25" customHeight="1" thickBot="1">
      <c r="B39" s="247" t="s">
        <v>187</v>
      </c>
      <c r="C39" s="248" t="s">
        <v>188</v>
      </c>
      <c r="D39" s="249" t="s">
        <v>189</v>
      </c>
      <c r="E39" s="253"/>
      <c r="F39" s="247" t="s">
        <v>187</v>
      </c>
      <c r="G39" s="248" t="s">
        <v>188</v>
      </c>
      <c r="H39" s="249" t="s">
        <v>189</v>
      </c>
      <c r="I39" s="254"/>
      <c r="J39" s="255"/>
      <c r="K39" s="255"/>
      <c r="L39" s="241"/>
      <c r="N39" s="242"/>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row>
    <row r="40" spans="1:128" s="1" customFormat="1" ht="13.5" customHeight="1">
      <c r="A40" s="446" t="s">
        <v>197</v>
      </c>
      <c r="B40" s="447">
        <f>B42+B41</f>
        <v>12607</v>
      </c>
      <c r="C40" s="448">
        <f>C42+C41</f>
        <v>3406</v>
      </c>
      <c r="D40" s="449">
        <f>D42+D41</f>
        <v>16013</v>
      </c>
      <c r="E40" s="253"/>
      <c r="F40" s="450">
        <f>F42+F41</f>
        <v>0.80597110343945788</v>
      </c>
      <c r="G40" s="451">
        <f>G42+G41</f>
        <v>0.28607424827817907</v>
      </c>
      <c r="H40" s="452">
        <f>H42+H41</f>
        <v>0.58127631770001453</v>
      </c>
      <c r="I40" s="254"/>
      <c r="J40" s="242"/>
      <c r="K40" s="242"/>
      <c r="L40" s="242"/>
      <c r="M40" s="242"/>
      <c r="N40" s="242"/>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row>
    <row r="41" spans="1:128" s="1" customFormat="1" ht="13.5" customHeight="1">
      <c r="A41" s="438" t="s">
        <v>198</v>
      </c>
      <c r="B41" s="453">
        <v>8781</v>
      </c>
      <c r="C41" s="256">
        <v>2156</v>
      </c>
      <c r="D41" s="454">
        <f>B41+C41</f>
        <v>10937</v>
      </c>
      <c r="E41" s="253"/>
      <c r="F41" s="455">
        <f>B41/B47</f>
        <v>0.5613732259301879</v>
      </c>
      <c r="G41" s="456">
        <f>C41/C47</f>
        <v>0.18108516714261716</v>
      </c>
      <c r="H41" s="457">
        <f>D41/D47</f>
        <v>0.39701611732249165</v>
      </c>
      <c r="I41" s="254"/>
      <c r="J41" s="242"/>
      <c r="K41" s="242"/>
      <c r="L41" s="242"/>
      <c r="M41" s="242"/>
      <c r="N41" s="242"/>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row>
    <row r="42" spans="1:128" s="1" customFormat="1" ht="13.5" customHeight="1">
      <c r="A42" s="438" t="s">
        <v>199</v>
      </c>
      <c r="B42" s="453">
        <v>3826</v>
      </c>
      <c r="C42" s="256">
        <v>1250</v>
      </c>
      <c r="D42" s="454">
        <f>B42+C42</f>
        <v>5076</v>
      </c>
      <c r="E42" s="253"/>
      <c r="F42" s="455">
        <f>B42/B47</f>
        <v>0.24459787750926992</v>
      </c>
      <c r="G42" s="456">
        <f>C42/C47</f>
        <v>0.10498908113556191</v>
      </c>
      <c r="H42" s="457">
        <f>D42/D47</f>
        <v>0.18426020037752286</v>
      </c>
      <c r="I42" s="254"/>
      <c r="J42" s="242"/>
      <c r="K42" s="242"/>
      <c r="L42" s="242"/>
      <c r="M42" s="242"/>
      <c r="N42" s="242"/>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row>
    <row r="43" spans="1:128" s="1" customFormat="1" ht="13.5" customHeight="1">
      <c r="A43" s="458" t="s">
        <v>200</v>
      </c>
      <c r="B43" s="459">
        <f>B44+B45+B46</f>
        <v>3035</v>
      </c>
      <c r="C43" s="460">
        <f>C44+C45+C46</f>
        <v>8500</v>
      </c>
      <c r="D43" s="461">
        <f>D44+D45+D46</f>
        <v>11535</v>
      </c>
      <c r="E43" s="253"/>
      <c r="F43" s="462">
        <f>F44+F45+F46</f>
        <v>0.19402889656054212</v>
      </c>
      <c r="G43" s="463">
        <f>G44+G45+G46</f>
        <v>0.71392575172182093</v>
      </c>
      <c r="H43" s="464">
        <f>H44+H45+H46</f>
        <v>0.41872368229998547</v>
      </c>
      <c r="I43" s="254"/>
      <c r="J43" s="242"/>
      <c r="K43" s="242"/>
      <c r="L43" s="242"/>
      <c r="M43" s="242"/>
      <c r="N43" s="242"/>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row>
    <row r="44" spans="1:128" s="1" customFormat="1" ht="13.5" customHeight="1">
      <c r="A44" s="438" t="s">
        <v>201</v>
      </c>
      <c r="B44" s="453">
        <v>2139</v>
      </c>
      <c r="C44" s="256">
        <v>4085</v>
      </c>
      <c r="D44" s="454">
        <f>B44+C44</f>
        <v>6224</v>
      </c>
      <c r="E44" s="241"/>
      <c r="F44" s="455">
        <f>B44/B47</f>
        <v>0.13674721902570003</v>
      </c>
      <c r="G44" s="456">
        <f>C44/C47</f>
        <v>0.3431043171510163</v>
      </c>
      <c r="H44" s="457">
        <f>D44/D47</f>
        <v>0.22593291709016988</v>
      </c>
      <c r="I44" s="254"/>
      <c r="J44" s="242"/>
      <c r="K44" s="242"/>
      <c r="L44" s="242"/>
      <c r="M44" s="242"/>
      <c r="N44" s="242"/>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row>
    <row r="45" spans="1:128" s="1" customFormat="1" ht="13.5" customHeight="1">
      <c r="A45" s="438" t="s">
        <v>202</v>
      </c>
      <c r="B45" s="453">
        <f>623+226</f>
        <v>849</v>
      </c>
      <c r="C45" s="256">
        <f>3468+725</f>
        <v>4193</v>
      </c>
      <c r="D45" s="454">
        <f>B45+C45</f>
        <v>5042</v>
      </c>
      <c r="E45" s="241"/>
      <c r="F45" s="455">
        <f>B45/B47</f>
        <v>5.4276946682009976E-2</v>
      </c>
      <c r="G45" s="456">
        <f>C45/C47</f>
        <v>0.35217537376112884</v>
      </c>
      <c r="H45" s="457">
        <f>D45/D47</f>
        <v>0.18302599099753158</v>
      </c>
      <c r="I45" s="254"/>
      <c r="J45" s="242"/>
      <c r="K45" s="242"/>
      <c r="L45" s="242"/>
      <c r="M45" s="242"/>
      <c r="N45" s="242"/>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row>
    <row r="46" spans="1:128" s="1" customFormat="1" ht="13.5" customHeight="1">
      <c r="A46" s="438" t="s">
        <v>203</v>
      </c>
      <c r="B46" s="453">
        <v>47</v>
      </c>
      <c r="C46" s="256">
        <v>222</v>
      </c>
      <c r="D46" s="454">
        <f>B46+C46</f>
        <v>269</v>
      </c>
      <c r="E46" s="241"/>
      <c r="F46" s="455">
        <f>B46/B47</f>
        <v>3.0047308528321185E-3</v>
      </c>
      <c r="G46" s="456">
        <f>C46/C47</f>
        <v>1.8646060809675794E-2</v>
      </c>
      <c r="H46" s="457">
        <f>D46/D47</f>
        <v>9.7647742122840137E-3</v>
      </c>
      <c r="I46" s="254"/>
      <c r="J46" s="242"/>
      <c r="K46" s="242"/>
      <c r="L46" s="242"/>
      <c r="M46" s="242"/>
      <c r="N46" s="242"/>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row>
    <row r="47" spans="1:128" s="252" customFormat="1" ht="13.5" customHeight="1" thickBot="1">
      <c r="A47" s="442" t="s">
        <v>18</v>
      </c>
      <c r="B47" s="465">
        <f>B40+B43</f>
        <v>15642</v>
      </c>
      <c r="C47" s="466">
        <f>C40+C43</f>
        <v>11906</v>
      </c>
      <c r="D47" s="467">
        <f>D40+D43</f>
        <v>27548</v>
      </c>
      <c r="E47" s="241"/>
      <c r="F47" s="468">
        <f>F40+F43</f>
        <v>1</v>
      </c>
      <c r="G47" s="469">
        <f>G40+G43</f>
        <v>1</v>
      </c>
      <c r="H47" s="470">
        <f>H40+H43</f>
        <v>1</v>
      </c>
      <c r="I47" s="254"/>
      <c r="J47" s="257"/>
      <c r="K47" s="257"/>
      <c r="L47" s="257"/>
      <c r="M47" s="257"/>
      <c r="N47" s="257"/>
    </row>
    <row r="48" spans="1:128" s="1" customFormat="1" ht="13.5" customHeight="1">
      <c r="A48" s="14" t="s">
        <v>184</v>
      </c>
      <c r="B48" s="15"/>
      <c r="C48" s="15"/>
      <c r="D48" s="15"/>
      <c r="E48" s="15"/>
      <c r="F48" s="15"/>
      <c r="G48" s="27"/>
      <c r="H48" s="63"/>
      <c r="I48" s="252"/>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row>
    <row r="49" spans="1:128" s="1" customFormat="1" ht="13.5" customHeight="1">
      <c r="A49" s="14" t="s">
        <v>204</v>
      </c>
      <c r="B49" s="15"/>
      <c r="C49" s="15"/>
      <c r="D49" s="15"/>
      <c r="E49" s="15"/>
      <c r="F49" s="15"/>
      <c r="G49" s="27"/>
      <c r="H49" s="63"/>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row>
    <row r="50" spans="1:128" s="1" customFormat="1" ht="13.5" customHeight="1">
      <c r="A50" s="14" t="s">
        <v>205</v>
      </c>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row>
    <row r="51" spans="1:128" s="1" customFormat="1" ht="13.5" customHeight="1">
      <c r="A51" s="14" t="s">
        <v>206</v>
      </c>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row>
    <row r="52" spans="1:128" s="1" customFormat="1" ht="13.5" customHeight="1">
      <c r="A52" s="14" t="s">
        <v>207</v>
      </c>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row>
    <row r="53" spans="1:128" s="1" customFormat="1" ht="13.5" customHeight="1">
      <c r="A53" s="14"/>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row>
    <row r="54" spans="1:128" s="1" customFormat="1" ht="13.5" customHeight="1" thickBot="1">
      <c r="A54" s="45"/>
      <c r="B54" s="45"/>
      <c r="C54" s="45"/>
      <c r="D54" s="45"/>
      <c r="E54" s="45"/>
      <c r="F54" s="45"/>
      <c r="G54" s="45"/>
      <c r="H54" s="45"/>
      <c r="I54" s="45"/>
      <c r="J54" s="45"/>
      <c r="K54" s="45"/>
      <c r="L54" s="45"/>
      <c r="M54" s="45"/>
      <c r="N54" s="45"/>
      <c r="O54" s="45"/>
      <c r="P54" s="45"/>
      <c r="Q54" s="45"/>
      <c r="R54" s="45"/>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row>
    <row r="55" spans="1:128" s="1" customFormat="1" ht="13.5" customHeight="1">
      <c r="A55" s="41"/>
      <c r="B55" s="41"/>
      <c r="C55" s="41"/>
      <c r="D55" s="41"/>
      <c r="E55" s="41"/>
      <c r="F55" s="41"/>
      <c r="G55" s="41"/>
      <c r="H55" s="41"/>
      <c r="I55" s="41"/>
      <c r="J55" s="41"/>
      <c r="K55" s="41"/>
      <c r="L55" s="41"/>
      <c r="M55" s="41"/>
      <c r="N55" s="41"/>
      <c r="O55" s="41"/>
      <c r="P55" s="41"/>
      <c r="Q55" s="41"/>
      <c r="R55" s="41"/>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row>
    <row r="56" spans="1:128" s="15" customFormat="1" ht="13.5" customHeight="1">
      <c r="A56" s="23" t="s">
        <v>343</v>
      </c>
      <c r="B56" s="8" t="s">
        <v>477</v>
      </c>
      <c r="C56" s="1"/>
      <c r="D56" s="1"/>
      <c r="E56" s="1"/>
      <c r="G56" s="407"/>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c r="BS56" s="41"/>
      <c r="BT56" s="41"/>
      <c r="BU56" s="41"/>
      <c r="BV56" s="41"/>
      <c r="BW56" s="41"/>
      <c r="BX56" s="41"/>
      <c r="BY56" s="41"/>
      <c r="BZ56" s="41"/>
      <c r="CA56" s="41"/>
      <c r="CB56" s="41"/>
      <c r="CC56" s="41"/>
      <c r="CD56" s="41"/>
      <c r="CE56" s="41"/>
      <c r="CF56" s="41"/>
      <c r="CG56" s="41"/>
      <c r="CH56" s="41"/>
      <c r="CI56" s="41"/>
      <c r="CJ56" s="41"/>
      <c r="CK56" s="41"/>
      <c r="CL56" s="41"/>
      <c r="CM56" s="41"/>
      <c r="CN56" s="41"/>
      <c r="CO56" s="41"/>
      <c r="CP56" s="41"/>
      <c r="CQ56" s="41"/>
      <c r="CR56" s="41"/>
      <c r="CS56" s="41"/>
      <c r="CT56" s="41"/>
      <c r="CU56" s="41"/>
      <c r="CV56" s="41"/>
      <c r="CW56" s="41"/>
      <c r="CX56" s="41"/>
      <c r="CY56" s="41"/>
      <c r="CZ56" s="41"/>
      <c r="DA56" s="41"/>
      <c r="DB56" s="41"/>
      <c r="DC56" s="41"/>
      <c r="DD56" s="41"/>
      <c r="DE56" s="41"/>
      <c r="DF56" s="41"/>
      <c r="DG56" s="41"/>
      <c r="DH56" s="41"/>
      <c r="DI56" s="41"/>
      <c r="DJ56" s="41"/>
      <c r="DK56" s="41"/>
      <c r="DL56" s="41"/>
      <c r="DM56" s="41"/>
      <c r="DN56" s="41"/>
      <c r="DO56" s="41"/>
      <c r="DP56" s="41"/>
      <c r="DQ56" s="41"/>
      <c r="DR56" s="41"/>
      <c r="DS56" s="41"/>
      <c r="DT56" s="41"/>
      <c r="DU56" s="41"/>
      <c r="DV56" s="41"/>
      <c r="DW56" s="41"/>
      <c r="DX56" s="41"/>
    </row>
    <row r="57" spans="1:128" s="15" customFormat="1" ht="13.5" customHeight="1">
      <c r="A57" s="1"/>
      <c r="B57" s="1"/>
      <c r="C57" s="1"/>
      <c r="D57" s="1"/>
      <c r="E57" s="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41"/>
      <c r="BV57" s="41"/>
      <c r="BW57" s="41"/>
      <c r="BX57" s="41"/>
      <c r="BY57" s="41"/>
      <c r="BZ57" s="41"/>
      <c r="CA57" s="41"/>
      <c r="CB57" s="41"/>
      <c r="CC57" s="41"/>
      <c r="CD57" s="41"/>
      <c r="CE57" s="41"/>
      <c r="CF57" s="41"/>
      <c r="CG57" s="41"/>
      <c r="CH57" s="41"/>
      <c r="CI57" s="41"/>
      <c r="CJ57" s="41"/>
      <c r="CK57" s="41"/>
      <c r="CL57" s="41"/>
      <c r="CM57" s="41"/>
      <c r="CN57" s="41"/>
      <c r="CO57" s="41"/>
      <c r="CP57" s="41"/>
      <c r="CQ57" s="41"/>
      <c r="CR57" s="41"/>
      <c r="CS57" s="41"/>
      <c r="CT57" s="41"/>
      <c r="CU57" s="41"/>
      <c r="CV57" s="41"/>
      <c r="CW57" s="41"/>
      <c r="CX57" s="41"/>
      <c r="CY57" s="41"/>
      <c r="CZ57" s="41"/>
      <c r="DA57" s="41"/>
      <c r="DB57" s="41"/>
      <c r="DC57" s="41"/>
      <c r="DD57" s="41"/>
      <c r="DE57" s="41"/>
      <c r="DF57" s="41"/>
      <c r="DG57" s="41"/>
      <c r="DH57" s="41"/>
      <c r="DI57" s="41"/>
      <c r="DJ57" s="41"/>
      <c r="DK57" s="41"/>
      <c r="DL57" s="41"/>
      <c r="DM57" s="41"/>
      <c r="DN57" s="41"/>
      <c r="DO57" s="41"/>
      <c r="DP57" s="41"/>
      <c r="DQ57" s="41"/>
      <c r="DR57" s="41"/>
      <c r="DS57" s="41"/>
      <c r="DT57" s="41"/>
      <c r="DU57" s="41"/>
      <c r="DV57" s="41"/>
      <c r="DW57" s="41"/>
      <c r="DX57" s="41"/>
    </row>
    <row r="58" spans="1:128" s="15" customFormat="1" ht="13.5" customHeight="1">
      <c r="A58" s="258"/>
      <c r="B58" s="259" t="s">
        <v>420</v>
      </c>
      <c r="C58" s="260"/>
      <c r="D58" s="260"/>
      <c r="E58" s="260"/>
      <c r="F58" s="259" t="s">
        <v>421</v>
      </c>
      <c r="G58" s="261"/>
      <c r="H58" s="261"/>
      <c r="I58" s="261"/>
      <c r="J58" s="259" t="s">
        <v>422</v>
      </c>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41"/>
      <c r="CY58" s="41"/>
      <c r="CZ58" s="41"/>
      <c r="DA58" s="41"/>
      <c r="DB58" s="41"/>
      <c r="DC58" s="41"/>
      <c r="DD58" s="41"/>
      <c r="DE58" s="41"/>
      <c r="DF58" s="41"/>
      <c r="DG58" s="41"/>
      <c r="DH58" s="41"/>
      <c r="DI58" s="41"/>
      <c r="DJ58" s="41"/>
      <c r="DK58" s="41"/>
      <c r="DL58" s="41"/>
      <c r="DM58" s="41"/>
      <c r="DN58" s="41"/>
      <c r="DO58" s="41"/>
      <c r="DP58" s="41"/>
      <c r="DQ58" s="41"/>
      <c r="DR58" s="41"/>
      <c r="DS58" s="41"/>
      <c r="DT58" s="41"/>
      <c r="DU58" s="41"/>
      <c r="DV58" s="41"/>
      <c r="DW58" s="41"/>
      <c r="DX58" s="41"/>
    </row>
    <row r="59" spans="1:128" s="15" customFormat="1" ht="5.0999999999999996" customHeight="1" thickBot="1">
      <c r="A59" s="1"/>
      <c r="B59" s="262"/>
      <c r="C59" s="1"/>
      <c r="D59" s="1"/>
      <c r="E59" s="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1"/>
      <c r="BL59" s="41"/>
      <c r="BM59" s="41"/>
      <c r="BN59" s="41"/>
      <c r="BO59" s="41"/>
      <c r="BP59" s="41"/>
      <c r="BQ59" s="41"/>
      <c r="BR59" s="41"/>
      <c r="BS59" s="41"/>
      <c r="BT59" s="41"/>
      <c r="BU59" s="41"/>
      <c r="BV59" s="41"/>
      <c r="BW59" s="41"/>
      <c r="BX59" s="41"/>
      <c r="BY59" s="41"/>
      <c r="BZ59" s="41"/>
      <c r="CA59" s="41"/>
      <c r="CB59" s="41"/>
      <c r="CC59" s="41"/>
      <c r="CD59" s="41"/>
      <c r="CE59" s="41"/>
      <c r="CF59" s="41"/>
      <c r="CG59" s="41"/>
      <c r="CH59" s="41"/>
      <c r="CI59" s="41"/>
      <c r="CJ59" s="41"/>
      <c r="CK59" s="41"/>
      <c r="CL59" s="41"/>
      <c r="CM59" s="41"/>
      <c r="CN59" s="41"/>
      <c r="CO59" s="41"/>
      <c r="CP59" s="41"/>
      <c r="CQ59" s="41"/>
      <c r="CR59" s="41"/>
      <c r="CS59" s="41"/>
      <c r="CT59" s="41"/>
      <c r="CU59" s="41"/>
      <c r="CV59" s="41"/>
      <c r="CW59" s="41"/>
      <c r="CX59" s="41"/>
      <c r="CY59" s="41"/>
      <c r="CZ59" s="41"/>
      <c r="DA59" s="41"/>
      <c r="DB59" s="41"/>
      <c r="DC59" s="41"/>
      <c r="DD59" s="41"/>
      <c r="DE59" s="41"/>
      <c r="DF59" s="41"/>
      <c r="DG59" s="41"/>
      <c r="DH59" s="41"/>
      <c r="DI59" s="41"/>
      <c r="DJ59" s="41"/>
      <c r="DK59" s="41"/>
      <c r="DL59" s="41"/>
      <c r="DM59" s="41"/>
      <c r="DN59" s="41"/>
      <c r="DO59" s="41"/>
      <c r="DP59" s="41"/>
      <c r="DQ59" s="41"/>
      <c r="DR59" s="41"/>
      <c r="DS59" s="41"/>
      <c r="DT59" s="41"/>
      <c r="DU59" s="41"/>
      <c r="DV59" s="41"/>
      <c r="DW59" s="41"/>
      <c r="DX59" s="41"/>
    </row>
    <row r="60" spans="1:128" s="15" customFormat="1" ht="32.25" customHeight="1" thickBot="1">
      <c r="B60" s="247" t="s">
        <v>187</v>
      </c>
      <c r="C60" s="248" t="s">
        <v>188</v>
      </c>
      <c r="D60" s="249" t="s">
        <v>189</v>
      </c>
      <c r="E60" s="1"/>
      <c r="F60" s="247" t="s">
        <v>187</v>
      </c>
      <c r="G60" s="248" t="s">
        <v>188</v>
      </c>
      <c r="H60" s="249" t="s">
        <v>189</v>
      </c>
      <c r="J60" s="247" t="s">
        <v>187</v>
      </c>
      <c r="K60" s="248" t="s">
        <v>188</v>
      </c>
      <c r="L60" s="249" t="s">
        <v>189</v>
      </c>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1"/>
      <c r="BJ60" s="41"/>
      <c r="BK60" s="41"/>
      <c r="BL60" s="41"/>
      <c r="BM60" s="41"/>
      <c r="BN60" s="41"/>
      <c r="BO60" s="41"/>
      <c r="BP60" s="41"/>
      <c r="BQ60" s="41"/>
      <c r="BR60" s="41"/>
      <c r="BS60" s="41"/>
      <c r="BT60" s="41"/>
      <c r="BU60" s="41"/>
      <c r="BV60" s="41"/>
      <c r="BW60" s="41"/>
      <c r="BX60" s="41"/>
      <c r="BY60" s="41"/>
      <c r="BZ60" s="41"/>
      <c r="CA60" s="41"/>
      <c r="CB60" s="41"/>
      <c r="CC60" s="41"/>
      <c r="CD60" s="41"/>
      <c r="CE60" s="41"/>
      <c r="CF60" s="41"/>
      <c r="CG60" s="41"/>
      <c r="CH60" s="41"/>
      <c r="CI60" s="41"/>
      <c r="CJ60" s="41"/>
      <c r="CK60" s="41"/>
      <c r="CL60" s="41"/>
      <c r="CM60" s="41"/>
      <c r="CN60" s="41"/>
      <c r="CO60" s="41"/>
      <c r="CP60" s="41"/>
      <c r="CQ60" s="41"/>
      <c r="CR60" s="41"/>
      <c r="CS60" s="41"/>
      <c r="CT60" s="41"/>
      <c r="CU60" s="41"/>
      <c r="CV60" s="41"/>
      <c r="CW60" s="41"/>
      <c r="CX60" s="41"/>
      <c r="CY60" s="41"/>
      <c r="CZ60" s="41"/>
      <c r="DA60" s="41"/>
      <c r="DB60" s="41"/>
      <c r="DC60" s="41"/>
      <c r="DD60" s="41"/>
      <c r="DE60" s="41"/>
      <c r="DF60" s="41"/>
      <c r="DG60" s="41"/>
      <c r="DH60" s="41"/>
      <c r="DI60" s="41"/>
      <c r="DJ60" s="41"/>
      <c r="DK60" s="41"/>
      <c r="DL60" s="41"/>
      <c r="DM60" s="41"/>
      <c r="DN60" s="41"/>
      <c r="DO60" s="41"/>
      <c r="DP60" s="41"/>
      <c r="DQ60" s="41"/>
      <c r="DR60" s="41"/>
      <c r="DS60" s="41"/>
      <c r="DT60" s="41"/>
      <c r="DU60" s="41"/>
      <c r="DV60" s="41"/>
      <c r="DW60" s="41"/>
      <c r="DX60" s="41"/>
    </row>
    <row r="61" spans="1:128" s="15" customFormat="1" ht="13.5" customHeight="1">
      <c r="A61" s="434" t="s">
        <v>423</v>
      </c>
      <c r="B61" s="471">
        <v>0.32700000000000001</v>
      </c>
      <c r="C61" s="472">
        <v>0.29699999999999999</v>
      </c>
      <c r="D61" s="473">
        <v>0.32100000000000001</v>
      </c>
      <c r="E61" s="245"/>
      <c r="F61" s="471">
        <v>0.48299999999999998</v>
      </c>
      <c r="G61" s="472">
        <v>0.39</v>
      </c>
      <c r="H61" s="473">
        <v>0.41899999999999998</v>
      </c>
      <c r="J61" s="471">
        <v>0.14099999999999999</v>
      </c>
      <c r="K61" s="472">
        <v>8.1000000000000003E-2</v>
      </c>
      <c r="L61" s="473">
        <v>9.0999999999999998E-2</v>
      </c>
      <c r="R61" s="28"/>
      <c r="S61" s="28"/>
      <c r="T61" s="28"/>
      <c r="U61" s="28"/>
      <c r="V61" s="28"/>
      <c r="W61" s="250"/>
      <c r="X61" s="250"/>
      <c r="Y61" s="250"/>
      <c r="Z61" s="250"/>
      <c r="AA61" s="250"/>
      <c r="AB61" s="250"/>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c r="BS61" s="41"/>
      <c r="BT61" s="41"/>
      <c r="BU61" s="41"/>
      <c r="BV61" s="41"/>
      <c r="BW61" s="41"/>
      <c r="BX61" s="41"/>
      <c r="BY61" s="41"/>
      <c r="BZ61" s="41"/>
      <c r="CA61" s="41"/>
      <c r="CB61" s="41"/>
      <c r="CC61" s="41"/>
      <c r="CD61" s="41"/>
      <c r="CE61" s="41"/>
      <c r="CF61" s="41"/>
      <c r="CG61" s="41"/>
      <c r="CH61" s="41"/>
      <c r="CI61" s="41"/>
      <c r="CJ61" s="41"/>
      <c r="CK61" s="41"/>
      <c r="CL61" s="41"/>
      <c r="CM61" s="41"/>
      <c r="CN61" s="41"/>
      <c r="CO61" s="41"/>
      <c r="CP61" s="41"/>
      <c r="CQ61" s="41"/>
      <c r="CR61" s="41"/>
      <c r="CS61" s="41"/>
      <c r="CT61" s="41"/>
      <c r="CU61" s="41"/>
      <c r="CV61" s="41"/>
      <c r="CW61" s="41"/>
      <c r="CX61" s="41"/>
      <c r="CY61" s="41"/>
      <c r="CZ61" s="41"/>
      <c r="DA61" s="41"/>
      <c r="DB61" s="41"/>
      <c r="DC61" s="41"/>
      <c r="DD61" s="41"/>
      <c r="DE61" s="41"/>
      <c r="DF61" s="41"/>
      <c r="DG61" s="41"/>
      <c r="DH61" s="41"/>
      <c r="DI61" s="41"/>
      <c r="DJ61" s="41"/>
      <c r="DK61" s="41"/>
      <c r="DL61" s="41"/>
      <c r="DM61" s="41"/>
      <c r="DN61" s="41"/>
      <c r="DO61" s="41"/>
      <c r="DP61" s="41"/>
      <c r="DQ61" s="41"/>
      <c r="DR61" s="41"/>
      <c r="DS61" s="41"/>
      <c r="DT61" s="41"/>
      <c r="DU61" s="41"/>
      <c r="DV61" s="41"/>
      <c r="DW61" s="41"/>
      <c r="DX61" s="41"/>
    </row>
    <row r="62" spans="1:128" s="15" customFormat="1" ht="13.5" customHeight="1">
      <c r="A62" s="438" t="s">
        <v>424</v>
      </c>
      <c r="B62" s="474">
        <v>0.20799999999999999</v>
      </c>
      <c r="C62" s="475">
        <v>0.36199999999999999</v>
      </c>
      <c r="D62" s="476">
        <v>0.24099999999999999</v>
      </c>
      <c r="E62" s="245"/>
      <c r="F62" s="474">
        <v>0.17</v>
      </c>
      <c r="G62" s="475">
        <v>0.23899999999999999</v>
      </c>
      <c r="H62" s="476">
        <v>0.217</v>
      </c>
      <c r="J62" s="474">
        <v>0.14399999999999999</v>
      </c>
      <c r="K62" s="475">
        <v>0.496</v>
      </c>
      <c r="L62" s="476">
        <v>0.438</v>
      </c>
      <c r="R62" s="28"/>
      <c r="S62" s="28"/>
      <c r="T62" s="28"/>
      <c r="U62" s="28"/>
      <c r="V62" s="28"/>
      <c r="W62" s="250"/>
      <c r="X62" s="250"/>
      <c r="Y62" s="250"/>
      <c r="Z62" s="250"/>
      <c r="AA62" s="250"/>
      <c r="AB62" s="250"/>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c r="CC62" s="41"/>
      <c r="CD62" s="41"/>
      <c r="CE62" s="41"/>
      <c r="CF62" s="41"/>
      <c r="CG62" s="41"/>
      <c r="CH62" s="41"/>
      <c r="CI62" s="41"/>
      <c r="CJ62" s="41"/>
      <c r="CK62" s="41"/>
      <c r="CL62" s="41"/>
      <c r="CM62" s="41"/>
      <c r="CN62" s="41"/>
      <c r="CO62" s="41"/>
      <c r="CP62" s="41"/>
      <c r="CQ62" s="41"/>
      <c r="CR62" s="41"/>
      <c r="CS62" s="41"/>
      <c r="CT62" s="41"/>
      <c r="CU62" s="41"/>
      <c r="CV62" s="41"/>
      <c r="CW62" s="41"/>
      <c r="CX62" s="41"/>
      <c r="CY62" s="41"/>
      <c r="CZ62" s="41"/>
      <c r="DA62" s="41"/>
      <c r="DB62" s="41"/>
      <c r="DC62" s="41"/>
      <c r="DD62" s="41"/>
      <c r="DE62" s="41"/>
      <c r="DF62" s="41"/>
      <c r="DG62" s="41"/>
      <c r="DH62" s="41"/>
      <c r="DI62" s="41"/>
      <c r="DJ62" s="41"/>
      <c r="DK62" s="41"/>
      <c r="DL62" s="41"/>
      <c r="DM62" s="41"/>
      <c r="DN62" s="41"/>
      <c r="DO62" s="41"/>
      <c r="DP62" s="41"/>
      <c r="DQ62" s="41"/>
      <c r="DR62" s="41"/>
      <c r="DS62" s="41"/>
      <c r="DT62" s="41"/>
      <c r="DU62" s="41"/>
      <c r="DV62" s="41"/>
      <c r="DW62" s="41"/>
      <c r="DX62" s="41"/>
    </row>
    <row r="63" spans="1:128" s="15" customFormat="1" ht="13.5" customHeight="1">
      <c r="A63" s="438" t="s">
        <v>425</v>
      </c>
      <c r="B63" s="474">
        <v>0.32400000000000001</v>
      </c>
      <c r="C63" s="475">
        <v>0.23100000000000001</v>
      </c>
      <c r="D63" s="476">
        <v>0.30399999999999999</v>
      </c>
      <c r="E63" s="245"/>
      <c r="F63" s="474">
        <v>0.17299999999999999</v>
      </c>
      <c r="G63" s="475">
        <v>0.20699999999999999</v>
      </c>
      <c r="H63" s="476">
        <v>0.19700000000000001</v>
      </c>
      <c r="J63" s="474">
        <v>0.48299999999999998</v>
      </c>
      <c r="K63" s="475">
        <v>0.33300000000000002</v>
      </c>
      <c r="L63" s="476">
        <v>0.35799999999999998</v>
      </c>
      <c r="R63" s="28"/>
      <c r="S63" s="28"/>
      <c r="T63" s="28"/>
      <c r="U63" s="28"/>
      <c r="V63" s="28"/>
      <c r="W63" s="250"/>
      <c r="X63" s="250"/>
      <c r="Y63" s="250"/>
      <c r="Z63" s="250"/>
      <c r="AA63" s="250"/>
      <c r="AB63" s="250"/>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c r="CD63" s="41"/>
      <c r="CE63" s="41"/>
      <c r="CF63" s="41"/>
      <c r="CG63" s="41"/>
      <c r="CH63" s="41"/>
      <c r="CI63" s="41"/>
      <c r="CJ63" s="41"/>
      <c r="CK63" s="41"/>
      <c r="CL63" s="41"/>
      <c r="CM63" s="41"/>
      <c r="CN63" s="41"/>
      <c r="CO63" s="41"/>
      <c r="CP63" s="41"/>
      <c r="CQ63" s="41"/>
      <c r="CR63" s="41"/>
      <c r="CS63" s="41"/>
      <c r="CT63" s="41"/>
      <c r="CU63" s="41"/>
      <c r="CV63" s="41"/>
      <c r="CW63" s="41"/>
      <c r="CX63" s="41"/>
      <c r="CY63" s="41"/>
      <c r="CZ63" s="41"/>
      <c r="DA63" s="41"/>
      <c r="DB63" s="41"/>
      <c r="DC63" s="41"/>
      <c r="DD63" s="41"/>
      <c r="DE63" s="41"/>
      <c r="DF63" s="41"/>
      <c r="DG63" s="41"/>
      <c r="DH63" s="41"/>
      <c r="DI63" s="41"/>
      <c r="DJ63" s="41"/>
      <c r="DK63" s="41"/>
      <c r="DL63" s="41"/>
      <c r="DM63" s="41"/>
      <c r="DN63" s="41"/>
      <c r="DO63" s="41"/>
      <c r="DP63" s="41"/>
      <c r="DQ63" s="41"/>
      <c r="DR63" s="41"/>
      <c r="DS63" s="41"/>
      <c r="DT63" s="41"/>
      <c r="DU63" s="41"/>
      <c r="DV63" s="41"/>
      <c r="DW63" s="41"/>
      <c r="DX63" s="41"/>
    </row>
    <row r="64" spans="1:128" s="15" customFormat="1" ht="13.5" customHeight="1">
      <c r="A64" s="438" t="s">
        <v>426</v>
      </c>
      <c r="B64" s="474">
        <v>0.14099999999999999</v>
      </c>
      <c r="C64" s="475">
        <v>0.11</v>
      </c>
      <c r="D64" s="476">
        <v>0.13400000000000001</v>
      </c>
      <c r="E64" s="245"/>
      <c r="F64" s="474">
        <v>0.17399999999999999</v>
      </c>
      <c r="G64" s="475">
        <v>0.16400000000000001</v>
      </c>
      <c r="H64" s="476">
        <v>0.16700000000000001</v>
      </c>
      <c r="J64" s="474">
        <v>0.23200000000000001</v>
      </c>
      <c r="K64" s="475">
        <v>0.09</v>
      </c>
      <c r="L64" s="476">
        <v>0.113</v>
      </c>
      <c r="R64" s="28"/>
      <c r="S64" s="28"/>
      <c r="T64" s="28"/>
      <c r="U64" s="28"/>
      <c r="V64" s="28"/>
      <c r="W64" s="250"/>
      <c r="X64" s="250"/>
      <c r="Y64" s="250"/>
      <c r="Z64" s="250"/>
      <c r="AA64" s="250"/>
      <c r="AB64" s="250"/>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1"/>
      <c r="BZ64" s="41"/>
      <c r="CA64" s="41"/>
      <c r="CB64" s="41"/>
      <c r="CC64" s="41"/>
      <c r="CD64" s="41"/>
      <c r="CE64" s="41"/>
      <c r="CF64" s="41"/>
      <c r="CG64" s="41"/>
      <c r="CH64" s="41"/>
      <c r="CI64" s="41"/>
      <c r="CJ64" s="41"/>
      <c r="CK64" s="41"/>
      <c r="CL64" s="41"/>
      <c r="CM64" s="41"/>
      <c r="CN64" s="41"/>
      <c r="CO64" s="41"/>
      <c r="CP64" s="41"/>
      <c r="CQ64" s="41"/>
      <c r="CR64" s="41"/>
      <c r="CS64" s="41"/>
      <c r="CT64" s="41"/>
      <c r="CU64" s="41"/>
      <c r="CV64" s="41"/>
      <c r="CW64" s="41"/>
      <c r="CX64" s="41"/>
      <c r="CY64" s="41"/>
      <c r="CZ64" s="41"/>
      <c r="DA64" s="41"/>
      <c r="DB64" s="41"/>
      <c r="DC64" s="41"/>
      <c r="DD64" s="41"/>
      <c r="DE64" s="41"/>
      <c r="DF64" s="41"/>
      <c r="DG64" s="41"/>
      <c r="DH64" s="41"/>
      <c r="DI64" s="41"/>
      <c r="DJ64" s="41"/>
      <c r="DK64" s="41"/>
      <c r="DL64" s="41"/>
      <c r="DM64" s="41"/>
      <c r="DN64" s="41"/>
      <c r="DO64" s="41"/>
      <c r="DP64" s="41"/>
      <c r="DQ64" s="41"/>
      <c r="DR64" s="41"/>
      <c r="DS64" s="41"/>
      <c r="DT64" s="41"/>
      <c r="DU64" s="41"/>
      <c r="DV64" s="41"/>
      <c r="DW64" s="41"/>
      <c r="DX64" s="41"/>
    </row>
    <row r="65" spans="1:128" s="15" customFormat="1" ht="13.5" customHeight="1" thickBot="1">
      <c r="A65" s="442" t="s">
        <v>18</v>
      </c>
      <c r="B65" s="477">
        <f>SUM(B61:B64)</f>
        <v>1</v>
      </c>
      <c r="C65" s="478">
        <f>SUM(C61:C64)</f>
        <v>1</v>
      </c>
      <c r="D65" s="479">
        <f>SUM(D61:D64)</f>
        <v>1</v>
      </c>
      <c r="E65" s="245"/>
      <c r="F65" s="477">
        <f>SUM(F61:F64)</f>
        <v>1</v>
      </c>
      <c r="G65" s="478">
        <f>SUM(G61:G64)</f>
        <v>1</v>
      </c>
      <c r="H65" s="479">
        <f>SUM(H61:H64)</f>
        <v>1</v>
      </c>
      <c r="J65" s="477">
        <f>SUM(J61:J64)</f>
        <v>1</v>
      </c>
      <c r="K65" s="478">
        <f>SUM(K61:K64)</f>
        <v>0.99999999999999989</v>
      </c>
      <c r="L65" s="479">
        <f>SUM(L61:L64)</f>
        <v>1</v>
      </c>
      <c r="R65" s="27"/>
      <c r="S65" s="27"/>
      <c r="T65" s="27"/>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c r="CD65" s="41"/>
      <c r="CE65" s="41"/>
      <c r="CF65" s="41"/>
      <c r="CG65" s="41"/>
      <c r="CH65" s="41"/>
      <c r="CI65" s="41"/>
      <c r="CJ65" s="41"/>
      <c r="CK65" s="41"/>
      <c r="CL65" s="41"/>
      <c r="CM65" s="41"/>
      <c r="CN65" s="41"/>
      <c r="CO65" s="41"/>
      <c r="CP65" s="41"/>
      <c r="CQ65" s="41"/>
      <c r="CR65" s="41"/>
      <c r="CS65" s="41"/>
      <c r="CT65" s="41"/>
      <c r="CU65" s="41"/>
      <c r="CV65" s="41"/>
      <c r="CW65" s="41"/>
      <c r="CX65" s="41"/>
      <c r="CY65" s="41"/>
      <c r="CZ65" s="41"/>
      <c r="DA65" s="41"/>
      <c r="DB65" s="41"/>
      <c r="DC65" s="41"/>
      <c r="DD65" s="41"/>
      <c r="DE65" s="41"/>
      <c r="DF65" s="41"/>
      <c r="DG65" s="41"/>
      <c r="DH65" s="41"/>
      <c r="DI65" s="41"/>
      <c r="DJ65" s="41"/>
      <c r="DK65" s="41"/>
      <c r="DL65" s="41"/>
      <c r="DM65" s="41"/>
      <c r="DN65" s="41"/>
      <c r="DO65" s="41"/>
      <c r="DP65" s="41"/>
      <c r="DQ65" s="41"/>
      <c r="DR65" s="41"/>
      <c r="DS65" s="41"/>
      <c r="DT65" s="41"/>
      <c r="DU65" s="41"/>
      <c r="DV65" s="41"/>
      <c r="DW65" s="41"/>
      <c r="DX65" s="41"/>
    </row>
    <row r="66" spans="1:128" s="15" customFormat="1" ht="13.5" customHeight="1">
      <c r="A66" s="14" t="s">
        <v>195</v>
      </c>
      <c r="B66" s="1"/>
      <c r="C66" s="1"/>
      <c r="D66" s="1"/>
      <c r="E66" s="1"/>
      <c r="F66" s="14"/>
      <c r="J66" s="14"/>
      <c r="N66" s="14"/>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1"/>
      <c r="BZ66" s="41"/>
      <c r="CA66" s="41"/>
      <c r="CB66" s="41"/>
      <c r="CC66" s="41"/>
      <c r="CD66" s="41"/>
      <c r="CE66" s="41"/>
      <c r="CF66" s="41"/>
      <c r="CG66" s="41"/>
      <c r="CH66" s="41"/>
      <c r="CI66" s="41"/>
      <c r="CJ66" s="41"/>
      <c r="CK66" s="41"/>
      <c r="CL66" s="41"/>
      <c r="CM66" s="41"/>
      <c r="CN66" s="41"/>
      <c r="CO66" s="41"/>
      <c r="CP66" s="41"/>
      <c r="CQ66" s="41"/>
      <c r="CR66" s="41"/>
      <c r="CS66" s="41"/>
      <c r="CT66" s="41"/>
      <c r="CU66" s="41"/>
      <c r="CV66" s="41"/>
      <c r="CW66" s="41"/>
      <c r="CX66" s="41"/>
      <c r="CY66" s="41"/>
      <c r="CZ66" s="41"/>
      <c r="DA66" s="41"/>
      <c r="DB66" s="41"/>
      <c r="DC66" s="41"/>
      <c r="DD66" s="41"/>
      <c r="DE66" s="41"/>
      <c r="DF66" s="41"/>
      <c r="DG66" s="41"/>
      <c r="DH66" s="41"/>
      <c r="DI66" s="41"/>
      <c r="DJ66" s="41"/>
      <c r="DK66" s="41"/>
      <c r="DL66" s="41"/>
      <c r="DM66" s="41"/>
      <c r="DN66" s="41"/>
      <c r="DO66" s="41"/>
      <c r="DP66" s="41"/>
      <c r="DQ66" s="41"/>
      <c r="DR66" s="41"/>
      <c r="DS66" s="41"/>
      <c r="DT66" s="41"/>
      <c r="DU66" s="41"/>
      <c r="DV66" s="41"/>
      <c r="DW66" s="41"/>
      <c r="DX66" s="41"/>
    </row>
    <row r="67" spans="1:128" s="15" customFormat="1" ht="13.5" customHeight="1">
      <c r="A67" s="14" t="s">
        <v>196</v>
      </c>
      <c r="B67" s="1"/>
      <c r="C67" s="1"/>
      <c r="D67" s="245"/>
      <c r="E67" s="1"/>
      <c r="F67" s="14"/>
      <c r="J67" s="14"/>
      <c r="N67" s="14"/>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c r="BX67" s="41"/>
      <c r="BY67" s="41"/>
      <c r="BZ67" s="41"/>
      <c r="CA67" s="41"/>
      <c r="CB67" s="41"/>
      <c r="CC67" s="41"/>
      <c r="CD67" s="41"/>
      <c r="CE67" s="41"/>
      <c r="CF67" s="41"/>
      <c r="CG67" s="41"/>
      <c r="CH67" s="41"/>
      <c r="CI67" s="41"/>
      <c r="CJ67" s="41"/>
      <c r="CK67" s="41"/>
      <c r="CL67" s="41"/>
      <c r="CM67" s="41"/>
      <c r="CN67" s="41"/>
      <c r="CO67" s="41"/>
      <c r="CP67" s="41"/>
      <c r="CQ67" s="41"/>
      <c r="CR67" s="41"/>
      <c r="CS67" s="41"/>
      <c r="CT67" s="41"/>
      <c r="CU67" s="41"/>
      <c r="CV67" s="41"/>
      <c r="CW67" s="41"/>
      <c r="CX67" s="41"/>
      <c r="CY67" s="41"/>
      <c r="CZ67" s="41"/>
      <c r="DA67" s="41"/>
      <c r="DB67" s="41"/>
      <c r="DC67" s="41"/>
      <c r="DD67" s="41"/>
      <c r="DE67" s="41"/>
      <c r="DF67" s="41"/>
      <c r="DG67" s="41"/>
      <c r="DH67" s="41"/>
      <c r="DI67" s="41"/>
      <c r="DJ67" s="41"/>
      <c r="DK67" s="41"/>
      <c r="DL67" s="41"/>
      <c r="DM67" s="41"/>
      <c r="DN67" s="41"/>
      <c r="DO67" s="41"/>
      <c r="DP67" s="41"/>
      <c r="DQ67" s="41"/>
      <c r="DR67" s="41"/>
      <c r="DS67" s="41"/>
      <c r="DT67" s="41"/>
      <c r="DU67" s="41"/>
      <c r="DV67" s="41"/>
      <c r="DW67" s="41"/>
      <c r="DX67" s="41"/>
    </row>
    <row r="68" spans="1:128" s="15" customFormat="1" ht="13.5" customHeight="1">
      <c r="A68" s="14"/>
      <c r="B68" s="1"/>
      <c r="C68" s="1"/>
      <c r="D68" s="245"/>
      <c r="E68" s="1"/>
      <c r="N68" s="14"/>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41"/>
      <c r="BV68" s="41"/>
      <c r="BW68" s="41"/>
      <c r="BX68" s="41"/>
      <c r="BY68" s="41"/>
      <c r="BZ68" s="41"/>
      <c r="CA68" s="41"/>
      <c r="CB68" s="41"/>
      <c r="CC68" s="41"/>
      <c r="CD68" s="41"/>
      <c r="CE68" s="41"/>
      <c r="CF68" s="41"/>
      <c r="CG68" s="41"/>
      <c r="CH68" s="41"/>
      <c r="CI68" s="41"/>
      <c r="CJ68" s="41"/>
      <c r="CK68" s="41"/>
      <c r="CL68" s="41"/>
      <c r="CM68" s="41"/>
      <c r="CN68" s="41"/>
      <c r="CO68" s="41"/>
      <c r="CP68" s="41"/>
      <c r="CQ68" s="41"/>
      <c r="CR68" s="41"/>
      <c r="CS68" s="41"/>
      <c r="CT68" s="41"/>
      <c r="CU68" s="41"/>
      <c r="CV68" s="41"/>
      <c r="CW68" s="41"/>
      <c r="CX68" s="41"/>
      <c r="CY68" s="41"/>
      <c r="CZ68" s="41"/>
      <c r="DA68" s="41"/>
      <c r="DB68" s="41"/>
      <c r="DC68" s="41"/>
      <c r="DD68" s="41"/>
      <c r="DE68" s="41"/>
      <c r="DF68" s="41"/>
      <c r="DG68" s="41"/>
      <c r="DH68" s="41"/>
      <c r="DI68" s="41"/>
      <c r="DJ68" s="41"/>
      <c r="DK68" s="41"/>
      <c r="DL68" s="41"/>
      <c r="DM68" s="41"/>
      <c r="DN68" s="41"/>
      <c r="DO68" s="41"/>
      <c r="DP68" s="41"/>
      <c r="DQ68" s="41"/>
      <c r="DR68" s="41"/>
      <c r="DS68" s="41"/>
      <c r="DT68" s="41"/>
      <c r="DU68" s="41"/>
      <c r="DV68" s="41"/>
      <c r="DW68" s="41"/>
      <c r="DX68" s="41"/>
    </row>
    <row r="69" spans="1:128" s="1" customFormat="1" ht="13.5" customHeight="1" thickBot="1">
      <c r="A69" s="45"/>
      <c r="B69" s="45"/>
      <c r="C69" s="45"/>
      <c r="D69" s="45"/>
      <c r="E69" s="45"/>
      <c r="F69" s="45"/>
      <c r="G69" s="45"/>
      <c r="H69" s="45"/>
      <c r="I69" s="45"/>
      <c r="J69" s="45"/>
      <c r="K69" s="45"/>
      <c r="L69" s="45"/>
      <c r="M69" s="45"/>
      <c r="N69" s="45"/>
      <c r="O69" s="45"/>
      <c r="P69" s="45"/>
      <c r="Q69" s="45"/>
      <c r="R69" s="45"/>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row>
    <row r="70" spans="1:128" s="1" customFormat="1" ht="13.5" customHeight="1">
      <c r="A70" s="41"/>
      <c r="B70" s="41"/>
      <c r="C70" s="41"/>
      <c r="D70" s="41"/>
      <c r="E70" s="41"/>
      <c r="F70" s="41"/>
      <c r="G70" s="41"/>
      <c r="H70" s="41"/>
      <c r="I70" s="41"/>
      <c r="J70" s="41"/>
      <c r="K70" s="41"/>
      <c r="L70" s="41"/>
      <c r="M70" s="41"/>
      <c r="N70" s="41"/>
      <c r="O70" s="41"/>
      <c r="P70" s="41"/>
      <c r="Q70" s="41"/>
      <c r="R70" s="41"/>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row>
    <row r="71" spans="1:128" s="15" customFormat="1" ht="13.5" customHeight="1">
      <c r="A71" s="23" t="s">
        <v>410</v>
      </c>
      <c r="B71" s="8" t="s">
        <v>478</v>
      </c>
      <c r="C71" s="1"/>
      <c r="D71" s="1"/>
      <c r="E71" s="1"/>
      <c r="H71" s="407"/>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c r="CD71" s="41"/>
      <c r="CE71" s="41"/>
      <c r="CF71" s="41"/>
      <c r="CG71" s="41"/>
      <c r="CH71" s="41"/>
      <c r="CI71" s="41"/>
      <c r="CJ71" s="41"/>
      <c r="CK71" s="41"/>
      <c r="CL71" s="41"/>
      <c r="CM71" s="41"/>
      <c r="CN71" s="41"/>
      <c r="CO71" s="41"/>
      <c r="CP71" s="41"/>
      <c r="CQ71" s="41"/>
      <c r="CR71" s="41"/>
      <c r="CS71" s="41"/>
      <c r="CT71" s="41"/>
      <c r="CU71" s="41"/>
      <c r="CV71" s="41"/>
      <c r="CW71" s="41"/>
      <c r="CX71" s="41"/>
      <c r="CY71" s="41"/>
      <c r="CZ71" s="41"/>
      <c r="DA71" s="41"/>
      <c r="DB71" s="41"/>
      <c r="DC71" s="41"/>
      <c r="DD71" s="41"/>
      <c r="DE71" s="41"/>
      <c r="DF71" s="41"/>
      <c r="DG71" s="41"/>
      <c r="DH71" s="41"/>
      <c r="DI71" s="41"/>
      <c r="DJ71" s="41"/>
      <c r="DK71" s="41"/>
      <c r="DL71" s="41"/>
      <c r="DM71" s="41"/>
      <c r="DN71" s="41"/>
      <c r="DO71" s="41"/>
      <c r="DP71" s="41"/>
      <c r="DQ71" s="41"/>
      <c r="DR71" s="41"/>
      <c r="DS71" s="41"/>
      <c r="DT71" s="41"/>
      <c r="DU71" s="41"/>
      <c r="DV71" s="41"/>
      <c r="DW71" s="41"/>
      <c r="DX71" s="41"/>
    </row>
    <row r="72" spans="1:128" s="15" customFormat="1" ht="13.5" customHeight="1">
      <c r="A72" s="1"/>
      <c r="B72" s="1"/>
      <c r="C72" s="1"/>
      <c r="D72" s="1"/>
      <c r="E72" s="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c r="BM72" s="41"/>
      <c r="BN72" s="41"/>
      <c r="BO72" s="41"/>
      <c r="BP72" s="41"/>
      <c r="BQ72" s="41"/>
      <c r="BR72" s="41"/>
      <c r="BS72" s="41"/>
      <c r="BT72" s="41"/>
      <c r="BU72" s="41"/>
      <c r="BV72" s="41"/>
      <c r="BW72" s="41"/>
      <c r="BX72" s="41"/>
      <c r="BY72" s="41"/>
      <c r="BZ72" s="41"/>
      <c r="CA72" s="41"/>
      <c r="CB72" s="41"/>
      <c r="CC72" s="41"/>
      <c r="CD72" s="41"/>
      <c r="CE72" s="41"/>
      <c r="CF72" s="41"/>
      <c r="CG72" s="41"/>
      <c r="CH72" s="41"/>
      <c r="CI72" s="41"/>
      <c r="CJ72" s="41"/>
      <c r="CK72" s="41"/>
      <c r="CL72" s="41"/>
      <c r="CM72" s="41"/>
      <c r="CN72" s="41"/>
      <c r="CO72" s="41"/>
      <c r="CP72" s="41"/>
      <c r="CQ72" s="41"/>
      <c r="CR72" s="41"/>
      <c r="CS72" s="41"/>
      <c r="CT72" s="41"/>
      <c r="CU72" s="41"/>
      <c r="CV72" s="41"/>
      <c r="CW72" s="41"/>
      <c r="CX72" s="41"/>
      <c r="CY72" s="41"/>
      <c r="CZ72" s="41"/>
      <c r="DA72" s="41"/>
      <c r="DB72" s="41"/>
      <c r="DC72" s="41"/>
      <c r="DD72" s="41"/>
      <c r="DE72" s="41"/>
      <c r="DF72" s="41"/>
      <c r="DG72" s="41"/>
      <c r="DH72" s="41"/>
      <c r="DI72" s="41"/>
      <c r="DJ72" s="41"/>
      <c r="DK72" s="41"/>
      <c r="DL72" s="41"/>
      <c r="DM72" s="41"/>
      <c r="DN72" s="41"/>
      <c r="DO72" s="41"/>
      <c r="DP72" s="41"/>
      <c r="DQ72" s="41"/>
      <c r="DR72" s="41"/>
      <c r="DS72" s="41"/>
      <c r="DT72" s="41"/>
      <c r="DU72" s="41"/>
      <c r="DV72" s="41"/>
      <c r="DW72" s="41"/>
      <c r="DX72" s="41"/>
    </row>
    <row r="73" spans="1:128" s="15" customFormat="1" ht="13.5" customHeight="1">
      <c r="A73" s="258"/>
      <c r="B73" s="259" t="s">
        <v>420</v>
      </c>
      <c r="C73" s="260"/>
      <c r="D73" s="260"/>
      <c r="E73" s="260"/>
      <c r="F73" s="259" t="s">
        <v>421</v>
      </c>
      <c r="G73" s="261"/>
      <c r="H73" s="261"/>
      <c r="I73" s="261"/>
      <c r="J73" s="259" t="s">
        <v>422</v>
      </c>
      <c r="K73" s="261"/>
      <c r="L73" s="261"/>
      <c r="M73" s="26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41"/>
      <c r="BV73" s="41"/>
      <c r="BW73" s="41"/>
      <c r="BX73" s="41"/>
      <c r="BY73" s="41"/>
      <c r="BZ73" s="41"/>
      <c r="CA73" s="41"/>
      <c r="CB73" s="41"/>
      <c r="CC73" s="41"/>
      <c r="CD73" s="41"/>
      <c r="CE73" s="41"/>
      <c r="CF73" s="41"/>
      <c r="CG73" s="41"/>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c r="DF73" s="41"/>
      <c r="DG73" s="41"/>
      <c r="DH73" s="41"/>
      <c r="DI73" s="41"/>
      <c r="DJ73" s="41"/>
      <c r="DK73" s="41"/>
      <c r="DL73" s="41"/>
      <c r="DM73" s="41"/>
      <c r="DN73" s="41"/>
      <c r="DO73" s="41"/>
      <c r="DP73" s="41"/>
      <c r="DQ73" s="41"/>
      <c r="DR73" s="41"/>
      <c r="DS73" s="41"/>
      <c r="DT73" s="41"/>
      <c r="DU73" s="41"/>
      <c r="DV73" s="41"/>
      <c r="DW73" s="41"/>
      <c r="DX73" s="41"/>
    </row>
    <row r="74" spans="1:128" s="15" customFormat="1" ht="5.0999999999999996" customHeight="1" thickBot="1">
      <c r="A74" s="1"/>
      <c r="B74" s="262"/>
      <c r="C74" s="1"/>
      <c r="D74" s="1"/>
      <c r="E74" s="1"/>
      <c r="F74" s="262"/>
      <c r="G74" s="1"/>
      <c r="H74" s="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41"/>
      <c r="BV74" s="41"/>
      <c r="BW74" s="41"/>
      <c r="BX74" s="41"/>
      <c r="BY74" s="41"/>
      <c r="BZ74" s="41"/>
      <c r="CA74" s="41"/>
      <c r="CB74" s="41"/>
      <c r="CC74" s="41"/>
      <c r="CD74" s="41"/>
      <c r="CE74" s="41"/>
      <c r="CF74" s="41"/>
      <c r="CG74" s="41"/>
      <c r="CH74" s="41"/>
      <c r="CI74" s="41"/>
      <c r="CJ74" s="41"/>
      <c r="CK74" s="41"/>
      <c r="CL74" s="41"/>
      <c r="CM74" s="41"/>
      <c r="CN74" s="41"/>
      <c r="CO74" s="41"/>
      <c r="CP74" s="41"/>
      <c r="CQ74" s="41"/>
      <c r="CR74" s="41"/>
      <c r="CS74" s="41"/>
      <c r="CT74" s="41"/>
      <c r="CU74" s="41"/>
      <c r="CV74" s="41"/>
      <c r="CW74" s="41"/>
      <c r="CX74" s="41"/>
      <c r="CY74" s="41"/>
      <c r="CZ74" s="41"/>
      <c r="DA74" s="41"/>
      <c r="DB74" s="41"/>
      <c r="DC74" s="41"/>
      <c r="DD74" s="41"/>
      <c r="DE74" s="41"/>
      <c r="DF74" s="41"/>
      <c r="DG74" s="41"/>
      <c r="DH74" s="41"/>
      <c r="DI74" s="41"/>
      <c r="DJ74" s="41"/>
      <c r="DK74" s="41"/>
      <c r="DL74" s="41"/>
      <c r="DM74" s="41"/>
      <c r="DN74" s="41"/>
      <c r="DO74" s="41"/>
      <c r="DP74" s="41"/>
      <c r="DQ74" s="41"/>
      <c r="DR74" s="41"/>
      <c r="DS74" s="41"/>
      <c r="DT74" s="41"/>
      <c r="DU74" s="41"/>
      <c r="DV74" s="41"/>
      <c r="DW74" s="41"/>
      <c r="DX74" s="41"/>
    </row>
    <row r="75" spans="1:128" s="15" customFormat="1" ht="32.25" customHeight="1" thickBot="1">
      <c r="B75" s="247" t="s">
        <v>187</v>
      </c>
      <c r="C75" s="248" t="s">
        <v>188</v>
      </c>
      <c r="D75" s="249" t="s">
        <v>189</v>
      </c>
      <c r="E75" s="1"/>
      <c r="F75" s="247" t="s">
        <v>187</v>
      </c>
      <c r="G75" s="248" t="s">
        <v>188</v>
      </c>
      <c r="H75" s="249" t="s">
        <v>189</v>
      </c>
      <c r="J75" s="247" t="s">
        <v>187</v>
      </c>
      <c r="K75" s="248" t="s">
        <v>188</v>
      </c>
      <c r="L75" s="249" t="s">
        <v>189</v>
      </c>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41"/>
      <c r="BV75" s="41"/>
      <c r="BW75" s="41"/>
      <c r="BX75" s="41"/>
      <c r="BY75" s="41"/>
      <c r="BZ75" s="41"/>
      <c r="CA75" s="41"/>
      <c r="CB75" s="41"/>
      <c r="CC75" s="41"/>
      <c r="CD75" s="41"/>
      <c r="CE75" s="41"/>
      <c r="CF75" s="41"/>
      <c r="CG75" s="41"/>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c r="DR75" s="41"/>
      <c r="DS75" s="41"/>
      <c r="DT75" s="41"/>
      <c r="DU75" s="41"/>
      <c r="DV75" s="41"/>
      <c r="DW75" s="41"/>
      <c r="DX75" s="41"/>
    </row>
    <row r="76" spans="1:128" s="15" customFormat="1" ht="13.5" customHeight="1">
      <c r="A76" s="434" t="s">
        <v>208</v>
      </c>
      <c r="B76" s="471">
        <v>0.06</v>
      </c>
      <c r="C76" s="472">
        <v>0.27200000000000002</v>
      </c>
      <c r="D76" s="473">
        <v>0.108</v>
      </c>
      <c r="E76" s="245"/>
      <c r="F76" s="471">
        <v>0.155</v>
      </c>
      <c r="G76" s="472">
        <v>0.56999999999999995</v>
      </c>
      <c r="H76" s="473">
        <v>0.443</v>
      </c>
      <c r="I76" s="27"/>
      <c r="J76" s="471">
        <v>0.10199999999999999</v>
      </c>
      <c r="K76" s="472">
        <v>0.29699999999999999</v>
      </c>
      <c r="L76" s="473">
        <v>0.26700000000000002</v>
      </c>
      <c r="Q76" s="27"/>
      <c r="R76" s="28"/>
      <c r="S76" s="28"/>
      <c r="T76" s="28"/>
      <c r="U76" s="28"/>
      <c r="V76" s="28"/>
      <c r="W76" s="250"/>
      <c r="X76" s="250"/>
      <c r="Y76" s="250"/>
      <c r="Z76" s="250"/>
      <c r="AA76" s="250"/>
      <c r="AB76" s="250"/>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41"/>
      <c r="BV76" s="41"/>
      <c r="BW76" s="41"/>
      <c r="BX76" s="41"/>
      <c r="BY76" s="41"/>
      <c r="BZ76" s="41"/>
      <c r="CA76" s="41"/>
      <c r="CB76" s="41"/>
      <c r="CC76" s="41"/>
      <c r="CD76" s="41"/>
      <c r="CE76" s="41"/>
      <c r="CF76" s="41"/>
      <c r="CG76" s="41"/>
      <c r="CH76" s="41"/>
      <c r="CI76" s="41"/>
      <c r="CJ76" s="41"/>
      <c r="CK76" s="41"/>
      <c r="CL76" s="41"/>
      <c r="CM76" s="41"/>
      <c r="CN76" s="41"/>
      <c r="CO76" s="41"/>
      <c r="CP76" s="41"/>
      <c r="CQ76" s="41"/>
      <c r="CR76" s="41"/>
      <c r="CS76" s="41"/>
      <c r="CT76" s="41"/>
      <c r="CU76" s="41"/>
      <c r="CV76" s="41"/>
      <c r="CW76" s="41"/>
      <c r="CX76" s="41"/>
      <c r="CY76" s="41"/>
      <c r="CZ76" s="41"/>
      <c r="DA76" s="41"/>
      <c r="DB76" s="41"/>
      <c r="DC76" s="41"/>
      <c r="DD76" s="41"/>
      <c r="DE76" s="41"/>
      <c r="DF76" s="41"/>
      <c r="DG76" s="41"/>
      <c r="DH76" s="41"/>
      <c r="DI76" s="41"/>
      <c r="DJ76" s="41"/>
      <c r="DK76" s="41"/>
      <c r="DL76" s="41"/>
      <c r="DM76" s="41"/>
      <c r="DN76" s="41"/>
      <c r="DO76" s="41"/>
      <c r="DP76" s="41"/>
      <c r="DQ76" s="41"/>
      <c r="DR76" s="41"/>
      <c r="DS76" s="41"/>
      <c r="DT76" s="41"/>
      <c r="DU76" s="41"/>
      <c r="DV76" s="41"/>
      <c r="DW76" s="41"/>
      <c r="DX76" s="41"/>
    </row>
    <row r="77" spans="1:128" s="15" customFormat="1" ht="13.5" customHeight="1">
      <c r="A77" s="438" t="s">
        <v>209</v>
      </c>
      <c r="B77" s="474">
        <v>0.155</v>
      </c>
      <c r="C77" s="475">
        <v>0.33600000000000002</v>
      </c>
      <c r="D77" s="476">
        <v>0.19500000000000001</v>
      </c>
      <c r="E77" s="245"/>
      <c r="F77" s="474">
        <v>0.27300000000000002</v>
      </c>
      <c r="G77" s="475">
        <v>0.27900000000000003</v>
      </c>
      <c r="H77" s="476">
        <v>0.27700000000000002</v>
      </c>
      <c r="J77" s="474">
        <v>0.25800000000000001</v>
      </c>
      <c r="K77" s="475">
        <v>0.36499999999999999</v>
      </c>
      <c r="L77" s="476">
        <v>0.34899999999999998</v>
      </c>
      <c r="R77" s="28"/>
      <c r="S77" s="28"/>
      <c r="T77" s="28"/>
      <c r="U77" s="28"/>
      <c r="V77" s="28"/>
      <c r="W77" s="250"/>
      <c r="X77" s="250"/>
      <c r="Y77" s="250"/>
      <c r="Z77" s="250"/>
      <c r="AA77" s="250"/>
      <c r="AB77" s="250"/>
      <c r="AC77" s="41"/>
      <c r="AD77" s="41"/>
      <c r="AE77" s="41"/>
      <c r="AF77" s="41"/>
      <c r="AG77" s="41"/>
      <c r="AH77" s="41"/>
      <c r="AI77" s="41"/>
      <c r="AJ77" s="41"/>
      <c r="AK77" s="41"/>
      <c r="AL77" s="41"/>
      <c r="AM77" s="41"/>
      <c r="AN77" s="41"/>
      <c r="AO77" s="41"/>
      <c r="AP77" s="41"/>
      <c r="AQ77" s="41"/>
      <c r="AR77" s="41"/>
      <c r="AS77" s="41"/>
      <c r="AT77" s="41"/>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c r="BU77" s="41"/>
      <c r="BV77" s="41"/>
      <c r="BW77" s="41"/>
      <c r="BX77" s="41"/>
      <c r="BY77" s="41"/>
      <c r="BZ77" s="41"/>
      <c r="CA77" s="41"/>
      <c r="CB77" s="41"/>
      <c r="CC77" s="41"/>
      <c r="CD77" s="41"/>
      <c r="CE77" s="41"/>
      <c r="CF77" s="41"/>
      <c r="CG77" s="41"/>
      <c r="CH77" s="41"/>
      <c r="CI77" s="41"/>
      <c r="CJ77" s="41"/>
      <c r="CK77" s="41"/>
      <c r="CL77" s="41"/>
      <c r="CM77" s="41"/>
      <c r="CN77" s="41"/>
      <c r="CO77" s="41"/>
      <c r="CP77" s="41"/>
      <c r="CQ77" s="41"/>
      <c r="CR77" s="41"/>
      <c r="CS77" s="41"/>
      <c r="CT77" s="41"/>
      <c r="CU77" s="41"/>
      <c r="CV77" s="41"/>
      <c r="CW77" s="41"/>
      <c r="CX77" s="41"/>
      <c r="CY77" s="41"/>
      <c r="CZ77" s="41"/>
      <c r="DA77" s="41"/>
      <c r="DB77" s="41"/>
      <c r="DC77" s="41"/>
      <c r="DD77" s="41"/>
      <c r="DE77" s="41"/>
      <c r="DF77" s="41"/>
      <c r="DG77" s="41"/>
      <c r="DH77" s="41"/>
      <c r="DI77" s="41"/>
      <c r="DJ77" s="41"/>
      <c r="DK77" s="41"/>
      <c r="DL77" s="41"/>
      <c r="DM77" s="41"/>
      <c r="DN77" s="41"/>
      <c r="DO77" s="41"/>
      <c r="DP77" s="41"/>
      <c r="DQ77" s="41"/>
      <c r="DR77" s="41"/>
      <c r="DS77" s="41"/>
      <c r="DT77" s="41"/>
      <c r="DU77" s="41"/>
      <c r="DV77" s="41"/>
      <c r="DW77" s="41"/>
      <c r="DX77" s="41"/>
    </row>
    <row r="78" spans="1:128" s="15" customFormat="1" ht="13.5" customHeight="1">
      <c r="A78" s="438" t="s">
        <v>210</v>
      </c>
      <c r="B78" s="474">
        <v>0.33300000000000002</v>
      </c>
      <c r="C78" s="475">
        <v>0.27400000000000002</v>
      </c>
      <c r="D78" s="476">
        <v>0.32</v>
      </c>
      <c r="E78" s="245"/>
      <c r="F78" s="474">
        <v>0.33200000000000002</v>
      </c>
      <c r="G78" s="475">
        <v>0.11899999999999999</v>
      </c>
      <c r="H78" s="476">
        <v>0.184</v>
      </c>
      <c r="J78" s="474">
        <v>0.43099999999999999</v>
      </c>
      <c r="K78" s="475">
        <v>0.26700000000000002</v>
      </c>
      <c r="L78" s="476">
        <v>0.29199999999999998</v>
      </c>
      <c r="Q78" s="27"/>
      <c r="R78" s="28"/>
      <c r="S78" s="28"/>
      <c r="T78" s="28"/>
      <c r="U78" s="28"/>
      <c r="V78" s="28"/>
      <c r="W78" s="250"/>
      <c r="X78" s="250"/>
      <c r="Y78" s="250"/>
      <c r="Z78" s="250"/>
      <c r="AA78" s="250"/>
      <c r="AB78" s="250"/>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c r="BU78" s="41"/>
      <c r="BV78" s="41"/>
      <c r="BW78" s="41"/>
      <c r="BX78" s="41"/>
      <c r="BY78" s="41"/>
      <c r="BZ78" s="41"/>
      <c r="CA78" s="41"/>
      <c r="CB78" s="41"/>
      <c r="CC78" s="41"/>
      <c r="CD78" s="41"/>
      <c r="CE78" s="41"/>
      <c r="CF78" s="41"/>
      <c r="CG78" s="41"/>
      <c r="CH78" s="41"/>
      <c r="CI78" s="41"/>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1"/>
      <c r="DI78" s="41"/>
      <c r="DJ78" s="41"/>
      <c r="DK78" s="41"/>
      <c r="DL78" s="41"/>
      <c r="DM78" s="41"/>
      <c r="DN78" s="41"/>
      <c r="DO78" s="41"/>
      <c r="DP78" s="41"/>
      <c r="DQ78" s="41"/>
      <c r="DR78" s="41"/>
      <c r="DS78" s="41"/>
      <c r="DT78" s="41"/>
      <c r="DU78" s="41"/>
      <c r="DV78" s="41"/>
      <c r="DW78" s="41"/>
      <c r="DX78" s="41"/>
    </row>
    <row r="79" spans="1:128" s="15" customFormat="1" ht="13.5" customHeight="1">
      <c r="A79" s="438" t="s">
        <v>211</v>
      </c>
      <c r="B79" s="474">
        <v>0.27900000000000003</v>
      </c>
      <c r="C79" s="475">
        <v>9.1999999999999998E-2</v>
      </c>
      <c r="D79" s="476">
        <v>0.23699999999999999</v>
      </c>
      <c r="E79" s="245"/>
      <c r="F79" s="474">
        <v>0.16400000000000001</v>
      </c>
      <c r="G79" s="475">
        <v>2.5999999999999999E-2</v>
      </c>
      <c r="H79" s="476">
        <v>6.8000000000000005E-2</v>
      </c>
      <c r="J79" s="474">
        <v>0.17299999999999999</v>
      </c>
      <c r="K79" s="475">
        <v>6.4000000000000001E-2</v>
      </c>
      <c r="L79" s="476">
        <v>8.1000000000000003E-2</v>
      </c>
      <c r="R79" s="28"/>
      <c r="S79" s="28"/>
      <c r="T79" s="28"/>
      <c r="U79" s="28"/>
      <c r="V79" s="28"/>
      <c r="W79" s="250"/>
      <c r="X79" s="250"/>
      <c r="Y79" s="250"/>
      <c r="Z79" s="250"/>
      <c r="AA79" s="250"/>
      <c r="AB79" s="250"/>
      <c r="AC79" s="41"/>
      <c r="AD79" s="41"/>
      <c r="AE79" s="41"/>
      <c r="AF79" s="41"/>
      <c r="AG79" s="41"/>
      <c r="AH79" s="41"/>
      <c r="AI79" s="41"/>
      <c r="AJ79" s="41"/>
      <c r="AK79" s="41"/>
      <c r="AL79" s="41"/>
      <c r="AM79" s="41"/>
      <c r="AN79" s="41"/>
      <c r="AO79" s="41"/>
      <c r="AP79" s="41"/>
      <c r="AQ79" s="41"/>
      <c r="AR79" s="41"/>
      <c r="AS79" s="41"/>
      <c r="AT79" s="41"/>
      <c r="AU79" s="41"/>
      <c r="AV79" s="41"/>
      <c r="AW79" s="41"/>
      <c r="AX79" s="41"/>
      <c r="AY79" s="41"/>
      <c r="AZ79" s="41"/>
      <c r="BA79" s="41"/>
      <c r="BB79" s="41"/>
      <c r="BC79" s="41"/>
      <c r="BD79" s="41"/>
      <c r="BE79" s="41"/>
      <c r="BF79" s="41"/>
      <c r="BG79" s="41"/>
      <c r="BH79" s="41"/>
      <c r="BI79" s="41"/>
      <c r="BJ79" s="41"/>
      <c r="BK79" s="41"/>
      <c r="BL79" s="41"/>
      <c r="BM79" s="41"/>
      <c r="BN79" s="41"/>
      <c r="BO79" s="41"/>
      <c r="BP79" s="41"/>
      <c r="BQ79" s="41"/>
      <c r="BR79" s="41"/>
      <c r="BS79" s="41"/>
      <c r="BT79" s="41"/>
      <c r="BU79" s="41"/>
      <c r="BV79" s="41"/>
      <c r="BW79" s="41"/>
      <c r="BX79" s="41"/>
      <c r="BY79" s="41"/>
      <c r="BZ79" s="41"/>
      <c r="CA79" s="41"/>
      <c r="CB79" s="41"/>
      <c r="CC79" s="41"/>
      <c r="CD79" s="41"/>
      <c r="CE79" s="41"/>
      <c r="CF79" s="41"/>
      <c r="CG79" s="41"/>
      <c r="CH79" s="41"/>
      <c r="CI79" s="41"/>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1"/>
      <c r="DI79" s="41"/>
      <c r="DJ79" s="41"/>
      <c r="DK79" s="41"/>
      <c r="DL79" s="41"/>
      <c r="DM79" s="41"/>
      <c r="DN79" s="41"/>
      <c r="DO79" s="41"/>
      <c r="DP79" s="41"/>
      <c r="DQ79" s="41"/>
      <c r="DR79" s="41"/>
      <c r="DS79" s="41"/>
      <c r="DT79" s="41"/>
      <c r="DU79" s="41"/>
      <c r="DV79" s="41"/>
      <c r="DW79" s="41"/>
      <c r="DX79" s="41"/>
    </row>
    <row r="80" spans="1:128" s="15" customFormat="1" ht="13.5" customHeight="1">
      <c r="A80" s="438" t="s">
        <v>212</v>
      </c>
      <c r="B80" s="474">
        <v>0.17299999999999999</v>
      </c>
      <c r="C80" s="475">
        <v>2.5999999999999999E-2</v>
      </c>
      <c r="D80" s="476">
        <v>0.14000000000000001</v>
      </c>
      <c r="E80" s="245"/>
      <c r="F80" s="474">
        <v>7.5999999999999998E-2</v>
      </c>
      <c r="G80" s="475">
        <v>6.0000000000000001E-3</v>
      </c>
      <c r="H80" s="476">
        <v>2.8000000000000001E-2</v>
      </c>
      <c r="J80" s="474">
        <v>3.5999999999999997E-2</v>
      </c>
      <c r="K80" s="475">
        <v>7.0000000000000001E-3</v>
      </c>
      <c r="L80" s="476">
        <v>1.0999999999999999E-2</v>
      </c>
      <c r="R80" s="28"/>
      <c r="S80" s="28"/>
      <c r="T80" s="28"/>
      <c r="U80" s="28"/>
      <c r="V80" s="28"/>
      <c r="W80" s="250"/>
      <c r="X80" s="250"/>
      <c r="Y80" s="250"/>
      <c r="Z80" s="250"/>
      <c r="AA80" s="250"/>
      <c r="AB80" s="250"/>
      <c r="AC80" s="41"/>
      <c r="AD80" s="41"/>
      <c r="AE80" s="41"/>
      <c r="AF80" s="41"/>
      <c r="AG80" s="41"/>
      <c r="AH80" s="41"/>
      <c r="AI80" s="41"/>
      <c r="AJ80" s="41"/>
      <c r="AK80" s="41"/>
      <c r="AL80" s="41"/>
      <c r="AM80" s="41"/>
      <c r="AN80" s="41"/>
      <c r="AO80" s="41"/>
      <c r="AP80" s="41"/>
      <c r="AQ80" s="41"/>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c r="CD80" s="41"/>
      <c r="CE80" s="41"/>
      <c r="CF80" s="41"/>
      <c r="CG80" s="41"/>
      <c r="CH80" s="41"/>
      <c r="CI80" s="41"/>
      <c r="CJ80" s="41"/>
      <c r="CK80" s="41"/>
      <c r="CL80" s="41"/>
      <c r="CM80" s="41"/>
      <c r="CN80" s="41"/>
      <c r="CO80" s="41"/>
      <c r="CP80" s="41"/>
      <c r="CQ80" s="41"/>
      <c r="CR80" s="41"/>
      <c r="CS80" s="41"/>
      <c r="CT80" s="41"/>
      <c r="CU80" s="41"/>
      <c r="CV80" s="41"/>
      <c r="CW80" s="41"/>
      <c r="CX80" s="41"/>
      <c r="CY80" s="41"/>
      <c r="CZ80" s="41"/>
      <c r="DA80" s="41"/>
      <c r="DB80" s="41"/>
      <c r="DC80" s="41"/>
      <c r="DD80" s="41"/>
      <c r="DE80" s="41"/>
      <c r="DF80" s="41"/>
      <c r="DG80" s="41"/>
      <c r="DH80" s="41"/>
      <c r="DI80" s="41"/>
      <c r="DJ80" s="41"/>
      <c r="DK80" s="41"/>
      <c r="DL80" s="41"/>
      <c r="DM80" s="41"/>
      <c r="DN80" s="41"/>
      <c r="DO80" s="41"/>
      <c r="DP80" s="41"/>
      <c r="DQ80" s="41"/>
      <c r="DR80" s="41"/>
      <c r="DS80" s="41"/>
      <c r="DT80" s="41"/>
      <c r="DU80" s="41"/>
      <c r="DV80" s="41"/>
      <c r="DW80" s="41"/>
      <c r="DX80" s="41"/>
    </row>
    <row r="81" spans="1:128" s="15" customFormat="1" ht="13.5" customHeight="1" thickBot="1">
      <c r="A81" s="442" t="s">
        <v>18</v>
      </c>
      <c r="B81" s="477">
        <f>SUM(B76:B80)</f>
        <v>1</v>
      </c>
      <c r="C81" s="478">
        <f>SUM(C76:C80)</f>
        <v>1</v>
      </c>
      <c r="D81" s="479">
        <f>SUM(D76:D80)</f>
        <v>1</v>
      </c>
      <c r="E81" s="245"/>
      <c r="F81" s="477">
        <f>SUM(F76:F80)</f>
        <v>1</v>
      </c>
      <c r="G81" s="478">
        <f>SUM(G76:G80)</f>
        <v>1</v>
      </c>
      <c r="H81" s="479">
        <f>SUM(H76:H80)</f>
        <v>1</v>
      </c>
      <c r="J81" s="477">
        <f>SUM(J76:J80)</f>
        <v>1</v>
      </c>
      <c r="K81" s="478">
        <f>SUM(K76:K80)</f>
        <v>0.99999999999999989</v>
      </c>
      <c r="L81" s="479">
        <f>SUM(L76:L80)</f>
        <v>0.99999999999999989</v>
      </c>
      <c r="R81" s="27"/>
      <c r="S81" s="27"/>
      <c r="T81" s="27"/>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c r="AY81" s="41"/>
      <c r="AZ81" s="41"/>
      <c r="BA81" s="41"/>
      <c r="BB81" s="41"/>
      <c r="BC81" s="41"/>
      <c r="BD81" s="41"/>
      <c r="BE81" s="41"/>
      <c r="BF81" s="41"/>
      <c r="BG81" s="41"/>
      <c r="BH81" s="41"/>
      <c r="BI81" s="41"/>
      <c r="BJ81" s="41"/>
      <c r="BK81" s="41"/>
      <c r="BL81" s="41"/>
      <c r="BM81" s="41"/>
      <c r="BN81" s="41"/>
      <c r="BO81" s="41"/>
      <c r="BP81" s="41"/>
      <c r="BQ81" s="41"/>
      <c r="BR81" s="41"/>
      <c r="BS81" s="41"/>
      <c r="BT81" s="41"/>
      <c r="BU81" s="41"/>
      <c r="BV81" s="41"/>
      <c r="BW81" s="41"/>
      <c r="BX81" s="41"/>
      <c r="BY81" s="41"/>
      <c r="BZ81" s="41"/>
      <c r="CA81" s="41"/>
      <c r="CB81" s="41"/>
      <c r="CC81" s="41"/>
      <c r="CD81" s="41"/>
      <c r="CE81" s="41"/>
      <c r="CF81" s="41"/>
      <c r="CG81" s="41"/>
      <c r="CH81" s="41"/>
      <c r="CI81" s="41"/>
      <c r="CJ81" s="41"/>
      <c r="CK81" s="41"/>
      <c r="CL81" s="41"/>
      <c r="CM81" s="41"/>
      <c r="CN81" s="41"/>
      <c r="CO81" s="41"/>
      <c r="CP81" s="41"/>
      <c r="CQ81" s="41"/>
      <c r="CR81" s="41"/>
      <c r="CS81" s="41"/>
      <c r="CT81" s="41"/>
      <c r="CU81" s="41"/>
      <c r="CV81" s="41"/>
      <c r="CW81" s="41"/>
      <c r="CX81" s="41"/>
      <c r="CY81" s="41"/>
      <c r="CZ81" s="41"/>
      <c r="DA81" s="41"/>
      <c r="DB81" s="41"/>
      <c r="DC81" s="41"/>
      <c r="DD81" s="41"/>
      <c r="DE81" s="41"/>
      <c r="DF81" s="41"/>
      <c r="DG81" s="41"/>
      <c r="DH81" s="41"/>
      <c r="DI81" s="41"/>
      <c r="DJ81" s="41"/>
      <c r="DK81" s="41"/>
      <c r="DL81" s="41"/>
      <c r="DM81" s="41"/>
      <c r="DN81" s="41"/>
      <c r="DO81" s="41"/>
      <c r="DP81" s="41"/>
      <c r="DQ81" s="41"/>
      <c r="DR81" s="41"/>
      <c r="DS81" s="41"/>
      <c r="DT81" s="41"/>
      <c r="DU81" s="41"/>
      <c r="DV81" s="41"/>
      <c r="DW81" s="41"/>
      <c r="DX81" s="41"/>
    </row>
    <row r="82" spans="1:128" s="15" customFormat="1" ht="13.5" customHeight="1">
      <c r="A82" s="14" t="s">
        <v>195</v>
      </c>
      <c r="B82" s="1"/>
      <c r="C82" s="1"/>
      <c r="D82" s="1"/>
      <c r="E82" s="1"/>
      <c r="F82" s="14"/>
      <c r="J82" s="14"/>
      <c r="N82" s="14"/>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c r="BS82" s="41"/>
      <c r="BT82" s="41"/>
      <c r="BU82" s="41"/>
      <c r="BV82" s="41"/>
      <c r="BW82" s="41"/>
      <c r="BX82" s="41"/>
      <c r="BY82" s="41"/>
      <c r="BZ82" s="41"/>
      <c r="CA82" s="41"/>
      <c r="CB82" s="41"/>
      <c r="CC82" s="41"/>
      <c r="CD82" s="41"/>
      <c r="CE82" s="41"/>
      <c r="CF82" s="41"/>
      <c r="CG82" s="41"/>
      <c r="CH82" s="41"/>
      <c r="CI82" s="41"/>
      <c r="CJ82" s="41"/>
      <c r="CK82" s="41"/>
      <c r="CL82" s="41"/>
      <c r="CM82" s="41"/>
      <c r="CN82" s="41"/>
      <c r="CO82" s="41"/>
      <c r="CP82" s="41"/>
      <c r="CQ82" s="41"/>
      <c r="CR82" s="41"/>
      <c r="CS82" s="41"/>
      <c r="CT82" s="41"/>
      <c r="CU82" s="41"/>
      <c r="CV82" s="41"/>
      <c r="CW82" s="41"/>
      <c r="CX82" s="41"/>
      <c r="CY82" s="41"/>
      <c r="CZ82" s="41"/>
      <c r="DA82" s="41"/>
      <c r="DB82" s="41"/>
      <c r="DC82" s="41"/>
      <c r="DD82" s="41"/>
      <c r="DE82" s="41"/>
      <c r="DF82" s="41"/>
      <c r="DG82" s="41"/>
      <c r="DH82" s="41"/>
      <c r="DI82" s="41"/>
      <c r="DJ82" s="41"/>
      <c r="DK82" s="41"/>
      <c r="DL82" s="41"/>
      <c r="DM82" s="41"/>
      <c r="DN82" s="41"/>
      <c r="DO82" s="41"/>
      <c r="DP82" s="41"/>
      <c r="DQ82" s="41"/>
      <c r="DR82" s="41"/>
      <c r="DS82" s="41"/>
      <c r="DT82" s="41"/>
      <c r="DU82" s="41"/>
      <c r="DV82" s="41"/>
      <c r="DW82" s="41"/>
      <c r="DX82" s="41"/>
    </row>
    <row r="83" spans="1:128" s="15" customFormat="1" ht="13.5" customHeight="1">
      <c r="A83" s="14" t="s">
        <v>196</v>
      </c>
      <c r="B83" s="1"/>
      <c r="C83" s="1"/>
      <c r="D83" s="245"/>
      <c r="E83" s="1"/>
      <c r="F83" s="14"/>
      <c r="J83" s="14"/>
      <c r="K83" s="27"/>
      <c r="N83" s="14"/>
      <c r="O83" s="27"/>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c r="BS83" s="41"/>
      <c r="BT83" s="41"/>
      <c r="BU83" s="41"/>
      <c r="BV83" s="41"/>
      <c r="BW83" s="41"/>
      <c r="BX83" s="41"/>
      <c r="BY83" s="41"/>
      <c r="BZ83" s="41"/>
      <c r="CA83" s="41"/>
      <c r="CB83" s="41"/>
      <c r="CC83" s="41"/>
      <c r="CD83" s="41"/>
      <c r="CE83" s="41"/>
      <c r="CF83" s="41"/>
      <c r="CG83" s="41"/>
      <c r="CH83" s="41"/>
      <c r="CI83" s="41"/>
      <c r="CJ83" s="41"/>
      <c r="CK83" s="41"/>
      <c r="CL83" s="41"/>
      <c r="CM83" s="41"/>
      <c r="CN83" s="41"/>
      <c r="CO83" s="41"/>
      <c r="CP83" s="41"/>
      <c r="CQ83" s="41"/>
      <c r="CR83" s="41"/>
      <c r="CS83" s="41"/>
      <c r="CT83" s="41"/>
      <c r="CU83" s="41"/>
      <c r="CV83" s="41"/>
      <c r="CW83" s="41"/>
      <c r="CX83" s="41"/>
      <c r="CY83" s="41"/>
      <c r="CZ83" s="41"/>
      <c r="DA83" s="41"/>
      <c r="DB83" s="41"/>
      <c r="DC83" s="41"/>
      <c r="DD83" s="41"/>
      <c r="DE83" s="41"/>
      <c r="DF83" s="41"/>
      <c r="DG83" s="41"/>
      <c r="DH83" s="41"/>
      <c r="DI83" s="41"/>
      <c r="DJ83" s="41"/>
      <c r="DK83" s="41"/>
      <c r="DL83" s="41"/>
      <c r="DM83" s="41"/>
      <c r="DN83" s="41"/>
      <c r="DO83" s="41"/>
      <c r="DP83" s="41"/>
      <c r="DQ83" s="41"/>
      <c r="DR83" s="41"/>
      <c r="DS83" s="41"/>
      <c r="DT83" s="41"/>
      <c r="DU83" s="41"/>
      <c r="DV83" s="41"/>
      <c r="DW83" s="41"/>
      <c r="DX83" s="41"/>
    </row>
    <row r="84" spans="1:128" s="15" customFormat="1" ht="13.5" customHeight="1">
      <c r="A84" s="14"/>
      <c r="B84" s="1"/>
      <c r="C84" s="1"/>
      <c r="D84" s="245"/>
      <c r="E84" s="1"/>
      <c r="N84" s="14"/>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c r="BH84" s="41"/>
      <c r="BI84" s="41"/>
      <c r="BJ84" s="41"/>
      <c r="BK84" s="41"/>
      <c r="BL84" s="41"/>
      <c r="BM84" s="41"/>
      <c r="BN84" s="41"/>
      <c r="BO84" s="41"/>
      <c r="BP84" s="41"/>
      <c r="BQ84" s="41"/>
      <c r="BR84" s="41"/>
      <c r="BS84" s="41"/>
      <c r="BT84" s="41"/>
      <c r="BU84" s="41"/>
      <c r="BV84" s="41"/>
      <c r="BW84" s="41"/>
      <c r="BX84" s="41"/>
      <c r="BY84" s="41"/>
      <c r="BZ84" s="41"/>
      <c r="CA84" s="41"/>
      <c r="CB84" s="41"/>
      <c r="CC84" s="41"/>
      <c r="CD84" s="41"/>
      <c r="CE84" s="41"/>
      <c r="CF84" s="41"/>
      <c r="CG84" s="41"/>
      <c r="CH84" s="41"/>
      <c r="CI84" s="41"/>
      <c r="CJ84" s="41"/>
      <c r="CK84" s="41"/>
      <c r="CL84" s="41"/>
      <c r="CM84" s="41"/>
      <c r="CN84" s="41"/>
      <c r="CO84" s="41"/>
      <c r="CP84" s="41"/>
      <c r="CQ84" s="41"/>
      <c r="CR84" s="41"/>
      <c r="CS84" s="41"/>
      <c r="CT84" s="41"/>
      <c r="CU84" s="41"/>
      <c r="CV84" s="41"/>
      <c r="CW84" s="41"/>
      <c r="CX84" s="41"/>
      <c r="CY84" s="41"/>
      <c r="CZ84" s="41"/>
      <c r="DA84" s="41"/>
      <c r="DB84" s="41"/>
      <c r="DC84" s="41"/>
      <c r="DD84" s="41"/>
      <c r="DE84" s="41"/>
      <c r="DF84" s="41"/>
      <c r="DG84" s="41"/>
      <c r="DH84" s="41"/>
      <c r="DI84" s="41"/>
      <c r="DJ84" s="41"/>
      <c r="DK84" s="41"/>
      <c r="DL84" s="41"/>
      <c r="DM84" s="41"/>
      <c r="DN84" s="41"/>
      <c r="DO84" s="41"/>
      <c r="DP84" s="41"/>
      <c r="DQ84" s="41"/>
      <c r="DR84" s="41"/>
      <c r="DS84" s="41"/>
      <c r="DT84" s="41"/>
      <c r="DU84" s="41"/>
      <c r="DV84" s="41"/>
      <c r="DW84" s="41"/>
      <c r="DX84" s="41"/>
    </row>
    <row r="85" spans="1:128" s="1" customFormat="1" ht="13.5" customHeight="1" thickBot="1">
      <c r="A85" s="45"/>
      <c r="B85" s="45"/>
      <c r="C85" s="45"/>
      <c r="D85" s="45"/>
      <c r="E85" s="45"/>
      <c r="F85" s="45"/>
      <c r="G85" s="45"/>
      <c r="H85" s="45"/>
      <c r="I85" s="45"/>
      <c r="J85" s="45"/>
      <c r="K85" s="45"/>
      <c r="L85" s="45"/>
      <c r="M85" s="45"/>
      <c r="N85" s="45"/>
      <c r="O85" s="45"/>
      <c r="P85" s="45"/>
      <c r="Q85" s="45"/>
      <c r="R85" s="45"/>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row>
    <row r="86" spans="1:128" s="1" customFormat="1" ht="13.5" customHeight="1">
      <c r="A86" s="41"/>
      <c r="B86" s="41"/>
      <c r="C86" s="41"/>
      <c r="D86" s="41"/>
      <c r="E86" s="41"/>
      <c r="F86" s="41"/>
      <c r="G86" s="41"/>
      <c r="H86" s="41"/>
      <c r="I86" s="41"/>
      <c r="J86" s="41"/>
      <c r="K86" s="41"/>
      <c r="L86" s="41"/>
      <c r="M86" s="41"/>
      <c r="N86" s="41"/>
      <c r="O86" s="41"/>
      <c r="P86" s="41"/>
      <c r="Q86" s="41"/>
      <c r="R86" s="41"/>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row>
    <row r="87" spans="1:128" s="1" customFormat="1" ht="13.5" customHeight="1">
      <c r="A87" s="23" t="s">
        <v>487</v>
      </c>
      <c r="B87" s="8" t="s">
        <v>479</v>
      </c>
      <c r="C87" s="15"/>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row>
    <row r="88" spans="1:128" s="1" customFormat="1" ht="13.5" customHeight="1" thickBot="1">
      <c r="A88" s="251"/>
      <c r="I88" s="252"/>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row>
    <row r="89" spans="1:128" s="1" customFormat="1" ht="33.75" customHeight="1" thickBot="1">
      <c r="A89" s="480"/>
      <c r="B89" s="263" t="s">
        <v>427</v>
      </c>
      <c r="C89" s="264" t="s">
        <v>428</v>
      </c>
      <c r="D89" s="264" t="s">
        <v>429</v>
      </c>
      <c r="E89" s="481" t="s">
        <v>189</v>
      </c>
      <c r="F89" s="482"/>
      <c r="I89" s="252"/>
      <c r="T89" s="483"/>
      <c r="U89" s="483"/>
      <c r="V89" s="483"/>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row>
    <row r="90" spans="1:128" s="1" customFormat="1" ht="13.5" customHeight="1">
      <c r="A90" s="484" t="s">
        <v>430</v>
      </c>
      <c r="B90" s="485">
        <v>2.9999999999999997E-4</v>
      </c>
      <c r="C90" s="486">
        <v>8.9999999999999998E-4</v>
      </c>
      <c r="D90" s="486">
        <v>2E-3</v>
      </c>
      <c r="E90" s="487">
        <v>5.0000000000000001E-4</v>
      </c>
      <c r="F90" s="68"/>
      <c r="I90" s="252"/>
      <c r="T90" s="488"/>
      <c r="U90" s="488"/>
      <c r="V90" s="488"/>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row>
    <row r="91" spans="1:128" s="1" customFormat="1" ht="13.5" customHeight="1">
      <c r="A91" s="418" t="s">
        <v>431</v>
      </c>
      <c r="B91" s="489">
        <v>6.1000000000000004E-3</v>
      </c>
      <c r="C91" s="24">
        <v>2.4400000000000002E-2</v>
      </c>
      <c r="D91" s="24">
        <v>5.04E-2</v>
      </c>
      <c r="E91" s="490">
        <v>1.34E-2</v>
      </c>
      <c r="F91" s="254"/>
      <c r="I91" s="252"/>
      <c r="T91" s="491"/>
      <c r="U91" s="491"/>
      <c r="V91" s="491"/>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row>
    <row r="92" spans="1:128" s="1" customFormat="1" ht="13.5" customHeight="1">
      <c r="A92" s="418" t="s">
        <v>432</v>
      </c>
      <c r="B92" s="492">
        <v>7.4300000000000005E-2</v>
      </c>
      <c r="C92" s="24">
        <v>0.18290000000000001</v>
      </c>
      <c r="D92" s="24">
        <v>0.27929999999999999</v>
      </c>
      <c r="E92" s="490">
        <v>0.1176</v>
      </c>
      <c r="F92" s="255"/>
      <c r="I92" s="252"/>
      <c r="T92" s="491"/>
      <c r="U92" s="491"/>
      <c r="V92" s="491"/>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row>
    <row r="93" spans="1:128" s="1" customFormat="1" ht="13.5" customHeight="1">
      <c r="A93" s="418" t="s">
        <v>433</v>
      </c>
      <c r="B93" s="492">
        <v>0.27489999999999998</v>
      </c>
      <c r="C93" s="24">
        <v>0.38550000000000001</v>
      </c>
      <c r="D93" s="24">
        <v>0.43880000000000002</v>
      </c>
      <c r="E93" s="490">
        <v>0.31909999999999999</v>
      </c>
      <c r="F93" s="265"/>
      <c r="I93" s="252"/>
      <c r="T93" s="491"/>
      <c r="U93" s="491"/>
      <c r="V93" s="491"/>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row>
    <row r="94" spans="1:128" s="1" customFormat="1" ht="13.5" customHeight="1">
      <c r="A94" s="418" t="s">
        <v>434</v>
      </c>
      <c r="B94" s="492">
        <v>0.32190000000000002</v>
      </c>
      <c r="C94" s="24">
        <v>0.30270000000000002</v>
      </c>
      <c r="D94" s="24">
        <v>0.20319999999999999</v>
      </c>
      <c r="E94" s="490">
        <v>0.31419999999999998</v>
      </c>
      <c r="F94" s="255"/>
      <c r="I94" s="252"/>
      <c r="T94" s="491"/>
      <c r="U94" s="491"/>
      <c r="V94" s="491"/>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row>
    <row r="95" spans="1:128" s="1" customFormat="1" ht="13.5" customHeight="1">
      <c r="A95" s="418" t="s">
        <v>435</v>
      </c>
      <c r="B95" s="492">
        <v>0.21079999999999999</v>
      </c>
      <c r="C95" s="24">
        <v>8.77E-2</v>
      </c>
      <c r="D95" s="24">
        <v>2.4199999999999999E-2</v>
      </c>
      <c r="E95" s="490">
        <v>0.16170000000000001</v>
      </c>
      <c r="F95" s="265"/>
      <c r="I95" s="252"/>
      <c r="T95" s="491"/>
      <c r="U95" s="491"/>
      <c r="V95" s="491"/>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c r="DX95" s="9"/>
    </row>
    <row r="96" spans="1:128" s="1" customFormat="1" ht="13.5" customHeight="1">
      <c r="A96" s="418" t="s">
        <v>436</v>
      </c>
      <c r="B96" s="492">
        <v>0.11169999999999999</v>
      </c>
      <c r="C96" s="24">
        <v>1.5900000000000001E-2</v>
      </c>
      <c r="D96" s="493">
        <v>2.0999999999999999E-3</v>
      </c>
      <c r="E96" s="490">
        <v>7.3499999999999996E-2</v>
      </c>
      <c r="F96" s="254"/>
      <c r="I96" s="252"/>
      <c r="T96" s="491"/>
      <c r="U96" s="491"/>
      <c r="V96" s="491"/>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c r="DX96" s="9"/>
    </row>
    <row r="97" spans="1:128" s="1" customFormat="1" ht="13.5" customHeight="1" thickBot="1">
      <c r="A97" s="494" t="s">
        <v>18</v>
      </c>
      <c r="B97" s="495">
        <f>SUM(B90:B96)</f>
        <v>1</v>
      </c>
      <c r="C97" s="496">
        <f>SUM(C90:C96)</f>
        <v>1</v>
      </c>
      <c r="D97" s="496">
        <f>SUM(D90:D96)</f>
        <v>1</v>
      </c>
      <c r="E97" s="497">
        <f>SUM(E90:E96)</f>
        <v>0.99999999999999989</v>
      </c>
      <c r="F97" s="254"/>
      <c r="I97" s="252"/>
      <c r="T97" s="498"/>
      <c r="U97" s="498"/>
      <c r="V97" s="498"/>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c r="DX97" s="9"/>
    </row>
    <row r="98" spans="1:128" s="251" customFormat="1" ht="5.0999999999999996" customHeight="1" thickBot="1">
      <c r="A98" s="499"/>
      <c r="B98" s="498"/>
      <c r="C98" s="498"/>
      <c r="D98" s="498"/>
      <c r="E98" s="498"/>
      <c r="F98" s="254"/>
      <c r="G98" s="1"/>
      <c r="H98" s="1"/>
      <c r="I98" s="252"/>
      <c r="J98" s="1"/>
      <c r="K98" s="1"/>
      <c r="L98" s="1"/>
      <c r="M98" s="1"/>
      <c r="N98" s="1"/>
      <c r="O98" s="1"/>
      <c r="P98" s="1"/>
      <c r="Q98" s="1"/>
      <c r="R98" s="1"/>
      <c r="T98" s="498"/>
      <c r="U98" s="498"/>
      <c r="V98" s="498"/>
      <c r="W98" s="252"/>
      <c r="X98" s="252"/>
      <c r="Y98" s="252"/>
      <c r="Z98" s="252"/>
      <c r="AA98" s="252"/>
      <c r="AB98" s="252"/>
      <c r="AC98" s="252"/>
      <c r="AD98" s="252"/>
      <c r="AE98" s="252"/>
      <c r="AF98" s="252"/>
      <c r="AG98" s="252"/>
      <c r="AH98" s="252"/>
      <c r="AI98" s="252"/>
      <c r="AJ98" s="252"/>
      <c r="AK98" s="252"/>
      <c r="AL98" s="252"/>
      <c r="AM98" s="252"/>
      <c r="AN98" s="252"/>
      <c r="AO98" s="252"/>
      <c r="AP98" s="252"/>
      <c r="AQ98" s="252"/>
      <c r="AR98" s="252"/>
      <c r="AS98" s="252"/>
      <c r="AT98" s="252"/>
      <c r="AU98" s="252"/>
      <c r="AV98" s="252"/>
      <c r="AW98" s="252"/>
      <c r="AX98" s="252"/>
      <c r="AY98" s="252"/>
      <c r="AZ98" s="252"/>
      <c r="BA98" s="252"/>
      <c r="BB98" s="252"/>
      <c r="BC98" s="252"/>
      <c r="BD98" s="252"/>
      <c r="BE98" s="252"/>
      <c r="BF98" s="252"/>
      <c r="BG98" s="252"/>
      <c r="BH98" s="252"/>
      <c r="BI98" s="252"/>
      <c r="BJ98" s="252"/>
      <c r="BK98" s="252"/>
      <c r="BL98" s="252"/>
      <c r="BM98" s="252"/>
      <c r="BN98" s="252"/>
      <c r="BO98" s="252"/>
      <c r="BP98" s="252"/>
      <c r="BQ98" s="252"/>
      <c r="BR98" s="252"/>
      <c r="BS98" s="252"/>
      <c r="BT98" s="252"/>
      <c r="BU98" s="252"/>
      <c r="BV98" s="252"/>
      <c r="BW98" s="252"/>
      <c r="BX98" s="252"/>
      <c r="BY98" s="252"/>
      <c r="BZ98" s="252"/>
      <c r="CA98" s="252"/>
      <c r="CB98" s="252"/>
      <c r="CC98" s="252"/>
      <c r="CD98" s="252"/>
      <c r="CE98" s="252"/>
      <c r="CF98" s="252"/>
      <c r="CG98" s="252"/>
      <c r="CH98" s="252"/>
      <c r="CI98" s="252"/>
      <c r="CJ98" s="252"/>
      <c r="CK98" s="252"/>
      <c r="CL98" s="252"/>
      <c r="CM98" s="252"/>
      <c r="CN98" s="252"/>
      <c r="CO98" s="252"/>
      <c r="CP98" s="252"/>
      <c r="CQ98" s="252"/>
      <c r="CR98" s="252"/>
      <c r="CS98" s="252"/>
      <c r="CT98" s="252"/>
      <c r="CU98" s="252"/>
      <c r="CV98" s="252"/>
      <c r="CW98" s="252"/>
      <c r="CX98" s="252"/>
      <c r="CY98" s="252"/>
      <c r="CZ98" s="252"/>
      <c r="DA98" s="252"/>
      <c r="DB98" s="252"/>
      <c r="DC98" s="252"/>
      <c r="DD98" s="252"/>
      <c r="DE98" s="252"/>
      <c r="DF98" s="252"/>
      <c r="DG98" s="252"/>
      <c r="DH98" s="252"/>
      <c r="DI98" s="252"/>
      <c r="DJ98" s="252"/>
      <c r="DK98" s="252"/>
      <c r="DL98" s="252"/>
      <c r="DM98" s="252"/>
      <c r="DN98" s="252"/>
      <c r="DO98" s="252"/>
      <c r="DP98" s="252"/>
      <c r="DQ98" s="252"/>
      <c r="DR98" s="252"/>
      <c r="DS98" s="252"/>
      <c r="DT98" s="252"/>
      <c r="DU98" s="252"/>
      <c r="DV98" s="252"/>
      <c r="DW98" s="252"/>
      <c r="DX98" s="252"/>
    </row>
    <row r="99" spans="1:128" s="260" customFormat="1" ht="13.5" customHeight="1" thickBot="1">
      <c r="A99" s="500" t="s">
        <v>437</v>
      </c>
      <c r="B99" s="501">
        <v>301</v>
      </c>
      <c r="C99" s="502">
        <v>224</v>
      </c>
      <c r="D99" s="502">
        <v>187</v>
      </c>
      <c r="E99" s="503">
        <v>270</v>
      </c>
      <c r="F99" s="241"/>
      <c r="G99" s="1"/>
      <c r="H99" s="1"/>
      <c r="I99" s="252"/>
      <c r="J99" s="1"/>
      <c r="K99" s="1"/>
      <c r="L99" s="1"/>
      <c r="M99" s="1"/>
      <c r="N99" s="1"/>
      <c r="O99" s="1"/>
      <c r="P99" s="1"/>
      <c r="Q99" s="1"/>
      <c r="R99" s="1"/>
      <c r="T99" s="238"/>
      <c r="U99" s="238"/>
      <c r="V99" s="238"/>
      <c r="W99" s="504"/>
      <c r="X99" s="504"/>
      <c r="Y99" s="504"/>
      <c r="Z99" s="504"/>
      <c r="AA99" s="504"/>
      <c r="AB99" s="504"/>
      <c r="AC99" s="504"/>
      <c r="AD99" s="504"/>
      <c r="AE99" s="504"/>
      <c r="AF99" s="504"/>
      <c r="AG99" s="504"/>
      <c r="AH99" s="504"/>
      <c r="AI99" s="504"/>
      <c r="AJ99" s="504"/>
      <c r="AK99" s="504"/>
      <c r="AL99" s="504"/>
      <c r="AM99" s="504"/>
      <c r="AN99" s="504"/>
      <c r="AO99" s="504"/>
      <c r="AP99" s="504"/>
      <c r="AQ99" s="504"/>
      <c r="AR99" s="504"/>
      <c r="AS99" s="504"/>
      <c r="AT99" s="504"/>
      <c r="AU99" s="504"/>
      <c r="AV99" s="504"/>
      <c r="AW99" s="504"/>
      <c r="AX99" s="504"/>
      <c r="AY99" s="504"/>
      <c r="AZ99" s="504"/>
      <c r="BA99" s="504"/>
      <c r="BB99" s="504"/>
      <c r="BC99" s="504"/>
      <c r="BD99" s="504"/>
      <c r="BE99" s="504"/>
      <c r="BF99" s="504"/>
      <c r="BG99" s="504"/>
      <c r="BH99" s="504"/>
      <c r="BI99" s="504"/>
      <c r="BJ99" s="504"/>
      <c r="BK99" s="504"/>
      <c r="BL99" s="504"/>
      <c r="BM99" s="504"/>
      <c r="BN99" s="504"/>
      <c r="BO99" s="504"/>
      <c r="BP99" s="504"/>
      <c r="BQ99" s="504"/>
      <c r="BR99" s="504"/>
      <c r="BS99" s="504"/>
      <c r="BT99" s="504"/>
      <c r="BU99" s="504"/>
      <c r="BV99" s="504"/>
      <c r="BW99" s="504"/>
      <c r="BX99" s="504"/>
      <c r="BY99" s="504"/>
      <c r="BZ99" s="504"/>
      <c r="CA99" s="504"/>
      <c r="CB99" s="504"/>
      <c r="CC99" s="504"/>
      <c r="CD99" s="504"/>
      <c r="CE99" s="504"/>
      <c r="CF99" s="504"/>
      <c r="CG99" s="504"/>
      <c r="CH99" s="504"/>
      <c r="CI99" s="504"/>
      <c r="CJ99" s="504"/>
      <c r="CK99" s="504"/>
      <c r="CL99" s="504"/>
      <c r="CM99" s="504"/>
      <c r="CN99" s="504"/>
      <c r="CO99" s="504"/>
      <c r="CP99" s="504"/>
      <c r="CQ99" s="504"/>
      <c r="CR99" s="504"/>
      <c r="CS99" s="504"/>
      <c r="CT99" s="504"/>
      <c r="CU99" s="504"/>
      <c r="CV99" s="504"/>
      <c r="CW99" s="504"/>
      <c r="CX99" s="504"/>
      <c r="CY99" s="504"/>
      <c r="CZ99" s="504"/>
      <c r="DA99" s="504"/>
      <c r="DB99" s="504"/>
      <c r="DC99" s="504"/>
      <c r="DD99" s="504"/>
      <c r="DE99" s="504"/>
      <c r="DF99" s="504"/>
      <c r="DG99" s="504"/>
      <c r="DH99" s="504"/>
      <c r="DI99" s="504"/>
      <c r="DJ99" s="504"/>
      <c r="DK99" s="504"/>
      <c r="DL99" s="504"/>
      <c r="DM99" s="504"/>
      <c r="DN99" s="504"/>
      <c r="DO99" s="504"/>
      <c r="DP99" s="504"/>
      <c r="DQ99" s="504"/>
      <c r="DR99" s="504"/>
      <c r="DS99" s="504"/>
      <c r="DT99" s="504"/>
      <c r="DU99" s="504"/>
      <c r="DV99" s="504"/>
      <c r="DW99" s="504"/>
      <c r="DX99" s="504"/>
    </row>
    <row r="100" spans="1:128" s="1" customFormat="1" ht="13.5" customHeight="1">
      <c r="A100" s="14" t="s">
        <v>438</v>
      </c>
      <c r="B100" s="15"/>
      <c r="C100" s="15"/>
      <c r="D100" s="27"/>
      <c r="E100" s="63"/>
      <c r="F100" s="252"/>
      <c r="I100" s="252"/>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c r="DX100" s="9"/>
    </row>
    <row r="101" spans="1:128" s="1" customFormat="1" ht="13.5" customHeight="1">
      <c r="A101" s="14" t="s">
        <v>439</v>
      </c>
      <c r="B101" s="15"/>
      <c r="C101" s="15"/>
      <c r="D101" s="27"/>
      <c r="E101" s="63"/>
      <c r="F101" s="252"/>
      <c r="I101" s="252"/>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c r="DX101" s="9"/>
    </row>
    <row r="102" spans="1:128" s="1" customFormat="1" ht="13.5" customHeight="1">
      <c r="A102" s="14" t="s">
        <v>440</v>
      </c>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row>
    <row r="103" spans="1:128" s="15" customFormat="1" ht="13.5" customHeight="1">
      <c r="A103" s="14"/>
      <c r="B103" s="1"/>
      <c r="C103" s="1"/>
      <c r="D103" s="245"/>
      <c r="E103" s="1"/>
      <c r="N103" s="14"/>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c r="BU103" s="41"/>
      <c r="BV103" s="41"/>
      <c r="BW103" s="41"/>
      <c r="BX103" s="41"/>
      <c r="BY103" s="41"/>
      <c r="BZ103" s="41"/>
      <c r="CA103" s="41"/>
      <c r="CB103" s="41"/>
      <c r="CC103" s="41"/>
      <c r="CD103" s="41"/>
      <c r="CE103" s="41"/>
      <c r="CF103" s="41"/>
      <c r="CG103" s="41"/>
      <c r="CH103" s="41"/>
      <c r="CI103" s="41"/>
      <c r="CJ103" s="41"/>
      <c r="CK103" s="41"/>
      <c r="CL103" s="41"/>
      <c r="CM103" s="41"/>
      <c r="CN103" s="41"/>
      <c r="CO103" s="41"/>
      <c r="CP103" s="41"/>
      <c r="CQ103" s="41"/>
      <c r="CR103" s="41"/>
      <c r="CS103" s="41"/>
      <c r="CT103" s="41"/>
      <c r="CU103" s="41"/>
      <c r="CV103" s="41"/>
      <c r="CW103" s="41"/>
      <c r="CX103" s="41"/>
      <c r="CY103" s="41"/>
      <c r="CZ103" s="41"/>
      <c r="DA103" s="41"/>
      <c r="DB103" s="41"/>
      <c r="DC103" s="41"/>
      <c r="DD103" s="41"/>
      <c r="DE103" s="41"/>
      <c r="DF103" s="41"/>
      <c r="DG103" s="41"/>
      <c r="DH103" s="41"/>
      <c r="DI103" s="41"/>
      <c r="DJ103" s="41"/>
      <c r="DK103" s="41"/>
      <c r="DL103" s="41"/>
      <c r="DM103" s="41"/>
      <c r="DN103" s="41"/>
      <c r="DO103" s="41"/>
      <c r="DP103" s="41"/>
      <c r="DQ103" s="41"/>
      <c r="DR103" s="41"/>
      <c r="DS103" s="41"/>
      <c r="DT103" s="41"/>
      <c r="DU103" s="41"/>
      <c r="DV103" s="41"/>
      <c r="DW103" s="41"/>
      <c r="DX103" s="41"/>
    </row>
    <row r="104" spans="1:128" s="45" customFormat="1" ht="13.5" customHeight="1" thickBot="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1"/>
      <c r="BR104" s="41"/>
      <c r="BS104" s="41"/>
      <c r="BT104" s="41"/>
      <c r="BU104" s="41"/>
      <c r="BV104" s="41"/>
      <c r="BW104" s="41"/>
      <c r="BX104" s="41"/>
      <c r="BY104" s="41"/>
      <c r="BZ104" s="41"/>
      <c r="CA104" s="41"/>
      <c r="CB104" s="41"/>
      <c r="CC104" s="41"/>
      <c r="CD104" s="41"/>
      <c r="CE104" s="41"/>
      <c r="CF104" s="41"/>
      <c r="CG104" s="41"/>
      <c r="CH104" s="41"/>
      <c r="CI104" s="41"/>
      <c r="CJ104" s="41"/>
      <c r="CK104" s="41"/>
      <c r="CL104" s="41"/>
      <c r="CM104" s="41"/>
      <c r="CN104" s="41"/>
      <c r="CO104" s="41"/>
      <c r="CP104" s="41"/>
      <c r="CQ104" s="41"/>
      <c r="CR104" s="41"/>
      <c r="CS104" s="41"/>
      <c r="CT104" s="41"/>
      <c r="CU104" s="41"/>
      <c r="CV104" s="41"/>
      <c r="CW104" s="41"/>
      <c r="CX104" s="41"/>
      <c r="CY104" s="41"/>
      <c r="CZ104" s="41"/>
      <c r="DA104" s="41"/>
      <c r="DB104" s="41"/>
      <c r="DC104" s="41"/>
      <c r="DD104" s="41"/>
      <c r="DE104" s="41"/>
      <c r="DF104" s="41"/>
      <c r="DG104" s="41"/>
      <c r="DH104" s="41"/>
      <c r="DI104" s="41"/>
      <c r="DJ104" s="41"/>
      <c r="DK104" s="41"/>
      <c r="DL104" s="41"/>
      <c r="DM104" s="41"/>
      <c r="DN104" s="41"/>
      <c r="DO104" s="41"/>
      <c r="DP104" s="41"/>
      <c r="DQ104" s="41"/>
      <c r="DR104" s="41"/>
      <c r="DS104" s="41"/>
      <c r="DT104" s="41"/>
      <c r="DU104" s="41"/>
      <c r="DV104" s="41"/>
      <c r="DW104" s="41"/>
      <c r="DX104" s="41"/>
    </row>
    <row r="105" spans="1:128" s="15" customFormat="1" ht="13.5" customHeight="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c r="BS105" s="41"/>
      <c r="BT105" s="41"/>
      <c r="BU105" s="41"/>
      <c r="BV105" s="41"/>
      <c r="BW105" s="41"/>
      <c r="BX105" s="41"/>
      <c r="BY105" s="41"/>
      <c r="BZ105" s="41"/>
      <c r="CA105" s="41"/>
      <c r="CB105" s="41"/>
      <c r="CC105" s="41"/>
      <c r="CD105" s="41"/>
      <c r="CE105" s="41"/>
      <c r="CF105" s="41"/>
      <c r="CG105" s="41"/>
      <c r="CH105" s="41"/>
      <c r="CI105" s="41"/>
      <c r="CJ105" s="41"/>
      <c r="CK105" s="41"/>
      <c r="CL105" s="41"/>
      <c r="CM105" s="41"/>
      <c r="CN105" s="41"/>
      <c r="CO105" s="41"/>
      <c r="CP105" s="41"/>
      <c r="CQ105" s="41"/>
      <c r="CR105" s="41"/>
      <c r="CS105" s="41"/>
      <c r="CT105" s="41"/>
      <c r="CU105" s="41"/>
      <c r="CV105" s="41"/>
      <c r="CW105" s="41"/>
      <c r="CX105" s="41"/>
      <c r="CY105" s="41"/>
      <c r="CZ105" s="41"/>
      <c r="DA105" s="41"/>
      <c r="DB105" s="41"/>
      <c r="DC105" s="41"/>
      <c r="DD105" s="41"/>
      <c r="DE105" s="41"/>
      <c r="DF105" s="41"/>
      <c r="DG105" s="41"/>
      <c r="DH105" s="41"/>
      <c r="DI105" s="41"/>
      <c r="DJ105" s="41"/>
      <c r="DK105" s="41"/>
      <c r="DL105" s="41"/>
      <c r="DM105" s="41"/>
      <c r="DN105" s="41"/>
      <c r="DO105" s="41"/>
      <c r="DP105" s="41"/>
      <c r="DQ105" s="41"/>
      <c r="DR105" s="41"/>
      <c r="DS105" s="41"/>
      <c r="DT105" s="41"/>
      <c r="DU105" s="41"/>
      <c r="DV105" s="41"/>
      <c r="DW105" s="41"/>
      <c r="DX105" s="41"/>
    </row>
    <row r="106" spans="1:128" s="1" customFormat="1" ht="13.5">
      <c r="A106" s="23" t="s">
        <v>488</v>
      </c>
      <c r="B106" s="8" t="s">
        <v>480</v>
      </c>
      <c r="F106" s="407"/>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c r="DX106" s="9"/>
    </row>
    <row r="107" spans="1:128" s="1" customFormat="1" ht="13.5" thickBot="1">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c r="DX107" s="9"/>
    </row>
    <row r="108" spans="1:128" s="1" customFormat="1" ht="30.75" customHeight="1" thickBot="1">
      <c r="A108" s="15"/>
      <c r="B108" s="263" t="s">
        <v>213</v>
      </c>
      <c r="C108" s="264" t="s">
        <v>214</v>
      </c>
      <c r="D108" s="266" t="s">
        <v>189</v>
      </c>
      <c r="Q108" s="267"/>
      <c r="R108" s="236"/>
      <c r="S108" s="267"/>
      <c r="T108" s="267"/>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c r="DX108" s="9"/>
    </row>
    <row r="109" spans="1:128" s="1" customFormat="1" ht="13.5" customHeight="1">
      <c r="A109" s="434" t="s">
        <v>190</v>
      </c>
      <c r="B109" s="505" t="s">
        <v>441</v>
      </c>
      <c r="C109" s="506" t="s">
        <v>442</v>
      </c>
      <c r="D109" s="507" t="s">
        <v>443</v>
      </c>
      <c r="Q109" s="237"/>
      <c r="R109" s="237"/>
      <c r="S109" s="237"/>
      <c r="T109" s="237"/>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c r="DX109" s="9"/>
    </row>
    <row r="110" spans="1:128" s="1" customFormat="1" ht="13.5" customHeight="1">
      <c r="A110" s="438" t="s">
        <v>191</v>
      </c>
      <c r="B110" s="508" t="s">
        <v>444</v>
      </c>
      <c r="C110" s="509" t="s">
        <v>445</v>
      </c>
      <c r="D110" s="510" t="s">
        <v>446</v>
      </c>
      <c r="Q110" s="239"/>
      <c r="R110" s="239"/>
      <c r="S110" s="239"/>
      <c r="T110" s="23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c r="DX110" s="9"/>
    </row>
    <row r="111" spans="1:128" s="1" customFormat="1" ht="13.5" customHeight="1">
      <c r="A111" s="438" t="s">
        <v>192</v>
      </c>
      <c r="B111" s="508" t="s">
        <v>447</v>
      </c>
      <c r="C111" s="509" t="s">
        <v>448</v>
      </c>
      <c r="D111" s="510" t="s">
        <v>449</v>
      </c>
      <c r="Q111" s="239"/>
      <c r="R111" s="239"/>
      <c r="S111" s="239"/>
      <c r="T111" s="23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c r="DX111" s="9"/>
    </row>
    <row r="112" spans="1:128" s="1" customFormat="1" ht="13.5" customHeight="1">
      <c r="A112" s="438" t="s">
        <v>193</v>
      </c>
      <c r="B112" s="508" t="s">
        <v>450</v>
      </c>
      <c r="C112" s="509" t="s">
        <v>449</v>
      </c>
      <c r="D112" s="510" t="s">
        <v>451</v>
      </c>
      <c r="Q112" s="427"/>
      <c r="R112" s="427"/>
      <c r="S112" s="427"/>
      <c r="T112" s="427"/>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c r="DN112" s="9"/>
      <c r="DO112" s="9"/>
      <c r="DP112" s="9"/>
      <c r="DQ112" s="9"/>
      <c r="DR112" s="9"/>
      <c r="DS112" s="9"/>
      <c r="DT112" s="9"/>
      <c r="DU112" s="9"/>
      <c r="DV112" s="9"/>
      <c r="DW112" s="9"/>
      <c r="DX112" s="9"/>
    </row>
    <row r="113" spans="1:128" s="1" customFormat="1" ht="13.5" customHeight="1" thickBot="1">
      <c r="A113" s="442" t="s">
        <v>194</v>
      </c>
      <c r="B113" s="511" t="s">
        <v>452</v>
      </c>
      <c r="C113" s="512" t="s">
        <v>453</v>
      </c>
      <c r="D113" s="513" t="s">
        <v>444</v>
      </c>
      <c r="Q113" s="240"/>
      <c r="R113" s="240"/>
      <c r="S113" s="240"/>
      <c r="T113" s="240"/>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c r="DX113" s="9"/>
    </row>
    <row r="114" spans="1:128" s="1" customFormat="1" ht="13.5" customHeight="1">
      <c r="A114" s="14" t="s">
        <v>215</v>
      </c>
      <c r="Q114" s="237"/>
      <c r="R114" s="237"/>
      <c r="S114" s="237"/>
      <c r="T114" s="237"/>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c r="DX114" s="9"/>
    </row>
    <row r="115" spans="1:128" s="1" customFormat="1" ht="13.5" customHeight="1">
      <c r="A115" s="14" t="s">
        <v>196</v>
      </c>
      <c r="D115" s="245"/>
      <c r="Q115" s="239"/>
      <c r="R115" s="239"/>
      <c r="S115" s="239"/>
      <c r="T115" s="23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c r="DN115" s="9"/>
      <c r="DO115" s="9"/>
      <c r="DP115" s="9"/>
      <c r="DQ115" s="9"/>
      <c r="DR115" s="9"/>
      <c r="DS115" s="9"/>
      <c r="DT115" s="9"/>
      <c r="DU115" s="9"/>
      <c r="DV115" s="9"/>
      <c r="DW115" s="9"/>
      <c r="DX115" s="9"/>
    </row>
    <row r="116" spans="1:128" s="1" customFormat="1" ht="13.5" customHeight="1">
      <c r="A116" s="14"/>
      <c r="D116" s="245"/>
      <c r="Q116" s="239"/>
      <c r="R116" s="239"/>
      <c r="S116" s="239"/>
      <c r="T116" s="23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c r="DN116" s="9"/>
      <c r="DO116" s="9"/>
      <c r="DP116" s="9"/>
      <c r="DQ116" s="9"/>
      <c r="DR116" s="9"/>
      <c r="DS116" s="9"/>
      <c r="DT116" s="9"/>
      <c r="DU116" s="9"/>
      <c r="DV116" s="9"/>
      <c r="DW116" s="9"/>
      <c r="DX116" s="9"/>
    </row>
    <row r="117" spans="1:128" s="45" customFormat="1" ht="13.5" customHeight="1" thickBo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1"/>
      <c r="BR117" s="41"/>
      <c r="BS117" s="41"/>
      <c r="BT117" s="41"/>
      <c r="BU117" s="41"/>
      <c r="BV117" s="41"/>
      <c r="BW117" s="41"/>
      <c r="BX117" s="41"/>
      <c r="BY117" s="41"/>
      <c r="BZ117" s="41"/>
      <c r="CA117" s="41"/>
      <c r="CB117" s="41"/>
      <c r="CC117" s="41"/>
      <c r="CD117" s="41"/>
      <c r="CE117" s="41"/>
      <c r="CF117" s="41"/>
      <c r="CG117" s="41"/>
      <c r="CH117" s="41"/>
      <c r="CI117" s="41"/>
      <c r="CJ117" s="41"/>
      <c r="CK117" s="41"/>
      <c r="CL117" s="41"/>
      <c r="CM117" s="41"/>
      <c r="CN117" s="41"/>
      <c r="CO117" s="41"/>
      <c r="CP117" s="41"/>
      <c r="CQ117" s="41"/>
      <c r="CR117" s="41"/>
      <c r="CS117" s="41"/>
      <c r="CT117" s="41"/>
      <c r="CU117" s="41"/>
      <c r="CV117" s="41"/>
      <c r="CW117" s="41"/>
      <c r="CX117" s="41"/>
      <c r="CY117" s="41"/>
      <c r="CZ117" s="41"/>
      <c r="DA117" s="41"/>
      <c r="DB117" s="41"/>
      <c r="DC117" s="41"/>
      <c r="DD117" s="41"/>
      <c r="DE117" s="41"/>
      <c r="DF117" s="41"/>
      <c r="DG117" s="41"/>
      <c r="DH117" s="41"/>
      <c r="DI117" s="41"/>
      <c r="DJ117" s="41"/>
      <c r="DK117" s="41"/>
      <c r="DL117" s="41"/>
      <c r="DM117" s="41"/>
      <c r="DN117" s="41"/>
      <c r="DO117" s="41"/>
      <c r="DP117" s="41"/>
      <c r="DQ117" s="41"/>
      <c r="DR117" s="41"/>
      <c r="DS117" s="41"/>
      <c r="DT117" s="41"/>
      <c r="DU117" s="41"/>
      <c r="DV117" s="41"/>
      <c r="DW117" s="41"/>
      <c r="DX117" s="41"/>
    </row>
    <row r="118" spans="1:128" ht="13.5" customHeight="1">
      <c r="A118" s="42" t="s">
        <v>454</v>
      </c>
      <c r="B118" s="43"/>
      <c r="C118" s="43"/>
      <c r="D118" s="43"/>
      <c r="E118" s="43"/>
      <c r="F118" s="43"/>
      <c r="G118" s="43"/>
      <c r="H118" s="43"/>
      <c r="I118" s="43"/>
      <c r="J118" s="43"/>
      <c r="K118" s="43"/>
      <c r="L118" s="43"/>
      <c r="M118" s="43"/>
      <c r="N118" s="43"/>
      <c r="O118" s="43"/>
      <c r="P118" s="43"/>
      <c r="Q118" s="43"/>
      <c r="R118" s="43"/>
      <c r="S118" s="43"/>
      <c r="T118" s="43"/>
      <c r="U118" s="43"/>
      <c r="V118" s="43"/>
      <c r="W118" s="43"/>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c r="BK118" s="44"/>
      <c r="BL118" s="44"/>
      <c r="BM118" s="44"/>
      <c r="BN118" s="44"/>
      <c r="BO118" s="44"/>
      <c r="BP118" s="44"/>
      <c r="BQ118" s="44"/>
      <c r="BR118" s="44"/>
      <c r="BS118" s="44"/>
      <c r="BT118" s="44"/>
      <c r="BU118" s="44"/>
      <c r="BV118" s="44"/>
      <c r="BW118" s="44"/>
      <c r="BX118" s="44"/>
      <c r="BY118" s="44"/>
      <c r="BZ118" s="44"/>
      <c r="CA118" s="44"/>
      <c r="CB118" s="44"/>
      <c r="CC118" s="44"/>
      <c r="CD118" s="44"/>
      <c r="CE118" s="44"/>
      <c r="CF118" s="44"/>
      <c r="CG118" s="44"/>
      <c r="CH118" s="44"/>
      <c r="CI118" s="44"/>
      <c r="CJ118" s="44"/>
      <c r="CK118" s="44"/>
      <c r="CL118" s="44"/>
      <c r="CM118" s="44"/>
      <c r="CN118" s="44"/>
      <c r="CO118" s="44"/>
      <c r="CP118" s="44"/>
      <c r="CQ118" s="44"/>
      <c r="CR118" s="44"/>
      <c r="CS118" s="44"/>
      <c r="CT118" s="44"/>
      <c r="CU118" s="44"/>
      <c r="CV118" s="44"/>
      <c r="CW118" s="44"/>
      <c r="CX118" s="44"/>
      <c r="CY118" s="44"/>
      <c r="CZ118" s="44"/>
      <c r="DA118" s="44"/>
      <c r="DB118" s="44"/>
      <c r="DC118" s="44"/>
      <c r="DD118" s="44"/>
      <c r="DE118" s="44"/>
      <c r="DF118" s="44"/>
      <c r="DG118" s="44"/>
      <c r="DH118" s="44"/>
      <c r="DI118" s="44"/>
      <c r="DJ118" s="44"/>
      <c r="DK118" s="44"/>
      <c r="DL118" s="44"/>
      <c r="DM118" s="44"/>
      <c r="DN118" s="44"/>
      <c r="DO118" s="44"/>
      <c r="DP118" s="44"/>
      <c r="DQ118" s="44"/>
      <c r="DR118" s="44"/>
      <c r="DS118" s="44"/>
      <c r="DT118" s="44"/>
      <c r="DU118" s="44"/>
      <c r="DV118" s="44"/>
      <c r="DW118" s="44"/>
      <c r="DX118" s="44"/>
    </row>
    <row r="119" spans="1:128" s="41" customFormat="1" ht="13.5" customHeight="1"/>
    <row r="120" spans="1:128" s="15" customFormat="1" ht="13.5" customHeight="1">
      <c r="A120" s="16" t="s">
        <v>346</v>
      </c>
      <c r="B120" s="8" t="s">
        <v>344</v>
      </c>
    </row>
    <row r="121" spans="1:128" s="15" customFormat="1" ht="13.5" customHeight="1" thickBot="1">
      <c r="A121" s="268"/>
      <c r="B121" s="9"/>
      <c r="C121" s="9"/>
      <c r="D121" s="9"/>
      <c r="E121" s="9"/>
      <c r="F121" s="9"/>
      <c r="G121" s="9"/>
      <c r="H121" s="9"/>
      <c r="I121" s="9"/>
      <c r="J121" s="9"/>
      <c r="K121" s="9"/>
      <c r="L121" s="9"/>
      <c r="M121" s="9"/>
      <c r="BP121" s="256"/>
      <c r="BQ121" s="256"/>
      <c r="BR121" s="256"/>
    </row>
    <row r="122" spans="1:128" s="15" customFormat="1" ht="13.5" customHeight="1" thickBot="1">
      <c r="A122" s="6"/>
      <c r="B122" s="514">
        <v>39814</v>
      </c>
      <c r="C122" s="515">
        <v>39845</v>
      </c>
      <c r="D122" s="515">
        <v>39873</v>
      </c>
      <c r="E122" s="515">
        <v>39904</v>
      </c>
      <c r="F122" s="515">
        <v>39934</v>
      </c>
      <c r="G122" s="515">
        <v>39965</v>
      </c>
      <c r="H122" s="515">
        <v>39995</v>
      </c>
      <c r="I122" s="515">
        <v>40026</v>
      </c>
      <c r="J122" s="515">
        <v>40057</v>
      </c>
      <c r="K122" s="515">
        <v>40087</v>
      </c>
      <c r="L122" s="515">
        <v>40118</v>
      </c>
      <c r="M122" s="516">
        <v>40148</v>
      </c>
    </row>
    <row r="123" spans="1:128" s="15" customFormat="1" ht="13.5" customHeight="1">
      <c r="A123" s="484" t="s">
        <v>216</v>
      </c>
      <c r="B123" s="517">
        <f t="shared" ref="B123:M123" si="5">B124+B125</f>
        <v>231600</v>
      </c>
      <c r="C123" s="271">
        <f t="shared" si="5"/>
        <v>223700</v>
      </c>
      <c r="D123" s="271">
        <f t="shared" si="5"/>
        <v>217800</v>
      </c>
      <c r="E123" s="271">
        <f t="shared" si="5"/>
        <v>211500</v>
      </c>
      <c r="F123" s="271">
        <f t="shared" si="5"/>
        <v>206500</v>
      </c>
      <c r="G123" s="271">
        <f t="shared" si="5"/>
        <v>203000</v>
      </c>
      <c r="H123" s="271">
        <f t="shared" si="5"/>
        <v>199400</v>
      </c>
      <c r="I123" s="271">
        <f t="shared" si="5"/>
        <v>197300</v>
      </c>
      <c r="J123" s="271">
        <f t="shared" si="5"/>
        <v>195900</v>
      </c>
      <c r="K123" s="271">
        <f t="shared" si="5"/>
        <v>193800</v>
      </c>
      <c r="L123" s="271">
        <f t="shared" si="5"/>
        <v>195000</v>
      </c>
      <c r="M123" s="518">
        <f t="shared" si="5"/>
        <v>196300</v>
      </c>
    </row>
    <row r="124" spans="1:128" s="15" customFormat="1" ht="13.5" customHeight="1">
      <c r="A124" s="519" t="s">
        <v>217</v>
      </c>
      <c r="B124" s="453">
        <v>164000</v>
      </c>
      <c r="C124" s="256">
        <v>158000</v>
      </c>
      <c r="D124" s="256">
        <v>154000</v>
      </c>
      <c r="E124" s="256">
        <v>149400</v>
      </c>
      <c r="F124" s="256">
        <v>145700</v>
      </c>
      <c r="G124" s="256">
        <v>142500</v>
      </c>
      <c r="H124" s="256">
        <v>139600</v>
      </c>
      <c r="I124" s="256">
        <v>137600</v>
      </c>
      <c r="J124" s="256">
        <v>135800</v>
      </c>
      <c r="K124" s="256">
        <v>134700</v>
      </c>
      <c r="L124" s="256">
        <v>135300</v>
      </c>
      <c r="M124" s="454">
        <v>136000</v>
      </c>
    </row>
    <row r="125" spans="1:128" s="15" customFormat="1" ht="13.5" customHeight="1">
      <c r="A125" s="519" t="s">
        <v>218</v>
      </c>
      <c r="B125" s="453">
        <v>67600</v>
      </c>
      <c r="C125" s="256">
        <v>65700</v>
      </c>
      <c r="D125" s="256">
        <v>63800</v>
      </c>
      <c r="E125" s="256">
        <v>62100</v>
      </c>
      <c r="F125" s="256">
        <v>60800</v>
      </c>
      <c r="G125" s="256">
        <v>60500</v>
      </c>
      <c r="H125" s="256">
        <v>59800</v>
      </c>
      <c r="I125" s="256">
        <v>59700</v>
      </c>
      <c r="J125" s="256">
        <v>60100</v>
      </c>
      <c r="K125" s="256">
        <v>59100</v>
      </c>
      <c r="L125" s="256">
        <v>59700</v>
      </c>
      <c r="M125" s="454">
        <v>60300</v>
      </c>
    </row>
    <row r="126" spans="1:128" s="15" customFormat="1" ht="13.5" customHeight="1">
      <c r="A126" s="519" t="s">
        <v>188</v>
      </c>
      <c r="B126" s="453">
        <v>200400</v>
      </c>
      <c r="C126" s="256">
        <v>189500</v>
      </c>
      <c r="D126" s="256">
        <v>180400</v>
      </c>
      <c r="E126" s="256">
        <v>175100</v>
      </c>
      <c r="F126" s="256">
        <v>166800</v>
      </c>
      <c r="G126" s="256">
        <v>161400</v>
      </c>
      <c r="H126" s="256">
        <v>159500</v>
      </c>
      <c r="I126" s="256">
        <v>156900</v>
      </c>
      <c r="J126" s="256">
        <v>155200</v>
      </c>
      <c r="K126" s="256">
        <v>153100</v>
      </c>
      <c r="L126" s="256">
        <v>153000</v>
      </c>
      <c r="M126" s="454">
        <v>153200</v>
      </c>
    </row>
    <row r="127" spans="1:128" s="15" customFormat="1" ht="13.5" customHeight="1">
      <c r="A127" s="519" t="s">
        <v>219</v>
      </c>
      <c r="B127" s="453">
        <v>30700</v>
      </c>
      <c r="C127" s="256">
        <v>30500</v>
      </c>
      <c r="D127" s="256">
        <v>30800</v>
      </c>
      <c r="E127" s="256">
        <v>31100</v>
      </c>
      <c r="F127" s="256">
        <v>30400</v>
      </c>
      <c r="G127" s="256">
        <v>28800</v>
      </c>
      <c r="H127" s="256">
        <v>28700</v>
      </c>
      <c r="I127" s="256">
        <v>28900</v>
      </c>
      <c r="J127" s="256">
        <v>28900</v>
      </c>
      <c r="K127" s="256">
        <v>28500</v>
      </c>
      <c r="L127" s="256">
        <v>28600</v>
      </c>
      <c r="M127" s="454">
        <v>30300</v>
      </c>
    </row>
    <row r="128" spans="1:128" s="15" customFormat="1" ht="13.5" customHeight="1" thickBot="1">
      <c r="A128" s="520" t="s">
        <v>18</v>
      </c>
      <c r="B128" s="521">
        <v>462700</v>
      </c>
      <c r="C128" s="522">
        <v>443700</v>
      </c>
      <c r="D128" s="522">
        <v>429100</v>
      </c>
      <c r="E128" s="522">
        <v>417700</v>
      </c>
      <c r="F128" s="522">
        <v>403600</v>
      </c>
      <c r="G128" s="522">
        <v>393100</v>
      </c>
      <c r="H128" s="522">
        <v>387600</v>
      </c>
      <c r="I128" s="522">
        <v>383000</v>
      </c>
      <c r="J128" s="522">
        <v>379900</v>
      </c>
      <c r="K128" s="522">
        <v>375400</v>
      </c>
      <c r="L128" s="522">
        <v>376500</v>
      </c>
      <c r="M128" s="523">
        <v>379800</v>
      </c>
    </row>
    <row r="129" spans="1:72" s="15" customFormat="1" ht="13.5" customHeight="1" thickBot="1">
      <c r="A129" s="6"/>
      <c r="B129" s="250"/>
      <c r="C129" s="250"/>
      <c r="D129" s="250"/>
      <c r="E129" s="250"/>
      <c r="F129" s="250"/>
      <c r="G129" s="250"/>
      <c r="H129" s="250"/>
      <c r="I129" s="250"/>
      <c r="J129" s="250"/>
      <c r="K129" s="250"/>
      <c r="L129" s="250"/>
      <c r="M129" s="250"/>
      <c r="N129" s="250"/>
      <c r="O129" s="250"/>
      <c r="P129" s="250"/>
      <c r="Q129" s="27"/>
      <c r="R129" s="27"/>
      <c r="S129" s="27"/>
      <c r="T129" s="27"/>
      <c r="U129" s="27"/>
      <c r="V129" s="27"/>
      <c r="W129" s="27"/>
      <c r="X129" s="27"/>
      <c r="Y129" s="27"/>
      <c r="Z129" s="27"/>
      <c r="AA129" s="27"/>
      <c r="AB129" s="27"/>
      <c r="AZ129" s="27"/>
      <c r="BL129" s="256"/>
      <c r="BM129" s="256"/>
      <c r="BN129" s="256"/>
      <c r="BO129" s="256"/>
      <c r="BP129" s="256"/>
      <c r="BQ129" s="256"/>
      <c r="BR129" s="41"/>
      <c r="BS129" s="41"/>
      <c r="BT129" s="41"/>
    </row>
    <row r="130" spans="1:72" s="15" customFormat="1" ht="13.5" customHeight="1" thickBot="1">
      <c r="A130" s="6"/>
      <c r="B130" s="514">
        <v>40179</v>
      </c>
      <c r="C130" s="515">
        <v>40210</v>
      </c>
      <c r="D130" s="515">
        <v>40238</v>
      </c>
      <c r="E130" s="515">
        <v>40269</v>
      </c>
      <c r="F130" s="515">
        <v>40299</v>
      </c>
      <c r="G130" s="515">
        <v>40330</v>
      </c>
      <c r="H130" s="515">
        <v>40360</v>
      </c>
      <c r="I130" s="515">
        <v>40391</v>
      </c>
      <c r="J130" s="515">
        <v>40422</v>
      </c>
      <c r="K130" s="515">
        <v>40452</v>
      </c>
      <c r="L130" s="515">
        <v>40483</v>
      </c>
      <c r="M130" s="516">
        <v>40513</v>
      </c>
      <c r="BQ130" s="256"/>
      <c r="BR130" s="41"/>
      <c r="BS130" s="41"/>
      <c r="BT130" s="41"/>
    </row>
    <row r="131" spans="1:72" s="15" customFormat="1" ht="13.5" customHeight="1">
      <c r="A131" s="434" t="s">
        <v>216</v>
      </c>
      <c r="B131" s="517">
        <f t="shared" ref="B131:M131" si="6">B132+B133</f>
        <v>198700</v>
      </c>
      <c r="C131" s="271">
        <f t="shared" si="6"/>
        <v>202800</v>
      </c>
      <c r="D131" s="271">
        <f t="shared" si="6"/>
        <v>207900</v>
      </c>
      <c r="E131" s="271">
        <f t="shared" si="6"/>
        <v>210900</v>
      </c>
      <c r="F131" s="271">
        <f t="shared" si="6"/>
        <v>215200</v>
      </c>
      <c r="G131" s="271">
        <f t="shared" si="6"/>
        <v>220000</v>
      </c>
      <c r="H131" s="271">
        <f t="shared" si="6"/>
        <v>226100</v>
      </c>
      <c r="I131" s="271">
        <f t="shared" si="6"/>
        <v>229600</v>
      </c>
      <c r="J131" s="271">
        <f t="shared" si="6"/>
        <v>232300</v>
      </c>
      <c r="K131" s="271">
        <f t="shared" si="6"/>
        <v>233700</v>
      </c>
      <c r="L131" s="271">
        <f t="shared" si="6"/>
        <v>235000</v>
      </c>
      <c r="M131" s="518">
        <f t="shared" si="6"/>
        <v>237700</v>
      </c>
      <c r="BQ131" s="256"/>
      <c r="BR131" s="41"/>
      <c r="BS131" s="41"/>
      <c r="BT131" s="41"/>
    </row>
    <row r="132" spans="1:72" s="15" customFormat="1" ht="13.5" customHeight="1">
      <c r="A132" s="524" t="s">
        <v>217</v>
      </c>
      <c r="B132" s="453">
        <v>138100</v>
      </c>
      <c r="C132" s="256">
        <v>141400</v>
      </c>
      <c r="D132" s="256">
        <v>144900</v>
      </c>
      <c r="E132" s="256">
        <v>147400</v>
      </c>
      <c r="F132" s="256">
        <v>150600</v>
      </c>
      <c r="G132" s="256">
        <v>154800</v>
      </c>
      <c r="H132" s="256">
        <v>158900</v>
      </c>
      <c r="I132" s="256">
        <v>162200</v>
      </c>
      <c r="J132" s="256">
        <v>164100</v>
      </c>
      <c r="K132" s="256">
        <v>165000</v>
      </c>
      <c r="L132" s="256">
        <v>166600</v>
      </c>
      <c r="M132" s="454">
        <v>169500</v>
      </c>
      <c r="BQ132" s="256"/>
      <c r="BR132" s="41"/>
      <c r="BS132" s="41"/>
      <c r="BT132" s="41"/>
    </row>
    <row r="133" spans="1:72" s="15" customFormat="1" ht="13.5" customHeight="1">
      <c r="A133" s="524" t="s">
        <v>218</v>
      </c>
      <c r="B133" s="453">
        <v>60600</v>
      </c>
      <c r="C133" s="256">
        <v>61400</v>
      </c>
      <c r="D133" s="256">
        <v>63000</v>
      </c>
      <c r="E133" s="256">
        <v>63500</v>
      </c>
      <c r="F133" s="256">
        <v>64600</v>
      </c>
      <c r="G133" s="256">
        <v>65200</v>
      </c>
      <c r="H133" s="256">
        <v>67200</v>
      </c>
      <c r="I133" s="256">
        <v>67400</v>
      </c>
      <c r="J133" s="256">
        <v>68200</v>
      </c>
      <c r="K133" s="256">
        <v>68700</v>
      </c>
      <c r="L133" s="256">
        <v>68400</v>
      </c>
      <c r="M133" s="454">
        <v>68200</v>
      </c>
      <c r="BQ133" s="256"/>
      <c r="BR133" s="41"/>
      <c r="BS133" s="41"/>
      <c r="BT133" s="41"/>
    </row>
    <row r="134" spans="1:72" s="15" customFormat="1" ht="13.5" customHeight="1">
      <c r="A134" s="524" t="s">
        <v>188</v>
      </c>
      <c r="B134" s="453">
        <v>152200</v>
      </c>
      <c r="C134" s="256">
        <v>157500</v>
      </c>
      <c r="D134" s="256">
        <v>165100</v>
      </c>
      <c r="E134" s="256">
        <v>169000</v>
      </c>
      <c r="F134" s="256">
        <v>175900</v>
      </c>
      <c r="G134" s="256">
        <v>183000</v>
      </c>
      <c r="H134" s="256">
        <v>187300</v>
      </c>
      <c r="I134" s="256">
        <v>191200</v>
      </c>
      <c r="J134" s="256">
        <v>197100</v>
      </c>
      <c r="K134" s="256">
        <v>198500</v>
      </c>
      <c r="L134" s="256">
        <v>200800</v>
      </c>
      <c r="M134" s="454">
        <v>205100</v>
      </c>
      <c r="BQ134" s="256"/>
      <c r="BR134" s="41"/>
      <c r="BS134" s="41"/>
      <c r="BT134" s="41"/>
    </row>
    <row r="135" spans="1:72" s="15" customFormat="1" ht="13.5" customHeight="1">
      <c r="A135" s="524" t="s">
        <v>219</v>
      </c>
      <c r="B135" s="453">
        <v>31300</v>
      </c>
      <c r="C135" s="256">
        <v>30800</v>
      </c>
      <c r="D135" s="256">
        <v>30700</v>
      </c>
      <c r="E135" s="256">
        <v>33300</v>
      </c>
      <c r="F135" s="256">
        <v>32900</v>
      </c>
      <c r="G135" s="256">
        <v>33500</v>
      </c>
      <c r="H135" s="256">
        <v>35100</v>
      </c>
      <c r="I135" s="256">
        <v>35000</v>
      </c>
      <c r="J135" s="256">
        <v>34900</v>
      </c>
      <c r="K135" s="256">
        <v>35500</v>
      </c>
      <c r="L135" s="256">
        <v>34400</v>
      </c>
      <c r="M135" s="454">
        <v>33500</v>
      </c>
      <c r="BQ135" s="256"/>
      <c r="BR135" s="41"/>
      <c r="BS135" s="41"/>
      <c r="BT135" s="41"/>
    </row>
    <row r="136" spans="1:72" s="15" customFormat="1" ht="13.5" customHeight="1" thickBot="1">
      <c r="A136" s="525" t="s">
        <v>18</v>
      </c>
      <c r="B136" s="521">
        <v>382200</v>
      </c>
      <c r="C136" s="522">
        <v>391100</v>
      </c>
      <c r="D136" s="522">
        <v>403700</v>
      </c>
      <c r="E136" s="522">
        <v>413200</v>
      </c>
      <c r="F136" s="522">
        <v>424000</v>
      </c>
      <c r="G136" s="522">
        <v>436500</v>
      </c>
      <c r="H136" s="522">
        <v>448600</v>
      </c>
      <c r="I136" s="522">
        <v>455800</v>
      </c>
      <c r="J136" s="522">
        <v>464200</v>
      </c>
      <c r="K136" s="522">
        <v>467700</v>
      </c>
      <c r="L136" s="522">
        <v>470200</v>
      </c>
      <c r="M136" s="523">
        <v>476200</v>
      </c>
      <c r="BQ136" s="256"/>
      <c r="BR136" s="41"/>
      <c r="BS136" s="41"/>
      <c r="BT136" s="41"/>
    </row>
    <row r="137" spans="1:72" s="15" customFormat="1" ht="13.5" customHeight="1" thickBot="1">
      <c r="A137" s="6"/>
      <c r="B137" s="250"/>
      <c r="C137" s="250"/>
      <c r="D137" s="250"/>
      <c r="E137" s="250"/>
      <c r="F137" s="250"/>
      <c r="G137" s="250"/>
      <c r="H137" s="250"/>
      <c r="I137" s="250"/>
      <c r="J137" s="250"/>
      <c r="K137" s="250"/>
      <c r="L137" s="250"/>
      <c r="M137" s="250"/>
      <c r="N137" s="250"/>
      <c r="O137" s="250"/>
      <c r="P137" s="250"/>
      <c r="Q137" s="27"/>
      <c r="R137" s="27"/>
      <c r="S137" s="27"/>
      <c r="T137" s="27"/>
      <c r="U137" s="27"/>
      <c r="V137" s="27"/>
      <c r="W137" s="27"/>
      <c r="X137" s="27"/>
      <c r="Y137" s="27"/>
      <c r="Z137" s="27"/>
      <c r="AA137" s="27"/>
      <c r="AB137" s="27"/>
      <c r="AZ137" s="27"/>
      <c r="BL137" s="256"/>
      <c r="BM137" s="256"/>
      <c r="BN137" s="256"/>
      <c r="BO137" s="256"/>
      <c r="BP137" s="256"/>
      <c r="BQ137" s="256"/>
      <c r="BR137" s="41"/>
      <c r="BS137" s="41"/>
      <c r="BT137" s="41"/>
    </row>
    <row r="138" spans="1:72" s="15" customFormat="1" ht="13.5" customHeight="1" thickBot="1">
      <c r="A138" s="6"/>
      <c r="B138" s="526">
        <v>40544</v>
      </c>
      <c r="C138" s="527">
        <v>40575</v>
      </c>
      <c r="D138" s="527">
        <v>40603</v>
      </c>
      <c r="E138" s="527">
        <v>40634</v>
      </c>
      <c r="F138" s="527">
        <v>40664</v>
      </c>
      <c r="G138" s="527">
        <v>40695</v>
      </c>
      <c r="H138" s="527">
        <v>40725</v>
      </c>
      <c r="I138" s="527">
        <v>40756</v>
      </c>
      <c r="J138" s="527">
        <v>40787</v>
      </c>
      <c r="K138" s="527">
        <v>40817</v>
      </c>
      <c r="L138" s="527">
        <v>40848</v>
      </c>
      <c r="M138" s="528">
        <v>40878</v>
      </c>
      <c r="BL138" s="256"/>
      <c r="BM138" s="256"/>
      <c r="BN138" s="256"/>
      <c r="BO138" s="256"/>
      <c r="BP138" s="256"/>
      <c r="BQ138" s="256"/>
      <c r="BR138" s="41"/>
      <c r="BS138" s="41"/>
      <c r="BT138" s="41"/>
    </row>
    <row r="139" spans="1:72" s="15" customFormat="1" ht="13.5" customHeight="1">
      <c r="A139" s="484" t="s">
        <v>216</v>
      </c>
      <c r="B139" s="517">
        <f t="shared" ref="B139:M139" si="7">B140+B141</f>
        <v>241200</v>
      </c>
      <c r="C139" s="271">
        <f t="shared" si="7"/>
        <v>242700</v>
      </c>
      <c r="D139" s="271">
        <f t="shared" si="7"/>
        <v>242700</v>
      </c>
      <c r="E139" s="271">
        <f t="shared" si="7"/>
        <v>242800</v>
      </c>
      <c r="F139" s="271">
        <f t="shared" si="7"/>
        <v>246000</v>
      </c>
      <c r="G139" s="271">
        <f t="shared" si="7"/>
        <v>244900</v>
      </c>
      <c r="H139" s="271">
        <f t="shared" si="7"/>
        <v>241000</v>
      </c>
      <c r="I139" s="271">
        <f t="shared" si="7"/>
        <v>240000</v>
      </c>
      <c r="J139" s="271">
        <f t="shared" si="7"/>
        <v>239900</v>
      </c>
      <c r="K139" s="271">
        <f t="shared" si="7"/>
        <v>238200</v>
      </c>
      <c r="L139" s="271">
        <f t="shared" si="7"/>
        <v>238100</v>
      </c>
      <c r="M139" s="518">
        <f t="shared" si="7"/>
        <v>237100</v>
      </c>
      <c r="BL139" s="256"/>
      <c r="BM139" s="256"/>
      <c r="BN139" s="256"/>
      <c r="BO139" s="256"/>
      <c r="BP139" s="256"/>
      <c r="BQ139" s="256"/>
      <c r="BR139" s="41"/>
      <c r="BS139" s="41"/>
      <c r="BT139" s="41"/>
    </row>
    <row r="140" spans="1:72" s="15" customFormat="1" ht="13.5" customHeight="1">
      <c r="A140" s="519" t="s">
        <v>217</v>
      </c>
      <c r="B140" s="453">
        <v>172000</v>
      </c>
      <c r="C140" s="256">
        <v>173600</v>
      </c>
      <c r="D140" s="256">
        <v>174000</v>
      </c>
      <c r="E140" s="256">
        <v>174400</v>
      </c>
      <c r="F140" s="256">
        <v>176600</v>
      </c>
      <c r="G140" s="256">
        <v>175000</v>
      </c>
      <c r="H140" s="256">
        <v>172500</v>
      </c>
      <c r="I140" s="256">
        <v>171200</v>
      </c>
      <c r="J140" s="256">
        <v>170800</v>
      </c>
      <c r="K140" s="256">
        <v>170200</v>
      </c>
      <c r="L140" s="256">
        <v>169400</v>
      </c>
      <c r="M140" s="454">
        <v>167500</v>
      </c>
      <c r="BL140" s="256"/>
      <c r="BM140" s="256"/>
      <c r="BN140" s="256"/>
      <c r="BO140" s="256"/>
      <c r="BP140" s="256"/>
      <c r="BQ140" s="256"/>
      <c r="BR140" s="41"/>
      <c r="BS140" s="41"/>
      <c r="BT140" s="41"/>
    </row>
    <row r="141" spans="1:72" s="15" customFormat="1" ht="13.5" customHeight="1">
      <c r="A141" s="519" t="s">
        <v>218</v>
      </c>
      <c r="B141" s="453">
        <v>69200</v>
      </c>
      <c r="C141" s="256">
        <v>69100</v>
      </c>
      <c r="D141" s="256">
        <v>68700</v>
      </c>
      <c r="E141" s="256">
        <v>68400</v>
      </c>
      <c r="F141" s="256">
        <v>69400</v>
      </c>
      <c r="G141" s="256">
        <v>69900</v>
      </c>
      <c r="H141" s="256">
        <v>68500</v>
      </c>
      <c r="I141" s="256">
        <v>68800</v>
      </c>
      <c r="J141" s="256">
        <v>69100</v>
      </c>
      <c r="K141" s="256">
        <v>68000</v>
      </c>
      <c r="L141" s="256">
        <v>68700</v>
      </c>
      <c r="M141" s="454">
        <v>69600</v>
      </c>
      <c r="BL141" s="256"/>
      <c r="BM141" s="256"/>
      <c r="BN141" s="256"/>
      <c r="BO141" s="256"/>
      <c r="BP141" s="256"/>
      <c r="BQ141" s="256"/>
      <c r="BR141" s="41"/>
      <c r="BS141" s="41"/>
      <c r="BT141" s="41"/>
    </row>
    <row r="142" spans="1:72" s="15" customFormat="1" ht="13.5" customHeight="1">
      <c r="A142" s="519" t="s">
        <v>188</v>
      </c>
      <c r="B142" s="453">
        <v>209400</v>
      </c>
      <c r="C142" s="256">
        <v>209100</v>
      </c>
      <c r="D142" s="256">
        <v>206900</v>
      </c>
      <c r="E142" s="256">
        <v>207300</v>
      </c>
      <c r="F142" s="256">
        <v>211000</v>
      </c>
      <c r="G142" s="256">
        <v>213400</v>
      </c>
      <c r="H142" s="256">
        <v>219300</v>
      </c>
      <c r="I142" s="256">
        <v>226300</v>
      </c>
      <c r="J142" s="256">
        <v>233200</v>
      </c>
      <c r="K142" s="256">
        <v>236300</v>
      </c>
      <c r="L142" s="256">
        <v>241400</v>
      </c>
      <c r="M142" s="454">
        <v>247700</v>
      </c>
      <c r="BL142" s="256"/>
      <c r="BM142" s="256"/>
      <c r="BN142" s="256"/>
      <c r="BO142" s="256"/>
      <c r="BP142" s="256"/>
      <c r="BQ142" s="256"/>
      <c r="BR142" s="41"/>
      <c r="BS142" s="41"/>
      <c r="BT142" s="41"/>
    </row>
    <row r="143" spans="1:72" s="15" customFormat="1" ht="13.5" customHeight="1">
      <c r="A143" s="519" t="s">
        <v>219</v>
      </c>
      <c r="B143" s="453">
        <v>31900</v>
      </c>
      <c r="C143" s="256">
        <v>31600</v>
      </c>
      <c r="D143" s="256">
        <v>31100</v>
      </c>
      <c r="E143" s="256">
        <v>29900</v>
      </c>
      <c r="F143" s="256">
        <v>30400</v>
      </c>
      <c r="G143" s="256">
        <v>30400</v>
      </c>
      <c r="H143" s="256">
        <v>29200</v>
      </c>
      <c r="I143" s="256">
        <v>28900</v>
      </c>
      <c r="J143" s="256">
        <v>29600</v>
      </c>
      <c r="K143" s="256">
        <v>31500</v>
      </c>
      <c r="L143" s="256">
        <v>31400</v>
      </c>
      <c r="M143" s="454">
        <v>30900</v>
      </c>
      <c r="BL143" s="256"/>
      <c r="BM143" s="256"/>
      <c r="BN143" s="256"/>
      <c r="BO143" s="256"/>
      <c r="BP143" s="256"/>
      <c r="BQ143" s="256"/>
      <c r="BR143" s="41"/>
      <c r="BS143" s="41"/>
      <c r="BT143" s="41"/>
    </row>
    <row r="144" spans="1:72" s="15" customFormat="1" ht="13.5" customHeight="1" thickBot="1">
      <c r="A144" s="520" t="s">
        <v>18</v>
      </c>
      <c r="B144" s="521">
        <v>482500</v>
      </c>
      <c r="C144" s="522">
        <v>483400</v>
      </c>
      <c r="D144" s="522">
        <v>480700</v>
      </c>
      <c r="E144" s="522">
        <v>479900</v>
      </c>
      <c r="F144" s="522">
        <v>487500</v>
      </c>
      <c r="G144" s="522">
        <v>488700</v>
      </c>
      <c r="H144" s="522">
        <v>489500</v>
      </c>
      <c r="I144" s="522">
        <v>495200</v>
      </c>
      <c r="J144" s="522">
        <v>502700</v>
      </c>
      <c r="K144" s="522">
        <v>506000</v>
      </c>
      <c r="L144" s="522">
        <v>511000</v>
      </c>
      <c r="M144" s="523">
        <v>515700</v>
      </c>
      <c r="BL144" s="256"/>
      <c r="BM144" s="256"/>
      <c r="BN144" s="256"/>
      <c r="BO144" s="256"/>
      <c r="BP144" s="256"/>
      <c r="BQ144" s="256"/>
      <c r="BR144" s="41"/>
      <c r="BS144" s="41"/>
      <c r="BT144" s="41"/>
    </row>
    <row r="145" spans="1:72" s="15" customFormat="1" ht="13.5" customHeight="1" thickBot="1">
      <c r="A145" s="6"/>
      <c r="B145" s="250"/>
      <c r="C145" s="250"/>
      <c r="D145" s="250"/>
      <c r="E145" s="250"/>
      <c r="F145" s="250"/>
      <c r="G145" s="250"/>
      <c r="H145" s="250"/>
      <c r="I145" s="250"/>
      <c r="J145" s="250"/>
      <c r="K145" s="250"/>
      <c r="L145" s="250"/>
      <c r="M145" s="250"/>
      <c r="N145" s="250"/>
      <c r="O145" s="250"/>
      <c r="P145" s="250"/>
      <c r="Q145" s="27"/>
      <c r="R145" s="27"/>
      <c r="S145" s="27"/>
      <c r="T145" s="27"/>
      <c r="U145" s="27"/>
      <c r="V145" s="27"/>
      <c r="W145" s="27"/>
      <c r="X145" s="27"/>
      <c r="Y145" s="27"/>
      <c r="Z145" s="27"/>
      <c r="AA145" s="27"/>
      <c r="AB145" s="27"/>
      <c r="AZ145" s="27"/>
      <c r="BL145" s="256"/>
      <c r="BM145" s="256"/>
      <c r="BN145" s="256"/>
      <c r="BO145" s="256"/>
      <c r="BP145" s="256"/>
      <c r="BQ145" s="256"/>
      <c r="BR145" s="41"/>
      <c r="BS145" s="41"/>
      <c r="BT145" s="41"/>
    </row>
    <row r="146" spans="1:72" s="15" customFormat="1" ht="13.5" customHeight="1" thickBot="1">
      <c r="A146" s="6"/>
      <c r="B146" s="514">
        <v>40909</v>
      </c>
      <c r="C146" s="515">
        <v>40940</v>
      </c>
      <c r="D146" s="515">
        <v>40969</v>
      </c>
      <c r="E146" s="515">
        <v>41000</v>
      </c>
      <c r="F146" s="515">
        <v>41030</v>
      </c>
      <c r="G146" s="515">
        <v>41061</v>
      </c>
      <c r="H146" s="515">
        <v>41091</v>
      </c>
      <c r="I146" s="515">
        <v>41122</v>
      </c>
      <c r="J146" s="515">
        <v>41153</v>
      </c>
      <c r="K146" s="515">
        <v>41183</v>
      </c>
      <c r="L146" s="515">
        <v>41214</v>
      </c>
      <c r="M146" s="516">
        <v>41244</v>
      </c>
      <c r="AZ146" s="27"/>
      <c r="BL146" s="256"/>
      <c r="BM146" s="256"/>
      <c r="BN146" s="256"/>
      <c r="BO146" s="256"/>
      <c r="BP146" s="256"/>
      <c r="BQ146" s="256"/>
      <c r="BR146" s="41"/>
      <c r="BS146" s="41"/>
      <c r="BT146" s="41"/>
    </row>
    <row r="147" spans="1:72" s="15" customFormat="1" ht="13.5" customHeight="1">
      <c r="A147" s="484" t="s">
        <v>216</v>
      </c>
      <c r="B147" s="517">
        <f t="shared" ref="B147:M147" si="8">B148+B149</f>
        <v>236800</v>
      </c>
      <c r="C147" s="271">
        <f t="shared" si="8"/>
        <v>236200</v>
      </c>
      <c r="D147" s="271">
        <f t="shared" si="8"/>
        <v>233200</v>
      </c>
      <c r="E147" s="271">
        <f t="shared" si="8"/>
        <v>231700</v>
      </c>
      <c r="F147" s="271">
        <f t="shared" si="8"/>
        <v>225100</v>
      </c>
      <c r="G147" s="271">
        <f t="shared" si="8"/>
        <v>222200</v>
      </c>
      <c r="H147" s="271">
        <f t="shared" si="8"/>
        <v>220400</v>
      </c>
      <c r="I147" s="271">
        <f t="shared" si="8"/>
        <v>219100</v>
      </c>
      <c r="J147" s="271">
        <f t="shared" si="8"/>
        <v>216000</v>
      </c>
      <c r="K147" s="271">
        <f t="shared" si="8"/>
        <v>216000</v>
      </c>
      <c r="L147" s="271">
        <f t="shared" si="8"/>
        <v>214400</v>
      </c>
      <c r="M147" s="518">
        <f t="shared" si="8"/>
        <v>213200</v>
      </c>
      <c r="AZ147" s="27"/>
      <c r="BL147" s="256"/>
      <c r="BM147" s="256"/>
      <c r="BN147" s="256"/>
      <c r="BO147" s="256"/>
      <c r="BP147" s="256"/>
      <c r="BQ147" s="256"/>
      <c r="BR147" s="41"/>
      <c r="BS147" s="41"/>
      <c r="BT147" s="41"/>
    </row>
    <row r="148" spans="1:72" s="15" customFormat="1" ht="13.5" customHeight="1">
      <c r="A148" s="519" t="s">
        <v>217</v>
      </c>
      <c r="B148" s="453">
        <v>167000</v>
      </c>
      <c r="C148" s="256">
        <v>166100</v>
      </c>
      <c r="D148" s="256">
        <v>164400</v>
      </c>
      <c r="E148" s="256">
        <v>162400</v>
      </c>
      <c r="F148" s="256">
        <v>157000</v>
      </c>
      <c r="G148" s="256">
        <v>154800</v>
      </c>
      <c r="H148" s="256">
        <v>153300</v>
      </c>
      <c r="I148" s="256">
        <v>152000</v>
      </c>
      <c r="J148" s="256">
        <v>150200</v>
      </c>
      <c r="K148" s="256">
        <v>150400</v>
      </c>
      <c r="L148" s="256">
        <v>149800</v>
      </c>
      <c r="M148" s="454">
        <v>149700</v>
      </c>
      <c r="AZ148" s="27"/>
      <c r="BL148" s="256"/>
      <c r="BM148" s="256"/>
      <c r="BN148" s="256"/>
      <c r="BO148" s="256"/>
      <c r="BP148" s="256"/>
      <c r="BQ148" s="256"/>
      <c r="BR148" s="41"/>
      <c r="BS148" s="41"/>
      <c r="BT148" s="41"/>
    </row>
    <row r="149" spans="1:72" s="15" customFormat="1" ht="13.5" customHeight="1">
      <c r="A149" s="519" t="s">
        <v>218</v>
      </c>
      <c r="B149" s="453">
        <v>69800</v>
      </c>
      <c r="C149" s="256">
        <v>70100</v>
      </c>
      <c r="D149" s="256">
        <v>68800</v>
      </c>
      <c r="E149" s="256">
        <v>69300</v>
      </c>
      <c r="F149" s="256">
        <v>68100</v>
      </c>
      <c r="G149" s="256">
        <v>67400</v>
      </c>
      <c r="H149" s="256">
        <v>67100</v>
      </c>
      <c r="I149" s="256">
        <v>67100</v>
      </c>
      <c r="J149" s="256">
        <v>65800</v>
      </c>
      <c r="K149" s="256">
        <v>65600</v>
      </c>
      <c r="L149" s="256">
        <v>64600</v>
      </c>
      <c r="M149" s="454">
        <v>63500</v>
      </c>
      <c r="AZ149" s="27"/>
      <c r="BL149" s="256"/>
      <c r="BM149" s="256"/>
      <c r="BN149" s="256"/>
      <c r="BO149" s="256"/>
      <c r="BP149" s="256"/>
      <c r="BQ149" s="256"/>
      <c r="BR149" s="41"/>
      <c r="BS149" s="41"/>
      <c r="BT149" s="41"/>
    </row>
    <row r="150" spans="1:72" s="15" customFormat="1" ht="13.5" customHeight="1">
      <c r="A150" s="519" t="s">
        <v>188</v>
      </c>
      <c r="B150" s="453">
        <v>248300</v>
      </c>
      <c r="C150" s="256">
        <v>248400</v>
      </c>
      <c r="D150" s="256">
        <v>249600</v>
      </c>
      <c r="E150" s="256">
        <v>253700</v>
      </c>
      <c r="F150" s="256">
        <v>254200</v>
      </c>
      <c r="G150" s="256">
        <v>254300</v>
      </c>
      <c r="H150" s="256">
        <v>252600</v>
      </c>
      <c r="I150" s="256">
        <v>250100</v>
      </c>
      <c r="J150" s="256">
        <v>242900</v>
      </c>
      <c r="K150" s="256">
        <v>241300</v>
      </c>
      <c r="L150" s="256">
        <v>236300</v>
      </c>
      <c r="M150" s="454">
        <v>230000</v>
      </c>
      <c r="AZ150" s="27"/>
      <c r="BL150" s="256"/>
      <c r="BM150" s="256"/>
      <c r="BN150" s="256"/>
      <c r="BO150" s="256"/>
      <c r="BP150" s="256"/>
      <c r="BQ150" s="256"/>
      <c r="BR150" s="41"/>
      <c r="BS150" s="41"/>
      <c r="BT150" s="41"/>
    </row>
    <row r="151" spans="1:72" s="15" customFormat="1" ht="13.5" customHeight="1">
      <c r="A151" s="519" t="s">
        <v>219</v>
      </c>
      <c r="B151" s="453">
        <v>30800</v>
      </c>
      <c r="C151" s="256">
        <v>32200</v>
      </c>
      <c r="D151" s="256">
        <v>33800</v>
      </c>
      <c r="E151" s="256">
        <v>33200</v>
      </c>
      <c r="F151" s="256">
        <v>32500</v>
      </c>
      <c r="G151" s="256">
        <v>33100</v>
      </c>
      <c r="H151" s="256">
        <v>32400</v>
      </c>
      <c r="I151" s="256">
        <v>35600</v>
      </c>
      <c r="J151" s="256">
        <v>35400</v>
      </c>
      <c r="K151" s="256">
        <v>34200</v>
      </c>
      <c r="L151" s="256">
        <v>35400</v>
      </c>
      <c r="M151" s="454">
        <v>34400</v>
      </c>
      <c r="AZ151" s="27"/>
      <c r="BL151" s="256"/>
      <c r="BM151" s="256"/>
      <c r="BN151" s="256"/>
      <c r="BO151" s="256"/>
      <c r="BP151" s="256"/>
      <c r="BQ151" s="256"/>
      <c r="BR151" s="41"/>
      <c r="BS151" s="41"/>
      <c r="BT151" s="41"/>
    </row>
    <row r="152" spans="1:72" s="15" customFormat="1" ht="13.5" customHeight="1" thickBot="1">
      <c r="A152" s="520" t="s">
        <v>18</v>
      </c>
      <c r="B152" s="521">
        <v>516000</v>
      </c>
      <c r="C152" s="522">
        <v>516800</v>
      </c>
      <c r="D152" s="522">
        <v>516500</v>
      </c>
      <c r="E152" s="522">
        <v>518600</v>
      </c>
      <c r="F152" s="522">
        <v>511800</v>
      </c>
      <c r="G152" s="522">
        <v>509500</v>
      </c>
      <c r="H152" s="522">
        <v>505300</v>
      </c>
      <c r="I152" s="522">
        <v>504800</v>
      </c>
      <c r="J152" s="522">
        <v>494300</v>
      </c>
      <c r="K152" s="522">
        <v>491500</v>
      </c>
      <c r="L152" s="522">
        <v>486200</v>
      </c>
      <c r="M152" s="523">
        <v>477700</v>
      </c>
      <c r="AZ152" s="27"/>
      <c r="BL152" s="256"/>
      <c r="BM152" s="256"/>
      <c r="BN152" s="256"/>
      <c r="BO152" s="256"/>
      <c r="BP152" s="256"/>
      <c r="BQ152" s="256"/>
      <c r="BR152" s="41"/>
      <c r="BS152" s="41"/>
      <c r="BT152" s="41"/>
    </row>
    <row r="153" spans="1:72" s="15" customFormat="1" ht="13.5" customHeight="1" thickBot="1">
      <c r="A153" s="6"/>
      <c r="B153" s="250"/>
      <c r="C153" s="250"/>
      <c r="D153" s="250"/>
      <c r="E153" s="250"/>
      <c r="F153" s="250"/>
      <c r="G153" s="250"/>
      <c r="H153" s="250"/>
      <c r="I153" s="250"/>
      <c r="J153" s="250"/>
      <c r="K153" s="250"/>
      <c r="L153" s="250"/>
      <c r="M153" s="250"/>
      <c r="N153" s="250"/>
      <c r="O153" s="250"/>
      <c r="P153" s="250"/>
      <c r="Q153" s="27"/>
      <c r="R153" s="27"/>
      <c r="S153" s="27"/>
      <c r="T153" s="27"/>
      <c r="U153" s="27"/>
      <c r="V153" s="27"/>
      <c r="W153" s="27"/>
      <c r="X153" s="27"/>
      <c r="Y153" s="27"/>
      <c r="Z153" s="27"/>
      <c r="AA153" s="27"/>
      <c r="AB153" s="27"/>
      <c r="AZ153" s="27"/>
      <c r="BL153" s="256"/>
      <c r="BM153" s="256"/>
      <c r="BN153" s="256"/>
      <c r="BO153" s="256"/>
      <c r="BP153" s="256"/>
      <c r="BQ153" s="256"/>
      <c r="BR153" s="41"/>
      <c r="BS153" s="41"/>
      <c r="BT153" s="41"/>
    </row>
    <row r="154" spans="1:72" s="15" customFormat="1" ht="13.5" customHeight="1" thickBot="1">
      <c r="A154" s="6"/>
      <c r="B154" s="514">
        <v>41275</v>
      </c>
      <c r="C154" s="515">
        <v>41306</v>
      </c>
      <c r="D154" s="515">
        <v>41334</v>
      </c>
      <c r="E154" s="515">
        <v>41365</v>
      </c>
      <c r="F154" s="515">
        <v>41395</v>
      </c>
      <c r="G154" s="515">
        <v>41426</v>
      </c>
      <c r="H154" s="515">
        <v>41456</v>
      </c>
      <c r="I154" s="515">
        <v>41487</v>
      </c>
      <c r="J154" s="515">
        <v>41518</v>
      </c>
      <c r="K154" s="515">
        <v>41548</v>
      </c>
      <c r="L154" s="515">
        <v>41579</v>
      </c>
      <c r="M154" s="516">
        <v>41609</v>
      </c>
      <c r="AZ154" s="27"/>
      <c r="BL154" s="256"/>
      <c r="BM154" s="256"/>
      <c r="BN154" s="256"/>
      <c r="BO154" s="256"/>
      <c r="BP154" s="256"/>
      <c r="BQ154" s="256"/>
      <c r="BR154" s="41"/>
      <c r="BS154" s="41"/>
      <c r="BT154" s="41"/>
    </row>
    <row r="155" spans="1:72" s="15" customFormat="1" ht="13.5" customHeight="1">
      <c r="A155" s="484" t="s">
        <v>216</v>
      </c>
      <c r="B155" s="517">
        <f t="shared" ref="B155:M155" si="9">B156+B157</f>
        <v>216500</v>
      </c>
      <c r="C155" s="271">
        <f t="shared" si="9"/>
        <v>224600</v>
      </c>
      <c r="D155" s="271">
        <f t="shared" si="9"/>
        <v>226500</v>
      </c>
      <c r="E155" s="271">
        <f t="shared" si="9"/>
        <v>222600</v>
      </c>
      <c r="F155" s="271">
        <f t="shared" si="9"/>
        <v>219200</v>
      </c>
      <c r="G155" s="271">
        <f t="shared" si="9"/>
        <v>213700</v>
      </c>
      <c r="H155" s="271">
        <f t="shared" si="9"/>
        <v>208900</v>
      </c>
      <c r="I155" s="271">
        <f t="shared" si="9"/>
        <v>204300</v>
      </c>
      <c r="J155" s="271">
        <f t="shared" si="9"/>
        <v>201100</v>
      </c>
      <c r="K155" s="271">
        <f t="shared" si="9"/>
        <v>197500</v>
      </c>
      <c r="L155" s="271">
        <f t="shared" si="9"/>
        <v>193500</v>
      </c>
      <c r="M155" s="518">
        <f t="shared" si="9"/>
        <v>187900</v>
      </c>
      <c r="AZ155" s="27"/>
      <c r="BL155" s="256"/>
      <c r="BM155" s="256"/>
      <c r="BN155" s="256"/>
      <c r="BO155" s="256"/>
      <c r="BP155" s="256"/>
      <c r="BQ155" s="256"/>
      <c r="BR155" s="41"/>
      <c r="BS155" s="41"/>
      <c r="BT155" s="41"/>
    </row>
    <row r="156" spans="1:72" s="15" customFormat="1" ht="13.5" customHeight="1">
      <c r="A156" s="519" t="s">
        <v>217</v>
      </c>
      <c r="B156" s="453">
        <v>153500</v>
      </c>
      <c r="C156" s="256">
        <v>160200</v>
      </c>
      <c r="D156" s="256">
        <v>157800</v>
      </c>
      <c r="E156" s="256">
        <v>154600</v>
      </c>
      <c r="F156" s="256">
        <v>152000</v>
      </c>
      <c r="G156" s="256">
        <v>147900</v>
      </c>
      <c r="H156" s="256">
        <v>144500</v>
      </c>
      <c r="I156" s="256">
        <v>141400</v>
      </c>
      <c r="J156" s="256">
        <v>139400</v>
      </c>
      <c r="K156" s="256">
        <v>137100</v>
      </c>
      <c r="L156" s="256">
        <v>134400</v>
      </c>
      <c r="M156" s="454">
        <v>130500</v>
      </c>
      <c r="AZ156" s="27"/>
      <c r="BL156" s="256"/>
      <c r="BM156" s="256"/>
      <c r="BN156" s="256"/>
      <c r="BO156" s="256"/>
      <c r="BP156" s="256"/>
      <c r="BQ156" s="256"/>
      <c r="BR156" s="41"/>
      <c r="BS156" s="41"/>
      <c r="BT156" s="41"/>
    </row>
    <row r="157" spans="1:72" s="15" customFormat="1" ht="13.5" customHeight="1">
      <c r="A157" s="519" t="s">
        <v>218</v>
      </c>
      <c r="B157" s="453">
        <v>63000</v>
      </c>
      <c r="C157" s="256">
        <v>64400</v>
      </c>
      <c r="D157" s="256">
        <v>68700</v>
      </c>
      <c r="E157" s="256">
        <v>68000</v>
      </c>
      <c r="F157" s="256">
        <v>67200</v>
      </c>
      <c r="G157" s="256">
        <v>65800</v>
      </c>
      <c r="H157" s="256">
        <v>64400</v>
      </c>
      <c r="I157" s="256">
        <v>62900</v>
      </c>
      <c r="J157" s="256">
        <v>61700</v>
      </c>
      <c r="K157" s="256">
        <v>60400</v>
      </c>
      <c r="L157" s="256">
        <v>59100</v>
      </c>
      <c r="M157" s="454">
        <v>57400</v>
      </c>
      <c r="AZ157" s="27"/>
      <c r="BL157" s="256"/>
      <c r="BM157" s="256"/>
      <c r="BN157" s="256"/>
      <c r="BO157" s="256"/>
      <c r="BP157" s="256"/>
      <c r="BQ157" s="256"/>
      <c r="BR157" s="41"/>
      <c r="BS157" s="41"/>
      <c r="BT157" s="41"/>
    </row>
    <row r="158" spans="1:72" s="15" customFormat="1" ht="13.5" customHeight="1">
      <c r="A158" s="519" t="s">
        <v>188</v>
      </c>
      <c r="B158" s="453">
        <v>227400</v>
      </c>
      <c r="C158" s="256">
        <v>227900</v>
      </c>
      <c r="D158" s="256">
        <v>228400</v>
      </c>
      <c r="E158" s="256">
        <v>225100</v>
      </c>
      <c r="F158" s="256">
        <v>218800</v>
      </c>
      <c r="G158" s="256">
        <v>216100</v>
      </c>
      <c r="H158" s="256">
        <v>212300</v>
      </c>
      <c r="I158" s="256">
        <v>206900</v>
      </c>
      <c r="J158" s="256">
        <v>203200</v>
      </c>
      <c r="K158" s="256">
        <v>205000</v>
      </c>
      <c r="L158" s="256">
        <v>205500</v>
      </c>
      <c r="M158" s="454">
        <v>205100</v>
      </c>
      <c r="AZ158" s="27"/>
      <c r="BL158" s="256"/>
      <c r="BM158" s="256"/>
      <c r="BN158" s="256"/>
      <c r="BO158" s="256"/>
      <c r="BP158" s="256"/>
      <c r="BQ158" s="256"/>
      <c r="BR158" s="41"/>
      <c r="BS158" s="41"/>
      <c r="BT158" s="41"/>
    </row>
    <row r="159" spans="1:72" s="15" customFormat="1" ht="13.5" customHeight="1">
      <c r="A159" s="519" t="s">
        <v>219</v>
      </c>
      <c r="B159" s="453">
        <v>34300</v>
      </c>
      <c r="C159" s="256">
        <v>32900</v>
      </c>
      <c r="D159" s="256">
        <v>31700</v>
      </c>
      <c r="E159" s="256">
        <v>31000</v>
      </c>
      <c r="F159" s="256">
        <v>31000</v>
      </c>
      <c r="G159" s="256">
        <v>31100</v>
      </c>
      <c r="H159" s="256">
        <v>30400</v>
      </c>
      <c r="I159" s="256">
        <v>26700</v>
      </c>
      <c r="J159" s="256">
        <v>26400</v>
      </c>
      <c r="K159" s="256">
        <v>25600</v>
      </c>
      <c r="L159" s="256">
        <v>24600</v>
      </c>
      <c r="M159" s="454">
        <v>26300</v>
      </c>
      <c r="AZ159" s="27"/>
      <c r="BL159" s="256"/>
      <c r="BM159" s="256"/>
      <c r="BN159" s="256"/>
      <c r="BO159" s="256"/>
      <c r="BP159" s="256"/>
      <c r="BQ159" s="256"/>
      <c r="BR159" s="41"/>
      <c r="BS159" s="41"/>
      <c r="BT159" s="41"/>
    </row>
    <row r="160" spans="1:72" s="15" customFormat="1" ht="13.5" customHeight="1" thickBot="1">
      <c r="A160" s="520" t="s">
        <v>18</v>
      </c>
      <c r="B160" s="521">
        <v>478200</v>
      </c>
      <c r="C160" s="522">
        <v>485400</v>
      </c>
      <c r="D160" s="522">
        <v>486500</v>
      </c>
      <c r="E160" s="522">
        <v>478700</v>
      </c>
      <c r="F160" s="522">
        <v>469000</v>
      </c>
      <c r="G160" s="522">
        <v>460900</v>
      </c>
      <c r="H160" s="522">
        <v>451600</v>
      </c>
      <c r="I160" s="522">
        <v>437900</v>
      </c>
      <c r="J160" s="522">
        <v>430700</v>
      </c>
      <c r="K160" s="522">
        <v>428000</v>
      </c>
      <c r="L160" s="522">
        <v>423600</v>
      </c>
      <c r="M160" s="523">
        <v>419300</v>
      </c>
      <c r="AZ160" s="27"/>
      <c r="BL160" s="256"/>
      <c r="BM160" s="256"/>
      <c r="BN160" s="256"/>
      <c r="BO160" s="256"/>
      <c r="BP160" s="256"/>
      <c r="BQ160" s="256"/>
      <c r="BR160" s="41"/>
      <c r="BS160" s="41"/>
      <c r="BT160" s="41"/>
    </row>
    <row r="161" spans="1:72" s="15" customFormat="1" ht="13.5" customHeight="1" thickBot="1">
      <c r="A161" s="6"/>
      <c r="B161" s="250"/>
      <c r="C161" s="250"/>
      <c r="D161" s="250"/>
      <c r="E161" s="250"/>
      <c r="F161" s="250"/>
      <c r="G161" s="250"/>
      <c r="H161" s="250"/>
      <c r="I161" s="250"/>
      <c r="J161" s="250"/>
      <c r="K161" s="250"/>
      <c r="L161" s="250"/>
      <c r="M161" s="250"/>
      <c r="N161" s="250"/>
      <c r="O161" s="250"/>
      <c r="P161" s="250"/>
      <c r="Q161" s="27"/>
      <c r="R161" s="27"/>
      <c r="S161" s="27"/>
      <c r="T161" s="27"/>
      <c r="U161" s="27"/>
      <c r="V161" s="27"/>
      <c r="W161" s="27"/>
      <c r="X161" s="27"/>
      <c r="Y161" s="27"/>
      <c r="Z161" s="27"/>
      <c r="AA161" s="27"/>
      <c r="AB161" s="27"/>
      <c r="AZ161" s="27"/>
      <c r="BL161" s="256"/>
      <c r="BM161" s="256"/>
      <c r="BN161" s="256"/>
      <c r="BO161" s="256"/>
      <c r="BP161" s="256"/>
      <c r="BQ161" s="256"/>
      <c r="BR161" s="41"/>
      <c r="BS161" s="41"/>
      <c r="BT161" s="41"/>
    </row>
    <row r="162" spans="1:72" s="15" customFormat="1" ht="13.5" customHeight="1" thickBot="1">
      <c r="A162" s="6"/>
      <c r="B162" s="514">
        <v>41640</v>
      </c>
      <c r="C162" s="515">
        <v>41671</v>
      </c>
      <c r="D162" s="515">
        <v>41699</v>
      </c>
      <c r="E162" s="515">
        <v>41730</v>
      </c>
      <c r="F162" s="515">
        <v>41760</v>
      </c>
      <c r="G162" s="515">
        <v>41791</v>
      </c>
      <c r="H162" s="515">
        <v>41821</v>
      </c>
      <c r="I162" s="515">
        <v>41852</v>
      </c>
      <c r="J162" s="515">
        <v>41883</v>
      </c>
      <c r="K162" s="515">
        <v>41913</v>
      </c>
      <c r="L162" s="515">
        <v>41944</v>
      </c>
      <c r="M162" s="516">
        <v>41974</v>
      </c>
      <c r="U162" s="27"/>
      <c r="V162" s="27"/>
      <c r="W162" s="27"/>
      <c r="X162" s="27"/>
      <c r="Y162" s="27"/>
      <c r="Z162" s="27"/>
      <c r="AA162" s="27"/>
      <c r="AB162" s="27"/>
      <c r="AZ162" s="27"/>
      <c r="BL162" s="256"/>
      <c r="BM162" s="256"/>
      <c r="BN162" s="256"/>
      <c r="BO162" s="256"/>
      <c r="BP162" s="256"/>
      <c r="BQ162" s="256"/>
      <c r="BR162" s="41"/>
      <c r="BS162" s="41"/>
      <c r="BT162" s="41"/>
    </row>
    <row r="163" spans="1:72" s="15" customFormat="1" ht="13.5" customHeight="1">
      <c r="A163" s="484" t="s">
        <v>216</v>
      </c>
      <c r="B163" s="517">
        <f t="shared" ref="B163:M163" si="10">B164+B165</f>
        <v>178100</v>
      </c>
      <c r="C163" s="271">
        <f t="shared" si="10"/>
        <v>165200</v>
      </c>
      <c r="D163" s="271">
        <f t="shared" si="10"/>
        <v>160100</v>
      </c>
      <c r="E163" s="271">
        <f t="shared" si="10"/>
        <v>159700</v>
      </c>
      <c r="F163" s="271">
        <f t="shared" si="10"/>
        <v>160100</v>
      </c>
      <c r="G163" s="271">
        <f t="shared" si="10"/>
        <v>159800</v>
      </c>
      <c r="H163" s="271">
        <f t="shared" si="10"/>
        <v>160300</v>
      </c>
      <c r="I163" s="271">
        <f t="shared" si="10"/>
        <v>160200</v>
      </c>
      <c r="J163" s="271">
        <f t="shared" si="10"/>
        <v>160200</v>
      </c>
      <c r="K163" s="271">
        <f t="shared" si="10"/>
        <v>159000</v>
      </c>
      <c r="L163" s="271">
        <f t="shared" si="10"/>
        <v>157900</v>
      </c>
      <c r="M163" s="518">
        <f t="shared" si="10"/>
        <v>157000</v>
      </c>
      <c r="U163" s="27"/>
      <c r="V163" s="27"/>
      <c r="W163" s="27"/>
      <c r="X163" s="27"/>
      <c r="Y163" s="27"/>
      <c r="Z163" s="27"/>
      <c r="AA163" s="27"/>
      <c r="AB163" s="27"/>
      <c r="AZ163" s="27"/>
      <c r="BL163" s="256"/>
      <c r="BM163" s="256"/>
      <c r="BN163" s="256"/>
      <c r="BO163" s="256"/>
      <c r="BP163" s="256"/>
      <c r="BQ163" s="256"/>
      <c r="BR163" s="41"/>
      <c r="BS163" s="41"/>
      <c r="BT163" s="41"/>
    </row>
    <row r="164" spans="1:72" s="15" customFormat="1" ht="13.5" customHeight="1">
      <c r="A164" s="519" t="s">
        <v>217</v>
      </c>
      <c r="B164" s="453">
        <v>122300</v>
      </c>
      <c r="C164" s="256">
        <v>111800</v>
      </c>
      <c r="D164" s="256">
        <v>111400</v>
      </c>
      <c r="E164" s="256">
        <v>112200</v>
      </c>
      <c r="F164" s="256">
        <v>113000</v>
      </c>
      <c r="G164" s="256">
        <v>113800</v>
      </c>
      <c r="H164" s="256">
        <v>114500</v>
      </c>
      <c r="I164" s="256">
        <v>114400</v>
      </c>
      <c r="J164" s="256">
        <v>114600</v>
      </c>
      <c r="K164" s="256">
        <v>113700</v>
      </c>
      <c r="L164" s="256">
        <v>112700</v>
      </c>
      <c r="M164" s="454">
        <v>112100</v>
      </c>
      <c r="U164" s="27"/>
      <c r="V164" s="27"/>
      <c r="W164" s="27"/>
      <c r="X164" s="27"/>
      <c r="Y164" s="27"/>
      <c r="Z164" s="27"/>
      <c r="AA164" s="27"/>
      <c r="AB164" s="27"/>
      <c r="AZ164" s="27"/>
      <c r="BL164" s="256"/>
      <c r="BM164" s="256"/>
      <c r="BN164" s="256"/>
      <c r="BO164" s="256"/>
      <c r="BP164" s="256"/>
      <c r="BQ164" s="256"/>
      <c r="BR164" s="41"/>
      <c r="BS164" s="41"/>
      <c r="BT164" s="41"/>
    </row>
    <row r="165" spans="1:72" s="15" customFormat="1" ht="13.5" customHeight="1">
      <c r="A165" s="519" t="s">
        <v>218</v>
      </c>
      <c r="B165" s="453">
        <v>55800</v>
      </c>
      <c r="C165" s="256">
        <v>53400</v>
      </c>
      <c r="D165" s="256">
        <v>48700</v>
      </c>
      <c r="E165" s="256">
        <v>47500</v>
      </c>
      <c r="F165" s="256">
        <v>47100</v>
      </c>
      <c r="G165" s="256">
        <v>46000</v>
      </c>
      <c r="H165" s="256">
        <v>45800</v>
      </c>
      <c r="I165" s="256">
        <v>45800</v>
      </c>
      <c r="J165" s="256">
        <v>45600</v>
      </c>
      <c r="K165" s="256">
        <v>45300</v>
      </c>
      <c r="L165" s="256">
        <v>45200</v>
      </c>
      <c r="M165" s="454">
        <v>44900</v>
      </c>
      <c r="U165" s="27"/>
      <c r="V165" s="27"/>
      <c r="W165" s="27"/>
      <c r="X165" s="27"/>
      <c r="Y165" s="27"/>
      <c r="Z165" s="27"/>
      <c r="AA165" s="27"/>
      <c r="AB165" s="27"/>
      <c r="AZ165" s="27"/>
      <c r="BL165" s="256"/>
      <c r="BM165" s="256"/>
      <c r="BN165" s="256"/>
      <c r="BO165" s="256"/>
      <c r="BP165" s="256"/>
      <c r="BQ165" s="256"/>
      <c r="BR165" s="41"/>
      <c r="BS165" s="41"/>
      <c r="BT165" s="41"/>
    </row>
    <row r="166" spans="1:72" s="15" customFormat="1" ht="13.5" customHeight="1">
      <c r="A166" s="519" t="s">
        <v>188</v>
      </c>
      <c r="B166" s="453">
        <v>204700</v>
      </c>
      <c r="C166" s="256">
        <v>202800</v>
      </c>
      <c r="D166" s="256">
        <v>201800</v>
      </c>
      <c r="E166" s="256">
        <v>196800</v>
      </c>
      <c r="F166" s="256">
        <v>196500</v>
      </c>
      <c r="G166" s="256">
        <v>195400</v>
      </c>
      <c r="H166" s="256">
        <v>194700</v>
      </c>
      <c r="I166" s="256">
        <v>192400</v>
      </c>
      <c r="J166" s="256">
        <v>192700</v>
      </c>
      <c r="K166" s="256">
        <v>187600</v>
      </c>
      <c r="L166" s="256">
        <v>184700</v>
      </c>
      <c r="M166" s="454">
        <v>183400</v>
      </c>
      <c r="U166" s="27"/>
      <c r="V166" s="27"/>
      <c r="W166" s="27"/>
      <c r="X166" s="27"/>
      <c r="Y166" s="27"/>
      <c r="Z166" s="27"/>
      <c r="AA166" s="27"/>
      <c r="AB166" s="27"/>
      <c r="AZ166" s="27"/>
      <c r="BL166" s="256"/>
      <c r="BM166" s="256"/>
      <c r="BN166" s="256"/>
      <c r="BO166" s="256"/>
      <c r="BP166" s="256"/>
      <c r="BQ166" s="256"/>
      <c r="BR166" s="41"/>
      <c r="BS166" s="41"/>
      <c r="BT166" s="41"/>
    </row>
    <row r="167" spans="1:72" s="15" customFormat="1" ht="13.5" customHeight="1">
      <c r="A167" s="519" t="s">
        <v>219</v>
      </c>
      <c r="B167" s="453">
        <v>26600</v>
      </c>
      <c r="C167" s="256">
        <v>26800</v>
      </c>
      <c r="D167" s="256">
        <v>28200</v>
      </c>
      <c r="E167" s="256">
        <v>27400</v>
      </c>
      <c r="F167" s="256">
        <v>27700</v>
      </c>
      <c r="G167" s="256">
        <v>28200</v>
      </c>
      <c r="H167" s="256">
        <v>29300</v>
      </c>
      <c r="I167" s="256">
        <v>30800</v>
      </c>
      <c r="J167" s="256">
        <v>31000</v>
      </c>
      <c r="K167" s="256">
        <v>32000</v>
      </c>
      <c r="L167" s="256">
        <v>31500</v>
      </c>
      <c r="M167" s="454">
        <v>31500</v>
      </c>
      <c r="U167" s="27"/>
      <c r="V167" s="27"/>
      <c r="W167" s="27"/>
      <c r="X167" s="27"/>
      <c r="Y167" s="27"/>
      <c r="Z167" s="27"/>
      <c r="AA167" s="27"/>
      <c r="AB167" s="27"/>
      <c r="AZ167" s="27"/>
      <c r="BL167" s="256"/>
      <c r="BM167" s="256"/>
      <c r="BN167" s="256"/>
      <c r="BO167" s="256"/>
      <c r="BP167" s="256"/>
      <c r="BQ167" s="256"/>
      <c r="BR167" s="41"/>
      <c r="BS167" s="41"/>
      <c r="BT167" s="41"/>
    </row>
    <row r="168" spans="1:72" s="15" customFormat="1" ht="13.5" customHeight="1" thickBot="1">
      <c r="A168" s="520" t="s">
        <v>18</v>
      </c>
      <c r="B168" s="521">
        <v>409400</v>
      </c>
      <c r="C168" s="522">
        <v>394800</v>
      </c>
      <c r="D168" s="522">
        <v>390100</v>
      </c>
      <c r="E168" s="522">
        <v>383900</v>
      </c>
      <c r="F168" s="522">
        <v>384200</v>
      </c>
      <c r="G168" s="522">
        <v>383500</v>
      </c>
      <c r="H168" s="522">
        <v>384300</v>
      </c>
      <c r="I168" s="522">
        <v>383400</v>
      </c>
      <c r="J168" s="522">
        <v>383900</v>
      </c>
      <c r="K168" s="522">
        <v>378500</v>
      </c>
      <c r="L168" s="522">
        <v>374200</v>
      </c>
      <c r="M168" s="523">
        <v>371800</v>
      </c>
      <c r="U168" s="27"/>
      <c r="V168" s="27"/>
      <c r="W168" s="27"/>
      <c r="X168" s="27"/>
      <c r="Y168" s="27"/>
      <c r="Z168" s="27"/>
      <c r="AA168" s="27"/>
      <c r="AB168" s="27"/>
      <c r="AZ168" s="27"/>
      <c r="BL168" s="256"/>
      <c r="BM168" s="256"/>
      <c r="BN168" s="256"/>
      <c r="BO168" s="256"/>
      <c r="BP168" s="256"/>
      <c r="BQ168" s="256"/>
      <c r="BR168" s="41"/>
      <c r="BS168" s="41"/>
      <c r="BT168" s="41"/>
    </row>
    <row r="169" spans="1:72" s="15" customFormat="1" ht="13.5" customHeight="1" thickBot="1">
      <c r="A169" s="6"/>
      <c r="B169" s="250"/>
      <c r="C169" s="250"/>
      <c r="D169" s="250"/>
      <c r="E169" s="250"/>
      <c r="F169" s="250"/>
      <c r="G169" s="250"/>
      <c r="H169" s="250"/>
      <c r="I169" s="250"/>
      <c r="J169" s="250"/>
      <c r="K169" s="250"/>
      <c r="L169" s="250"/>
      <c r="M169" s="250"/>
      <c r="N169" s="250"/>
      <c r="O169" s="250"/>
      <c r="P169" s="250"/>
      <c r="Q169" s="27"/>
      <c r="R169" s="27"/>
      <c r="S169" s="27"/>
      <c r="T169" s="27"/>
      <c r="U169" s="27"/>
      <c r="V169" s="27"/>
      <c r="W169" s="27"/>
      <c r="X169" s="27"/>
      <c r="Y169" s="27"/>
      <c r="Z169" s="27"/>
      <c r="AA169" s="27"/>
      <c r="AB169" s="27"/>
      <c r="AZ169" s="27"/>
      <c r="BL169" s="256"/>
      <c r="BM169" s="256"/>
      <c r="BN169" s="256"/>
      <c r="BO169" s="256"/>
      <c r="BP169" s="256"/>
      <c r="BQ169" s="256"/>
      <c r="BR169" s="41"/>
      <c r="BS169" s="41"/>
      <c r="BT169" s="41"/>
    </row>
    <row r="170" spans="1:72" s="15" customFormat="1" ht="13.5" customHeight="1" thickBot="1">
      <c r="A170" s="6"/>
      <c r="B170" s="514">
        <v>42005</v>
      </c>
      <c r="C170" s="515">
        <v>42036</v>
      </c>
      <c r="D170" s="515">
        <v>42064</v>
      </c>
      <c r="E170" s="515">
        <v>42095</v>
      </c>
      <c r="F170" s="515">
        <v>42125</v>
      </c>
      <c r="G170" s="515">
        <v>42156</v>
      </c>
      <c r="H170" s="516">
        <v>42186</v>
      </c>
      <c r="I170" s="250"/>
      <c r="J170" s="250"/>
      <c r="K170" s="250"/>
      <c r="L170" s="250"/>
      <c r="M170" s="250"/>
      <c r="N170" s="250"/>
      <c r="O170" s="250"/>
      <c r="P170" s="250"/>
      <c r="Q170" s="27"/>
      <c r="R170" s="27"/>
      <c r="S170" s="27"/>
      <c r="T170" s="27"/>
      <c r="U170" s="27"/>
      <c r="V170" s="27"/>
      <c r="W170" s="27"/>
      <c r="X170" s="27"/>
      <c r="Y170" s="27"/>
      <c r="Z170" s="27"/>
      <c r="AA170" s="27"/>
      <c r="AB170" s="27"/>
      <c r="AZ170" s="27"/>
      <c r="BL170" s="256"/>
      <c r="BM170" s="256"/>
      <c r="BN170" s="256"/>
      <c r="BO170" s="256"/>
      <c r="BP170" s="256"/>
      <c r="BQ170" s="256"/>
      <c r="BR170" s="41"/>
      <c r="BS170" s="41"/>
      <c r="BT170" s="41"/>
    </row>
    <row r="171" spans="1:72" s="15" customFormat="1" ht="13.5" customHeight="1">
      <c r="A171" s="484" t="s">
        <v>216</v>
      </c>
      <c r="B171" s="517">
        <f t="shared" ref="B171:H171" si="11">B172+B173</f>
        <v>155700</v>
      </c>
      <c r="C171" s="271">
        <f t="shared" si="11"/>
        <v>154300</v>
      </c>
      <c r="D171" s="271">
        <f t="shared" si="11"/>
        <v>153300</v>
      </c>
      <c r="E171" s="271">
        <f t="shared" si="11"/>
        <v>152400</v>
      </c>
      <c r="F171" s="271">
        <f t="shared" si="11"/>
        <v>151400</v>
      </c>
      <c r="G171" s="271">
        <f t="shared" si="11"/>
        <v>153000</v>
      </c>
      <c r="H171" s="518">
        <f t="shared" si="11"/>
        <v>151900</v>
      </c>
      <c r="I171" s="250"/>
      <c r="J171" s="250"/>
      <c r="K171" s="250"/>
      <c r="L171" s="250"/>
      <c r="M171" s="250"/>
      <c r="N171" s="250"/>
      <c r="O171" s="250"/>
      <c r="P171" s="250"/>
      <c r="Q171" s="27"/>
      <c r="R171" s="27"/>
      <c r="S171" s="27"/>
      <c r="T171" s="27"/>
      <c r="U171" s="27"/>
      <c r="V171" s="27"/>
      <c r="W171" s="27"/>
      <c r="X171" s="27"/>
      <c r="Y171" s="27"/>
      <c r="Z171" s="27"/>
      <c r="AA171" s="27"/>
      <c r="AB171" s="27"/>
      <c r="AZ171" s="27"/>
      <c r="BL171" s="256"/>
      <c r="BM171" s="256"/>
      <c r="BN171" s="256"/>
      <c r="BO171" s="256"/>
      <c r="BP171" s="256"/>
      <c r="BQ171" s="256"/>
      <c r="BR171" s="41"/>
      <c r="BS171" s="41"/>
      <c r="BT171" s="41"/>
    </row>
    <row r="172" spans="1:72" s="15" customFormat="1" ht="13.5" customHeight="1">
      <c r="A172" s="519" t="s">
        <v>217</v>
      </c>
      <c r="B172" s="453">
        <v>111000</v>
      </c>
      <c r="C172" s="256">
        <v>109900</v>
      </c>
      <c r="D172" s="256">
        <v>109400</v>
      </c>
      <c r="E172" s="256">
        <v>109000</v>
      </c>
      <c r="F172" s="256">
        <v>108700</v>
      </c>
      <c r="G172" s="256">
        <v>109200</v>
      </c>
      <c r="H172" s="454">
        <v>108400</v>
      </c>
      <c r="I172" s="250"/>
      <c r="J172" s="250"/>
      <c r="K172" s="250"/>
      <c r="L172" s="250"/>
      <c r="M172" s="250"/>
      <c r="N172" s="250"/>
      <c r="O172" s="250"/>
      <c r="P172" s="250"/>
      <c r="Q172" s="27"/>
      <c r="R172" s="27"/>
      <c r="S172" s="27"/>
      <c r="T172" s="27"/>
      <c r="U172" s="27"/>
      <c r="V172" s="27"/>
      <c r="W172" s="27"/>
      <c r="X172" s="27"/>
      <c r="Y172" s="27"/>
      <c r="Z172" s="27"/>
      <c r="AA172" s="27"/>
      <c r="AB172" s="27"/>
      <c r="AZ172" s="27"/>
      <c r="BL172" s="256"/>
      <c r="BM172" s="256"/>
      <c r="BN172" s="256"/>
      <c r="BO172" s="256"/>
      <c r="BP172" s="256"/>
      <c r="BQ172" s="256"/>
      <c r="BR172" s="41"/>
      <c r="BS172" s="41"/>
      <c r="BT172" s="41"/>
    </row>
    <row r="173" spans="1:72" s="15" customFormat="1" ht="13.5" customHeight="1">
      <c r="A173" s="519" t="s">
        <v>218</v>
      </c>
      <c r="B173" s="453">
        <v>44700</v>
      </c>
      <c r="C173" s="256">
        <v>44400</v>
      </c>
      <c r="D173" s="256">
        <v>43900</v>
      </c>
      <c r="E173" s="256">
        <v>43400</v>
      </c>
      <c r="F173" s="256">
        <v>42700</v>
      </c>
      <c r="G173" s="256">
        <v>43800</v>
      </c>
      <c r="H173" s="454">
        <v>43500</v>
      </c>
      <c r="I173" s="250"/>
      <c r="J173" s="250"/>
      <c r="K173" s="250"/>
      <c r="L173" s="250"/>
      <c r="M173" s="250"/>
      <c r="N173" s="250"/>
      <c r="O173" s="250"/>
      <c r="P173" s="250"/>
      <c r="Q173" s="27"/>
      <c r="R173" s="27"/>
      <c r="S173" s="27"/>
      <c r="T173" s="27"/>
      <c r="U173" s="27"/>
      <c r="V173" s="27"/>
      <c r="W173" s="27"/>
      <c r="X173" s="27"/>
      <c r="Y173" s="27"/>
      <c r="Z173" s="27"/>
      <c r="AA173" s="27"/>
      <c r="AB173" s="27"/>
      <c r="AZ173" s="27"/>
      <c r="BL173" s="256"/>
      <c r="BM173" s="256"/>
      <c r="BN173" s="256"/>
      <c r="BO173" s="256"/>
      <c r="BP173" s="256"/>
      <c r="BQ173" s="256"/>
      <c r="BR173" s="41"/>
      <c r="BS173" s="41"/>
      <c r="BT173" s="41"/>
    </row>
    <row r="174" spans="1:72" s="15" customFormat="1" ht="13.5" customHeight="1">
      <c r="A174" s="519" t="s">
        <v>188</v>
      </c>
      <c r="B174" s="453">
        <v>181600</v>
      </c>
      <c r="C174" s="256">
        <v>178700</v>
      </c>
      <c r="D174" s="256">
        <v>175900</v>
      </c>
      <c r="E174" s="256">
        <v>178800</v>
      </c>
      <c r="F174" s="256">
        <v>176900</v>
      </c>
      <c r="G174" s="256">
        <v>176600</v>
      </c>
      <c r="H174" s="454">
        <v>173500</v>
      </c>
      <c r="I174" s="250"/>
      <c r="J174" s="250"/>
      <c r="K174" s="250"/>
      <c r="L174" s="250"/>
      <c r="M174" s="250"/>
      <c r="N174" s="250"/>
      <c r="O174" s="250"/>
      <c r="P174" s="250"/>
      <c r="Q174" s="27"/>
      <c r="R174" s="27"/>
      <c r="S174" s="27"/>
      <c r="T174" s="27"/>
      <c r="U174" s="27"/>
      <c r="V174" s="27"/>
      <c r="W174" s="27"/>
      <c r="X174" s="27"/>
      <c r="Y174" s="27"/>
      <c r="Z174" s="27"/>
      <c r="AA174" s="27"/>
      <c r="AB174" s="27"/>
      <c r="AZ174" s="27"/>
      <c r="BL174" s="256"/>
      <c r="BM174" s="256"/>
      <c r="BN174" s="256"/>
      <c r="BO174" s="256"/>
      <c r="BP174" s="256"/>
      <c r="BQ174" s="256"/>
      <c r="BR174" s="41"/>
      <c r="BS174" s="41"/>
      <c r="BT174" s="41"/>
    </row>
    <row r="175" spans="1:72" s="15" customFormat="1" ht="13.5" customHeight="1">
      <c r="A175" s="519" t="s">
        <v>219</v>
      </c>
      <c r="B175" s="453">
        <v>31200</v>
      </c>
      <c r="C175" s="256">
        <v>31000</v>
      </c>
      <c r="D175" s="256">
        <v>29000</v>
      </c>
      <c r="E175" s="256">
        <v>29600</v>
      </c>
      <c r="F175" s="256">
        <v>28600</v>
      </c>
      <c r="G175" s="256">
        <v>28900</v>
      </c>
      <c r="H175" s="454">
        <v>28400</v>
      </c>
      <c r="I175" s="250"/>
      <c r="J175" s="250"/>
      <c r="K175" s="250"/>
      <c r="L175" s="250"/>
      <c r="M175" s="250"/>
      <c r="N175" s="250"/>
      <c r="O175" s="250"/>
      <c r="P175" s="250"/>
      <c r="Q175" s="27"/>
      <c r="R175" s="27"/>
      <c r="S175" s="27"/>
      <c r="T175" s="27"/>
      <c r="U175" s="27"/>
      <c r="V175" s="27"/>
      <c r="W175" s="27"/>
      <c r="X175" s="27"/>
      <c r="Y175" s="27"/>
      <c r="Z175" s="27"/>
      <c r="AA175" s="27"/>
      <c r="AB175" s="27"/>
      <c r="AZ175" s="27"/>
      <c r="BL175" s="256"/>
      <c r="BM175" s="256"/>
      <c r="BN175" s="256"/>
      <c r="BO175" s="256"/>
      <c r="BP175" s="256"/>
      <c r="BQ175" s="256"/>
      <c r="BR175" s="41"/>
      <c r="BS175" s="41"/>
      <c r="BT175" s="41"/>
    </row>
    <row r="176" spans="1:72" s="15" customFormat="1" ht="13.5" customHeight="1" thickBot="1">
      <c r="A176" s="520" t="s">
        <v>18</v>
      </c>
      <c r="B176" s="521">
        <v>368600</v>
      </c>
      <c r="C176" s="522">
        <v>364000</v>
      </c>
      <c r="D176" s="522">
        <v>358200</v>
      </c>
      <c r="E176" s="522">
        <v>360900</v>
      </c>
      <c r="F176" s="522">
        <v>356900</v>
      </c>
      <c r="G176" s="522">
        <v>358400</v>
      </c>
      <c r="H176" s="523">
        <v>353800</v>
      </c>
      <c r="I176" s="250"/>
      <c r="J176" s="250"/>
      <c r="K176" s="250"/>
      <c r="L176" s="250"/>
      <c r="M176" s="250"/>
      <c r="N176" s="250"/>
      <c r="O176" s="250"/>
      <c r="P176" s="250"/>
      <c r="Q176" s="27"/>
      <c r="R176" s="27"/>
      <c r="S176" s="27"/>
      <c r="T176" s="27"/>
      <c r="U176" s="27"/>
      <c r="V176" s="27"/>
      <c r="W176" s="27"/>
      <c r="X176" s="27"/>
      <c r="Y176" s="27"/>
      <c r="Z176" s="27"/>
      <c r="AA176" s="27"/>
      <c r="AB176" s="27"/>
      <c r="AZ176" s="27"/>
      <c r="BL176" s="256"/>
      <c r="BM176" s="256"/>
      <c r="BN176" s="256"/>
      <c r="BO176" s="256"/>
      <c r="BP176" s="256"/>
      <c r="BQ176" s="256"/>
      <c r="BR176" s="41"/>
      <c r="BS176" s="41"/>
      <c r="BT176" s="41"/>
    </row>
    <row r="177" spans="1:177" s="15" customFormat="1" ht="13.5" customHeight="1">
      <c r="A177" s="14" t="s">
        <v>220</v>
      </c>
      <c r="B177" s="250"/>
      <c r="C177" s="250"/>
      <c r="D177" s="250"/>
      <c r="E177" s="250"/>
      <c r="F177" s="250"/>
      <c r="G177" s="250"/>
      <c r="H177" s="250"/>
      <c r="I177" s="250"/>
      <c r="J177" s="250"/>
      <c r="K177" s="250"/>
      <c r="L177" s="250"/>
      <c r="M177" s="250"/>
      <c r="N177" s="250"/>
      <c r="O177" s="250"/>
      <c r="P177" s="250"/>
      <c r="Q177" s="27"/>
      <c r="R177" s="27"/>
      <c r="S177" s="27"/>
      <c r="T177" s="27"/>
      <c r="U177" s="27"/>
      <c r="V177" s="27"/>
      <c r="W177" s="27"/>
      <c r="X177" s="27"/>
      <c r="Y177" s="27"/>
      <c r="Z177" s="27"/>
      <c r="AA177" s="27"/>
      <c r="AB177" s="27"/>
      <c r="AZ177" s="27"/>
      <c r="BL177" s="256"/>
      <c r="BM177" s="256"/>
      <c r="BN177" s="256"/>
      <c r="BO177" s="256"/>
      <c r="BP177" s="256"/>
      <c r="BQ177" s="256"/>
      <c r="BR177" s="41"/>
      <c r="BS177" s="41"/>
      <c r="BT177" s="41"/>
    </row>
    <row r="178" spans="1:177" s="15" customFormat="1" ht="13.5" customHeight="1">
      <c r="A178" s="6" t="s">
        <v>221</v>
      </c>
      <c r="B178" s="250"/>
      <c r="C178" s="250"/>
      <c r="D178" s="250"/>
      <c r="E178" s="250"/>
      <c r="F178" s="250"/>
      <c r="G178" s="250"/>
      <c r="H178" s="250"/>
      <c r="I178" s="250"/>
      <c r="J178" s="250"/>
      <c r="K178" s="250"/>
      <c r="L178" s="250"/>
      <c r="M178" s="250"/>
      <c r="N178" s="250"/>
      <c r="O178" s="250"/>
      <c r="P178" s="250"/>
      <c r="Q178" s="27"/>
      <c r="R178" s="27"/>
      <c r="S178" s="27"/>
      <c r="T178" s="27"/>
      <c r="U178" s="27"/>
      <c r="V178" s="27"/>
      <c r="W178" s="27"/>
      <c r="X178" s="27"/>
      <c r="Y178" s="27"/>
      <c r="Z178" s="27"/>
      <c r="AA178" s="27"/>
      <c r="AB178" s="27"/>
      <c r="AZ178" s="27"/>
      <c r="BL178" s="256"/>
      <c r="BM178" s="256"/>
      <c r="BN178" s="256"/>
      <c r="BO178" s="256"/>
      <c r="BP178" s="256"/>
      <c r="BQ178" s="256"/>
      <c r="BR178" s="41"/>
      <c r="BS178" s="41"/>
      <c r="BT178" s="41"/>
    </row>
    <row r="179" spans="1:177" s="15" customFormat="1" ht="13.5" customHeight="1">
      <c r="A179" s="6" t="s">
        <v>222</v>
      </c>
      <c r="B179" s="250"/>
      <c r="C179" s="250"/>
      <c r="D179" s="250"/>
      <c r="E179" s="250"/>
      <c r="F179" s="250"/>
      <c r="G179" s="250"/>
      <c r="H179" s="250"/>
      <c r="I179" s="250"/>
      <c r="J179" s="250"/>
      <c r="K179" s="250"/>
      <c r="L179" s="250"/>
      <c r="M179" s="250"/>
      <c r="N179" s="250"/>
      <c r="O179" s="250"/>
      <c r="P179" s="250"/>
      <c r="Q179" s="27"/>
      <c r="R179" s="27"/>
      <c r="S179" s="27"/>
      <c r="T179" s="27"/>
      <c r="U179" s="27"/>
      <c r="V179" s="27"/>
      <c r="W179" s="27"/>
      <c r="X179" s="27"/>
      <c r="Y179" s="27"/>
      <c r="Z179" s="27"/>
      <c r="AA179" s="27"/>
      <c r="AB179" s="27"/>
      <c r="AZ179" s="27"/>
      <c r="BL179" s="256"/>
      <c r="BM179" s="256"/>
      <c r="BN179" s="256"/>
      <c r="BO179" s="256"/>
      <c r="BP179" s="256"/>
      <c r="BQ179" s="256"/>
      <c r="BR179" s="41"/>
      <c r="BS179" s="41"/>
      <c r="BT179" s="41"/>
    </row>
    <row r="180" spans="1:177" s="15" customFormat="1" ht="13.5" customHeight="1">
      <c r="A180" s="6" t="s">
        <v>223</v>
      </c>
      <c r="B180" s="250"/>
      <c r="C180" s="250"/>
      <c r="D180" s="250"/>
      <c r="E180" s="250"/>
      <c r="F180" s="250"/>
      <c r="G180" s="250"/>
      <c r="H180" s="250"/>
      <c r="I180" s="250"/>
      <c r="J180" s="250"/>
      <c r="K180" s="250"/>
      <c r="L180" s="250"/>
      <c r="M180" s="250"/>
      <c r="N180" s="250"/>
      <c r="O180" s="250"/>
      <c r="P180" s="250"/>
      <c r="Q180" s="27"/>
      <c r="R180" s="27"/>
      <c r="S180" s="27"/>
      <c r="T180" s="27"/>
      <c r="U180" s="27"/>
      <c r="V180" s="27"/>
      <c r="W180" s="27"/>
      <c r="X180" s="27"/>
      <c r="Y180" s="27"/>
      <c r="Z180" s="27"/>
      <c r="AA180" s="27"/>
      <c r="AB180" s="27"/>
      <c r="AZ180" s="27"/>
      <c r="BL180" s="256"/>
      <c r="BM180" s="256"/>
      <c r="BN180" s="256"/>
      <c r="BO180" s="256"/>
      <c r="BP180" s="256"/>
      <c r="BQ180" s="256"/>
      <c r="BR180" s="41"/>
      <c r="BS180" s="41"/>
      <c r="BT180" s="41"/>
    </row>
    <row r="181" spans="1:177" s="15" customFormat="1" ht="13.5" customHeight="1">
      <c r="A181" s="6"/>
      <c r="B181" s="250"/>
      <c r="C181" s="250"/>
      <c r="D181" s="250"/>
      <c r="E181" s="250"/>
      <c r="F181" s="250"/>
      <c r="G181" s="250"/>
      <c r="H181" s="250"/>
      <c r="I181" s="250"/>
      <c r="J181" s="250"/>
      <c r="K181" s="250"/>
      <c r="L181" s="250"/>
      <c r="M181" s="250"/>
      <c r="N181" s="250"/>
      <c r="O181" s="250"/>
      <c r="P181" s="250"/>
      <c r="Q181" s="27"/>
      <c r="R181" s="27"/>
      <c r="S181" s="27"/>
      <c r="T181" s="27"/>
      <c r="U181" s="27"/>
      <c r="V181" s="27"/>
      <c r="W181" s="27"/>
      <c r="X181" s="27"/>
      <c r="Y181" s="27"/>
      <c r="Z181" s="27"/>
      <c r="AA181" s="27"/>
      <c r="AB181" s="27"/>
      <c r="AZ181" s="27"/>
      <c r="BL181" s="256"/>
      <c r="BM181" s="256"/>
      <c r="BN181" s="256"/>
      <c r="BO181" s="256"/>
      <c r="BP181" s="256"/>
      <c r="BQ181" s="256"/>
      <c r="BR181" s="41"/>
      <c r="BS181" s="41"/>
      <c r="BT181" s="41"/>
    </row>
    <row r="182" spans="1:177" s="1" customFormat="1" ht="13.5" customHeight="1" thickBo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L182" s="256"/>
      <c r="BM182" s="256"/>
      <c r="BN182" s="256"/>
      <c r="BO182" s="256"/>
      <c r="BP182" s="256"/>
      <c r="BQ182" s="256"/>
    </row>
    <row r="183" spans="1:177" s="1" customFormat="1" ht="13.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41"/>
      <c r="AU183" s="41"/>
      <c r="AV183" s="41"/>
      <c r="AW183" s="41"/>
      <c r="AX183" s="41"/>
      <c r="AY183" s="41"/>
      <c r="AZ183" s="41"/>
      <c r="BA183" s="41"/>
      <c r="BB183" s="41"/>
      <c r="BC183" s="41"/>
      <c r="BN183" s="9"/>
      <c r="BO183" s="9"/>
      <c r="BP183" s="9"/>
      <c r="BQ183" s="9"/>
    </row>
    <row r="184" spans="1:177" s="1" customFormat="1" ht="13.5">
      <c r="A184" s="16" t="s">
        <v>489</v>
      </c>
      <c r="B184" s="8" t="s">
        <v>345</v>
      </c>
      <c r="C184" s="30"/>
      <c r="D184" s="30"/>
      <c r="E184" s="30"/>
      <c r="F184" s="30"/>
      <c r="G184" s="30"/>
      <c r="H184" s="30"/>
      <c r="I184" s="9"/>
      <c r="J184" s="9"/>
      <c r="K184" s="9"/>
      <c r="L184" s="9"/>
      <c r="M184" s="9"/>
      <c r="N184" s="9"/>
      <c r="O184" s="9"/>
      <c r="P184" s="9"/>
    </row>
    <row r="185" spans="1:177" s="1" customFormat="1" ht="14.25" thickBot="1">
      <c r="A185" s="268"/>
      <c r="B185" s="9"/>
      <c r="C185" s="9"/>
      <c r="D185" s="9"/>
      <c r="E185" s="9"/>
      <c r="F185" s="9"/>
      <c r="G185" s="9"/>
      <c r="H185" s="9"/>
      <c r="I185" s="9"/>
      <c r="J185" s="9"/>
      <c r="K185" s="9"/>
      <c r="L185" s="9"/>
      <c r="M185" s="9"/>
      <c r="CK185" s="256"/>
      <c r="CL185" s="256"/>
      <c r="CM185" s="256"/>
      <c r="CN185" s="256"/>
      <c r="CO185" s="256"/>
    </row>
    <row r="186" spans="1:177" s="1" customFormat="1" ht="13.5" thickBot="1">
      <c r="A186" s="6"/>
      <c r="B186" s="514">
        <v>39814</v>
      </c>
      <c r="C186" s="515">
        <v>39845</v>
      </c>
      <c r="D186" s="515">
        <v>39873</v>
      </c>
      <c r="E186" s="515">
        <v>39904</v>
      </c>
      <c r="F186" s="515">
        <v>39934</v>
      </c>
      <c r="G186" s="515">
        <v>39965</v>
      </c>
      <c r="H186" s="515">
        <v>39995</v>
      </c>
      <c r="I186" s="515">
        <v>40026</v>
      </c>
      <c r="J186" s="515">
        <v>40057</v>
      </c>
      <c r="K186" s="515">
        <v>40087</v>
      </c>
      <c r="L186" s="515">
        <v>40118</v>
      </c>
      <c r="M186" s="516">
        <v>40148</v>
      </c>
      <c r="N186" s="529"/>
      <c r="O186" s="529"/>
      <c r="P186" s="529"/>
      <c r="Q186" s="529"/>
      <c r="R186" s="529"/>
      <c r="S186" s="529"/>
      <c r="T186" s="529"/>
      <c r="U186" s="529"/>
      <c r="V186" s="529"/>
      <c r="W186" s="529"/>
      <c r="X186" s="529"/>
      <c r="Y186" s="529"/>
      <c r="Z186" s="529"/>
      <c r="AA186" s="529"/>
      <c r="AB186" s="529"/>
      <c r="AC186" s="529"/>
      <c r="AD186" s="529"/>
      <c r="AE186" s="529"/>
      <c r="AF186" s="529"/>
      <c r="AG186" s="529"/>
      <c r="AH186" s="529"/>
      <c r="AI186" s="529"/>
      <c r="AJ186" s="529"/>
      <c r="AK186" s="529"/>
      <c r="AL186" s="529"/>
      <c r="AM186" s="529"/>
      <c r="AN186" s="529"/>
      <c r="AO186" s="529"/>
      <c r="AP186" s="529"/>
      <c r="AQ186" s="529"/>
      <c r="AR186" s="529"/>
      <c r="AS186" s="529"/>
      <c r="AT186" s="529"/>
      <c r="AU186" s="529"/>
      <c r="AV186" s="529"/>
      <c r="AW186" s="529"/>
      <c r="AX186" s="529"/>
      <c r="AY186" s="529"/>
      <c r="AZ186" s="529"/>
      <c r="BA186" s="529"/>
      <c r="BB186" s="529"/>
      <c r="BC186" s="529"/>
      <c r="BD186" s="529"/>
      <c r="BE186" s="529"/>
      <c r="BF186" s="529"/>
      <c r="BG186" s="529"/>
      <c r="BH186" s="529"/>
      <c r="BI186" s="529"/>
      <c r="BJ186" s="529"/>
      <c r="BK186" s="529"/>
      <c r="BL186" s="529"/>
      <c r="BM186" s="529"/>
      <c r="BN186" s="529"/>
      <c r="BO186" s="529"/>
      <c r="BP186" s="529"/>
      <c r="BQ186" s="529"/>
      <c r="BR186" s="529"/>
      <c r="BS186" s="529"/>
      <c r="BT186" s="529"/>
      <c r="BU186" s="529"/>
      <c r="BV186" s="529"/>
      <c r="BW186" s="529"/>
      <c r="BX186" s="529"/>
      <c r="BY186" s="529"/>
      <c r="BZ186" s="529"/>
      <c r="CA186" s="529"/>
      <c r="CB186" s="529"/>
      <c r="CW186" s="9"/>
      <c r="CX186" s="9"/>
      <c r="CY186" s="9"/>
      <c r="DQ186" s="9"/>
      <c r="DR186" s="9"/>
      <c r="DS186" s="9"/>
      <c r="DT186" s="9"/>
      <c r="DU186" s="9"/>
      <c r="EQ186" s="245"/>
      <c r="ER186" s="245"/>
      <c r="ES186" s="245"/>
      <c r="ET186" s="245"/>
      <c r="EU186" s="245"/>
      <c r="EV186" s="245"/>
      <c r="EW186" s="245"/>
      <c r="EX186" s="245"/>
      <c r="EY186" s="245"/>
      <c r="EZ186" s="245"/>
      <c r="FA186" s="245"/>
      <c r="FB186" s="245"/>
      <c r="FC186" s="245"/>
      <c r="FD186" s="245"/>
      <c r="FE186" s="245"/>
      <c r="FF186" s="245"/>
      <c r="FG186" s="245"/>
      <c r="FH186" s="245"/>
      <c r="FI186" s="245"/>
      <c r="FJ186" s="245"/>
      <c r="FK186" s="245"/>
      <c r="FL186" s="245"/>
      <c r="FM186" s="245"/>
      <c r="FN186" s="245"/>
      <c r="FO186" s="245"/>
      <c r="FP186" s="245"/>
      <c r="FQ186" s="245"/>
      <c r="FR186" s="245"/>
      <c r="FS186" s="245"/>
      <c r="FT186" s="245"/>
      <c r="FU186" s="245"/>
    </row>
    <row r="187" spans="1:177" s="1" customFormat="1" ht="13.5">
      <c r="A187" s="484" t="s">
        <v>216</v>
      </c>
      <c r="B187" s="517">
        <f t="shared" ref="B187:M187" si="12">B188+B189</f>
        <v>208900</v>
      </c>
      <c r="C187" s="271">
        <f t="shared" si="12"/>
        <v>202500</v>
      </c>
      <c r="D187" s="271">
        <f t="shared" si="12"/>
        <v>198400</v>
      </c>
      <c r="E187" s="271">
        <f t="shared" si="12"/>
        <v>193100</v>
      </c>
      <c r="F187" s="271">
        <f t="shared" si="12"/>
        <v>188500</v>
      </c>
      <c r="G187" s="271">
        <f t="shared" si="12"/>
        <v>184400</v>
      </c>
      <c r="H187" s="271">
        <f t="shared" si="12"/>
        <v>180500</v>
      </c>
      <c r="I187" s="271">
        <f t="shared" si="12"/>
        <v>179100</v>
      </c>
      <c r="J187" s="271">
        <f t="shared" si="12"/>
        <v>175200</v>
      </c>
      <c r="K187" s="271">
        <f t="shared" si="12"/>
        <v>173300</v>
      </c>
      <c r="L187" s="271">
        <f t="shared" si="12"/>
        <v>172800</v>
      </c>
      <c r="M187" s="518">
        <f t="shared" si="12"/>
        <v>174100</v>
      </c>
      <c r="N187" s="241"/>
      <c r="O187" s="241"/>
      <c r="P187" s="241"/>
      <c r="Q187" s="241"/>
      <c r="R187" s="241"/>
      <c r="S187" s="241"/>
      <c r="T187" s="241"/>
      <c r="U187" s="241"/>
      <c r="V187" s="241"/>
      <c r="W187" s="241"/>
      <c r="X187" s="241"/>
      <c r="Y187" s="241"/>
      <c r="Z187" s="241"/>
      <c r="AA187" s="241"/>
      <c r="AB187" s="241"/>
      <c r="AC187" s="241"/>
      <c r="AD187" s="241"/>
      <c r="AE187" s="241"/>
      <c r="AF187" s="241"/>
      <c r="AG187" s="241"/>
      <c r="AH187" s="241"/>
      <c r="AI187" s="241"/>
      <c r="AJ187" s="241"/>
      <c r="AK187" s="241"/>
      <c r="AL187" s="241"/>
      <c r="AM187" s="241"/>
      <c r="AN187" s="241"/>
      <c r="AO187" s="241"/>
      <c r="AP187" s="241"/>
      <c r="AQ187" s="241"/>
      <c r="AR187" s="241"/>
      <c r="AS187" s="241"/>
      <c r="AT187" s="241"/>
      <c r="AU187" s="241"/>
      <c r="AV187" s="241"/>
      <c r="AW187" s="241"/>
      <c r="AX187" s="241"/>
      <c r="AY187" s="241"/>
      <c r="AZ187" s="241"/>
      <c r="BA187" s="241"/>
      <c r="BB187" s="241"/>
      <c r="BC187" s="241"/>
      <c r="BD187" s="241"/>
      <c r="BE187" s="241"/>
      <c r="BF187" s="241"/>
      <c r="BG187" s="241"/>
      <c r="BH187" s="241"/>
      <c r="BI187" s="241"/>
      <c r="BJ187" s="241"/>
      <c r="BK187" s="241"/>
      <c r="BL187" s="241"/>
      <c r="BM187" s="241"/>
      <c r="BN187" s="241"/>
      <c r="BO187" s="241"/>
      <c r="BP187" s="241"/>
      <c r="BQ187" s="241"/>
      <c r="BR187" s="241"/>
      <c r="BS187" s="241"/>
      <c r="BT187" s="241"/>
      <c r="BU187" s="241"/>
      <c r="BV187" s="241"/>
      <c r="BW187" s="241"/>
      <c r="BX187" s="241"/>
      <c r="BY187" s="241"/>
      <c r="BZ187" s="241"/>
      <c r="CA187" s="241"/>
      <c r="CB187" s="241"/>
      <c r="CW187" s="9"/>
      <c r="CX187" s="9"/>
      <c r="CY187" s="9"/>
      <c r="DQ187" s="9"/>
      <c r="DR187" s="9"/>
      <c r="DS187" s="9"/>
      <c r="DT187" s="9"/>
      <c r="DU187" s="9"/>
      <c r="EQ187" s="245"/>
      <c r="ER187" s="245"/>
      <c r="ES187" s="245"/>
      <c r="ET187" s="245"/>
      <c r="EU187" s="245"/>
      <c r="EV187" s="245"/>
      <c r="EW187" s="245"/>
      <c r="EX187" s="245"/>
      <c r="EY187" s="245"/>
      <c r="EZ187" s="245"/>
      <c r="FA187" s="245"/>
      <c r="FB187" s="245"/>
      <c r="FC187" s="245"/>
      <c r="FD187" s="245"/>
      <c r="FE187" s="245"/>
      <c r="FF187" s="245"/>
      <c r="FG187" s="245"/>
      <c r="FH187" s="245"/>
      <c r="FI187" s="245"/>
      <c r="FJ187" s="245"/>
      <c r="FK187" s="245"/>
      <c r="FL187" s="245"/>
      <c r="FM187" s="245"/>
      <c r="FN187" s="245"/>
      <c r="FO187" s="245"/>
      <c r="FP187" s="245"/>
      <c r="FQ187" s="245"/>
      <c r="FR187" s="245"/>
      <c r="FS187" s="245"/>
      <c r="FT187" s="245"/>
      <c r="FU187" s="245"/>
    </row>
    <row r="188" spans="1:177" s="1" customFormat="1" ht="13.5">
      <c r="A188" s="519" t="s">
        <v>217</v>
      </c>
      <c r="B188" s="453">
        <v>163300</v>
      </c>
      <c r="C188" s="256">
        <v>158300</v>
      </c>
      <c r="D188" s="256">
        <v>155300</v>
      </c>
      <c r="E188" s="256">
        <v>150600</v>
      </c>
      <c r="F188" s="256">
        <v>146200</v>
      </c>
      <c r="G188" s="256">
        <v>142400</v>
      </c>
      <c r="H188" s="256">
        <v>139200</v>
      </c>
      <c r="I188" s="256">
        <v>137700</v>
      </c>
      <c r="J188" s="256">
        <v>134200</v>
      </c>
      <c r="K188" s="256">
        <v>130900</v>
      </c>
      <c r="L188" s="256">
        <v>129400</v>
      </c>
      <c r="M188" s="454">
        <v>128200</v>
      </c>
      <c r="N188" s="241"/>
      <c r="O188" s="241"/>
      <c r="P188" s="241"/>
      <c r="Q188" s="241"/>
      <c r="R188" s="241"/>
      <c r="S188" s="241"/>
      <c r="T188" s="241"/>
      <c r="U188" s="241"/>
      <c r="V188" s="241"/>
      <c r="W188" s="241"/>
      <c r="X188" s="241"/>
      <c r="Y188" s="241"/>
      <c r="Z188" s="241"/>
      <c r="AA188" s="241"/>
      <c r="AB188" s="241"/>
      <c r="AC188" s="241"/>
      <c r="AD188" s="241"/>
      <c r="AE188" s="241"/>
      <c r="AF188" s="241"/>
      <c r="AG188" s="241"/>
      <c r="AH188" s="241"/>
      <c r="AI188" s="241"/>
      <c r="AJ188" s="241"/>
      <c r="AK188" s="241"/>
      <c r="AL188" s="241"/>
      <c r="AM188" s="241"/>
      <c r="AN188" s="241"/>
      <c r="AO188" s="241"/>
      <c r="AP188" s="241"/>
      <c r="AQ188" s="241"/>
      <c r="AR188" s="241"/>
      <c r="AS188" s="241"/>
      <c r="AT188" s="241"/>
      <c r="AU188" s="241"/>
      <c r="AV188" s="241"/>
      <c r="AW188" s="241"/>
      <c r="AX188" s="241"/>
      <c r="AY188" s="241"/>
      <c r="AZ188" s="241"/>
      <c r="BA188" s="241"/>
      <c r="BB188" s="241"/>
      <c r="BC188" s="241"/>
      <c r="BD188" s="241"/>
      <c r="BE188" s="241"/>
      <c r="BF188" s="241"/>
      <c r="BG188" s="241"/>
      <c r="BH188" s="241"/>
      <c r="BI188" s="241"/>
      <c r="BJ188" s="241"/>
      <c r="BK188" s="241"/>
      <c r="BL188" s="241"/>
      <c r="BM188" s="241"/>
      <c r="BN188" s="241"/>
      <c r="BO188" s="241"/>
      <c r="BP188" s="241"/>
      <c r="BQ188" s="241"/>
      <c r="BR188" s="241"/>
      <c r="BS188" s="241"/>
      <c r="BT188" s="241"/>
      <c r="BU188" s="241"/>
      <c r="BV188" s="241"/>
      <c r="BW188" s="241"/>
      <c r="BX188" s="241"/>
      <c r="BY188" s="241"/>
      <c r="BZ188" s="241"/>
      <c r="CA188" s="241"/>
      <c r="CB188" s="241"/>
      <c r="CW188" s="9"/>
      <c r="CX188" s="9"/>
      <c r="CY188" s="9"/>
      <c r="DQ188" s="9"/>
      <c r="DR188" s="9"/>
      <c r="DS188" s="9"/>
      <c r="DT188" s="9"/>
      <c r="DU188" s="9"/>
      <c r="EQ188" s="245"/>
      <c r="ER188" s="245"/>
      <c r="ES188" s="245"/>
      <c r="ET188" s="245"/>
      <c r="EU188" s="245"/>
      <c r="EV188" s="245"/>
      <c r="EW188" s="245"/>
      <c r="EX188" s="245"/>
      <c r="EY188" s="245"/>
      <c r="EZ188" s="245"/>
      <c r="FA188" s="245"/>
      <c r="FB188" s="245"/>
      <c r="FC188" s="245"/>
      <c r="FD188" s="245"/>
      <c r="FE188" s="245"/>
      <c r="FF188" s="245"/>
      <c r="FG188" s="245"/>
      <c r="FH188" s="245"/>
      <c r="FI188" s="245"/>
      <c r="FJ188" s="245"/>
      <c r="FK188" s="245"/>
      <c r="FL188" s="245"/>
      <c r="FM188" s="245"/>
      <c r="FN188" s="245"/>
      <c r="FO188" s="245"/>
      <c r="FP188" s="245"/>
      <c r="FQ188" s="245"/>
      <c r="FR188" s="245"/>
      <c r="FS188" s="245"/>
      <c r="FT188" s="245"/>
      <c r="FU188" s="245"/>
    </row>
    <row r="189" spans="1:177" s="1" customFormat="1" ht="13.5">
      <c r="A189" s="519" t="s">
        <v>218</v>
      </c>
      <c r="B189" s="453">
        <v>45600</v>
      </c>
      <c r="C189" s="256">
        <v>44200</v>
      </c>
      <c r="D189" s="256">
        <v>43100</v>
      </c>
      <c r="E189" s="256">
        <v>42500</v>
      </c>
      <c r="F189" s="256">
        <v>42300</v>
      </c>
      <c r="G189" s="256">
        <v>42000</v>
      </c>
      <c r="H189" s="256">
        <v>41300</v>
      </c>
      <c r="I189" s="256">
        <v>41400</v>
      </c>
      <c r="J189" s="256">
        <v>41000</v>
      </c>
      <c r="K189" s="256">
        <v>42400</v>
      </c>
      <c r="L189" s="256">
        <v>43400</v>
      </c>
      <c r="M189" s="454">
        <v>45900</v>
      </c>
      <c r="N189" s="241"/>
      <c r="O189" s="241"/>
      <c r="P189" s="241"/>
      <c r="Q189" s="241"/>
      <c r="R189" s="241"/>
      <c r="S189" s="241"/>
      <c r="T189" s="241"/>
      <c r="U189" s="241"/>
      <c r="V189" s="241"/>
      <c r="W189" s="241"/>
      <c r="X189" s="241"/>
      <c r="Y189" s="241"/>
      <c r="Z189" s="241"/>
      <c r="AA189" s="241"/>
      <c r="AB189" s="241"/>
      <c r="AC189" s="241"/>
      <c r="AD189" s="241"/>
      <c r="AE189" s="241"/>
      <c r="AF189" s="241"/>
      <c r="AG189" s="241"/>
      <c r="AH189" s="241"/>
      <c r="AI189" s="241"/>
      <c r="AJ189" s="241"/>
      <c r="AK189" s="241"/>
      <c r="AL189" s="241"/>
      <c r="AM189" s="241"/>
      <c r="AN189" s="241"/>
      <c r="AO189" s="241"/>
      <c r="AP189" s="241"/>
      <c r="AQ189" s="241"/>
      <c r="AR189" s="241"/>
      <c r="AS189" s="241"/>
      <c r="AT189" s="241"/>
      <c r="AU189" s="241"/>
      <c r="AV189" s="241"/>
      <c r="AW189" s="241"/>
      <c r="AX189" s="241"/>
      <c r="AY189" s="241"/>
      <c r="AZ189" s="241"/>
      <c r="BA189" s="241"/>
      <c r="BB189" s="241"/>
      <c r="BC189" s="241"/>
      <c r="BD189" s="241"/>
      <c r="BE189" s="241"/>
      <c r="BF189" s="241"/>
      <c r="BG189" s="241"/>
      <c r="BH189" s="241"/>
      <c r="BI189" s="241"/>
      <c r="BJ189" s="241"/>
      <c r="BK189" s="241"/>
      <c r="BL189" s="241"/>
      <c r="BM189" s="241"/>
      <c r="BN189" s="241"/>
      <c r="BO189" s="241"/>
      <c r="BP189" s="241"/>
      <c r="BQ189" s="241"/>
      <c r="BR189" s="241"/>
      <c r="BS189" s="241"/>
      <c r="BT189" s="241"/>
      <c r="BU189" s="241"/>
      <c r="BV189" s="241"/>
      <c r="BW189" s="241"/>
      <c r="BX189" s="241"/>
      <c r="BY189" s="241"/>
      <c r="BZ189" s="241"/>
      <c r="CA189" s="241"/>
      <c r="CB189" s="241"/>
      <c r="CW189" s="9"/>
      <c r="CX189" s="9"/>
      <c r="CY189" s="9"/>
      <c r="DQ189" s="9"/>
      <c r="DR189" s="9"/>
      <c r="DS189" s="9"/>
      <c r="DT189" s="9"/>
      <c r="DU189" s="9"/>
      <c r="EQ189" s="245"/>
      <c r="ER189" s="245"/>
      <c r="ES189" s="245"/>
      <c r="ET189" s="245"/>
      <c r="EU189" s="245"/>
      <c r="EV189" s="245"/>
      <c r="EW189" s="245"/>
      <c r="EX189" s="245"/>
      <c r="EY189" s="245"/>
      <c r="EZ189" s="245"/>
      <c r="FA189" s="245"/>
      <c r="FB189" s="245"/>
      <c r="FC189" s="245"/>
      <c r="FD189" s="245"/>
      <c r="FE189" s="245"/>
      <c r="FF189" s="245"/>
      <c r="FG189" s="245"/>
      <c r="FH189" s="245"/>
      <c r="FI189" s="245"/>
      <c r="FJ189" s="245"/>
      <c r="FK189" s="245"/>
      <c r="FL189" s="245"/>
      <c r="FM189" s="245"/>
      <c r="FN189" s="245"/>
      <c r="FO189" s="245"/>
      <c r="FP189" s="245"/>
      <c r="FQ189" s="245"/>
      <c r="FR189" s="245"/>
      <c r="FS189" s="245"/>
      <c r="FT189" s="245"/>
      <c r="FU189" s="245"/>
    </row>
    <row r="190" spans="1:177" s="1" customFormat="1" ht="13.5">
      <c r="A190" s="519" t="s">
        <v>188</v>
      </c>
      <c r="B190" s="453">
        <v>157300</v>
      </c>
      <c r="C190" s="256">
        <v>150500</v>
      </c>
      <c r="D190" s="256">
        <v>146400</v>
      </c>
      <c r="E190" s="256">
        <v>143800</v>
      </c>
      <c r="F190" s="256">
        <v>140900</v>
      </c>
      <c r="G190" s="256">
        <v>139800</v>
      </c>
      <c r="H190" s="256">
        <v>142300</v>
      </c>
      <c r="I190" s="256">
        <v>143200</v>
      </c>
      <c r="J190" s="256">
        <v>141800</v>
      </c>
      <c r="K190" s="256">
        <v>140900</v>
      </c>
      <c r="L190" s="256">
        <v>146800</v>
      </c>
      <c r="M190" s="454">
        <v>153000</v>
      </c>
      <c r="N190" s="241"/>
      <c r="O190" s="241"/>
      <c r="P190" s="241"/>
      <c r="Q190" s="241"/>
      <c r="R190" s="241"/>
      <c r="S190" s="241"/>
      <c r="T190" s="241"/>
      <c r="U190" s="241"/>
      <c r="V190" s="241"/>
      <c r="W190" s="241"/>
      <c r="X190" s="241"/>
      <c r="Y190" s="241"/>
      <c r="Z190" s="241"/>
      <c r="AA190" s="241"/>
      <c r="AB190" s="241"/>
      <c r="AC190" s="241"/>
      <c r="AD190" s="241"/>
      <c r="AE190" s="241"/>
      <c r="AF190" s="241"/>
      <c r="AG190" s="241"/>
      <c r="AH190" s="241"/>
      <c r="AI190" s="241"/>
      <c r="AJ190" s="241"/>
      <c r="AK190" s="241"/>
      <c r="AL190" s="241"/>
      <c r="AM190" s="241"/>
      <c r="AN190" s="241"/>
      <c r="AO190" s="241"/>
      <c r="AP190" s="241"/>
      <c r="AQ190" s="241"/>
      <c r="AR190" s="241"/>
      <c r="AS190" s="241"/>
      <c r="AT190" s="241"/>
      <c r="AU190" s="241"/>
      <c r="AV190" s="241"/>
      <c r="AW190" s="241"/>
      <c r="AX190" s="241"/>
      <c r="AY190" s="241"/>
      <c r="AZ190" s="241"/>
      <c r="BA190" s="241"/>
      <c r="BB190" s="241"/>
      <c r="BC190" s="241"/>
      <c r="BD190" s="241"/>
      <c r="BE190" s="241"/>
      <c r="BF190" s="241"/>
      <c r="BG190" s="241"/>
      <c r="BH190" s="241"/>
      <c r="BI190" s="241"/>
      <c r="BJ190" s="241"/>
      <c r="BK190" s="241"/>
      <c r="BL190" s="241"/>
      <c r="BM190" s="241"/>
      <c r="BN190" s="241"/>
      <c r="BO190" s="241"/>
      <c r="BP190" s="241"/>
      <c r="BQ190" s="241"/>
      <c r="BR190" s="241"/>
      <c r="BS190" s="241"/>
      <c r="BT190" s="241"/>
      <c r="BU190" s="241"/>
      <c r="BV190" s="241"/>
      <c r="BW190" s="241"/>
      <c r="BX190" s="241"/>
      <c r="BY190" s="241"/>
      <c r="BZ190" s="241"/>
      <c r="CA190" s="241"/>
      <c r="CB190" s="241"/>
      <c r="CW190" s="9"/>
      <c r="CX190" s="9"/>
      <c r="CY190" s="9"/>
      <c r="DQ190" s="9"/>
      <c r="DR190" s="9"/>
      <c r="DS190" s="9"/>
      <c r="DT190" s="9"/>
      <c r="DU190" s="9"/>
      <c r="EQ190" s="245"/>
      <c r="ER190" s="245"/>
      <c r="ES190" s="245"/>
      <c r="ET190" s="245"/>
      <c r="EU190" s="245"/>
      <c r="EV190" s="245"/>
      <c r="EW190" s="245"/>
      <c r="EX190" s="245"/>
      <c r="EY190" s="245"/>
      <c r="EZ190" s="245"/>
      <c r="FA190" s="245"/>
      <c r="FB190" s="245"/>
      <c r="FC190" s="245"/>
      <c r="FD190" s="245"/>
      <c r="FE190" s="245"/>
      <c r="FF190" s="245"/>
      <c r="FG190" s="245"/>
      <c r="FH190" s="245"/>
      <c r="FI190" s="245"/>
      <c r="FJ190" s="245"/>
      <c r="FK190" s="245"/>
      <c r="FL190" s="245"/>
      <c r="FM190" s="245"/>
      <c r="FN190" s="245"/>
      <c r="FO190" s="245"/>
      <c r="FP190" s="245"/>
      <c r="FQ190" s="245"/>
      <c r="FR190" s="245"/>
      <c r="FS190" s="245"/>
      <c r="FT190" s="245"/>
      <c r="FU190" s="245"/>
    </row>
    <row r="191" spans="1:177" s="1" customFormat="1" ht="13.5">
      <c r="A191" s="519" t="s">
        <v>219</v>
      </c>
      <c r="B191" s="453">
        <v>19600</v>
      </c>
      <c r="C191" s="256">
        <v>18700</v>
      </c>
      <c r="D191" s="256">
        <v>17500</v>
      </c>
      <c r="E191" s="256">
        <v>17500</v>
      </c>
      <c r="F191" s="256">
        <v>16800</v>
      </c>
      <c r="G191" s="256">
        <v>16200</v>
      </c>
      <c r="H191" s="256">
        <v>17600</v>
      </c>
      <c r="I191" s="256">
        <v>17700</v>
      </c>
      <c r="J191" s="256">
        <v>17600</v>
      </c>
      <c r="K191" s="256">
        <v>18000</v>
      </c>
      <c r="L191" s="256">
        <v>18100</v>
      </c>
      <c r="M191" s="454">
        <v>19700</v>
      </c>
      <c r="N191" s="241"/>
      <c r="O191" s="241"/>
      <c r="P191" s="241"/>
      <c r="Q191" s="241"/>
      <c r="R191" s="241"/>
      <c r="S191" s="241"/>
      <c r="T191" s="241"/>
      <c r="U191" s="241"/>
      <c r="V191" s="241"/>
      <c r="W191" s="241"/>
      <c r="X191" s="241"/>
      <c r="Y191" s="241"/>
      <c r="Z191" s="241"/>
      <c r="AA191" s="241"/>
      <c r="AB191" s="241"/>
      <c r="AC191" s="241"/>
      <c r="AD191" s="241"/>
      <c r="AE191" s="241"/>
      <c r="AF191" s="241"/>
      <c r="AG191" s="241"/>
      <c r="AH191" s="241"/>
      <c r="AI191" s="241"/>
      <c r="AJ191" s="241"/>
      <c r="AK191" s="241"/>
      <c r="AL191" s="241"/>
      <c r="AM191" s="241"/>
      <c r="AN191" s="241"/>
      <c r="AO191" s="241"/>
      <c r="AP191" s="241"/>
      <c r="AQ191" s="241"/>
      <c r="AR191" s="241"/>
      <c r="AS191" s="241"/>
      <c r="AT191" s="241"/>
      <c r="AU191" s="241"/>
      <c r="AV191" s="241"/>
      <c r="AW191" s="241"/>
      <c r="AX191" s="241"/>
      <c r="AY191" s="241"/>
      <c r="AZ191" s="241"/>
      <c r="BA191" s="241"/>
      <c r="BB191" s="241"/>
      <c r="BC191" s="241"/>
      <c r="BD191" s="241"/>
      <c r="BE191" s="241"/>
      <c r="BF191" s="241"/>
      <c r="BG191" s="241"/>
      <c r="BH191" s="241"/>
      <c r="BI191" s="241"/>
      <c r="BJ191" s="241"/>
      <c r="BK191" s="241"/>
      <c r="BL191" s="241"/>
      <c r="BM191" s="241"/>
      <c r="BN191" s="241"/>
      <c r="BO191" s="241"/>
      <c r="BP191" s="241"/>
      <c r="BQ191" s="241"/>
      <c r="BR191" s="241"/>
      <c r="BS191" s="241"/>
      <c r="BT191" s="241"/>
      <c r="BU191" s="241"/>
      <c r="BV191" s="241"/>
      <c r="BW191" s="241"/>
      <c r="BX191" s="241"/>
      <c r="BY191" s="241"/>
      <c r="BZ191" s="241"/>
      <c r="CA191" s="241"/>
      <c r="CB191" s="241"/>
      <c r="CW191" s="9"/>
      <c r="CX191" s="9"/>
      <c r="CY191" s="9"/>
      <c r="DQ191" s="9"/>
      <c r="DR191" s="9"/>
      <c r="DS191" s="9"/>
      <c r="DT191" s="9"/>
      <c r="DU191" s="9"/>
      <c r="EQ191" s="245"/>
      <c r="ER191" s="245"/>
      <c r="ES191" s="245"/>
      <c r="ET191" s="245"/>
      <c r="EU191" s="245"/>
      <c r="EV191" s="245"/>
      <c r="EW191" s="245"/>
      <c r="EX191" s="245"/>
      <c r="EY191" s="245"/>
      <c r="EZ191" s="245"/>
      <c r="FA191" s="245"/>
      <c r="FB191" s="245"/>
      <c r="FC191" s="245"/>
      <c r="FD191" s="245"/>
      <c r="FE191" s="245"/>
      <c r="FF191" s="245"/>
      <c r="FG191" s="245"/>
      <c r="FH191" s="245"/>
      <c r="FI191" s="245"/>
      <c r="FJ191" s="245"/>
      <c r="FK191" s="245"/>
      <c r="FL191" s="245"/>
      <c r="FM191" s="245"/>
      <c r="FN191" s="245"/>
      <c r="FO191" s="245"/>
      <c r="FP191" s="245"/>
      <c r="FQ191" s="245"/>
      <c r="FR191" s="245"/>
      <c r="FS191" s="245"/>
      <c r="FT191" s="245"/>
      <c r="FU191" s="245"/>
    </row>
    <row r="192" spans="1:177" s="1" customFormat="1" ht="13.5" thickBot="1">
      <c r="A192" s="520" t="s">
        <v>18</v>
      </c>
      <c r="B192" s="521">
        <v>385700</v>
      </c>
      <c r="C192" s="522">
        <v>371700</v>
      </c>
      <c r="D192" s="522">
        <v>362300</v>
      </c>
      <c r="E192" s="522">
        <v>354500</v>
      </c>
      <c r="F192" s="522">
        <v>346300</v>
      </c>
      <c r="G192" s="522">
        <v>340500</v>
      </c>
      <c r="H192" s="522">
        <v>340400</v>
      </c>
      <c r="I192" s="522">
        <v>340000</v>
      </c>
      <c r="J192" s="522">
        <v>334700</v>
      </c>
      <c r="K192" s="522">
        <v>332300</v>
      </c>
      <c r="L192" s="522">
        <v>337800</v>
      </c>
      <c r="M192" s="523">
        <v>346700</v>
      </c>
      <c r="N192" s="253"/>
      <c r="O192" s="253"/>
      <c r="P192" s="253"/>
      <c r="Q192" s="253"/>
      <c r="R192" s="253"/>
      <c r="S192" s="253"/>
      <c r="T192" s="253"/>
      <c r="U192" s="253"/>
      <c r="V192" s="253"/>
      <c r="W192" s="253"/>
      <c r="X192" s="253"/>
      <c r="Y192" s="253"/>
      <c r="Z192" s="253"/>
      <c r="AA192" s="253"/>
      <c r="AB192" s="253"/>
      <c r="AC192" s="253"/>
      <c r="AD192" s="253"/>
      <c r="AE192" s="253"/>
      <c r="AF192" s="253"/>
      <c r="AG192" s="253"/>
      <c r="AH192" s="253"/>
      <c r="AI192" s="253"/>
      <c r="AJ192" s="253"/>
      <c r="AK192" s="253"/>
      <c r="AL192" s="253"/>
      <c r="AM192" s="253"/>
      <c r="AN192" s="253"/>
      <c r="AO192" s="253"/>
      <c r="AP192" s="253"/>
      <c r="AQ192" s="253"/>
      <c r="AR192" s="253"/>
      <c r="AS192" s="253"/>
      <c r="AT192" s="253"/>
      <c r="AU192" s="253"/>
      <c r="AV192" s="253"/>
      <c r="AW192" s="253"/>
      <c r="AX192" s="253"/>
      <c r="AY192" s="253"/>
      <c r="AZ192" s="253"/>
      <c r="BA192" s="253"/>
      <c r="BB192" s="253"/>
      <c r="BC192" s="253"/>
      <c r="BD192" s="253"/>
      <c r="BE192" s="253"/>
      <c r="BF192" s="253"/>
      <c r="BG192" s="253"/>
      <c r="BH192" s="253"/>
      <c r="BI192" s="253"/>
      <c r="BJ192" s="253"/>
      <c r="BK192" s="253"/>
      <c r="BL192" s="253"/>
      <c r="BM192" s="253"/>
      <c r="BN192" s="253"/>
      <c r="BO192" s="253"/>
      <c r="BP192" s="253"/>
      <c r="BQ192" s="253"/>
      <c r="BR192" s="253"/>
      <c r="BS192" s="253"/>
      <c r="BT192" s="253"/>
      <c r="BU192" s="253"/>
      <c r="BV192" s="253"/>
      <c r="BW192" s="253"/>
      <c r="BX192" s="253"/>
      <c r="BY192" s="253"/>
      <c r="BZ192" s="253"/>
      <c r="CA192" s="253"/>
      <c r="CB192" s="253"/>
      <c r="CW192" s="9"/>
      <c r="CX192" s="9"/>
      <c r="CY192" s="9"/>
      <c r="DQ192" s="9"/>
      <c r="DR192" s="9"/>
      <c r="DS192" s="9"/>
      <c r="DT192" s="9"/>
      <c r="DU192" s="9"/>
      <c r="EQ192" s="245"/>
      <c r="ER192" s="245"/>
      <c r="ES192" s="245"/>
      <c r="ET192" s="245"/>
      <c r="EU192" s="245"/>
      <c r="EV192" s="245"/>
      <c r="EW192" s="245"/>
      <c r="EX192" s="245"/>
      <c r="EY192" s="245"/>
      <c r="EZ192" s="245"/>
      <c r="FA192" s="245"/>
      <c r="FB192" s="245"/>
      <c r="FC192" s="245"/>
      <c r="FD192" s="245"/>
      <c r="FE192" s="245"/>
      <c r="FF192" s="245"/>
      <c r="FG192" s="245"/>
      <c r="FH192" s="245"/>
      <c r="FI192" s="245"/>
      <c r="FJ192" s="245"/>
      <c r="FK192" s="245"/>
      <c r="FL192" s="245"/>
      <c r="FM192" s="245"/>
      <c r="FN192" s="245"/>
      <c r="FO192" s="245"/>
      <c r="FP192" s="245"/>
      <c r="FQ192" s="245"/>
      <c r="FR192" s="245"/>
      <c r="FS192" s="245"/>
      <c r="FT192" s="245"/>
      <c r="FU192" s="245"/>
    </row>
    <row r="193" spans="1:177" s="1" customFormat="1" ht="14.25" thickBot="1">
      <c r="A193" s="6"/>
      <c r="B193" s="269"/>
      <c r="C193" s="269"/>
      <c r="D193" s="269"/>
      <c r="E193" s="269"/>
      <c r="F193" s="269"/>
      <c r="G193" s="269"/>
      <c r="H193" s="30"/>
      <c r="I193" s="269"/>
      <c r="J193" s="269"/>
      <c r="X193" s="250"/>
      <c r="Y193" s="269"/>
      <c r="Z193" s="269"/>
      <c r="AB193" s="251"/>
      <c r="AC193" s="251"/>
      <c r="AD193" s="251"/>
      <c r="AE193" s="251"/>
      <c r="AF193" s="270"/>
      <c r="AG193" s="30"/>
      <c r="AH193" s="251"/>
      <c r="AI193" s="251"/>
      <c r="AL193" s="27"/>
      <c r="AM193" s="245"/>
      <c r="AN193" s="245"/>
      <c r="AO193" s="245"/>
      <c r="AP193" s="245"/>
      <c r="AQ193" s="245"/>
      <c r="AR193" s="245"/>
      <c r="AS193" s="30"/>
      <c r="AW193" s="238"/>
      <c r="AX193" s="238"/>
      <c r="AY193" s="238"/>
      <c r="AZ193" s="238"/>
      <c r="BA193" s="238"/>
      <c r="BB193" s="238"/>
      <c r="BK193" s="250"/>
      <c r="BL193" s="250"/>
      <c r="BM193" s="250"/>
      <c r="BN193" s="250"/>
      <c r="BO193" s="250"/>
      <c r="BP193" s="250"/>
      <c r="BQ193" s="250"/>
      <c r="BR193" s="250"/>
      <c r="BS193" s="250"/>
      <c r="BT193" s="250"/>
      <c r="BU193" s="250"/>
      <c r="BV193" s="250"/>
      <c r="BW193" s="250"/>
      <c r="BX193" s="250"/>
      <c r="BY193" s="250"/>
      <c r="BZ193" s="250"/>
      <c r="CW193" s="9"/>
      <c r="CX193" s="9"/>
      <c r="CY193" s="9"/>
      <c r="DQ193" s="9"/>
      <c r="DR193" s="9"/>
      <c r="DS193" s="9"/>
      <c r="DT193" s="9"/>
      <c r="DU193" s="9"/>
      <c r="EQ193" s="245"/>
      <c r="ER193" s="245"/>
      <c r="ES193" s="245"/>
      <c r="ET193" s="245"/>
      <c r="EU193" s="245"/>
      <c r="EV193" s="245"/>
      <c r="EW193" s="245"/>
      <c r="EX193" s="245"/>
      <c r="EY193" s="245"/>
      <c r="EZ193" s="245"/>
      <c r="FA193" s="245"/>
      <c r="FB193" s="245"/>
      <c r="FC193" s="245"/>
      <c r="FD193" s="245"/>
      <c r="FE193" s="245"/>
      <c r="FF193" s="245"/>
      <c r="FG193" s="245"/>
      <c r="FH193" s="245"/>
      <c r="FI193" s="245"/>
      <c r="FJ193" s="245"/>
      <c r="FK193" s="245"/>
      <c r="FL193" s="245"/>
      <c r="FM193" s="245"/>
      <c r="FN193" s="245"/>
      <c r="FO193" s="245"/>
      <c r="FP193" s="245"/>
      <c r="FQ193" s="245"/>
      <c r="FR193" s="245"/>
      <c r="FS193" s="245"/>
      <c r="FT193" s="245"/>
      <c r="FU193" s="245"/>
    </row>
    <row r="194" spans="1:177" s="1" customFormat="1" ht="14.25" thickBot="1">
      <c r="A194" s="6"/>
      <c r="B194" s="514">
        <v>40179</v>
      </c>
      <c r="C194" s="515">
        <v>40210</v>
      </c>
      <c r="D194" s="515">
        <v>40238</v>
      </c>
      <c r="E194" s="515">
        <v>40269</v>
      </c>
      <c r="F194" s="515">
        <v>40299</v>
      </c>
      <c r="G194" s="515">
        <v>40330</v>
      </c>
      <c r="H194" s="515">
        <v>40360</v>
      </c>
      <c r="I194" s="515">
        <v>40391</v>
      </c>
      <c r="J194" s="515">
        <v>40422</v>
      </c>
      <c r="K194" s="515">
        <v>40452</v>
      </c>
      <c r="L194" s="515">
        <v>40483</v>
      </c>
      <c r="M194" s="516">
        <v>40513</v>
      </c>
      <c r="X194" s="250"/>
      <c r="Y194" s="269"/>
      <c r="Z194" s="269"/>
      <c r="AB194" s="251"/>
      <c r="AC194" s="251"/>
      <c r="AD194" s="251"/>
      <c r="AE194" s="251"/>
      <c r="AF194" s="270"/>
      <c r="AG194" s="30"/>
      <c r="AH194" s="251"/>
      <c r="AI194" s="251"/>
      <c r="AL194" s="27"/>
      <c r="AM194" s="245"/>
      <c r="AN194" s="245"/>
      <c r="AO194" s="245"/>
      <c r="AP194" s="245"/>
      <c r="AQ194" s="245"/>
      <c r="AR194" s="245"/>
      <c r="AS194" s="30"/>
      <c r="AW194" s="238"/>
      <c r="AX194" s="238"/>
      <c r="AY194" s="238"/>
      <c r="AZ194" s="238"/>
      <c r="BA194" s="238"/>
      <c r="BB194" s="238"/>
      <c r="BK194" s="250"/>
      <c r="BL194" s="250"/>
      <c r="BM194" s="250"/>
      <c r="BN194" s="250"/>
      <c r="BO194" s="250"/>
      <c r="BP194" s="250"/>
      <c r="BQ194" s="250"/>
      <c r="BR194" s="250"/>
      <c r="BS194" s="250"/>
      <c r="BT194" s="250"/>
      <c r="BU194" s="250"/>
      <c r="BV194" s="250"/>
      <c r="BW194" s="250"/>
      <c r="BX194" s="250"/>
      <c r="BY194" s="250"/>
      <c r="BZ194" s="250"/>
      <c r="CW194" s="9"/>
      <c r="CX194" s="9"/>
      <c r="CY194" s="9"/>
      <c r="DQ194" s="9"/>
      <c r="DR194" s="9"/>
      <c r="DS194" s="9"/>
      <c r="DT194" s="9"/>
      <c r="DU194" s="9"/>
      <c r="EQ194" s="245"/>
      <c r="ER194" s="245"/>
      <c r="ES194" s="245"/>
      <c r="ET194" s="245"/>
      <c r="EU194" s="245"/>
      <c r="EV194" s="245"/>
      <c r="EW194" s="245"/>
      <c r="EX194" s="245"/>
      <c r="EY194" s="245"/>
      <c r="EZ194" s="245"/>
      <c r="FA194" s="245"/>
      <c r="FB194" s="245"/>
      <c r="FC194" s="245"/>
      <c r="FD194" s="245"/>
      <c r="FE194" s="245"/>
      <c r="FF194" s="245"/>
      <c r="FG194" s="245"/>
      <c r="FH194" s="245"/>
      <c r="FI194" s="245"/>
      <c r="FJ194" s="245"/>
      <c r="FK194" s="245"/>
      <c r="FL194" s="245"/>
      <c r="FM194" s="245"/>
      <c r="FN194" s="245"/>
      <c r="FO194" s="245"/>
      <c r="FP194" s="245"/>
      <c r="FQ194" s="245"/>
      <c r="FR194" s="245"/>
      <c r="FS194" s="245"/>
      <c r="FT194" s="245"/>
      <c r="FU194" s="245"/>
    </row>
    <row r="195" spans="1:177" s="1" customFormat="1" ht="13.5">
      <c r="A195" s="484" t="s">
        <v>216</v>
      </c>
      <c r="B195" s="517">
        <f t="shared" ref="B195:M195" si="13">B196+B197</f>
        <v>173800</v>
      </c>
      <c r="C195" s="271">
        <f t="shared" si="13"/>
        <v>174000</v>
      </c>
      <c r="D195" s="271">
        <f t="shared" si="13"/>
        <v>177100</v>
      </c>
      <c r="E195" s="271">
        <f t="shared" si="13"/>
        <v>180200</v>
      </c>
      <c r="F195" s="271">
        <f t="shared" si="13"/>
        <v>183700</v>
      </c>
      <c r="G195" s="271">
        <f t="shared" si="13"/>
        <v>186600</v>
      </c>
      <c r="H195" s="271">
        <f t="shared" si="13"/>
        <v>190200</v>
      </c>
      <c r="I195" s="271">
        <f t="shared" si="13"/>
        <v>192300</v>
      </c>
      <c r="J195" s="271">
        <f t="shared" si="13"/>
        <v>197000</v>
      </c>
      <c r="K195" s="271">
        <f t="shared" si="13"/>
        <v>199700</v>
      </c>
      <c r="L195" s="271">
        <f t="shared" si="13"/>
        <v>202800</v>
      </c>
      <c r="M195" s="518">
        <f t="shared" si="13"/>
        <v>205600</v>
      </c>
      <c r="X195" s="250"/>
      <c r="Y195" s="269"/>
      <c r="Z195" s="269"/>
      <c r="AB195" s="251"/>
      <c r="AC195" s="251"/>
      <c r="AD195" s="251"/>
      <c r="AE195" s="251"/>
      <c r="AF195" s="270"/>
      <c r="AG195" s="30"/>
      <c r="AH195" s="251"/>
      <c r="AI195" s="251"/>
      <c r="AL195" s="27"/>
      <c r="AM195" s="245"/>
      <c r="AN195" s="245"/>
      <c r="AO195" s="245"/>
      <c r="AP195" s="245"/>
      <c r="AQ195" s="245"/>
      <c r="AR195" s="245"/>
      <c r="AS195" s="30"/>
      <c r="AW195" s="238"/>
      <c r="AX195" s="238"/>
      <c r="AY195" s="238"/>
      <c r="AZ195" s="238"/>
      <c r="BA195" s="238"/>
      <c r="BB195" s="238"/>
      <c r="BK195" s="250"/>
      <c r="BL195" s="250"/>
      <c r="BM195" s="250"/>
      <c r="BN195" s="250"/>
      <c r="BO195" s="250"/>
      <c r="BP195" s="250"/>
      <c r="BQ195" s="250"/>
      <c r="BR195" s="250"/>
      <c r="BS195" s="250"/>
      <c r="BT195" s="250"/>
      <c r="BU195" s="250"/>
      <c r="BV195" s="250"/>
      <c r="BW195" s="250"/>
      <c r="BX195" s="250"/>
      <c r="BY195" s="250"/>
      <c r="BZ195" s="250"/>
      <c r="CW195" s="9"/>
      <c r="CX195" s="9"/>
      <c r="CY195" s="9"/>
      <c r="DQ195" s="9"/>
      <c r="DR195" s="9"/>
      <c r="DS195" s="9"/>
      <c r="DT195" s="9"/>
      <c r="DU195" s="9"/>
      <c r="EQ195" s="245"/>
      <c r="ER195" s="245"/>
      <c r="ES195" s="245"/>
      <c r="ET195" s="245"/>
      <c r="EU195" s="245"/>
      <c r="EV195" s="245"/>
      <c r="EW195" s="245"/>
      <c r="EX195" s="245"/>
      <c r="EY195" s="245"/>
      <c r="EZ195" s="245"/>
      <c r="FA195" s="245"/>
      <c r="FB195" s="245"/>
      <c r="FC195" s="245"/>
      <c r="FD195" s="245"/>
      <c r="FE195" s="245"/>
      <c r="FF195" s="245"/>
      <c r="FG195" s="245"/>
      <c r="FH195" s="245"/>
      <c r="FI195" s="245"/>
      <c r="FJ195" s="245"/>
      <c r="FK195" s="245"/>
      <c r="FL195" s="245"/>
      <c r="FM195" s="245"/>
      <c r="FN195" s="245"/>
      <c r="FO195" s="245"/>
      <c r="FP195" s="245"/>
      <c r="FQ195" s="245"/>
      <c r="FR195" s="245"/>
      <c r="FS195" s="245"/>
      <c r="FT195" s="245"/>
      <c r="FU195" s="245"/>
    </row>
    <row r="196" spans="1:177" s="1" customFormat="1" ht="13.5">
      <c r="A196" s="519" t="s">
        <v>217</v>
      </c>
      <c r="B196" s="453">
        <v>127100</v>
      </c>
      <c r="C196" s="256">
        <v>126800</v>
      </c>
      <c r="D196" s="256">
        <v>128800</v>
      </c>
      <c r="E196" s="256">
        <v>130800</v>
      </c>
      <c r="F196" s="256">
        <v>133000</v>
      </c>
      <c r="G196" s="256">
        <v>135200</v>
      </c>
      <c r="H196" s="256">
        <v>137700</v>
      </c>
      <c r="I196" s="256">
        <v>139000</v>
      </c>
      <c r="J196" s="256">
        <v>142500</v>
      </c>
      <c r="K196" s="256">
        <v>145100</v>
      </c>
      <c r="L196" s="256">
        <v>147000</v>
      </c>
      <c r="M196" s="454">
        <v>149900</v>
      </c>
      <c r="X196" s="250"/>
      <c r="Y196" s="269"/>
      <c r="Z196" s="269"/>
      <c r="AB196" s="251"/>
      <c r="AC196" s="251"/>
      <c r="AD196" s="251"/>
      <c r="AE196" s="251"/>
      <c r="AF196" s="270"/>
      <c r="AG196" s="30"/>
      <c r="AH196" s="251"/>
      <c r="AI196" s="251"/>
      <c r="AL196" s="27"/>
      <c r="AM196" s="245"/>
      <c r="AN196" s="245"/>
      <c r="AO196" s="245"/>
      <c r="AP196" s="245"/>
      <c r="AQ196" s="245"/>
      <c r="AR196" s="245"/>
      <c r="AS196" s="30"/>
      <c r="AW196" s="238"/>
      <c r="AX196" s="238"/>
      <c r="AY196" s="238"/>
      <c r="AZ196" s="238"/>
      <c r="BA196" s="238"/>
      <c r="BB196" s="238"/>
      <c r="BK196" s="250"/>
      <c r="BL196" s="250"/>
      <c r="BM196" s="250"/>
      <c r="BN196" s="250"/>
      <c r="BO196" s="250"/>
      <c r="BP196" s="250"/>
      <c r="BQ196" s="250"/>
      <c r="BR196" s="250"/>
      <c r="BS196" s="250"/>
      <c r="BT196" s="250"/>
      <c r="BU196" s="250"/>
      <c r="BV196" s="250"/>
      <c r="BW196" s="250"/>
      <c r="BX196" s="250"/>
      <c r="BY196" s="250"/>
      <c r="BZ196" s="250"/>
      <c r="CW196" s="9"/>
      <c r="CX196" s="9"/>
      <c r="CY196" s="9"/>
      <c r="DQ196" s="9"/>
      <c r="DR196" s="9"/>
      <c r="DS196" s="9"/>
      <c r="DT196" s="9"/>
      <c r="DU196" s="9"/>
      <c r="EQ196" s="245"/>
      <c r="ER196" s="245"/>
      <c r="ES196" s="245"/>
      <c r="ET196" s="245"/>
      <c r="EU196" s="245"/>
      <c r="EV196" s="245"/>
      <c r="EW196" s="245"/>
      <c r="EX196" s="245"/>
      <c r="EY196" s="245"/>
      <c r="EZ196" s="245"/>
      <c r="FA196" s="245"/>
      <c r="FB196" s="245"/>
      <c r="FC196" s="245"/>
      <c r="FD196" s="245"/>
      <c r="FE196" s="245"/>
      <c r="FF196" s="245"/>
      <c r="FG196" s="245"/>
      <c r="FH196" s="245"/>
      <c r="FI196" s="245"/>
      <c r="FJ196" s="245"/>
      <c r="FK196" s="245"/>
      <c r="FL196" s="245"/>
      <c r="FM196" s="245"/>
      <c r="FN196" s="245"/>
      <c r="FO196" s="245"/>
      <c r="FP196" s="245"/>
      <c r="FQ196" s="245"/>
      <c r="FR196" s="245"/>
      <c r="FS196" s="245"/>
      <c r="FT196" s="245"/>
      <c r="FU196" s="245"/>
    </row>
    <row r="197" spans="1:177" s="1" customFormat="1" ht="13.5">
      <c r="A197" s="519" t="s">
        <v>218</v>
      </c>
      <c r="B197" s="453">
        <v>46700</v>
      </c>
      <c r="C197" s="256">
        <v>47200</v>
      </c>
      <c r="D197" s="256">
        <v>48300</v>
      </c>
      <c r="E197" s="256">
        <v>49400</v>
      </c>
      <c r="F197" s="256">
        <v>50700</v>
      </c>
      <c r="G197" s="256">
        <v>51400</v>
      </c>
      <c r="H197" s="256">
        <v>52500</v>
      </c>
      <c r="I197" s="256">
        <v>53300</v>
      </c>
      <c r="J197" s="256">
        <v>54500</v>
      </c>
      <c r="K197" s="256">
        <v>54600</v>
      </c>
      <c r="L197" s="256">
        <v>55800</v>
      </c>
      <c r="M197" s="454">
        <v>55700</v>
      </c>
      <c r="X197" s="250"/>
      <c r="Y197" s="269"/>
      <c r="Z197" s="269"/>
      <c r="AB197" s="251"/>
      <c r="AC197" s="251"/>
      <c r="AD197" s="251"/>
      <c r="AE197" s="251"/>
      <c r="AF197" s="270"/>
      <c r="AG197" s="30"/>
      <c r="AH197" s="251"/>
      <c r="AI197" s="251"/>
      <c r="AL197" s="27"/>
      <c r="AM197" s="245"/>
      <c r="AN197" s="245"/>
      <c r="AO197" s="245"/>
      <c r="AP197" s="245"/>
      <c r="AQ197" s="245"/>
      <c r="AR197" s="245"/>
      <c r="AS197" s="30"/>
      <c r="AW197" s="238"/>
      <c r="AX197" s="238"/>
      <c r="AY197" s="238"/>
      <c r="AZ197" s="238"/>
      <c r="BA197" s="238"/>
      <c r="BB197" s="238"/>
      <c r="BK197" s="250"/>
      <c r="BL197" s="250"/>
      <c r="BM197" s="250"/>
      <c r="BN197" s="250"/>
      <c r="BO197" s="250"/>
      <c r="BP197" s="250"/>
      <c r="BQ197" s="250"/>
      <c r="BR197" s="250"/>
      <c r="BS197" s="250"/>
      <c r="BT197" s="250"/>
      <c r="BU197" s="250"/>
      <c r="BV197" s="250"/>
      <c r="BW197" s="250"/>
      <c r="BX197" s="250"/>
      <c r="BY197" s="250"/>
      <c r="BZ197" s="250"/>
      <c r="CW197" s="9"/>
      <c r="CX197" s="9"/>
      <c r="CY197" s="9"/>
      <c r="DQ197" s="9"/>
      <c r="DR197" s="9"/>
      <c r="DS197" s="9"/>
      <c r="DT197" s="9"/>
      <c r="DU197" s="9"/>
      <c r="EQ197" s="245"/>
      <c r="ER197" s="245"/>
      <c r="ES197" s="245"/>
      <c r="ET197" s="245"/>
      <c r="EU197" s="245"/>
      <c r="EV197" s="245"/>
      <c r="EW197" s="245"/>
      <c r="EX197" s="245"/>
      <c r="EY197" s="245"/>
      <c r="EZ197" s="245"/>
      <c r="FA197" s="245"/>
      <c r="FB197" s="245"/>
      <c r="FC197" s="245"/>
      <c r="FD197" s="245"/>
      <c r="FE197" s="245"/>
      <c r="FF197" s="245"/>
      <c r="FG197" s="245"/>
      <c r="FH197" s="245"/>
      <c r="FI197" s="245"/>
      <c r="FJ197" s="245"/>
      <c r="FK197" s="245"/>
      <c r="FL197" s="245"/>
      <c r="FM197" s="245"/>
      <c r="FN197" s="245"/>
      <c r="FO197" s="245"/>
      <c r="FP197" s="245"/>
      <c r="FQ197" s="245"/>
      <c r="FR197" s="245"/>
      <c r="FS197" s="245"/>
      <c r="FT197" s="245"/>
      <c r="FU197" s="245"/>
    </row>
    <row r="198" spans="1:177" s="1" customFormat="1" ht="13.5">
      <c r="A198" s="519" t="s">
        <v>188</v>
      </c>
      <c r="B198" s="453">
        <v>152800</v>
      </c>
      <c r="C198" s="256">
        <v>155100</v>
      </c>
      <c r="D198" s="256">
        <v>157300</v>
      </c>
      <c r="E198" s="256">
        <v>156900</v>
      </c>
      <c r="F198" s="256">
        <v>158300</v>
      </c>
      <c r="G198" s="256">
        <v>160100</v>
      </c>
      <c r="H198" s="256">
        <v>159000</v>
      </c>
      <c r="I198" s="256">
        <v>159500</v>
      </c>
      <c r="J198" s="256">
        <v>163800</v>
      </c>
      <c r="K198" s="256">
        <v>171400</v>
      </c>
      <c r="L198" s="256">
        <v>177200</v>
      </c>
      <c r="M198" s="454">
        <v>181900</v>
      </c>
      <c r="X198" s="250"/>
      <c r="Y198" s="269"/>
      <c r="Z198" s="269"/>
      <c r="AB198" s="251"/>
      <c r="AC198" s="251"/>
      <c r="AD198" s="251"/>
      <c r="AE198" s="251"/>
      <c r="AF198" s="270"/>
      <c r="AG198" s="30"/>
      <c r="AH198" s="251"/>
      <c r="AI198" s="251"/>
      <c r="AL198" s="27"/>
      <c r="AM198" s="245"/>
      <c r="AN198" s="245"/>
      <c r="AO198" s="245"/>
      <c r="AP198" s="245"/>
      <c r="AQ198" s="245"/>
      <c r="AR198" s="245"/>
      <c r="AS198" s="30"/>
      <c r="AW198" s="238"/>
      <c r="AX198" s="238"/>
      <c r="AY198" s="238"/>
      <c r="AZ198" s="238"/>
      <c r="BA198" s="238"/>
      <c r="BB198" s="238"/>
      <c r="BK198" s="250"/>
      <c r="BL198" s="250"/>
      <c r="BM198" s="250"/>
      <c r="BN198" s="250"/>
      <c r="BO198" s="250"/>
      <c r="BP198" s="250"/>
      <c r="BQ198" s="250"/>
      <c r="BR198" s="250"/>
      <c r="BS198" s="250"/>
      <c r="BT198" s="250"/>
      <c r="BU198" s="250"/>
      <c r="BV198" s="250"/>
      <c r="BW198" s="250"/>
      <c r="BX198" s="250"/>
      <c r="BY198" s="250"/>
      <c r="BZ198" s="250"/>
      <c r="CW198" s="9"/>
      <c r="CX198" s="9"/>
      <c r="CY198" s="9"/>
      <c r="DQ198" s="9"/>
      <c r="DR198" s="9"/>
      <c r="DS198" s="9"/>
      <c r="DT198" s="9"/>
      <c r="DU198" s="9"/>
      <c r="EQ198" s="245"/>
      <c r="ER198" s="245"/>
      <c r="ES198" s="245"/>
      <c r="ET198" s="245"/>
      <c r="EU198" s="245"/>
      <c r="EV198" s="245"/>
      <c r="EW198" s="245"/>
      <c r="EX198" s="245"/>
      <c r="EY198" s="245"/>
      <c r="EZ198" s="245"/>
      <c r="FA198" s="245"/>
      <c r="FB198" s="245"/>
      <c r="FC198" s="245"/>
      <c r="FD198" s="245"/>
      <c r="FE198" s="245"/>
      <c r="FF198" s="245"/>
      <c r="FG198" s="245"/>
      <c r="FH198" s="245"/>
      <c r="FI198" s="245"/>
      <c r="FJ198" s="245"/>
      <c r="FK198" s="245"/>
      <c r="FL198" s="245"/>
      <c r="FM198" s="245"/>
      <c r="FN198" s="245"/>
      <c r="FO198" s="245"/>
      <c r="FP198" s="245"/>
      <c r="FQ198" s="245"/>
      <c r="FR198" s="245"/>
      <c r="FS198" s="245"/>
      <c r="FT198" s="245"/>
      <c r="FU198" s="245"/>
    </row>
    <row r="199" spans="1:177" s="1" customFormat="1" ht="13.5">
      <c r="A199" s="519" t="s">
        <v>219</v>
      </c>
      <c r="B199" s="453">
        <v>20700</v>
      </c>
      <c r="C199" s="256">
        <v>20700</v>
      </c>
      <c r="D199" s="256">
        <v>20900</v>
      </c>
      <c r="E199" s="256">
        <v>20600</v>
      </c>
      <c r="F199" s="256">
        <v>21300</v>
      </c>
      <c r="G199" s="256">
        <v>21000</v>
      </c>
      <c r="H199" s="256">
        <v>21500</v>
      </c>
      <c r="I199" s="256">
        <v>22300</v>
      </c>
      <c r="J199" s="256">
        <v>23700</v>
      </c>
      <c r="K199" s="256">
        <v>25000</v>
      </c>
      <c r="L199" s="256">
        <v>27700</v>
      </c>
      <c r="M199" s="454">
        <v>27100</v>
      </c>
      <c r="X199" s="250"/>
      <c r="Y199" s="269"/>
      <c r="Z199" s="269"/>
      <c r="AB199" s="251"/>
      <c r="AC199" s="251"/>
      <c r="AD199" s="251"/>
      <c r="AE199" s="251"/>
      <c r="AF199" s="270"/>
      <c r="AG199" s="30"/>
      <c r="AH199" s="251"/>
      <c r="AI199" s="251"/>
      <c r="AL199" s="27"/>
      <c r="AM199" s="245"/>
      <c r="AN199" s="245"/>
      <c r="AO199" s="245"/>
      <c r="AP199" s="245"/>
      <c r="AQ199" s="245"/>
      <c r="AR199" s="245"/>
      <c r="AS199" s="30"/>
      <c r="AW199" s="238"/>
      <c r="AX199" s="238"/>
      <c r="AY199" s="238"/>
      <c r="AZ199" s="238"/>
      <c r="BA199" s="238"/>
      <c r="BB199" s="238"/>
      <c r="BK199" s="250"/>
      <c r="BL199" s="250"/>
      <c r="BM199" s="250"/>
      <c r="BN199" s="250"/>
      <c r="BO199" s="250"/>
      <c r="BP199" s="250"/>
      <c r="BQ199" s="250"/>
      <c r="BR199" s="250"/>
      <c r="BS199" s="250"/>
      <c r="BT199" s="250"/>
      <c r="BU199" s="250"/>
      <c r="BV199" s="250"/>
      <c r="BW199" s="250"/>
      <c r="BX199" s="250"/>
      <c r="BY199" s="250"/>
      <c r="BZ199" s="250"/>
      <c r="CW199" s="9"/>
      <c r="CX199" s="9"/>
      <c r="CY199" s="9"/>
      <c r="DQ199" s="9"/>
      <c r="DR199" s="9"/>
      <c r="DS199" s="9"/>
      <c r="DT199" s="9"/>
      <c r="DU199" s="9"/>
      <c r="EQ199" s="245"/>
      <c r="ER199" s="245"/>
      <c r="ES199" s="245"/>
      <c r="ET199" s="245"/>
      <c r="EU199" s="245"/>
      <c r="EV199" s="245"/>
      <c r="EW199" s="245"/>
      <c r="EX199" s="245"/>
      <c r="EY199" s="245"/>
      <c r="EZ199" s="245"/>
      <c r="FA199" s="245"/>
      <c r="FB199" s="245"/>
      <c r="FC199" s="245"/>
      <c r="FD199" s="245"/>
      <c r="FE199" s="245"/>
      <c r="FF199" s="245"/>
      <c r="FG199" s="245"/>
      <c r="FH199" s="245"/>
      <c r="FI199" s="245"/>
      <c r="FJ199" s="245"/>
      <c r="FK199" s="245"/>
      <c r="FL199" s="245"/>
      <c r="FM199" s="245"/>
      <c r="FN199" s="245"/>
      <c r="FO199" s="245"/>
      <c r="FP199" s="245"/>
      <c r="FQ199" s="245"/>
      <c r="FR199" s="245"/>
      <c r="FS199" s="245"/>
      <c r="FT199" s="245"/>
      <c r="FU199" s="245"/>
    </row>
    <row r="200" spans="1:177" s="1" customFormat="1" ht="14.25" thickBot="1">
      <c r="A200" s="520" t="s">
        <v>18</v>
      </c>
      <c r="B200" s="521">
        <v>347200</v>
      </c>
      <c r="C200" s="522">
        <v>349800</v>
      </c>
      <c r="D200" s="522">
        <v>355200</v>
      </c>
      <c r="E200" s="522">
        <v>357700</v>
      </c>
      <c r="F200" s="522">
        <v>363300</v>
      </c>
      <c r="G200" s="522">
        <v>367700</v>
      </c>
      <c r="H200" s="522">
        <v>370700</v>
      </c>
      <c r="I200" s="522">
        <v>374100</v>
      </c>
      <c r="J200" s="522">
        <v>384500</v>
      </c>
      <c r="K200" s="522">
        <v>396100</v>
      </c>
      <c r="L200" s="522">
        <v>407700</v>
      </c>
      <c r="M200" s="523">
        <v>414700</v>
      </c>
      <c r="X200" s="250"/>
      <c r="Y200" s="269"/>
      <c r="Z200" s="269"/>
      <c r="AB200" s="251"/>
      <c r="AC200" s="251"/>
      <c r="AD200" s="251"/>
      <c r="AE200" s="251"/>
      <c r="AF200" s="270"/>
      <c r="AG200" s="30"/>
      <c r="AH200" s="251"/>
      <c r="AI200" s="251"/>
      <c r="AL200" s="27"/>
      <c r="AM200" s="245"/>
      <c r="AN200" s="245"/>
      <c r="AO200" s="245"/>
      <c r="AP200" s="245"/>
      <c r="AQ200" s="245"/>
      <c r="AR200" s="245"/>
      <c r="AS200" s="30"/>
      <c r="AW200" s="238"/>
      <c r="AX200" s="238"/>
      <c r="AY200" s="238"/>
      <c r="AZ200" s="238"/>
      <c r="BA200" s="238"/>
      <c r="BB200" s="238"/>
      <c r="BK200" s="250"/>
      <c r="BL200" s="250"/>
      <c r="BM200" s="250"/>
      <c r="BN200" s="250"/>
      <c r="BO200" s="250"/>
      <c r="BP200" s="250"/>
      <c r="BQ200" s="250"/>
      <c r="BR200" s="250"/>
      <c r="BS200" s="250"/>
      <c r="BT200" s="250"/>
      <c r="BU200" s="250"/>
      <c r="BV200" s="250"/>
      <c r="BW200" s="250"/>
      <c r="BX200" s="250"/>
      <c r="BY200" s="250"/>
      <c r="BZ200" s="250"/>
      <c r="CW200" s="9"/>
      <c r="CX200" s="9"/>
      <c r="CY200" s="9"/>
      <c r="DQ200" s="9"/>
      <c r="DR200" s="9"/>
      <c r="DS200" s="9"/>
      <c r="DT200" s="9"/>
      <c r="DU200" s="9"/>
      <c r="EQ200" s="245"/>
      <c r="ER200" s="245"/>
      <c r="ES200" s="245"/>
      <c r="ET200" s="245"/>
      <c r="EU200" s="245"/>
      <c r="EV200" s="245"/>
      <c r="EW200" s="245"/>
      <c r="EX200" s="245"/>
      <c r="EY200" s="245"/>
      <c r="EZ200" s="245"/>
      <c r="FA200" s="245"/>
      <c r="FB200" s="245"/>
      <c r="FC200" s="245"/>
      <c r="FD200" s="245"/>
      <c r="FE200" s="245"/>
      <c r="FF200" s="245"/>
      <c r="FG200" s="245"/>
      <c r="FH200" s="245"/>
      <c r="FI200" s="245"/>
      <c r="FJ200" s="245"/>
      <c r="FK200" s="245"/>
      <c r="FL200" s="245"/>
      <c r="FM200" s="245"/>
      <c r="FN200" s="245"/>
      <c r="FO200" s="245"/>
      <c r="FP200" s="245"/>
      <c r="FQ200" s="245"/>
      <c r="FR200" s="245"/>
      <c r="FS200" s="245"/>
      <c r="FT200" s="245"/>
      <c r="FU200" s="245"/>
    </row>
    <row r="201" spans="1:177" s="1" customFormat="1" ht="14.25" thickBot="1">
      <c r="A201" s="6"/>
      <c r="B201" s="269"/>
      <c r="C201" s="269"/>
      <c r="D201" s="269"/>
      <c r="E201" s="269"/>
      <c r="F201" s="269"/>
      <c r="G201" s="269"/>
      <c r="H201" s="30"/>
      <c r="I201" s="269"/>
      <c r="J201" s="269"/>
      <c r="X201" s="250"/>
      <c r="Y201" s="269"/>
      <c r="Z201" s="269"/>
      <c r="AB201" s="251"/>
      <c r="AC201" s="251"/>
      <c r="AD201" s="251"/>
      <c r="AE201" s="251"/>
      <c r="AF201" s="270"/>
      <c r="AG201" s="30"/>
      <c r="AH201" s="251"/>
      <c r="AI201" s="251"/>
      <c r="AL201" s="27"/>
      <c r="AM201" s="245"/>
      <c r="AN201" s="245"/>
      <c r="AO201" s="245"/>
      <c r="AP201" s="245"/>
      <c r="AQ201" s="245"/>
      <c r="AR201" s="245"/>
      <c r="AS201" s="30"/>
      <c r="AW201" s="238"/>
      <c r="AX201" s="238"/>
      <c r="AY201" s="238"/>
      <c r="AZ201" s="238"/>
      <c r="BA201" s="238"/>
      <c r="BB201" s="238"/>
      <c r="BK201" s="250"/>
      <c r="BL201" s="250"/>
      <c r="BM201" s="250"/>
      <c r="BN201" s="250"/>
      <c r="BO201" s="250"/>
      <c r="BP201" s="250"/>
      <c r="BQ201" s="250"/>
      <c r="BR201" s="250"/>
      <c r="BS201" s="250"/>
      <c r="BT201" s="250"/>
      <c r="BU201" s="250"/>
      <c r="BV201" s="250"/>
      <c r="BW201" s="250"/>
      <c r="BX201" s="250"/>
      <c r="BY201" s="250"/>
      <c r="BZ201" s="250"/>
      <c r="CW201" s="9"/>
      <c r="CX201" s="9"/>
      <c r="CY201" s="9"/>
      <c r="DQ201" s="9"/>
      <c r="DR201" s="9"/>
      <c r="DS201" s="9"/>
      <c r="DT201" s="9"/>
      <c r="DU201" s="9"/>
      <c r="EQ201" s="245"/>
      <c r="ER201" s="245"/>
      <c r="ES201" s="245"/>
      <c r="ET201" s="245"/>
      <c r="EU201" s="245"/>
      <c r="EV201" s="245"/>
      <c r="EW201" s="245"/>
      <c r="EX201" s="245"/>
      <c r="EY201" s="245"/>
      <c r="EZ201" s="245"/>
      <c r="FA201" s="245"/>
      <c r="FB201" s="245"/>
      <c r="FC201" s="245"/>
      <c r="FD201" s="245"/>
      <c r="FE201" s="245"/>
      <c r="FF201" s="245"/>
      <c r="FG201" s="245"/>
      <c r="FH201" s="245"/>
      <c r="FI201" s="245"/>
      <c r="FJ201" s="245"/>
      <c r="FK201" s="245"/>
      <c r="FL201" s="245"/>
      <c r="FM201" s="245"/>
      <c r="FN201" s="245"/>
      <c r="FO201" s="245"/>
      <c r="FP201" s="245"/>
      <c r="FQ201" s="245"/>
      <c r="FR201" s="245"/>
      <c r="FS201" s="245"/>
      <c r="FT201" s="245"/>
      <c r="FU201" s="245"/>
    </row>
    <row r="202" spans="1:177" s="1" customFormat="1" ht="14.25" thickBot="1">
      <c r="A202" s="6"/>
      <c r="B202" s="514">
        <v>40544</v>
      </c>
      <c r="C202" s="515">
        <v>40575</v>
      </c>
      <c r="D202" s="515">
        <v>40603</v>
      </c>
      <c r="E202" s="515">
        <v>40634</v>
      </c>
      <c r="F202" s="515">
        <v>40664</v>
      </c>
      <c r="G202" s="515">
        <v>40695</v>
      </c>
      <c r="H202" s="515">
        <v>40725</v>
      </c>
      <c r="I202" s="515">
        <v>40756</v>
      </c>
      <c r="J202" s="515">
        <v>40787</v>
      </c>
      <c r="K202" s="515">
        <v>40817</v>
      </c>
      <c r="L202" s="515">
        <v>40848</v>
      </c>
      <c r="M202" s="516">
        <v>40878</v>
      </c>
      <c r="X202" s="250"/>
      <c r="Y202" s="269"/>
      <c r="Z202" s="269"/>
      <c r="AB202" s="251"/>
      <c r="AC202" s="251"/>
      <c r="AD202" s="251"/>
      <c r="AE202" s="251"/>
      <c r="AF202" s="270"/>
      <c r="AG202" s="30"/>
      <c r="AH202" s="251"/>
      <c r="AI202" s="251"/>
      <c r="AL202" s="27"/>
      <c r="AM202" s="245"/>
      <c r="AN202" s="245"/>
      <c r="AO202" s="245"/>
      <c r="AP202" s="245"/>
      <c r="AQ202" s="245"/>
      <c r="AR202" s="245"/>
      <c r="AS202" s="30"/>
      <c r="AW202" s="238"/>
      <c r="AX202" s="238"/>
      <c r="AY202" s="238"/>
      <c r="AZ202" s="238"/>
      <c r="BA202" s="238"/>
      <c r="BB202" s="238"/>
      <c r="BK202" s="250"/>
      <c r="BL202" s="250"/>
      <c r="BM202" s="250"/>
      <c r="BN202" s="250"/>
      <c r="BO202" s="250"/>
      <c r="BP202" s="250"/>
      <c r="BQ202" s="250"/>
      <c r="BR202" s="250"/>
      <c r="BS202" s="250"/>
      <c r="BT202" s="250"/>
      <c r="BU202" s="250"/>
      <c r="BV202" s="250"/>
      <c r="BW202" s="250"/>
      <c r="BX202" s="250"/>
      <c r="BY202" s="250"/>
      <c r="BZ202" s="250"/>
      <c r="CW202" s="9"/>
      <c r="CX202" s="9"/>
      <c r="CY202" s="9"/>
      <c r="DQ202" s="9"/>
      <c r="DR202" s="9"/>
      <c r="DS202" s="9"/>
      <c r="DT202" s="9"/>
      <c r="DU202" s="9"/>
      <c r="EQ202" s="245"/>
      <c r="ER202" s="245"/>
      <c r="ES202" s="245"/>
      <c r="ET202" s="245"/>
      <c r="EU202" s="245"/>
      <c r="EV202" s="245"/>
      <c r="EW202" s="245"/>
      <c r="EX202" s="245"/>
      <c r="EY202" s="245"/>
      <c r="EZ202" s="245"/>
      <c r="FA202" s="245"/>
      <c r="FB202" s="245"/>
      <c r="FC202" s="245"/>
      <c r="FD202" s="245"/>
      <c r="FE202" s="245"/>
      <c r="FF202" s="245"/>
      <c r="FG202" s="245"/>
      <c r="FH202" s="245"/>
      <c r="FI202" s="245"/>
      <c r="FJ202" s="245"/>
      <c r="FK202" s="245"/>
      <c r="FL202" s="245"/>
      <c r="FM202" s="245"/>
      <c r="FN202" s="245"/>
      <c r="FO202" s="245"/>
      <c r="FP202" s="245"/>
      <c r="FQ202" s="245"/>
      <c r="FR202" s="245"/>
      <c r="FS202" s="245"/>
      <c r="FT202" s="245"/>
      <c r="FU202" s="245"/>
    </row>
    <row r="203" spans="1:177" s="1" customFormat="1" ht="13.5">
      <c r="A203" s="484" t="s">
        <v>216</v>
      </c>
      <c r="B203" s="517">
        <f t="shared" ref="B203:M203" si="14">B204+B205</f>
        <v>210200</v>
      </c>
      <c r="C203" s="271">
        <f t="shared" si="14"/>
        <v>214100</v>
      </c>
      <c r="D203" s="271">
        <f t="shared" si="14"/>
        <v>216200</v>
      </c>
      <c r="E203" s="271">
        <f t="shared" si="14"/>
        <v>217300</v>
      </c>
      <c r="F203" s="271">
        <f t="shared" si="14"/>
        <v>219000</v>
      </c>
      <c r="G203" s="271">
        <f t="shared" si="14"/>
        <v>218500</v>
      </c>
      <c r="H203" s="271">
        <f t="shared" si="14"/>
        <v>217400</v>
      </c>
      <c r="I203" s="271">
        <f t="shared" si="14"/>
        <v>216900</v>
      </c>
      <c r="J203" s="271">
        <f t="shared" si="14"/>
        <v>214700</v>
      </c>
      <c r="K203" s="271">
        <f t="shared" si="14"/>
        <v>213100</v>
      </c>
      <c r="L203" s="271">
        <f t="shared" si="14"/>
        <v>211800</v>
      </c>
      <c r="M203" s="518">
        <f t="shared" si="14"/>
        <v>210400</v>
      </c>
      <c r="X203" s="250"/>
      <c r="Y203" s="269"/>
      <c r="Z203" s="269"/>
      <c r="AB203" s="251"/>
      <c r="AC203" s="251"/>
      <c r="AD203" s="251"/>
      <c r="AE203" s="251"/>
      <c r="AF203" s="270"/>
      <c r="AG203" s="30"/>
      <c r="AH203" s="251"/>
      <c r="AI203" s="251"/>
      <c r="AL203" s="27"/>
      <c r="AM203" s="245"/>
      <c r="AN203" s="245"/>
      <c r="AO203" s="245"/>
      <c r="AP203" s="245"/>
      <c r="AQ203" s="245"/>
      <c r="AR203" s="245"/>
      <c r="AS203" s="30"/>
      <c r="AW203" s="238"/>
      <c r="AX203" s="238"/>
      <c r="AY203" s="238"/>
      <c r="AZ203" s="238"/>
      <c r="BA203" s="238"/>
      <c r="BB203" s="238"/>
      <c r="BK203" s="250"/>
      <c r="BL203" s="250"/>
      <c r="BM203" s="250"/>
      <c r="BN203" s="250"/>
      <c r="BO203" s="250"/>
      <c r="BP203" s="250"/>
      <c r="BQ203" s="250"/>
      <c r="BR203" s="250"/>
      <c r="BS203" s="250"/>
      <c r="BT203" s="250"/>
      <c r="BU203" s="250"/>
      <c r="BV203" s="250"/>
      <c r="BW203" s="250"/>
      <c r="BX203" s="250"/>
      <c r="BY203" s="250"/>
      <c r="BZ203" s="250"/>
      <c r="CW203" s="9"/>
      <c r="CX203" s="9"/>
      <c r="CY203" s="9"/>
      <c r="DQ203" s="9"/>
      <c r="DR203" s="9"/>
      <c r="DS203" s="9"/>
      <c r="DT203" s="9"/>
      <c r="DU203" s="9"/>
      <c r="EQ203" s="245"/>
      <c r="ER203" s="245"/>
      <c r="ES203" s="245"/>
      <c r="ET203" s="245"/>
      <c r="EU203" s="245"/>
      <c r="EV203" s="245"/>
      <c r="EW203" s="245"/>
      <c r="EX203" s="245"/>
      <c r="EY203" s="245"/>
      <c r="EZ203" s="245"/>
      <c r="FA203" s="245"/>
      <c r="FB203" s="245"/>
      <c r="FC203" s="245"/>
      <c r="FD203" s="245"/>
      <c r="FE203" s="245"/>
      <c r="FF203" s="245"/>
      <c r="FG203" s="245"/>
      <c r="FH203" s="245"/>
      <c r="FI203" s="245"/>
      <c r="FJ203" s="245"/>
      <c r="FK203" s="245"/>
      <c r="FL203" s="245"/>
      <c r="FM203" s="245"/>
      <c r="FN203" s="245"/>
      <c r="FO203" s="245"/>
      <c r="FP203" s="245"/>
      <c r="FQ203" s="245"/>
      <c r="FR203" s="245"/>
      <c r="FS203" s="245"/>
      <c r="FT203" s="245"/>
      <c r="FU203" s="245"/>
    </row>
    <row r="204" spans="1:177" s="1" customFormat="1" ht="13.5">
      <c r="A204" s="519" t="s">
        <v>217</v>
      </c>
      <c r="B204" s="453">
        <v>153600</v>
      </c>
      <c r="C204" s="256">
        <v>156700</v>
      </c>
      <c r="D204" s="256">
        <v>158300</v>
      </c>
      <c r="E204" s="256">
        <v>159100</v>
      </c>
      <c r="F204" s="256">
        <v>160500</v>
      </c>
      <c r="G204" s="256">
        <v>160600</v>
      </c>
      <c r="H204" s="256">
        <v>159800</v>
      </c>
      <c r="I204" s="256">
        <v>159900</v>
      </c>
      <c r="J204" s="256">
        <v>158400</v>
      </c>
      <c r="K204" s="256">
        <v>157800</v>
      </c>
      <c r="L204" s="256">
        <v>157100</v>
      </c>
      <c r="M204" s="454">
        <v>155500</v>
      </c>
      <c r="X204" s="250"/>
      <c r="Y204" s="269"/>
      <c r="Z204" s="269"/>
      <c r="AB204" s="251"/>
      <c r="AC204" s="251"/>
      <c r="AD204" s="251"/>
      <c r="AE204" s="251"/>
      <c r="AF204" s="270"/>
      <c r="AG204" s="30"/>
      <c r="AH204" s="251"/>
      <c r="AI204" s="251"/>
      <c r="AL204" s="27"/>
      <c r="AM204" s="245"/>
      <c r="AN204" s="245"/>
      <c r="AO204" s="245"/>
      <c r="AP204" s="245"/>
      <c r="AQ204" s="245"/>
      <c r="AR204" s="245"/>
      <c r="AS204" s="30"/>
      <c r="AW204" s="238"/>
      <c r="AX204" s="238"/>
      <c r="AY204" s="238"/>
      <c r="AZ204" s="238"/>
      <c r="BA204" s="238"/>
      <c r="BB204" s="238"/>
      <c r="BK204" s="250"/>
      <c r="BL204" s="250"/>
      <c r="BM204" s="250"/>
      <c r="BN204" s="250"/>
      <c r="BO204" s="250"/>
      <c r="BP204" s="250"/>
      <c r="BQ204" s="250"/>
      <c r="BR204" s="250"/>
      <c r="BS204" s="250"/>
      <c r="BT204" s="250"/>
      <c r="BU204" s="250"/>
      <c r="BV204" s="250"/>
      <c r="BW204" s="250"/>
      <c r="BX204" s="250"/>
      <c r="BY204" s="250"/>
      <c r="BZ204" s="250"/>
      <c r="CW204" s="9"/>
      <c r="CX204" s="9"/>
      <c r="CY204" s="9"/>
      <c r="DQ204" s="9"/>
      <c r="DR204" s="9"/>
      <c r="DS204" s="9"/>
      <c r="DT204" s="9"/>
      <c r="DU204" s="9"/>
      <c r="EQ204" s="245"/>
      <c r="ER204" s="245"/>
      <c r="ES204" s="245"/>
      <c r="ET204" s="245"/>
      <c r="EU204" s="245"/>
      <c r="EV204" s="245"/>
      <c r="EW204" s="245"/>
      <c r="EX204" s="245"/>
      <c r="EY204" s="245"/>
      <c r="EZ204" s="245"/>
      <c r="FA204" s="245"/>
      <c r="FB204" s="245"/>
      <c r="FC204" s="245"/>
      <c r="FD204" s="245"/>
      <c r="FE204" s="245"/>
      <c r="FF204" s="245"/>
      <c r="FG204" s="245"/>
      <c r="FH204" s="245"/>
      <c r="FI204" s="245"/>
      <c r="FJ204" s="245"/>
      <c r="FK204" s="245"/>
      <c r="FL204" s="245"/>
      <c r="FM204" s="245"/>
      <c r="FN204" s="245"/>
      <c r="FO204" s="245"/>
      <c r="FP204" s="245"/>
      <c r="FQ204" s="245"/>
      <c r="FR204" s="245"/>
      <c r="FS204" s="245"/>
      <c r="FT204" s="245"/>
      <c r="FU204" s="245"/>
    </row>
    <row r="205" spans="1:177" s="1" customFormat="1" ht="13.5">
      <c r="A205" s="519" t="s">
        <v>218</v>
      </c>
      <c r="B205" s="453">
        <v>56600</v>
      </c>
      <c r="C205" s="256">
        <v>57400</v>
      </c>
      <c r="D205" s="256">
        <v>57900</v>
      </c>
      <c r="E205" s="256">
        <v>58200</v>
      </c>
      <c r="F205" s="256">
        <v>58500</v>
      </c>
      <c r="G205" s="256">
        <v>57900</v>
      </c>
      <c r="H205" s="256">
        <v>57600</v>
      </c>
      <c r="I205" s="256">
        <v>57000</v>
      </c>
      <c r="J205" s="256">
        <v>56300</v>
      </c>
      <c r="K205" s="256">
        <v>55300</v>
      </c>
      <c r="L205" s="256">
        <v>54700</v>
      </c>
      <c r="M205" s="454">
        <v>54900</v>
      </c>
      <c r="X205" s="250"/>
      <c r="Y205" s="269"/>
      <c r="Z205" s="269"/>
      <c r="AB205" s="251"/>
      <c r="AC205" s="251"/>
      <c r="AD205" s="251"/>
      <c r="AE205" s="251"/>
      <c r="AF205" s="270"/>
      <c r="AG205" s="30"/>
      <c r="AH205" s="251"/>
      <c r="AI205" s="251"/>
      <c r="AL205" s="27"/>
      <c r="AM205" s="245"/>
      <c r="AN205" s="245"/>
      <c r="AO205" s="245"/>
      <c r="AP205" s="245"/>
      <c r="AQ205" s="245"/>
      <c r="AR205" s="245"/>
      <c r="AS205" s="30"/>
      <c r="AW205" s="238"/>
      <c r="AX205" s="238"/>
      <c r="AY205" s="238"/>
      <c r="AZ205" s="238"/>
      <c r="BA205" s="238"/>
      <c r="BB205" s="238"/>
      <c r="BK205" s="250"/>
      <c r="BL205" s="250"/>
      <c r="BM205" s="250"/>
      <c r="BN205" s="250"/>
      <c r="BO205" s="250"/>
      <c r="BP205" s="250"/>
      <c r="BQ205" s="250"/>
      <c r="BR205" s="250"/>
      <c r="BS205" s="250"/>
      <c r="BT205" s="250"/>
      <c r="BU205" s="250"/>
      <c r="BV205" s="250"/>
      <c r="BW205" s="250"/>
      <c r="BX205" s="250"/>
      <c r="BY205" s="250"/>
      <c r="BZ205" s="250"/>
      <c r="CW205" s="9"/>
      <c r="CX205" s="9"/>
      <c r="CY205" s="9"/>
      <c r="DQ205" s="9"/>
      <c r="DR205" s="9"/>
      <c r="DS205" s="9"/>
      <c r="DT205" s="9"/>
      <c r="DU205" s="9"/>
      <c r="EQ205" s="245"/>
      <c r="ER205" s="245"/>
      <c r="ES205" s="245"/>
      <c r="ET205" s="245"/>
      <c r="EU205" s="245"/>
      <c r="EV205" s="245"/>
      <c r="EW205" s="245"/>
      <c r="EX205" s="245"/>
      <c r="EY205" s="245"/>
      <c r="EZ205" s="245"/>
      <c r="FA205" s="245"/>
      <c r="FB205" s="245"/>
      <c r="FC205" s="245"/>
      <c r="FD205" s="245"/>
      <c r="FE205" s="245"/>
      <c r="FF205" s="245"/>
      <c r="FG205" s="245"/>
      <c r="FH205" s="245"/>
      <c r="FI205" s="245"/>
      <c r="FJ205" s="245"/>
      <c r="FK205" s="245"/>
      <c r="FL205" s="245"/>
      <c r="FM205" s="245"/>
      <c r="FN205" s="245"/>
      <c r="FO205" s="245"/>
      <c r="FP205" s="245"/>
      <c r="FQ205" s="245"/>
      <c r="FR205" s="245"/>
      <c r="FS205" s="245"/>
      <c r="FT205" s="245"/>
      <c r="FU205" s="245"/>
    </row>
    <row r="206" spans="1:177" s="1" customFormat="1" ht="13.5">
      <c r="A206" s="519" t="s">
        <v>188</v>
      </c>
      <c r="B206" s="453">
        <v>183100</v>
      </c>
      <c r="C206" s="256">
        <v>183700</v>
      </c>
      <c r="D206" s="256">
        <v>186000</v>
      </c>
      <c r="E206" s="256">
        <v>186100</v>
      </c>
      <c r="F206" s="256">
        <v>187500</v>
      </c>
      <c r="G206" s="256">
        <v>184100</v>
      </c>
      <c r="H206" s="256">
        <v>184600</v>
      </c>
      <c r="I206" s="256">
        <v>184200</v>
      </c>
      <c r="J206" s="256">
        <v>182300</v>
      </c>
      <c r="K206" s="256">
        <v>180600</v>
      </c>
      <c r="L206" s="256">
        <v>184500</v>
      </c>
      <c r="M206" s="454">
        <v>186600</v>
      </c>
      <c r="X206" s="250"/>
      <c r="Y206" s="269"/>
      <c r="Z206" s="269"/>
      <c r="AB206" s="251"/>
      <c r="AC206" s="251"/>
      <c r="AD206" s="251"/>
      <c r="AE206" s="251"/>
      <c r="AF206" s="270"/>
      <c r="AG206" s="30"/>
      <c r="AH206" s="251"/>
      <c r="AI206" s="251"/>
      <c r="AL206" s="27"/>
      <c r="AM206" s="245"/>
      <c r="AN206" s="245"/>
      <c r="AO206" s="245"/>
      <c r="AP206" s="245"/>
      <c r="AQ206" s="245"/>
      <c r="AR206" s="245"/>
      <c r="AS206" s="30"/>
      <c r="AW206" s="238"/>
      <c r="AX206" s="238"/>
      <c r="AY206" s="238"/>
      <c r="AZ206" s="238"/>
      <c r="BA206" s="238"/>
      <c r="BB206" s="238"/>
      <c r="BK206" s="250"/>
      <c r="BL206" s="250"/>
      <c r="BM206" s="250"/>
      <c r="BN206" s="250"/>
      <c r="BO206" s="250"/>
      <c r="BP206" s="250"/>
      <c r="BQ206" s="250"/>
      <c r="BR206" s="250"/>
      <c r="BS206" s="250"/>
      <c r="BT206" s="250"/>
      <c r="BU206" s="250"/>
      <c r="BV206" s="250"/>
      <c r="BW206" s="250"/>
      <c r="BX206" s="250"/>
      <c r="BY206" s="250"/>
      <c r="BZ206" s="250"/>
      <c r="CW206" s="9"/>
      <c r="CX206" s="9"/>
      <c r="CY206" s="9"/>
      <c r="DQ206" s="9"/>
      <c r="DR206" s="9"/>
      <c r="DS206" s="9"/>
      <c r="DT206" s="9"/>
      <c r="DU206" s="9"/>
      <c r="EQ206" s="245"/>
      <c r="ER206" s="245"/>
      <c r="ES206" s="245"/>
      <c r="ET206" s="245"/>
      <c r="EU206" s="245"/>
      <c r="EV206" s="245"/>
      <c r="EW206" s="245"/>
      <c r="EX206" s="245"/>
      <c r="EY206" s="245"/>
      <c r="EZ206" s="245"/>
      <c r="FA206" s="245"/>
      <c r="FB206" s="245"/>
      <c r="FC206" s="245"/>
      <c r="FD206" s="245"/>
      <c r="FE206" s="245"/>
      <c r="FF206" s="245"/>
      <c r="FG206" s="245"/>
      <c r="FH206" s="245"/>
      <c r="FI206" s="245"/>
      <c r="FJ206" s="245"/>
      <c r="FK206" s="245"/>
      <c r="FL206" s="245"/>
      <c r="FM206" s="245"/>
      <c r="FN206" s="245"/>
      <c r="FO206" s="245"/>
      <c r="FP206" s="245"/>
      <c r="FQ206" s="245"/>
      <c r="FR206" s="245"/>
      <c r="FS206" s="245"/>
      <c r="FT206" s="245"/>
      <c r="FU206" s="245"/>
    </row>
    <row r="207" spans="1:177" s="1" customFormat="1" ht="13.5">
      <c r="A207" s="519" t="s">
        <v>219</v>
      </c>
      <c r="B207" s="453">
        <v>27400</v>
      </c>
      <c r="C207" s="256">
        <v>27200</v>
      </c>
      <c r="D207" s="256">
        <v>27200</v>
      </c>
      <c r="E207" s="256">
        <v>27800</v>
      </c>
      <c r="F207" s="256">
        <v>28700</v>
      </c>
      <c r="G207" s="256">
        <v>28600</v>
      </c>
      <c r="H207" s="256">
        <v>27200</v>
      </c>
      <c r="I207" s="256">
        <v>26000</v>
      </c>
      <c r="J207" s="256">
        <v>26000</v>
      </c>
      <c r="K207" s="256">
        <v>24400</v>
      </c>
      <c r="L207" s="256">
        <v>24300</v>
      </c>
      <c r="M207" s="454">
        <v>25000</v>
      </c>
      <c r="X207" s="250"/>
      <c r="Y207" s="269"/>
      <c r="Z207" s="269"/>
      <c r="AB207" s="251"/>
      <c r="AC207" s="251"/>
      <c r="AD207" s="251"/>
      <c r="AE207" s="251"/>
      <c r="AF207" s="270"/>
      <c r="AG207" s="30"/>
      <c r="AH207" s="251"/>
      <c r="AI207" s="251"/>
      <c r="AL207" s="27"/>
      <c r="AM207" s="245"/>
      <c r="AN207" s="245"/>
      <c r="AO207" s="245"/>
      <c r="AP207" s="245"/>
      <c r="AQ207" s="245"/>
      <c r="AR207" s="245"/>
      <c r="AS207" s="30"/>
      <c r="AW207" s="238"/>
      <c r="AX207" s="238"/>
      <c r="AY207" s="238"/>
      <c r="AZ207" s="238"/>
      <c r="BA207" s="238"/>
      <c r="BB207" s="238"/>
      <c r="BK207" s="250"/>
      <c r="BL207" s="250"/>
      <c r="BM207" s="250"/>
      <c r="BN207" s="250"/>
      <c r="BO207" s="250"/>
      <c r="BP207" s="250"/>
      <c r="BQ207" s="250"/>
      <c r="BR207" s="250"/>
      <c r="BS207" s="250"/>
      <c r="BT207" s="250"/>
      <c r="BU207" s="250"/>
      <c r="BV207" s="250"/>
      <c r="BW207" s="250"/>
      <c r="BX207" s="250"/>
      <c r="BY207" s="250"/>
      <c r="BZ207" s="250"/>
      <c r="CW207" s="9"/>
      <c r="CX207" s="9"/>
      <c r="CY207" s="9"/>
      <c r="DQ207" s="9"/>
      <c r="DR207" s="9"/>
      <c r="DS207" s="9"/>
      <c r="DT207" s="9"/>
      <c r="DU207" s="9"/>
      <c r="EQ207" s="245"/>
      <c r="ER207" s="245"/>
      <c r="ES207" s="245"/>
      <c r="ET207" s="245"/>
      <c r="EU207" s="245"/>
      <c r="EV207" s="245"/>
      <c r="EW207" s="245"/>
      <c r="EX207" s="245"/>
      <c r="EY207" s="245"/>
      <c r="EZ207" s="245"/>
      <c r="FA207" s="245"/>
      <c r="FB207" s="245"/>
      <c r="FC207" s="245"/>
      <c r="FD207" s="245"/>
      <c r="FE207" s="245"/>
      <c r="FF207" s="245"/>
      <c r="FG207" s="245"/>
      <c r="FH207" s="245"/>
      <c r="FI207" s="245"/>
      <c r="FJ207" s="245"/>
      <c r="FK207" s="245"/>
      <c r="FL207" s="245"/>
      <c r="FM207" s="245"/>
      <c r="FN207" s="245"/>
      <c r="FO207" s="245"/>
      <c r="FP207" s="245"/>
      <c r="FQ207" s="245"/>
      <c r="FR207" s="245"/>
      <c r="FS207" s="245"/>
      <c r="FT207" s="245"/>
      <c r="FU207" s="245"/>
    </row>
    <row r="208" spans="1:177" s="1" customFormat="1" ht="14.25" thickBot="1">
      <c r="A208" s="520" t="s">
        <v>18</v>
      </c>
      <c r="B208" s="521">
        <v>420700</v>
      </c>
      <c r="C208" s="522">
        <v>425000</v>
      </c>
      <c r="D208" s="522">
        <v>429400</v>
      </c>
      <c r="E208" s="522">
        <v>431200</v>
      </c>
      <c r="F208" s="522">
        <v>435300</v>
      </c>
      <c r="G208" s="522">
        <v>431200</v>
      </c>
      <c r="H208" s="522">
        <v>429300</v>
      </c>
      <c r="I208" s="522">
        <v>427100</v>
      </c>
      <c r="J208" s="522">
        <v>422900</v>
      </c>
      <c r="K208" s="522">
        <v>418100</v>
      </c>
      <c r="L208" s="522">
        <v>420700</v>
      </c>
      <c r="M208" s="523">
        <v>422000</v>
      </c>
      <c r="X208" s="250"/>
      <c r="Y208" s="269"/>
      <c r="Z208" s="269"/>
      <c r="AB208" s="251"/>
      <c r="AC208" s="251"/>
      <c r="AD208" s="251"/>
      <c r="AE208" s="251"/>
      <c r="AF208" s="270"/>
      <c r="AG208" s="30"/>
      <c r="AH208" s="251"/>
      <c r="AI208" s="251"/>
      <c r="AL208" s="27"/>
      <c r="AM208" s="245"/>
      <c r="AN208" s="245"/>
      <c r="AO208" s="245"/>
      <c r="AP208" s="245"/>
      <c r="AQ208" s="245"/>
      <c r="AR208" s="245"/>
      <c r="AS208" s="30"/>
      <c r="AW208" s="238"/>
      <c r="AX208" s="238"/>
      <c r="AY208" s="238"/>
      <c r="AZ208" s="238"/>
      <c r="BA208" s="238"/>
      <c r="BB208" s="238"/>
      <c r="BK208" s="250"/>
      <c r="BL208" s="250"/>
      <c r="BM208" s="250"/>
      <c r="BN208" s="250"/>
      <c r="BO208" s="250"/>
      <c r="BP208" s="250"/>
      <c r="BQ208" s="250"/>
      <c r="BR208" s="250"/>
      <c r="BS208" s="250"/>
      <c r="BT208" s="250"/>
      <c r="BU208" s="250"/>
      <c r="BV208" s="250"/>
      <c r="BW208" s="250"/>
      <c r="BX208" s="250"/>
      <c r="BY208" s="250"/>
      <c r="BZ208" s="250"/>
      <c r="CW208" s="9"/>
      <c r="CX208" s="9"/>
      <c r="CY208" s="9"/>
      <c r="DQ208" s="9"/>
      <c r="DR208" s="9"/>
      <c r="DS208" s="9"/>
      <c r="DT208" s="9"/>
      <c r="DU208" s="9"/>
      <c r="EQ208" s="245"/>
      <c r="ER208" s="245"/>
      <c r="ES208" s="245"/>
      <c r="ET208" s="245"/>
      <c r="EU208" s="245"/>
      <c r="EV208" s="245"/>
      <c r="EW208" s="245"/>
      <c r="EX208" s="245"/>
      <c r="EY208" s="245"/>
      <c r="EZ208" s="245"/>
      <c r="FA208" s="245"/>
      <c r="FB208" s="245"/>
      <c r="FC208" s="245"/>
      <c r="FD208" s="245"/>
      <c r="FE208" s="245"/>
      <c r="FF208" s="245"/>
      <c r="FG208" s="245"/>
      <c r="FH208" s="245"/>
      <c r="FI208" s="245"/>
      <c r="FJ208" s="245"/>
      <c r="FK208" s="245"/>
      <c r="FL208" s="245"/>
      <c r="FM208" s="245"/>
      <c r="FN208" s="245"/>
      <c r="FO208" s="245"/>
      <c r="FP208" s="245"/>
      <c r="FQ208" s="245"/>
      <c r="FR208" s="245"/>
      <c r="FS208" s="245"/>
      <c r="FT208" s="245"/>
      <c r="FU208" s="245"/>
    </row>
    <row r="209" spans="1:177" s="1" customFormat="1" ht="14.25" thickBot="1">
      <c r="A209" s="6"/>
      <c r="B209" s="269"/>
      <c r="C209" s="269"/>
      <c r="D209" s="269"/>
      <c r="E209" s="269"/>
      <c r="F209" s="269"/>
      <c r="G209" s="269"/>
      <c r="H209" s="30"/>
      <c r="I209" s="269"/>
      <c r="J209" s="269"/>
      <c r="X209" s="250"/>
      <c r="Y209" s="269"/>
      <c r="Z209" s="269"/>
      <c r="AB209" s="251"/>
      <c r="AC209" s="251"/>
      <c r="AD209" s="251"/>
      <c r="AE209" s="251"/>
      <c r="AF209" s="270"/>
      <c r="AG209" s="30"/>
      <c r="AH209" s="251"/>
      <c r="AI209" s="251"/>
      <c r="AL209" s="27"/>
      <c r="AM209" s="245"/>
      <c r="AN209" s="245"/>
      <c r="AO209" s="245"/>
      <c r="AP209" s="245"/>
      <c r="AQ209" s="245"/>
      <c r="AR209" s="245"/>
      <c r="AS209" s="30"/>
      <c r="AW209" s="238"/>
      <c r="AX209" s="238"/>
      <c r="AY209" s="238"/>
      <c r="AZ209" s="238"/>
      <c r="BA209" s="238"/>
      <c r="BB209" s="238"/>
      <c r="BK209" s="250"/>
      <c r="BL209" s="250"/>
      <c r="BM209" s="250"/>
      <c r="BN209" s="250"/>
      <c r="BO209" s="250"/>
      <c r="BP209" s="250"/>
      <c r="BQ209" s="250"/>
      <c r="BR209" s="250"/>
      <c r="BS209" s="250"/>
      <c r="BT209" s="250"/>
      <c r="BU209" s="250"/>
      <c r="BV209" s="250"/>
      <c r="BW209" s="250"/>
      <c r="BX209" s="250"/>
      <c r="BY209" s="250"/>
      <c r="BZ209" s="250"/>
      <c r="CW209" s="9"/>
      <c r="CX209" s="9"/>
      <c r="CY209" s="9"/>
      <c r="DQ209" s="9"/>
      <c r="DR209" s="9"/>
      <c r="DS209" s="9"/>
      <c r="DT209" s="9"/>
      <c r="DU209" s="9"/>
      <c r="EQ209" s="245"/>
      <c r="ER209" s="245"/>
      <c r="ES209" s="245"/>
      <c r="ET209" s="245"/>
      <c r="EU209" s="245"/>
      <c r="EV209" s="245"/>
      <c r="EW209" s="245"/>
      <c r="EX209" s="245"/>
      <c r="EY209" s="245"/>
      <c r="EZ209" s="245"/>
      <c r="FA209" s="245"/>
      <c r="FB209" s="245"/>
      <c r="FC209" s="245"/>
      <c r="FD209" s="245"/>
      <c r="FE209" s="245"/>
      <c r="FF209" s="245"/>
      <c r="FG209" s="245"/>
      <c r="FH209" s="245"/>
      <c r="FI209" s="245"/>
      <c r="FJ209" s="245"/>
      <c r="FK209" s="245"/>
      <c r="FL209" s="245"/>
      <c r="FM209" s="245"/>
      <c r="FN209" s="245"/>
      <c r="FO209" s="245"/>
      <c r="FP209" s="245"/>
      <c r="FQ209" s="245"/>
      <c r="FR209" s="245"/>
      <c r="FS209" s="245"/>
      <c r="FT209" s="245"/>
      <c r="FU209" s="245"/>
    </row>
    <row r="210" spans="1:177" s="1" customFormat="1" ht="14.25" thickBot="1">
      <c r="A210" s="6"/>
      <c r="B210" s="514">
        <v>40909</v>
      </c>
      <c r="C210" s="515">
        <v>40940</v>
      </c>
      <c r="D210" s="515">
        <v>40969</v>
      </c>
      <c r="E210" s="515">
        <v>41000</v>
      </c>
      <c r="F210" s="515">
        <v>41030</v>
      </c>
      <c r="G210" s="515">
        <v>41061</v>
      </c>
      <c r="H210" s="515">
        <v>41091</v>
      </c>
      <c r="I210" s="515">
        <v>41122</v>
      </c>
      <c r="J210" s="515">
        <v>41153</v>
      </c>
      <c r="K210" s="515">
        <v>41183</v>
      </c>
      <c r="L210" s="515">
        <v>41214</v>
      </c>
      <c r="M210" s="516">
        <v>41244</v>
      </c>
      <c r="X210" s="250"/>
      <c r="Y210" s="269"/>
      <c r="Z210" s="269"/>
      <c r="AB210" s="251"/>
      <c r="AC210" s="251"/>
      <c r="AD210" s="251"/>
      <c r="AE210" s="251"/>
      <c r="AF210" s="270"/>
      <c r="AG210" s="30"/>
      <c r="AH210" s="251"/>
      <c r="AI210" s="251"/>
      <c r="AL210" s="27"/>
      <c r="AM210" s="245"/>
      <c r="AN210" s="245"/>
      <c r="AO210" s="245"/>
      <c r="AP210" s="245"/>
      <c r="AQ210" s="245"/>
      <c r="AR210" s="245"/>
      <c r="AS210" s="30"/>
      <c r="AW210" s="238"/>
      <c r="AX210" s="238"/>
      <c r="AY210" s="238"/>
      <c r="AZ210" s="238"/>
      <c r="BA210" s="238"/>
      <c r="BB210" s="238"/>
      <c r="BK210" s="250"/>
      <c r="BL210" s="250"/>
      <c r="BM210" s="250"/>
      <c r="BN210" s="250"/>
      <c r="BO210" s="250"/>
      <c r="BP210" s="250"/>
      <c r="BQ210" s="250"/>
      <c r="BR210" s="250"/>
      <c r="BS210" s="250"/>
      <c r="BT210" s="250"/>
      <c r="BU210" s="250"/>
      <c r="BV210" s="250"/>
      <c r="BW210" s="250"/>
      <c r="BX210" s="250"/>
      <c r="BY210" s="250"/>
      <c r="BZ210" s="250"/>
      <c r="CW210" s="9"/>
      <c r="CX210" s="9"/>
      <c r="CY210" s="9"/>
      <c r="DQ210" s="9"/>
      <c r="DR210" s="9"/>
      <c r="DS210" s="9"/>
      <c r="DT210" s="9"/>
      <c r="DU210" s="9"/>
      <c r="EQ210" s="245"/>
      <c r="ER210" s="245"/>
      <c r="ES210" s="245"/>
      <c r="ET210" s="245"/>
      <c r="EU210" s="245"/>
      <c r="EV210" s="245"/>
      <c r="EW210" s="245"/>
      <c r="EX210" s="245"/>
      <c r="EY210" s="245"/>
      <c r="EZ210" s="245"/>
      <c r="FA210" s="245"/>
      <c r="FB210" s="245"/>
      <c r="FC210" s="245"/>
      <c r="FD210" s="245"/>
      <c r="FE210" s="245"/>
      <c r="FF210" s="245"/>
      <c r="FG210" s="245"/>
      <c r="FH210" s="245"/>
      <c r="FI210" s="245"/>
      <c r="FJ210" s="245"/>
      <c r="FK210" s="245"/>
      <c r="FL210" s="245"/>
      <c r="FM210" s="245"/>
      <c r="FN210" s="245"/>
      <c r="FO210" s="245"/>
      <c r="FP210" s="245"/>
      <c r="FQ210" s="245"/>
      <c r="FR210" s="245"/>
      <c r="FS210" s="245"/>
      <c r="FT210" s="245"/>
      <c r="FU210" s="245"/>
    </row>
    <row r="211" spans="1:177" s="1" customFormat="1" ht="13.5">
      <c r="A211" s="484" t="s">
        <v>216</v>
      </c>
      <c r="B211" s="517">
        <f t="shared" ref="B211:M211" si="15">B212+B213</f>
        <v>208500</v>
      </c>
      <c r="C211" s="271">
        <f t="shared" si="15"/>
        <v>206300</v>
      </c>
      <c r="D211" s="271">
        <f t="shared" si="15"/>
        <v>204400</v>
      </c>
      <c r="E211" s="271">
        <f t="shared" si="15"/>
        <v>202700</v>
      </c>
      <c r="F211" s="271">
        <f t="shared" si="15"/>
        <v>200000</v>
      </c>
      <c r="G211" s="271">
        <f t="shared" si="15"/>
        <v>198600</v>
      </c>
      <c r="H211" s="271">
        <f t="shared" si="15"/>
        <v>196800</v>
      </c>
      <c r="I211" s="271">
        <f t="shared" si="15"/>
        <v>196100</v>
      </c>
      <c r="J211" s="271">
        <f t="shared" si="15"/>
        <v>194300</v>
      </c>
      <c r="K211" s="271">
        <f t="shared" si="15"/>
        <v>193600</v>
      </c>
      <c r="L211" s="271">
        <f t="shared" si="15"/>
        <v>191800</v>
      </c>
      <c r="M211" s="518">
        <f t="shared" si="15"/>
        <v>191000</v>
      </c>
      <c r="X211" s="250"/>
      <c r="Y211" s="269"/>
      <c r="Z211" s="269"/>
      <c r="AB211" s="251"/>
      <c r="AC211" s="251"/>
      <c r="AD211" s="251"/>
      <c r="AE211" s="251"/>
      <c r="AF211" s="270"/>
      <c r="AG211" s="30"/>
      <c r="AH211" s="251"/>
      <c r="AI211" s="251"/>
      <c r="AL211" s="27"/>
      <c r="AM211" s="245"/>
      <c r="AN211" s="245"/>
      <c r="AO211" s="245"/>
      <c r="AP211" s="245"/>
      <c r="AQ211" s="245"/>
      <c r="AR211" s="245"/>
      <c r="AS211" s="30"/>
      <c r="AW211" s="238"/>
      <c r="AX211" s="238"/>
      <c r="AY211" s="238"/>
      <c r="AZ211" s="238"/>
      <c r="BA211" s="238"/>
      <c r="BB211" s="238"/>
      <c r="BK211" s="250"/>
      <c r="BL211" s="250"/>
      <c r="BM211" s="250"/>
      <c r="BN211" s="250"/>
      <c r="BO211" s="250"/>
      <c r="BP211" s="250"/>
      <c r="BQ211" s="250"/>
      <c r="BR211" s="250"/>
      <c r="BS211" s="250"/>
      <c r="BT211" s="250"/>
      <c r="BU211" s="250"/>
      <c r="BV211" s="250"/>
      <c r="BW211" s="250"/>
      <c r="BX211" s="250"/>
      <c r="BY211" s="250"/>
      <c r="BZ211" s="250"/>
      <c r="CW211" s="9"/>
      <c r="CX211" s="9"/>
      <c r="CY211" s="9"/>
      <c r="DQ211" s="9"/>
      <c r="DR211" s="9"/>
      <c r="DS211" s="9"/>
      <c r="DT211" s="9"/>
      <c r="DU211" s="9"/>
      <c r="EQ211" s="245"/>
      <c r="ER211" s="245"/>
      <c r="ES211" s="245"/>
      <c r="ET211" s="245"/>
      <c r="EU211" s="245"/>
      <c r="EV211" s="245"/>
      <c r="EW211" s="245"/>
      <c r="EX211" s="245"/>
      <c r="EY211" s="245"/>
      <c r="EZ211" s="245"/>
      <c r="FA211" s="245"/>
      <c r="FB211" s="245"/>
      <c r="FC211" s="245"/>
      <c r="FD211" s="245"/>
      <c r="FE211" s="245"/>
      <c r="FF211" s="245"/>
      <c r="FG211" s="245"/>
      <c r="FH211" s="245"/>
      <c r="FI211" s="245"/>
      <c r="FJ211" s="245"/>
      <c r="FK211" s="245"/>
      <c r="FL211" s="245"/>
      <c r="FM211" s="245"/>
      <c r="FN211" s="245"/>
      <c r="FO211" s="245"/>
      <c r="FP211" s="245"/>
      <c r="FQ211" s="245"/>
      <c r="FR211" s="245"/>
      <c r="FS211" s="245"/>
      <c r="FT211" s="245"/>
      <c r="FU211" s="245"/>
    </row>
    <row r="212" spans="1:177" s="1" customFormat="1" ht="13.5">
      <c r="A212" s="519" t="s">
        <v>217</v>
      </c>
      <c r="B212" s="453">
        <v>154200</v>
      </c>
      <c r="C212" s="256">
        <v>152700</v>
      </c>
      <c r="D212" s="256">
        <v>151200</v>
      </c>
      <c r="E212" s="256">
        <v>150500</v>
      </c>
      <c r="F212" s="256">
        <v>149000</v>
      </c>
      <c r="G212" s="256">
        <v>147600</v>
      </c>
      <c r="H212" s="256">
        <v>146100</v>
      </c>
      <c r="I212" s="256">
        <v>145300</v>
      </c>
      <c r="J212" s="256">
        <v>143600</v>
      </c>
      <c r="K212" s="256">
        <v>142500</v>
      </c>
      <c r="L212" s="256">
        <v>141700</v>
      </c>
      <c r="M212" s="454">
        <v>141200</v>
      </c>
      <c r="X212" s="250"/>
      <c r="Y212" s="269"/>
      <c r="Z212" s="269"/>
      <c r="AB212" s="251"/>
      <c r="AC212" s="251"/>
      <c r="AD212" s="251"/>
      <c r="AE212" s="251"/>
      <c r="AF212" s="270"/>
      <c r="AG212" s="30"/>
      <c r="AH212" s="251"/>
      <c r="AI212" s="251"/>
      <c r="AL212" s="27"/>
      <c r="AM212" s="245"/>
      <c r="AN212" s="245"/>
      <c r="AO212" s="245"/>
      <c r="AP212" s="245"/>
      <c r="AQ212" s="245"/>
      <c r="AR212" s="245"/>
      <c r="AS212" s="30"/>
      <c r="AW212" s="238"/>
      <c r="AX212" s="238"/>
      <c r="AY212" s="238"/>
      <c r="AZ212" s="238"/>
      <c r="BA212" s="238"/>
      <c r="BB212" s="238"/>
      <c r="BK212" s="250"/>
      <c r="BL212" s="250"/>
      <c r="BM212" s="250"/>
      <c r="BN212" s="250"/>
      <c r="BO212" s="250"/>
      <c r="BP212" s="250"/>
      <c r="BQ212" s="250"/>
      <c r="BR212" s="250"/>
      <c r="BS212" s="250"/>
      <c r="BT212" s="250"/>
      <c r="BU212" s="250"/>
      <c r="BV212" s="250"/>
      <c r="BW212" s="250"/>
      <c r="BX212" s="250"/>
      <c r="BY212" s="250"/>
      <c r="BZ212" s="250"/>
      <c r="CW212" s="9"/>
      <c r="CX212" s="9"/>
      <c r="CY212" s="9"/>
      <c r="DQ212" s="9"/>
      <c r="DR212" s="9"/>
      <c r="DS212" s="9"/>
      <c r="DT212" s="9"/>
      <c r="DU212" s="9"/>
      <c r="EQ212" s="245"/>
      <c r="ER212" s="245"/>
      <c r="ES212" s="245"/>
      <c r="ET212" s="245"/>
      <c r="EU212" s="245"/>
      <c r="EV212" s="245"/>
      <c r="EW212" s="245"/>
      <c r="EX212" s="245"/>
      <c r="EY212" s="245"/>
      <c r="EZ212" s="245"/>
      <c r="FA212" s="245"/>
      <c r="FB212" s="245"/>
      <c r="FC212" s="245"/>
      <c r="FD212" s="245"/>
      <c r="FE212" s="245"/>
      <c r="FF212" s="245"/>
      <c r="FG212" s="245"/>
      <c r="FH212" s="245"/>
      <c r="FI212" s="245"/>
      <c r="FJ212" s="245"/>
      <c r="FK212" s="245"/>
      <c r="FL212" s="245"/>
      <c r="FM212" s="245"/>
      <c r="FN212" s="245"/>
      <c r="FO212" s="245"/>
      <c r="FP212" s="245"/>
      <c r="FQ212" s="245"/>
      <c r="FR212" s="245"/>
      <c r="FS212" s="245"/>
      <c r="FT212" s="245"/>
      <c r="FU212" s="245"/>
    </row>
    <row r="213" spans="1:177" s="1" customFormat="1" ht="13.5">
      <c r="A213" s="519" t="s">
        <v>218</v>
      </c>
      <c r="B213" s="453">
        <v>54300</v>
      </c>
      <c r="C213" s="256">
        <v>53600</v>
      </c>
      <c r="D213" s="256">
        <v>53200</v>
      </c>
      <c r="E213" s="256">
        <v>52200</v>
      </c>
      <c r="F213" s="256">
        <v>51000</v>
      </c>
      <c r="G213" s="256">
        <v>51000</v>
      </c>
      <c r="H213" s="256">
        <v>50700</v>
      </c>
      <c r="I213" s="256">
        <v>50800</v>
      </c>
      <c r="J213" s="256">
        <v>50700</v>
      </c>
      <c r="K213" s="256">
        <v>51100</v>
      </c>
      <c r="L213" s="256">
        <v>50100</v>
      </c>
      <c r="M213" s="454">
        <v>49800</v>
      </c>
      <c r="X213" s="250"/>
      <c r="Y213" s="269"/>
      <c r="Z213" s="269"/>
      <c r="AB213" s="251"/>
      <c r="AC213" s="251"/>
      <c r="AD213" s="251"/>
      <c r="AE213" s="251"/>
      <c r="AF213" s="270"/>
      <c r="AG213" s="30"/>
      <c r="AH213" s="251"/>
      <c r="AI213" s="251"/>
      <c r="AL213" s="27"/>
      <c r="AM213" s="245"/>
      <c r="AN213" s="245"/>
      <c r="AO213" s="245"/>
      <c r="AP213" s="245"/>
      <c r="AQ213" s="245"/>
      <c r="AR213" s="245"/>
      <c r="AS213" s="30"/>
      <c r="AW213" s="238"/>
      <c r="AX213" s="238"/>
      <c r="AY213" s="238"/>
      <c r="AZ213" s="238"/>
      <c r="BA213" s="238"/>
      <c r="BB213" s="238"/>
      <c r="BK213" s="250"/>
      <c r="BL213" s="250"/>
      <c r="BM213" s="250"/>
      <c r="BN213" s="250"/>
      <c r="BO213" s="250"/>
      <c r="BP213" s="250"/>
      <c r="BQ213" s="250"/>
      <c r="BR213" s="250"/>
      <c r="BS213" s="250"/>
      <c r="BT213" s="250"/>
      <c r="BU213" s="250"/>
      <c r="BV213" s="250"/>
      <c r="BW213" s="250"/>
      <c r="BX213" s="250"/>
      <c r="BY213" s="250"/>
      <c r="BZ213" s="250"/>
      <c r="CW213" s="9"/>
      <c r="CX213" s="9"/>
      <c r="CY213" s="9"/>
      <c r="DQ213" s="9"/>
      <c r="DR213" s="9"/>
      <c r="DS213" s="9"/>
      <c r="DT213" s="9"/>
      <c r="DU213" s="9"/>
      <c r="EQ213" s="245"/>
      <c r="ER213" s="245"/>
      <c r="ES213" s="245"/>
      <c r="ET213" s="245"/>
      <c r="EU213" s="245"/>
      <c r="EV213" s="245"/>
      <c r="EW213" s="245"/>
      <c r="EX213" s="245"/>
      <c r="EY213" s="245"/>
      <c r="EZ213" s="245"/>
      <c r="FA213" s="245"/>
      <c r="FB213" s="245"/>
      <c r="FC213" s="245"/>
      <c r="FD213" s="245"/>
      <c r="FE213" s="245"/>
      <c r="FF213" s="245"/>
      <c r="FG213" s="245"/>
      <c r="FH213" s="245"/>
      <c r="FI213" s="245"/>
      <c r="FJ213" s="245"/>
      <c r="FK213" s="245"/>
      <c r="FL213" s="245"/>
      <c r="FM213" s="245"/>
      <c r="FN213" s="245"/>
      <c r="FO213" s="245"/>
      <c r="FP213" s="245"/>
      <c r="FQ213" s="245"/>
      <c r="FR213" s="245"/>
      <c r="FS213" s="245"/>
      <c r="FT213" s="245"/>
      <c r="FU213" s="245"/>
    </row>
    <row r="214" spans="1:177" s="1" customFormat="1" ht="13.5">
      <c r="A214" s="519" t="s">
        <v>188</v>
      </c>
      <c r="B214" s="453">
        <v>187700</v>
      </c>
      <c r="C214" s="256">
        <v>189800</v>
      </c>
      <c r="D214" s="256">
        <v>189800</v>
      </c>
      <c r="E214" s="256">
        <v>190600</v>
      </c>
      <c r="F214" s="256">
        <v>190100</v>
      </c>
      <c r="G214" s="256">
        <v>192200</v>
      </c>
      <c r="H214" s="256">
        <v>193200</v>
      </c>
      <c r="I214" s="256">
        <v>193300</v>
      </c>
      <c r="J214" s="256">
        <v>193200</v>
      </c>
      <c r="K214" s="256">
        <v>192100</v>
      </c>
      <c r="L214" s="256">
        <v>184400</v>
      </c>
      <c r="M214" s="454">
        <v>184900</v>
      </c>
      <c r="X214" s="250"/>
      <c r="Y214" s="269"/>
      <c r="Z214" s="269"/>
      <c r="AB214" s="251"/>
      <c r="AC214" s="251"/>
      <c r="AD214" s="251"/>
      <c r="AE214" s="251"/>
      <c r="AF214" s="270"/>
      <c r="AG214" s="30"/>
      <c r="AH214" s="251"/>
      <c r="AI214" s="251"/>
      <c r="AL214" s="27"/>
      <c r="AM214" s="245"/>
      <c r="AN214" s="245"/>
      <c r="AO214" s="245"/>
      <c r="AP214" s="245"/>
      <c r="AQ214" s="245"/>
      <c r="AR214" s="245"/>
      <c r="AS214" s="30"/>
      <c r="AW214" s="238"/>
      <c r="AX214" s="238"/>
      <c r="AY214" s="238"/>
      <c r="AZ214" s="238"/>
      <c r="BA214" s="238"/>
      <c r="BB214" s="238"/>
      <c r="BK214" s="250"/>
      <c r="BL214" s="250"/>
      <c r="BM214" s="250"/>
      <c r="BN214" s="250"/>
      <c r="BO214" s="250"/>
      <c r="BP214" s="250"/>
      <c r="BQ214" s="250"/>
      <c r="BR214" s="250"/>
      <c r="BS214" s="250"/>
      <c r="BT214" s="250"/>
      <c r="BU214" s="250"/>
      <c r="BV214" s="250"/>
      <c r="BW214" s="250"/>
      <c r="BX214" s="250"/>
      <c r="BY214" s="250"/>
      <c r="BZ214" s="250"/>
      <c r="CW214" s="9"/>
      <c r="CX214" s="9"/>
      <c r="CY214" s="9"/>
      <c r="DQ214" s="9"/>
      <c r="DR214" s="9"/>
      <c r="DS214" s="9"/>
      <c r="DT214" s="9"/>
      <c r="DU214" s="9"/>
      <c r="EQ214" s="245"/>
      <c r="ER214" s="245"/>
      <c r="ES214" s="245"/>
      <c r="ET214" s="245"/>
      <c r="EU214" s="245"/>
      <c r="EV214" s="245"/>
      <c r="EW214" s="245"/>
      <c r="EX214" s="245"/>
      <c r="EY214" s="245"/>
      <c r="EZ214" s="245"/>
      <c r="FA214" s="245"/>
      <c r="FB214" s="245"/>
      <c r="FC214" s="245"/>
      <c r="FD214" s="245"/>
      <c r="FE214" s="245"/>
      <c r="FF214" s="245"/>
      <c r="FG214" s="245"/>
      <c r="FH214" s="245"/>
      <c r="FI214" s="245"/>
      <c r="FJ214" s="245"/>
      <c r="FK214" s="245"/>
      <c r="FL214" s="245"/>
      <c r="FM214" s="245"/>
      <c r="FN214" s="245"/>
      <c r="FO214" s="245"/>
      <c r="FP214" s="245"/>
      <c r="FQ214" s="245"/>
      <c r="FR214" s="245"/>
      <c r="FS214" s="245"/>
      <c r="FT214" s="245"/>
      <c r="FU214" s="245"/>
    </row>
    <row r="215" spans="1:177" s="1" customFormat="1" ht="13.5">
      <c r="A215" s="519" t="s">
        <v>219</v>
      </c>
      <c r="B215" s="453">
        <v>23600</v>
      </c>
      <c r="C215" s="256">
        <v>24000</v>
      </c>
      <c r="D215" s="256">
        <v>24700</v>
      </c>
      <c r="E215" s="256">
        <v>23700</v>
      </c>
      <c r="F215" s="256">
        <v>22000</v>
      </c>
      <c r="G215" s="256">
        <v>23400</v>
      </c>
      <c r="H215" s="256">
        <v>23100</v>
      </c>
      <c r="I215" s="256">
        <v>22900</v>
      </c>
      <c r="J215" s="256">
        <v>22400</v>
      </c>
      <c r="K215" s="256">
        <v>22700</v>
      </c>
      <c r="L215" s="256">
        <v>21400</v>
      </c>
      <c r="M215" s="454">
        <v>22300</v>
      </c>
      <c r="X215" s="250"/>
      <c r="Y215" s="269"/>
      <c r="Z215" s="269"/>
      <c r="AB215" s="251"/>
      <c r="AC215" s="251"/>
      <c r="AD215" s="251"/>
      <c r="AE215" s="251"/>
      <c r="AF215" s="270"/>
      <c r="AG215" s="30"/>
      <c r="AH215" s="251"/>
      <c r="AI215" s="251"/>
      <c r="AL215" s="27"/>
      <c r="AM215" s="245"/>
      <c r="AN215" s="245"/>
      <c r="AO215" s="245"/>
      <c r="AP215" s="245"/>
      <c r="AQ215" s="245"/>
      <c r="AR215" s="245"/>
      <c r="AS215" s="30"/>
      <c r="AW215" s="238"/>
      <c r="AX215" s="238"/>
      <c r="AY215" s="238"/>
      <c r="AZ215" s="238"/>
      <c r="BA215" s="238"/>
      <c r="BB215" s="238"/>
      <c r="BK215" s="250"/>
      <c r="BL215" s="250"/>
      <c r="BM215" s="250"/>
      <c r="BN215" s="250"/>
      <c r="BO215" s="250"/>
      <c r="BP215" s="250"/>
      <c r="BQ215" s="250"/>
      <c r="BR215" s="250"/>
      <c r="BS215" s="250"/>
      <c r="BT215" s="250"/>
      <c r="BU215" s="250"/>
      <c r="BV215" s="250"/>
      <c r="BW215" s="250"/>
      <c r="BX215" s="250"/>
      <c r="BY215" s="250"/>
      <c r="BZ215" s="250"/>
      <c r="CW215" s="9"/>
      <c r="CX215" s="9"/>
      <c r="CY215" s="9"/>
      <c r="DQ215" s="9"/>
      <c r="DR215" s="9"/>
      <c r="DS215" s="9"/>
      <c r="DT215" s="9"/>
      <c r="DU215" s="9"/>
      <c r="EQ215" s="245"/>
      <c r="ER215" s="245"/>
      <c r="ES215" s="245"/>
      <c r="ET215" s="245"/>
      <c r="EU215" s="245"/>
      <c r="EV215" s="245"/>
      <c r="EW215" s="245"/>
      <c r="EX215" s="245"/>
      <c r="EY215" s="245"/>
      <c r="EZ215" s="245"/>
      <c r="FA215" s="245"/>
      <c r="FB215" s="245"/>
      <c r="FC215" s="245"/>
      <c r="FD215" s="245"/>
      <c r="FE215" s="245"/>
      <c r="FF215" s="245"/>
      <c r="FG215" s="245"/>
      <c r="FH215" s="245"/>
      <c r="FI215" s="245"/>
      <c r="FJ215" s="245"/>
      <c r="FK215" s="245"/>
      <c r="FL215" s="245"/>
      <c r="FM215" s="245"/>
      <c r="FN215" s="245"/>
      <c r="FO215" s="245"/>
      <c r="FP215" s="245"/>
      <c r="FQ215" s="245"/>
      <c r="FR215" s="245"/>
      <c r="FS215" s="245"/>
      <c r="FT215" s="245"/>
      <c r="FU215" s="245"/>
    </row>
    <row r="216" spans="1:177" s="1" customFormat="1" ht="14.25" thickBot="1">
      <c r="A216" s="520" t="s">
        <v>18</v>
      </c>
      <c r="B216" s="521">
        <v>419900</v>
      </c>
      <c r="C216" s="522">
        <v>420100</v>
      </c>
      <c r="D216" s="522">
        <v>418900</v>
      </c>
      <c r="E216" s="522">
        <v>417000</v>
      </c>
      <c r="F216" s="522">
        <v>412100</v>
      </c>
      <c r="G216" s="522">
        <v>414200</v>
      </c>
      <c r="H216" s="522">
        <v>413100</v>
      </c>
      <c r="I216" s="522">
        <v>412300</v>
      </c>
      <c r="J216" s="522">
        <v>409900</v>
      </c>
      <c r="K216" s="522">
        <v>408400</v>
      </c>
      <c r="L216" s="522">
        <v>397600</v>
      </c>
      <c r="M216" s="523">
        <v>398200</v>
      </c>
      <c r="X216" s="250"/>
      <c r="Y216" s="269"/>
      <c r="Z216" s="269"/>
      <c r="AB216" s="251"/>
      <c r="AC216" s="251"/>
      <c r="AD216" s="251"/>
      <c r="AE216" s="251"/>
      <c r="AF216" s="270"/>
      <c r="AG216" s="30"/>
      <c r="AH216" s="251"/>
      <c r="AI216" s="251"/>
      <c r="AL216" s="27"/>
      <c r="AM216" s="245"/>
      <c r="AN216" s="245"/>
      <c r="AO216" s="245"/>
      <c r="AP216" s="245"/>
      <c r="AQ216" s="245"/>
      <c r="AR216" s="245"/>
      <c r="AS216" s="30"/>
      <c r="AW216" s="238"/>
      <c r="AX216" s="238"/>
      <c r="AY216" s="238"/>
      <c r="AZ216" s="238"/>
      <c r="BA216" s="238"/>
      <c r="BB216" s="238"/>
      <c r="BK216" s="250"/>
      <c r="BL216" s="250"/>
      <c r="BM216" s="250"/>
      <c r="BN216" s="250"/>
      <c r="BO216" s="250"/>
      <c r="BP216" s="250"/>
      <c r="BQ216" s="250"/>
      <c r="BR216" s="250"/>
      <c r="BS216" s="250"/>
      <c r="BT216" s="250"/>
      <c r="BU216" s="250"/>
      <c r="BV216" s="250"/>
      <c r="BW216" s="250"/>
      <c r="BX216" s="250"/>
      <c r="BY216" s="250"/>
      <c r="BZ216" s="250"/>
      <c r="CW216" s="9"/>
      <c r="CX216" s="9"/>
      <c r="CY216" s="9"/>
      <c r="DQ216" s="9"/>
      <c r="DR216" s="9"/>
      <c r="DS216" s="9"/>
      <c r="DT216" s="9"/>
      <c r="DU216" s="9"/>
      <c r="EQ216" s="245"/>
      <c r="ER216" s="245"/>
      <c r="ES216" s="245"/>
      <c r="ET216" s="245"/>
      <c r="EU216" s="245"/>
      <c r="EV216" s="245"/>
      <c r="EW216" s="245"/>
      <c r="EX216" s="245"/>
      <c r="EY216" s="245"/>
      <c r="EZ216" s="245"/>
      <c r="FA216" s="245"/>
      <c r="FB216" s="245"/>
      <c r="FC216" s="245"/>
      <c r="FD216" s="245"/>
      <c r="FE216" s="245"/>
      <c r="FF216" s="245"/>
      <c r="FG216" s="245"/>
      <c r="FH216" s="245"/>
      <c r="FI216" s="245"/>
      <c r="FJ216" s="245"/>
      <c r="FK216" s="245"/>
      <c r="FL216" s="245"/>
      <c r="FM216" s="245"/>
      <c r="FN216" s="245"/>
      <c r="FO216" s="245"/>
      <c r="FP216" s="245"/>
      <c r="FQ216" s="245"/>
      <c r="FR216" s="245"/>
      <c r="FS216" s="245"/>
      <c r="FT216" s="245"/>
      <c r="FU216" s="245"/>
    </row>
    <row r="217" spans="1:177" s="1" customFormat="1" ht="14.25" thickBot="1">
      <c r="A217" s="6"/>
      <c r="B217" s="269"/>
      <c r="C217" s="269"/>
      <c r="D217" s="269"/>
      <c r="E217" s="269"/>
      <c r="F217" s="269"/>
      <c r="G217" s="269"/>
      <c r="H217" s="30"/>
      <c r="I217" s="269"/>
      <c r="J217" s="269"/>
      <c r="X217" s="250"/>
      <c r="Y217" s="269"/>
      <c r="Z217" s="269"/>
      <c r="AB217" s="251"/>
      <c r="AC217" s="251"/>
      <c r="AD217" s="251"/>
      <c r="AE217" s="251"/>
      <c r="AF217" s="270"/>
      <c r="AG217" s="30"/>
      <c r="AH217" s="251"/>
      <c r="AI217" s="251"/>
      <c r="AL217" s="27"/>
      <c r="AM217" s="245"/>
      <c r="AN217" s="245"/>
      <c r="AO217" s="245"/>
      <c r="AP217" s="245"/>
      <c r="AQ217" s="245"/>
      <c r="AR217" s="245"/>
      <c r="AS217" s="30"/>
      <c r="AW217" s="238"/>
      <c r="AX217" s="238"/>
      <c r="AY217" s="238"/>
      <c r="AZ217" s="238"/>
      <c r="BA217" s="238"/>
      <c r="BB217" s="238"/>
      <c r="BK217" s="250"/>
      <c r="BL217" s="250"/>
      <c r="BM217" s="250"/>
      <c r="BN217" s="250"/>
      <c r="BO217" s="250"/>
      <c r="BP217" s="250"/>
      <c r="BQ217" s="250"/>
      <c r="BR217" s="250"/>
      <c r="BS217" s="250"/>
      <c r="BT217" s="250"/>
      <c r="BU217" s="250"/>
      <c r="BV217" s="250"/>
      <c r="BW217" s="250"/>
      <c r="BX217" s="250"/>
      <c r="BY217" s="250"/>
      <c r="BZ217" s="250"/>
      <c r="CW217" s="9"/>
      <c r="CX217" s="9"/>
      <c r="CY217" s="9"/>
      <c r="DQ217" s="9"/>
      <c r="DR217" s="9"/>
      <c r="DS217" s="9"/>
      <c r="DT217" s="9"/>
      <c r="DU217" s="9"/>
      <c r="EQ217" s="245"/>
      <c r="ER217" s="245"/>
      <c r="ES217" s="245"/>
      <c r="ET217" s="245"/>
      <c r="EU217" s="245"/>
      <c r="EV217" s="245"/>
      <c r="EW217" s="245"/>
      <c r="EX217" s="245"/>
      <c r="EY217" s="245"/>
      <c r="EZ217" s="245"/>
      <c r="FA217" s="245"/>
      <c r="FB217" s="245"/>
      <c r="FC217" s="245"/>
      <c r="FD217" s="245"/>
      <c r="FE217" s="245"/>
      <c r="FF217" s="245"/>
      <c r="FG217" s="245"/>
      <c r="FH217" s="245"/>
      <c r="FI217" s="245"/>
      <c r="FJ217" s="245"/>
      <c r="FK217" s="245"/>
      <c r="FL217" s="245"/>
      <c r="FM217" s="245"/>
      <c r="FN217" s="245"/>
      <c r="FO217" s="245"/>
      <c r="FP217" s="245"/>
      <c r="FQ217" s="245"/>
      <c r="FR217" s="245"/>
      <c r="FS217" s="245"/>
      <c r="FT217" s="245"/>
      <c r="FU217" s="245"/>
    </row>
    <row r="218" spans="1:177" s="1" customFormat="1" ht="14.25" thickBot="1">
      <c r="A218" s="6"/>
      <c r="B218" s="514">
        <v>41275</v>
      </c>
      <c r="C218" s="515">
        <v>41306</v>
      </c>
      <c r="D218" s="515">
        <v>41334</v>
      </c>
      <c r="E218" s="515">
        <v>41365</v>
      </c>
      <c r="F218" s="515">
        <v>41395</v>
      </c>
      <c r="G218" s="515">
        <v>41426</v>
      </c>
      <c r="H218" s="515">
        <v>41456</v>
      </c>
      <c r="I218" s="515">
        <v>41487</v>
      </c>
      <c r="J218" s="515">
        <v>41518</v>
      </c>
      <c r="K218" s="515">
        <v>41548</v>
      </c>
      <c r="L218" s="515">
        <v>41579</v>
      </c>
      <c r="M218" s="516">
        <v>41609</v>
      </c>
      <c r="X218" s="250"/>
      <c r="Y218" s="269"/>
      <c r="Z218" s="269"/>
      <c r="AB218" s="251"/>
      <c r="AC218" s="251"/>
      <c r="AD218" s="251"/>
      <c r="AE218" s="251"/>
      <c r="AF218" s="270"/>
      <c r="AG218" s="30"/>
      <c r="AH218" s="251"/>
      <c r="AI218" s="251"/>
      <c r="AL218" s="27"/>
      <c r="AM218" s="245"/>
      <c r="AN218" s="245"/>
      <c r="AO218" s="245"/>
      <c r="AP218" s="245"/>
      <c r="AQ218" s="245"/>
      <c r="AR218" s="245"/>
      <c r="AS218" s="30"/>
      <c r="AW218" s="238"/>
      <c r="AX218" s="238"/>
      <c r="AY218" s="238"/>
      <c r="AZ218" s="238"/>
      <c r="BA218" s="238"/>
      <c r="BB218" s="238"/>
      <c r="BK218" s="250"/>
      <c r="BL218" s="250"/>
      <c r="BM218" s="250"/>
      <c r="BN218" s="250"/>
      <c r="BO218" s="250"/>
      <c r="BP218" s="250"/>
      <c r="BQ218" s="250"/>
      <c r="BR218" s="250"/>
      <c r="BS218" s="250"/>
      <c r="BT218" s="250"/>
      <c r="BU218" s="250"/>
      <c r="BV218" s="250"/>
      <c r="BW218" s="250"/>
      <c r="BX218" s="250"/>
      <c r="BY218" s="250"/>
      <c r="BZ218" s="250"/>
      <c r="CW218" s="9"/>
      <c r="CX218" s="9"/>
      <c r="CY218" s="9"/>
      <c r="DQ218" s="9"/>
      <c r="DR218" s="9"/>
      <c r="DS218" s="9"/>
      <c r="DT218" s="9"/>
      <c r="DU218" s="9"/>
      <c r="EQ218" s="245"/>
      <c r="ER218" s="245"/>
      <c r="ES218" s="245"/>
      <c r="ET218" s="245"/>
      <c r="EU218" s="245"/>
      <c r="EV218" s="245"/>
      <c r="EW218" s="245"/>
      <c r="EX218" s="245"/>
      <c r="EY218" s="245"/>
      <c r="EZ218" s="245"/>
      <c r="FA218" s="245"/>
      <c r="FB218" s="245"/>
      <c r="FC218" s="245"/>
      <c r="FD218" s="245"/>
      <c r="FE218" s="245"/>
      <c r="FF218" s="245"/>
      <c r="FG218" s="245"/>
      <c r="FH218" s="245"/>
      <c r="FI218" s="245"/>
      <c r="FJ218" s="245"/>
      <c r="FK218" s="245"/>
      <c r="FL218" s="245"/>
      <c r="FM218" s="245"/>
      <c r="FN218" s="245"/>
      <c r="FO218" s="245"/>
      <c r="FP218" s="245"/>
      <c r="FQ218" s="245"/>
      <c r="FR218" s="245"/>
      <c r="FS218" s="245"/>
      <c r="FT218" s="245"/>
      <c r="FU218" s="245"/>
    </row>
    <row r="219" spans="1:177" s="1" customFormat="1" ht="13.5">
      <c r="A219" s="484" t="s">
        <v>216</v>
      </c>
      <c r="B219" s="517">
        <f t="shared" ref="B219:M219" si="16">B220+B221</f>
        <v>190800</v>
      </c>
      <c r="C219" s="271">
        <f t="shared" si="16"/>
        <v>191300</v>
      </c>
      <c r="D219" s="271">
        <f t="shared" si="16"/>
        <v>191800</v>
      </c>
      <c r="E219" s="271">
        <f t="shared" si="16"/>
        <v>192900</v>
      </c>
      <c r="F219" s="271">
        <f t="shared" si="16"/>
        <v>192800</v>
      </c>
      <c r="G219" s="271">
        <f t="shared" si="16"/>
        <v>191600</v>
      </c>
      <c r="H219" s="271">
        <f t="shared" si="16"/>
        <v>190500</v>
      </c>
      <c r="I219" s="271">
        <f t="shared" si="16"/>
        <v>189100</v>
      </c>
      <c r="J219" s="271">
        <f t="shared" si="16"/>
        <v>186600</v>
      </c>
      <c r="K219" s="271">
        <f t="shared" si="16"/>
        <v>183300</v>
      </c>
      <c r="L219" s="271">
        <f t="shared" si="16"/>
        <v>180600</v>
      </c>
      <c r="M219" s="518">
        <f t="shared" si="16"/>
        <v>177700</v>
      </c>
      <c r="X219" s="250"/>
      <c r="Y219" s="269"/>
      <c r="Z219" s="269"/>
      <c r="AB219" s="251"/>
      <c r="AC219" s="251"/>
      <c r="AD219" s="251"/>
      <c r="AE219" s="251"/>
      <c r="AF219" s="270"/>
      <c r="AG219" s="30"/>
      <c r="AH219" s="251"/>
      <c r="AI219" s="251"/>
      <c r="AL219" s="27"/>
      <c r="AM219" s="245"/>
      <c r="AN219" s="245"/>
      <c r="AO219" s="245"/>
      <c r="AP219" s="245"/>
      <c r="AQ219" s="245"/>
      <c r="AR219" s="245"/>
      <c r="AS219" s="30"/>
      <c r="AW219" s="238"/>
      <c r="AX219" s="238"/>
      <c r="AY219" s="238"/>
      <c r="AZ219" s="238"/>
      <c r="BA219" s="238"/>
      <c r="BB219" s="238"/>
      <c r="BK219" s="250"/>
      <c r="BL219" s="250"/>
      <c r="BM219" s="250"/>
      <c r="BN219" s="250"/>
      <c r="BO219" s="250"/>
      <c r="BP219" s="250"/>
      <c r="BQ219" s="250"/>
      <c r="BR219" s="250"/>
      <c r="BS219" s="250"/>
      <c r="BT219" s="250"/>
      <c r="BU219" s="250"/>
      <c r="BV219" s="250"/>
      <c r="BW219" s="250"/>
      <c r="BX219" s="250"/>
      <c r="BY219" s="250"/>
      <c r="BZ219" s="250"/>
      <c r="CW219" s="9"/>
      <c r="CX219" s="9"/>
      <c r="CY219" s="9"/>
      <c r="DQ219" s="9"/>
      <c r="DR219" s="9"/>
      <c r="DS219" s="9"/>
      <c r="DT219" s="9"/>
      <c r="DU219" s="9"/>
      <c r="EQ219" s="245"/>
      <c r="ER219" s="245"/>
      <c r="ES219" s="245"/>
      <c r="ET219" s="245"/>
      <c r="EU219" s="245"/>
      <c r="EV219" s="245"/>
      <c r="EW219" s="245"/>
      <c r="EX219" s="245"/>
      <c r="EY219" s="245"/>
      <c r="EZ219" s="245"/>
      <c r="FA219" s="245"/>
      <c r="FB219" s="245"/>
      <c r="FC219" s="245"/>
      <c r="FD219" s="245"/>
      <c r="FE219" s="245"/>
      <c r="FF219" s="245"/>
      <c r="FG219" s="245"/>
      <c r="FH219" s="245"/>
      <c r="FI219" s="245"/>
      <c r="FJ219" s="245"/>
      <c r="FK219" s="245"/>
      <c r="FL219" s="245"/>
      <c r="FM219" s="245"/>
      <c r="FN219" s="245"/>
      <c r="FO219" s="245"/>
      <c r="FP219" s="245"/>
      <c r="FQ219" s="245"/>
      <c r="FR219" s="245"/>
      <c r="FS219" s="245"/>
      <c r="FT219" s="245"/>
      <c r="FU219" s="245"/>
    </row>
    <row r="220" spans="1:177" s="1" customFormat="1" ht="13.5">
      <c r="A220" s="519" t="s">
        <v>217</v>
      </c>
      <c r="B220" s="453">
        <v>140900</v>
      </c>
      <c r="C220" s="256">
        <v>141300</v>
      </c>
      <c r="D220" s="256">
        <v>142000</v>
      </c>
      <c r="E220" s="256">
        <v>142500</v>
      </c>
      <c r="F220" s="256">
        <v>142100</v>
      </c>
      <c r="G220" s="256">
        <v>140800</v>
      </c>
      <c r="H220" s="256">
        <v>139400</v>
      </c>
      <c r="I220" s="256">
        <v>138200</v>
      </c>
      <c r="J220" s="256">
        <v>135600</v>
      </c>
      <c r="K220" s="256">
        <v>132800</v>
      </c>
      <c r="L220" s="256">
        <v>130500</v>
      </c>
      <c r="M220" s="454">
        <v>128400</v>
      </c>
      <c r="X220" s="250"/>
      <c r="Y220" s="269"/>
      <c r="Z220" s="269"/>
      <c r="AB220" s="251"/>
      <c r="AC220" s="251"/>
      <c r="AD220" s="251"/>
      <c r="AE220" s="251"/>
      <c r="AF220" s="270"/>
      <c r="AG220" s="30"/>
      <c r="AH220" s="251"/>
      <c r="AI220" s="251"/>
      <c r="AL220" s="27"/>
      <c r="AM220" s="245"/>
      <c r="AN220" s="245"/>
      <c r="AO220" s="245"/>
      <c r="AP220" s="245"/>
      <c r="AQ220" s="245"/>
      <c r="AR220" s="245"/>
      <c r="AS220" s="30"/>
      <c r="AW220" s="238"/>
      <c r="AX220" s="238"/>
      <c r="AY220" s="238"/>
      <c r="AZ220" s="238"/>
      <c r="BA220" s="238"/>
      <c r="BB220" s="238"/>
      <c r="BK220" s="250"/>
      <c r="BL220" s="250"/>
      <c r="BM220" s="250"/>
      <c r="BN220" s="250"/>
      <c r="BO220" s="250"/>
      <c r="BP220" s="250"/>
      <c r="BQ220" s="250"/>
      <c r="BR220" s="250"/>
      <c r="BS220" s="250"/>
      <c r="BT220" s="250"/>
      <c r="BU220" s="250"/>
      <c r="BV220" s="250"/>
      <c r="BW220" s="250"/>
      <c r="BX220" s="250"/>
      <c r="BY220" s="250"/>
      <c r="BZ220" s="250"/>
      <c r="CW220" s="9"/>
      <c r="CX220" s="9"/>
      <c r="CY220" s="9"/>
      <c r="DQ220" s="9"/>
      <c r="DR220" s="9"/>
      <c r="DS220" s="9"/>
      <c r="DT220" s="9"/>
      <c r="DU220" s="9"/>
      <c r="EQ220" s="245"/>
      <c r="ER220" s="245"/>
      <c r="ES220" s="245"/>
      <c r="ET220" s="245"/>
      <c r="EU220" s="245"/>
      <c r="EV220" s="245"/>
      <c r="EW220" s="245"/>
      <c r="EX220" s="245"/>
      <c r="EY220" s="245"/>
      <c r="EZ220" s="245"/>
      <c r="FA220" s="245"/>
      <c r="FB220" s="245"/>
      <c r="FC220" s="245"/>
      <c r="FD220" s="245"/>
      <c r="FE220" s="245"/>
      <c r="FF220" s="245"/>
      <c r="FG220" s="245"/>
      <c r="FH220" s="245"/>
      <c r="FI220" s="245"/>
      <c r="FJ220" s="245"/>
      <c r="FK220" s="245"/>
      <c r="FL220" s="245"/>
      <c r="FM220" s="245"/>
      <c r="FN220" s="245"/>
      <c r="FO220" s="245"/>
      <c r="FP220" s="245"/>
      <c r="FQ220" s="245"/>
      <c r="FR220" s="245"/>
      <c r="FS220" s="245"/>
      <c r="FT220" s="245"/>
      <c r="FU220" s="245"/>
    </row>
    <row r="221" spans="1:177" s="1" customFormat="1" ht="13.5">
      <c r="A221" s="519" t="s">
        <v>218</v>
      </c>
      <c r="B221" s="453">
        <v>49900</v>
      </c>
      <c r="C221" s="256">
        <v>50000</v>
      </c>
      <c r="D221" s="256">
        <v>49800</v>
      </c>
      <c r="E221" s="256">
        <v>50400</v>
      </c>
      <c r="F221" s="256">
        <v>50700</v>
      </c>
      <c r="G221" s="256">
        <v>50800</v>
      </c>
      <c r="H221" s="256">
        <v>51100</v>
      </c>
      <c r="I221" s="256">
        <v>50900</v>
      </c>
      <c r="J221" s="256">
        <v>51000</v>
      </c>
      <c r="K221" s="256">
        <v>50500</v>
      </c>
      <c r="L221" s="256">
        <v>50100</v>
      </c>
      <c r="M221" s="454">
        <v>49300</v>
      </c>
      <c r="X221" s="250"/>
      <c r="Y221" s="269"/>
      <c r="Z221" s="269"/>
      <c r="AB221" s="251"/>
      <c r="AC221" s="251"/>
      <c r="AD221" s="251"/>
      <c r="AE221" s="251"/>
      <c r="AF221" s="270"/>
      <c r="AG221" s="30"/>
      <c r="AH221" s="251"/>
      <c r="AI221" s="251"/>
      <c r="AL221" s="27"/>
      <c r="AM221" s="245"/>
      <c r="AN221" s="245"/>
      <c r="AO221" s="245"/>
      <c r="AP221" s="245"/>
      <c r="AQ221" s="245"/>
      <c r="AR221" s="245"/>
      <c r="AS221" s="30"/>
      <c r="AW221" s="238"/>
      <c r="AX221" s="238"/>
      <c r="AY221" s="238"/>
      <c r="AZ221" s="238"/>
      <c r="BA221" s="238"/>
      <c r="BB221" s="238"/>
      <c r="BK221" s="250"/>
      <c r="BL221" s="250"/>
      <c r="BM221" s="250"/>
      <c r="BN221" s="250"/>
      <c r="BO221" s="250"/>
      <c r="BP221" s="250"/>
      <c r="BQ221" s="250"/>
      <c r="BR221" s="250"/>
      <c r="BS221" s="250"/>
      <c r="BT221" s="250"/>
      <c r="BU221" s="250"/>
      <c r="BV221" s="250"/>
      <c r="BW221" s="250"/>
      <c r="BX221" s="250"/>
      <c r="BY221" s="250"/>
      <c r="BZ221" s="250"/>
      <c r="CW221" s="9"/>
      <c r="CX221" s="9"/>
      <c r="CY221" s="9"/>
      <c r="DQ221" s="9"/>
      <c r="DR221" s="9"/>
      <c r="DS221" s="9"/>
      <c r="DT221" s="9"/>
      <c r="DU221" s="9"/>
      <c r="EQ221" s="245"/>
      <c r="ER221" s="245"/>
      <c r="ES221" s="245"/>
      <c r="ET221" s="245"/>
      <c r="EU221" s="245"/>
      <c r="EV221" s="245"/>
      <c r="EW221" s="245"/>
      <c r="EX221" s="245"/>
      <c r="EY221" s="245"/>
      <c r="EZ221" s="245"/>
      <c r="FA221" s="245"/>
      <c r="FB221" s="245"/>
      <c r="FC221" s="245"/>
      <c r="FD221" s="245"/>
      <c r="FE221" s="245"/>
      <c r="FF221" s="245"/>
      <c r="FG221" s="245"/>
      <c r="FH221" s="245"/>
      <c r="FI221" s="245"/>
      <c r="FJ221" s="245"/>
      <c r="FK221" s="245"/>
      <c r="FL221" s="245"/>
      <c r="FM221" s="245"/>
      <c r="FN221" s="245"/>
      <c r="FO221" s="245"/>
      <c r="FP221" s="245"/>
      <c r="FQ221" s="245"/>
      <c r="FR221" s="245"/>
      <c r="FS221" s="245"/>
      <c r="FT221" s="245"/>
      <c r="FU221" s="245"/>
    </row>
    <row r="222" spans="1:177" s="1" customFormat="1" ht="13.5">
      <c r="A222" s="519" t="s">
        <v>188</v>
      </c>
      <c r="B222" s="453">
        <v>187900</v>
      </c>
      <c r="C222" s="256">
        <v>190000</v>
      </c>
      <c r="D222" s="256">
        <v>191600</v>
      </c>
      <c r="E222" s="256">
        <v>193800</v>
      </c>
      <c r="F222" s="256">
        <v>196200</v>
      </c>
      <c r="G222" s="256">
        <v>198600</v>
      </c>
      <c r="H222" s="256">
        <v>199300</v>
      </c>
      <c r="I222" s="256">
        <v>199500</v>
      </c>
      <c r="J222" s="256">
        <v>200900</v>
      </c>
      <c r="K222" s="256">
        <v>200400</v>
      </c>
      <c r="L222" s="256">
        <v>200200</v>
      </c>
      <c r="M222" s="454">
        <v>194700</v>
      </c>
      <c r="X222" s="250"/>
      <c r="Y222" s="269"/>
      <c r="Z222" s="269"/>
      <c r="AB222" s="251"/>
      <c r="AC222" s="251"/>
      <c r="AD222" s="251"/>
      <c r="AE222" s="251"/>
      <c r="AF222" s="270"/>
      <c r="AG222" s="30"/>
      <c r="AH222" s="251"/>
      <c r="AI222" s="251"/>
      <c r="AL222" s="27"/>
      <c r="AM222" s="245"/>
      <c r="AN222" s="245"/>
      <c r="AO222" s="245"/>
      <c r="AP222" s="245"/>
      <c r="AQ222" s="245"/>
      <c r="AR222" s="245"/>
      <c r="AS222" s="30"/>
      <c r="AW222" s="238"/>
      <c r="AX222" s="238"/>
      <c r="AY222" s="238"/>
      <c r="AZ222" s="238"/>
      <c r="BA222" s="238"/>
      <c r="BB222" s="238"/>
      <c r="BK222" s="250"/>
      <c r="BL222" s="250"/>
      <c r="BM222" s="250"/>
      <c r="BN222" s="250"/>
      <c r="BO222" s="250"/>
      <c r="BP222" s="250"/>
      <c r="BQ222" s="250"/>
      <c r="BR222" s="250"/>
      <c r="BS222" s="250"/>
      <c r="BT222" s="250"/>
      <c r="BU222" s="250"/>
      <c r="BV222" s="250"/>
      <c r="BW222" s="250"/>
      <c r="BX222" s="250"/>
      <c r="BY222" s="250"/>
      <c r="BZ222" s="250"/>
      <c r="CW222" s="9"/>
      <c r="CX222" s="9"/>
      <c r="CY222" s="9"/>
      <c r="DQ222" s="9"/>
      <c r="DR222" s="9"/>
      <c r="DS222" s="9"/>
      <c r="DT222" s="9"/>
      <c r="DU222" s="9"/>
      <c r="EQ222" s="245"/>
      <c r="ER222" s="245"/>
      <c r="ES222" s="245"/>
      <c r="ET222" s="245"/>
      <c r="EU222" s="245"/>
      <c r="EV222" s="245"/>
      <c r="EW222" s="245"/>
      <c r="EX222" s="245"/>
      <c r="EY222" s="245"/>
      <c r="EZ222" s="245"/>
      <c r="FA222" s="245"/>
      <c r="FB222" s="245"/>
      <c r="FC222" s="245"/>
      <c r="FD222" s="245"/>
      <c r="FE222" s="245"/>
      <c r="FF222" s="245"/>
      <c r="FG222" s="245"/>
      <c r="FH222" s="245"/>
      <c r="FI222" s="245"/>
      <c r="FJ222" s="245"/>
      <c r="FK222" s="245"/>
      <c r="FL222" s="245"/>
      <c r="FM222" s="245"/>
      <c r="FN222" s="245"/>
      <c r="FO222" s="245"/>
      <c r="FP222" s="245"/>
      <c r="FQ222" s="245"/>
      <c r="FR222" s="245"/>
      <c r="FS222" s="245"/>
      <c r="FT222" s="245"/>
      <c r="FU222" s="245"/>
    </row>
    <row r="223" spans="1:177" s="1" customFormat="1" ht="13.5">
      <c r="A223" s="519" t="s">
        <v>219</v>
      </c>
      <c r="B223" s="453">
        <v>22300</v>
      </c>
      <c r="C223" s="256">
        <v>22600</v>
      </c>
      <c r="D223" s="256">
        <v>22500</v>
      </c>
      <c r="E223" s="256">
        <v>23100</v>
      </c>
      <c r="F223" s="256">
        <v>24500</v>
      </c>
      <c r="G223" s="256">
        <v>23700</v>
      </c>
      <c r="H223" s="256">
        <v>24200</v>
      </c>
      <c r="I223" s="256">
        <v>24200</v>
      </c>
      <c r="J223" s="256">
        <v>24600</v>
      </c>
      <c r="K223" s="256">
        <v>24700</v>
      </c>
      <c r="L223" s="256">
        <v>24400</v>
      </c>
      <c r="M223" s="454">
        <v>22200</v>
      </c>
      <c r="X223" s="250"/>
      <c r="Y223" s="269"/>
      <c r="Z223" s="269"/>
      <c r="AB223" s="251"/>
      <c r="AC223" s="251"/>
      <c r="AD223" s="251"/>
      <c r="AE223" s="251"/>
      <c r="AF223" s="270"/>
      <c r="AG223" s="30"/>
      <c r="AH223" s="251"/>
      <c r="AI223" s="251"/>
      <c r="AL223" s="27"/>
      <c r="AM223" s="245"/>
      <c r="AN223" s="245"/>
      <c r="AO223" s="245"/>
      <c r="AP223" s="245"/>
      <c r="AQ223" s="245"/>
      <c r="AR223" s="245"/>
      <c r="AS223" s="30"/>
      <c r="AW223" s="238"/>
      <c r="AX223" s="238"/>
      <c r="AY223" s="238"/>
      <c r="AZ223" s="238"/>
      <c r="BA223" s="238"/>
      <c r="BB223" s="238"/>
      <c r="BK223" s="250"/>
      <c r="BL223" s="250"/>
      <c r="BM223" s="250"/>
      <c r="BN223" s="250"/>
      <c r="BO223" s="250"/>
      <c r="BP223" s="250"/>
      <c r="BQ223" s="250"/>
      <c r="BR223" s="250"/>
      <c r="BS223" s="250"/>
      <c r="BT223" s="250"/>
      <c r="BU223" s="250"/>
      <c r="BV223" s="250"/>
      <c r="BW223" s="250"/>
      <c r="BX223" s="250"/>
      <c r="BY223" s="250"/>
      <c r="BZ223" s="250"/>
      <c r="CW223" s="9"/>
      <c r="CX223" s="9"/>
      <c r="CY223" s="9"/>
      <c r="DQ223" s="9"/>
      <c r="DR223" s="9"/>
      <c r="DS223" s="9"/>
      <c r="DT223" s="9"/>
      <c r="DU223" s="9"/>
      <c r="EQ223" s="245"/>
      <c r="ER223" s="245"/>
      <c r="ES223" s="245"/>
      <c r="ET223" s="245"/>
      <c r="EU223" s="245"/>
      <c r="EV223" s="245"/>
      <c r="EW223" s="245"/>
      <c r="EX223" s="245"/>
      <c r="EY223" s="245"/>
      <c r="EZ223" s="245"/>
      <c r="FA223" s="245"/>
      <c r="FB223" s="245"/>
      <c r="FC223" s="245"/>
      <c r="FD223" s="245"/>
      <c r="FE223" s="245"/>
      <c r="FF223" s="245"/>
      <c r="FG223" s="245"/>
      <c r="FH223" s="245"/>
      <c r="FI223" s="245"/>
      <c r="FJ223" s="245"/>
      <c r="FK223" s="245"/>
      <c r="FL223" s="245"/>
      <c r="FM223" s="245"/>
      <c r="FN223" s="245"/>
      <c r="FO223" s="245"/>
      <c r="FP223" s="245"/>
      <c r="FQ223" s="245"/>
      <c r="FR223" s="245"/>
      <c r="FS223" s="245"/>
      <c r="FT223" s="245"/>
      <c r="FU223" s="245"/>
    </row>
    <row r="224" spans="1:177" s="1" customFormat="1" ht="14.25" thickBot="1">
      <c r="A224" s="520" t="s">
        <v>18</v>
      </c>
      <c r="B224" s="521">
        <v>400900</v>
      </c>
      <c r="C224" s="522">
        <v>404000</v>
      </c>
      <c r="D224" s="522">
        <v>406000</v>
      </c>
      <c r="E224" s="522">
        <v>409800</v>
      </c>
      <c r="F224" s="522">
        <v>413500</v>
      </c>
      <c r="G224" s="522">
        <v>414000</v>
      </c>
      <c r="H224" s="522">
        <v>414100</v>
      </c>
      <c r="I224" s="522">
        <v>412800</v>
      </c>
      <c r="J224" s="522">
        <v>412000</v>
      </c>
      <c r="K224" s="522">
        <v>408300</v>
      </c>
      <c r="L224" s="522">
        <v>405200</v>
      </c>
      <c r="M224" s="523">
        <v>394600</v>
      </c>
      <c r="X224" s="250"/>
      <c r="Y224" s="269"/>
      <c r="Z224" s="269"/>
      <c r="AB224" s="251"/>
      <c r="AC224" s="251"/>
      <c r="AD224" s="251"/>
      <c r="AE224" s="251"/>
      <c r="AF224" s="270"/>
      <c r="AG224" s="30"/>
      <c r="AH224" s="251"/>
      <c r="AI224" s="251"/>
      <c r="AL224" s="27"/>
      <c r="AM224" s="245"/>
      <c r="AN224" s="245"/>
      <c r="AO224" s="245"/>
      <c r="AP224" s="245"/>
      <c r="AQ224" s="245"/>
      <c r="AR224" s="245"/>
      <c r="AS224" s="30"/>
      <c r="AW224" s="238"/>
      <c r="AX224" s="238"/>
      <c r="AY224" s="238"/>
      <c r="AZ224" s="238"/>
      <c r="BA224" s="238"/>
      <c r="BB224" s="238"/>
      <c r="BK224" s="250"/>
      <c r="BL224" s="250"/>
      <c r="BM224" s="250"/>
      <c r="BN224" s="250"/>
      <c r="BO224" s="250"/>
      <c r="BP224" s="250"/>
      <c r="BQ224" s="250"/>
      <c r="BR224" s="250"/>
      <c r="BS224" s="250"/>
      <c r="BT224" s="250"/>
      <c r="BU224" s="250"/>
      <c r="BV224" s="250"/>
      <c r="BW224" s="250"/>
      <c r="BX224" s="250"/>
      <c r="BY224" s="250"/>
      <c r="BZ224" s="250"/>
      <c r="CW224" s="9"/>
      <c r="CX224" s="9"/>
      <c r="CY224" s="9"/>
      <c r="DQ224" s="9"/>
      <c r="DR224" s="9"/>
      <c r="DS224" s="9"/>
      <c r="DT224" s="9"/>
      <c r="DU224" s="9"/>
      <c r="EQ224" s="245"/>
      <c r="ER224" s="245"/>
      <c r="ES224" s="245"/>
      <c r="ET224" s="245"/>
      <c r="EU224" s="245"/>
      <c r="EV224" s="245"/>
      <c r="EW224" s="245"/>
      <c r="EX224" s="245"/>
      <c r="EY224" s="245"/>
      <c r="EZ224" s="245"/>
      <c r="FA224" s="245"/>
      <c r="FB224" s="245"/>
      <c r="FC224" s="245"/>
      <c r="FD224" s="245"/>
      <c r="FE224" s="245"/>
      <c r="FF224" s="245"/>
      <c r="FG224" s="245"/>
      <c r="FH224" s="245"/>
      <c r="FI224" s="245"/>
      <c r="FJ224" s="245"/>
      <c r="FK224" s="245"/>
      <c r="FL224" s="245"/>
      <c r="FM224" s="245"/>
      <c r="FN224" s="245"/>
      <c r="FO224" s="245"/>
      <c r="FP224" s="245"/>
      <c r="FQ224" s="245"/>
      <c r="FR224" s="245"/>
      <c r="FS224" s="245"/>
      <c r="FT224" s="245"/>
      <c r="FU224" s="245"/>
    </row>
    <row r="225" spans="1:177" s="1" customFormat="1" ht="14.25" thickBot="1">
      <c r="A225" s="6"/>
      <c r="B225" s="269"/>
      <c r="C225" s="269"/>
      <c r="D225" s="269"/>
      <c r="E225" s="269"/>
      <c r="F225" s="269"/>
      <c r="G225" s="269"/>
      <c r="H225" s="30"/>
      <c r="I225" s="269"/>
      <c r="J225" s="269"/>
      <c r="X225" s="250"/>
      <c r="Y225" s="269"/>
      <c r="Z225" s="269"/>
      <c r="AB225" s="251"/>
      <c r="AC225" s="251"/>
      <c r="AD225" s="251"/>
      <c r="AE225" s="251"/>
      <c r="AF225" s="270"/>
      <c r="AG225" s="30"/>
      <c r="AH225" s="251"/>
      <c r="AI225" s="251"/>
      <c r="AL225" s="27"/>
      <c r="AM225" s="245"/>
      <c r="AN225" s="245"/>
      <c r="AO225" s="245"/>
      <c r="AP225" s="245"/>
      <c r="AQ225" s="245"/>
      <c r="AR225" s="245"/>
      <c r="AS225" s="30"/>
      <c r="AW225" s="238"/>
      <c r="AX225" s="238"/>
      <c r="AY225" s="238"/>
      <c r="AZ225" s="238"/>
      <c r="BA225" s="238"/>
      <c r="BB225" s="238"/>
      <c r="BK225" s="250"/>
      <c r="BL225" s="250"/>
      <c r="BM225" s="250"/>
      <c r="BN225" s="250"/>
      <c r="BO225" s="250"/>
      <c r="BP225" s="250"/>
      <c r="BQ225" s="250"/>
      <c r="BR225" s="250"/>
      <c r="BS225" s="250"/>
      <c r="BT225" s="250"/>
      <c r="BU225" s="250"/>
      <c r="BV225" s="250"/>
      <c r="BW225" s="250"/>
      <c r="BX225" s="250"/>
      <c r="BY225" s="250"/>
      <c r="BZ225" s="250"/>
      <c r="CW225" s="9"/>
      <c r="CX225" s="9"/>
      <c r="CY225" s="9"/>
      <c r="DQ225" s="9"/>
      <c r="DR225" s="9"/>
      <c r="DS225" s="9"/>
      <c r="DT225" s="9"/>
      <c r="DU225" s="9"/>
      <c r="EQ225" s="245"/>
      <c r="ER225" s="245"/>
      <c r="ES225" s="245"/>
      <c r="ET225" s="245"/>
      <c r="EU225" s="245"/>
      <c r="EV225" s="245"/>
      <c r="EW225" s="245"/>
      <c r="EX225" s="245"/>
      <c r="EY225" s="245"/>
      <c r="EZ225" s="245"/>
      <c r="FA225" s="245"/>
      <c r="FB225" s="245"/>
      <c r="FC225" s="245"/>
      <c r="FD225" s="245"/>
      <c r="FE225" s="245"/>
      <c r="FF225" s="245"/>
      <c r="FG225" s="245"/>
      <c r="FH225" s="245"/>
      <c r="FI225" s="245"/>
      <c r="FJ225" s="245"/>
      <c r="FK225" s="245"/>
      <c r="FL225" s="245"/>
      <c r="FM225" s="245"/>
      <c r="FN225" s="245"/>
      <c r="FO225" s="245"/>
      <c r="FP225" s="245"/>
      <c r="FQ225" s="245"/>
      <c r="FR225" s="245"/>
      <c r="FS225" s="245"/>
      <c r="FT225" s="245"/>
      <c r="FU225" s="245"/>
    </row>
    <row r="226" spans="1:177" s="1" customFormat="1" ht="14.25" thickBot="1">
      <c r="A226" s="6"/>
      <c r="B226" s="514">
        <v>41640</v>
      </c>
      <c r="C226" s="515">
        <v>41671</v>
      </c>
      <c r="D226" s="515">
        <v>41699</v>
      </c>
      <c r="E226" s="515">
        <v>41730</v>
      </c>
      <c r="F226" s="515">
        <v>41760</v>
      </c>
      <c r="G226" s="515">
        <v>41791</v>
      </c>
      <c r="H226" s="515">
        <v>41821</v>
      </c>
      <c r="I226" s="515">
        <v>41852</v>
      </c>
      <c r="J226" s="515">
        <v>41883</v>
      </c>
      <c r="K226" s="515">
        <v>41913</v>
      </c>
      <c r="L226" s="515">
        <v>41944</v>
      </c>
      <c r="M226" s="516">
        <v>41974</v>
      </c>
      <c r="X226" s="250"/>
      <c r="Y226" s="269"/>
      <c r="Z226" s="269"/>
      <c r="AB226" s="251"/>
      <c r="AC226" s="251"/>
      <c r="AD226" s="251"/>
      <c r="AE226" s="251"/>
      <c r="AF226" s="270"/>
      <c r="AG226" s="30"/>
      <c r="AH226" s="251"/>
      <c r="AI226" s="251"/>
      <c r="AL226" s="27"/>
      <c r="AM226" s="245"/>
      <c r="AN226" s="245"/>
      <c r="AO226" s="245"/>
      <c r="AP226" s="245"/>
      <c r="AQ226" s="245"/>
      <c r="AR226" s="245"/>
      <c r="AS226" s="30"/>
      <c r="AW226" s="238"/>
      <c r="AX226" s="238"/>
      <c r="AY226" s="238"/>
      <c r="AZ226" s="238"/>
      <c r="BA226" s="238"/>
      <c r="BB226" s="238"/>
      <c r="BK226" s="250"/>
      <c r="BL226" s="250"/>
      <c r="BM226" s="250"/>
      <c r="BN226" s="250"/>
      <c r="BO226" s="250"/>
      <c r="BP226" s="250"/>
      <c r="BQ226" s="250"/>
      <c r="BR226" s="250"/>
      <c r="BS226" s="250"/>
      <c r="BT226" s="250"/>
      <c r="BU226" s="250"/>
      <c r="BV226" s="250"/>
      <c r="BW226" s="250"/>
      <c r="BX226" s="250"/>
      <c r="BY226" s="250"/>
      <c r="BZ226" s="250"/>
      <c r="CW226" s="9"/>
      <c r="CX226" s="9"/>
      <c r="CY226" s="9"/>
      <c r="DQ226" s="9"/>
      <c r="DR226" s="9"/>
      <c r="DS226" s="9"/>
      <c r="DT226" s="9"/>
      <c r="DU226" s="9"/>
      <c r="EQ226" s="245"/>
      <c r="ER226" s="245"/>
      <c r="ES226" s="245"/>
      <c r="ET226" s="245"/>
      <c r="EU226" s="245"/>
      <c r="EV226" s="245"/>
      <c r="EW226" s="245"/>
      <c r="EX226" s="245"/>
      <c r="EY226" s="245"/>
      <c r="EZ226" s="245"/>
      <c r="FA226" s="245"/>
      <c r="FB226" s="245"/>
      <c r="FC226" s="245"/>
      <c r="FD226" s="245"/>
      <c r="FE226" s="245"/>
      <c r="FF226" s="245"/>
      <c r="FG226" s="245"/>
      <c r="FH226" s="245"/>
      <c r="FI226" s="245"/>
      <c r="FJ226" s="245"/>
      <c r="FK226" s="245"/>
      <c r="FL226" s="245"/>
      <c r="FM226" s="245"/>
      <c r="FN226" s="245"/>
      <c r="FO226" s="245"/>
      <c r="FP226" s="245"/>
      <c r="FQ226" s="245"/>
      <c r="FR226" s="245"/>
      <c r="FS226" s="245"/>
      <c r="FT226" s="245"/>
      <c r="FU226" s="245"/>
    </row>
    <row r="227" spans="1:177" s="1" customFormat="1" ht="13.5">
      <c r="A227" s="484" t="s">
        <v>216</v>
      </c>
      <c r="B227" s="517">
        <f t="shared" ref="B227:M227" si="17">B228+B229</f>
        <v>174400</v>
      </c>
      <c r="C227" s="271">
        <f t="shared" si="17"/>
        <v>170100</v>
      </c>
      <c r="D227" s="271">
        <f t="shared" si="17"/>
        <v>164700</v>
      </c>
      <c r="E227" s="271">
        <f t="shared" si="17"/>
        <v>159800</v>
      </c>
      <c r="F227" s="271">
        <f t="shared" si="17"/>
        <v>156000</v>
      </c>
      <c r="G227" s="271">
        <f t="shared" si="17"/>
        <v>153000</v>
      </c>
      <c r="H227" s="271">
        <f t="shared" si="17"/>
        <v>150300</v>
      </c>
      <c r="I227" s="271">
        <f t="shared" si="17"/>
        <v>149300</v>
      </c>
      <c r="J227" s="271">
        <f t="shared" si="17"/>
        <v>147300</v>
      </c>
      <c r="K227" s="271">
        <f t="shared" si="17"/>
        <v>146000</v>
      </c>
      <c r="L227" s="271">
        <f t="shared" si="17"/>
        <v>145000</v>
      </c>
      <c r="M227" s="518">
        <f t="shared" si="17"/>
        <v>143700</v>
      </c>
      <c r="X227" s="250"/>
      <c r="Y227" s="269"/>
      <c r="Z227" s="269"/>
      <c r="AB227" s="251"/>
      <c r="AC227" s="251"/>
      <c r="AD227" s="251"/>
      <c r="AE227" s="251"/>
      <c r="AF227" s="270"/>
      <c r="AG227" s="30"/>
      <c r="AH227" s="251"/>
      <c r="AI227" s="251"/>
      <c r="AL227" s="27"/>
      <c r="AM227" s="245"/>
      <c r="AN227" s="245"/>
      <c r="AO227" s="245"/>
      <c r="AP227" s="245"/>
      <c r="AQ227" s="245"/>
      <c r="AR227" s="245"/>
      <c r="AS227" s="30"/>
      <c r="AW227" s="238"/>
      <c r="AX227" s="238"/>
      <c r="AY227" s="238"/>
      <c r="AZ227" s="238"/>
      <c r="BA227" s="238"/>
      <c r="BB227" s="238"/>
      <c r="BK227" s="250"/>
      <c r="BL227" s="250"/>
      <c r="BM227" s="250"/>
      <c r="BN227" s="250"/>
      <c r="BO227" s="250"/>
      <c r="BP227" s="250"/>
      <c r="BQ227" s="250"/>
      <c r="BR227" s="250"/>
      <c r="BS227" s="250"/>
      <c r="BT227" s="250"/>
      <c r="BU227" s="250"/>
      <c r="BV227" s="250"/>
      <c r="BW227" s="250"/>
      <c r="BX227" s="250"/>
      <c r="BY227" s="250"/>
      <c r="BZ227" s="250"/>
      <c r="CW227" s="9"/>
      <c r="CX227" s="9"/>
      <c r="CY227" s="9"/>
      <c r="DQ227" s="9"/>
      <c r="DR227" s="9"/>
      <c r="DS227" s="9"/>
      <c r="DT227" s="9"/>
      <c r="DU227" s="9"/>
      <c r="EQ227" s="245"/>
      <c r="ER227" s="245"/>
      <c r="ES227" s="245"/>
      <c r="ET227" s="245"/>
      <c r="EU227" s="245"/>
      <c r="EV227" s="245"/>
      <c r="EW227" s="245"/>
      <c r="EX227" s="245"/>
      <c r="EY227" s="245"/>
      <c r="EZ227" s="245"/>
      <c r="FA227" s="245"/>
      <c r="FB227" s="245"/>
      <c r="FC227" s="245"/>
      <c r="FD227" s="245"/>
      <c r="FE227" s="245"/>
      <c r="FF227" s="245"/>
      <c r="FG227" s="245"/>
      <c r="FH227" s="245"/>
      <c r="FI227" s="245"/>
      <c r="FJ227" s="245"/>
      <c r="FK227" s="245"/>
      <c r="FL227" s="245"/>
      <c r="FM227" s="245"/>
      <c r="FN227" s="245"/>
      <c r="FO227" s="245"/>
      <c r="FP227" s="245"/>
      <c r="FQ227" s="245"/>
      <c r="FR227" s="245"/>
      <c r="FS227" s="245"/>
      <c r="FT227" s="245"/>
      <c r="FU227" s="245"/>
    </row>
    <row r="228" spans="1:177" s="1" customFormat="1" ht="13.5">
      <c r="A228" s="519" t="s">
        <v>217</v>
      </c>
      <c r="B228" s="453">
        <v>125700</v>
      </c>
      <c r="C228" s="256">
        <v>122200</v>
      </c>
      <c r="D228" s="256">
        <v>117700</v>
      </c>
      <c r="E228" s="256">
        <v>113700</v>
      </c>
      <c r="F228" s="256">
        <v>111000</v>
      </c>
      <c r="G228" s="256">
        <v>108900</v>
      </c>
      <c r="H228" s="256">
        <v>107200</v>
      </c>
      <c r="I228" s="256">
        <v>106700</v>
      </c>
      <c r="J228" s="256">
        <v>105900</v>
      </c>
      <c r="K228" s="256">
        <v>105300</v>
      </c>
      <c r="L228" s="256">
        <v>104900</v>
      </c>
      <c r="M228" s="454">
        <v>104500</v>
      </c>
      <c r="X228" s="250"/>
      <c r="Y228" s="269"/>
      <c r="Z228" s="269"/>
      <c r="AB228" s="251"/>
      <c r="AC228" s="251"/>
      <c r="AD228" s="251"/>
      <c r="AE228" s="251"/>
      <c r="AF228" s="270"/>
      <c r="AG228" s="30"/>
      <c r="AH228" s="251"/>
      <c r="AI228" s="251"/>
      <c r="AL228" s="27"/>
      <c r="AM228" s="245"/>
      <c r="AN228" s="245"/>
      <c r="AO228" s="245"/>
      <c r="AP228" s="245"/>
      <c r="AQ228" s="245"/>
      <c r="AR228" s="245"/>
      <c r="AS228" s="30"/>
      <c r="AW228" s="238"/>
      <c r="AX228" s="238"/>
      <c r="AY228" s="238"/>
      <c r="AZ228" s="238"/>
      <c r="BA228" s="238"/>
      <c r="BB228" s="238"/>
      <c r="BK228" s="250"/>
      <c r="BL228" s="250"/>
      <c r="BM228" s="250"/>
      <c r="BN228" s="250"/>
      <c r="BO228" s="250"/>
      <c r="BP228" s="250"/>
      <c r="BQ228" s="250"/>
      <c r="BR228" s="250"/>
      <c r="BS228" s="250"/>
      <c r="BT228" s="250"/>
      <c r="BU228" s="250"/>
      <c r="BV228" s="250"/>
      <c r="BW228" s="250"/>
      <c r="BX228" s="250"/>
      <c r="BY228" s="250"/>
      <c r="BZ228" s="250"/>
      <c r="CW228" s="9"/>
      <c r="CX228" s="9"/>
      <c r="CY228" s="9"/>
      <c r="DQ228" s="9"/>
      <c r="DR228" s="9"/>
      <c r="DS228" s="9"/>
      <c r="DT228" s="9"/>
      <c r="DU228" s="9"/>
      <c r="EQ228" s="245"/>
      <c r="ER228" s="245"/>
      <c r="ES228" s="245"/>
      <c r="ET228" s="245"/>
      <c r="EU228" s="245"/>
      <c r="EV228" s="245"/>
      <c r="EW228" s="245"/>
      <c r="EX228" s="245"/>
      <c r="EY228" s="245"/>
      <c r="EZ228" s="245"/>
      <c r="FA228" s="245"/>
      <c r="FB228" s="245"/>
      <c r="FC228" s="245"/>
      <c r="FD228" s="245"/>
      <c r="FE228" s="245"/>
      <c r="FF228" s="245"/>
      <c r="FG228" s="245"/>
      <c r="FH228" s="245"/>
      <c r="FI228" s="245"/>
      <c r="FJ228" s="245"/>
      <c r="FK228" s="245"/>
      <c r="FL228" s="245"/>
      <c r="FM228" s="245"/>
      <c r="FN228" s="245"/>
      <c r="FO228" s="245"/>
      <c r="FP228" s="245"/>
      <c r="FQ228" s="245"/>
      <c r="FR228" s="245"/>
      <c r="FS228" s="245"/>
      <c r="FT228" s="245"/>
      <c r="FU228" s="245"/>
    </row>
    <row r="229" spans="1:177" s="1" customFormat="1" ht="13.5">
      <c r="A229" s="519" t="s">
        <v>218</v>
      </c>
      <c r="B229" s="453">
        <v>48700</v>
      </c>
      <c r="C229" s="256">
        <v>47900</v>
      </c>
      <c r="D229" s="256">
        <v>47000</v>
      </c>
      <c r="E229" s="256">
        <v>46100</v>
      </c>
      <c r="F229" s="256">
        <v>45000</v>
      </c>
      <c r="G229" s="256">
        <v>44100</v>
      </c>
      <c r="H229" s="256">
        <v>43100</v>
      </c>
      <c r="I229" s="256">
        <v>42600</v>
      </c>
      <c r="J229" s="256">
        <v>41400</v>
      </c>
      <c r="K229" s="256">
        <v>40700</v>
      </c>
      <c r="L229" s="256">
        <v>40100</v>
      </c>
      <c r="M229" s="454">
        <v>39200</v>
      </c>
      <c r="X229" s="250"/>
      <c r="Y229" s="269"/>
      <c r="Z229" s="269"/>
      <c r="AB229" s="251"/>
      <c r="AC229" s="251"/>
      <c r="AD229" s="251"/>
      <c r="AE229" s="251"/>
      <c r="AF229" s="270"/>
      <c r="AG229" s="30"/>
      <c r="AH229" s="251"/>
      <c r="AI229" s="251"/>
      <c r="AL229" s="27"/>
      <c r="AM229" s="245"/>
      <c r="AN229" s="245"/>
      <c r="AO229" s="245"/>
      <c r="AP229" s="245"/>
      <c r="AQ229" s="245"/>
      <c r="AR229" s="245"/>
      <c r="AS229" s="30"/>
      <c r="AW229" s="238"/>
      <c r="AX229" s="238"/>
      <c r="AY229" s="238"/>
      <c r="AZ229" s="238"/>
      <c r="BA229" s="238"/>
      <c r="BB229" s="238"/>
      <c r="BK229" s="250"/>
      <c r="BL229" s="250"/>
      <c r="BM229" s="250"/>
      <c r="BN229" s="250"/>
      <c r="BO229" s="250"/>
      <c r="BP229" s="250"/>
      <c r="BQ229" s="250"/>
      <c r="BR229" s="250"/>
      <c r="BS229" s="250"/>
      <c r="BT229" s="250"/>
      <c r="BU229" s="250"/>
      <c r="BV229" s="250"/>
      <c r="BW229" s="250"/>
      <c r="BX229" s="250"/>
      <c r="BY229" s="250"/>
      <c r="BZ229" s="250"/>
      <c r="CW229" s="9"/>
      <c r="CX229" s="9"/>
      <c r="CY229" s="9"/>
      <c r="DQ229" s="9"/>
      <c r="DR229" s="9"/>
      <c r="DS229" s="9"/>
      <c r="DT229" s="9"/>
      <c r="DU229" s="9"/>
      <c r="EQ229" s="245"/>
      <c r="ER229" s="245"/>
      <c r="ES229" s="245"/>
      <c r="ET229" s="245"/>
      <c r="EU229" s="245"/>
      <c r="EV229" s="245"/>
      <c r="EW229" s="245"/>
      <c r="EX229" s="245"/>
      <c r="EY229" s="245"/>
      <c r="EZ229" s="245"/>
      <c r="FA229" s="245"/>
      <c r="FB229" s="245"/>
      <c r="FC229" s="245"/>
      <c r="FD229" s="245"/>
      <c r="FE229" s="245"/>
      <c r="FF229" s="245"/>
      <c r="FG229" s="245"/>
      <c r="FH229" s="245"/>
      <c r="FI229" s="245"/>
      <c r="FJ229" s="245"/>
      <c r="FK229" s="245"/>
      <c r="FL229" s="245"/>
      <c r="FM229" s="245"/>
      <c r="FN229" s="245"/>
      <c r="FO229" s="245"/>
      <c r="FP229" s="245"/>
      <c r="FQ229" s="245"/>
      <c r="FR229" s="245"/>
      <c r="FS229" s="245"/>
      <c r="FT229" s="245"/>
      <c r="FU229" s="245"/>
    </row>
    <row r="230" spans="1:177" s="1" customFormat="1" ht="13.5">
      <c r="A230" s="519" t="s">
        <v>188</v>
      </c>
      <c r="B230" s="453">
        <v>193900</v>
      </c>
      <c r="C230" s="256">
        <v>191900</v>
      </c>
      <c r="D230" s="256">
        <v>190100</v>
      </c>
      <c r="E230" s="256">
        <v>190200</v>
      </c>
      <c r="F230" s="256">
        <v>188500</v>
      </c>
      <c r="G230" s="256">
        <v>187700</v>
      </c>
      <c r="H230" s="256">
        <v>187800</v>
      </c>
      <c r="I230" s="256">
        <v>187200</v>
      </c>
      <c r="J230" s="256">
        <v>186900</v>
      </c>
      <c r="K230" s="256">
        <v>185800</v>
      </c>
      <c r="L230" s="256">
        <v>184700</v>
      </c>
      <c r="M230" s="454">
        <v>185300</v>
      </c>
      <c r="X230" s="250"/>
      <c r="Y230" s="269"/>
      <c r="Z230" s="269"/>
      <c r="AB230" s="251"/>
      <c r="AC230" s="251"/>
      <c r="AD230" s="251"/>
      <c r="AE230" s="251"/>
      <c r="AF230" s="270"/>
      <c r="AG230" s="30"/>
      <c r="AH230" s="251"/>
      <c r="AI230" s="251"/>
      <c r="AL230" s="27"/>
      <c r="AM230" s="245"/>
      <c r="AN230" s="245"/>
      <c r="AO230" s="245"/>
      <c r="AP230" s="245"/>
      <c r="AQ230" s="245"/>
      <c r="AR230" s="245"/>
      <c r="AS230" s="30"/>
      <c r="AW230" s="238"/>
      <c r="AX230" s="238"/>
      <c r="AY230" s="238"/>
      <c r="AZ230" s="238"/>
      <c r="BA230" s="238"/>
      <c r="BB230" s="238"/>
      <c r="BK230" s="250"/>
      <c r="BL230" s="250"/>
      <c r="BM230" s="250"/>
      <c r="BN230" s="250"/>
      <c r="BO230" s="250"/>
      <c r="BP230" s="250"/>
      <c r="BQ230" s="250"/>
      <c r="BR230" s="250"/>
      <c r="BS230" s="250"/>
      <c r="BT230" s="250"/>
      <c r="BU230" s="250"/>
      <c r="BV230" s="250"/>
      <c r="BW230" s="250"/>
      <c r="BX230" s="250"/>
      <c r="BY230" s="250"/>
      <c r="BZ230" s="250"/>
      <c r="CW230" s="9"/>
      <c r="CX230" s="9"/>
      <c r="CY230" s="9"/>
      <c r="DQ230" s="9"/>
      <c r="DR230" s="9"/>
      <c r="DS230" s="9"/>
      <c r="DT230" s="9"/>
      <c r="DU230" s="9"/>
      <c r="EQ230" s="245"/>
      <c r="ER230" s="245"/>
      <c r="ES230" s="245"/>
      <c r="ET230" s="245"/>
      <c r="EU230" s="245"/>
      <c r="EV230" s="245"/>
      <c r="EW230" s="245"/>
      <c r="EX230" s="245"/>
      <c r="EY230" s="245"/>
      <c r="EZ230" s="245"/>
      <c r="FA230" s="245"/>
      <c r="FB230" s="245"/>
      <c r="FC230" s="245"/>
      <c r="FD230" s="245"/>
      <c r="FE230" s="245"/>
      <c r="FF230" s="245"/>
      <c r="FG230" s="245"/>
      <c r="FH230" s="245"/>
      <c r="FI230" s="245"/>
      <c r="FJ230" s="245"/>
      <c r="FK230" s="245"/>
      <c r="FL230" s="245"/>
      <c r="FM230" s="245"/>
      <c r="FN230" s="245"/>
      <c r="FO230" s="245"/>
      <c r="FP230" s="245"/>
      <c r="FQ230" s="245"/>
      <c r="FR230" s="245"/>
      <c r="FS230" s="245"/>
      <c r="FT230" s="245"/>
      <c r="FU230" s="245"/>
    </row>
    <row r="231" spans="1:177" s="1" customFormat="1" ht="13.5">
      <c r="A231" s="519" t="s">
        <v>219</v>
      </c>
      <c r="B231" s="453">
        <v>23100</v>
      </c>
      <c r="C231" s="256">
        <v>23000</v>
      </c>
      <c r="D231" s="256">
        <v>23000</v>
      </c>
      <c r="E231" s="256">
        <v>24000</v>
      </c>
      <c r="F231" s="256">
        <v>23200</v>
      </c>
      <c r="G231" s="256">
        <v>24400</v>
      </c>
      <c r="H231" s="256">
        <v>24100</v>
      </c>
      <c r="I231" s="256">
        <v>24400</v>
      </c>
      <c r="J231" s="256">
        <v>23600</v>
      </c>
      <c r="K231" s="256">
        <v>24200</v>
      </c>
      <c r="L231" s="256">
        <v>24900</v>
      </c>
      <c r="M231" s="454">
        <v>25700</v>
      </c>
      <c r="X231" s="250"/>
      <c r="Y231" s="269"/>
      <c r="Z231" s="269"/>
      <c r="AB231" s="251"/>
      <c r="AC231" s="251"/>
      <c r="AD231" s="251"/>
      <c r="AE231" s="251"/>
      <c r="AF231" s="270"/>
      <c r="AG231" s="30"/>
      <c r="AH231" s="251"/>
      <c r="AI231" s="251"/>
      <c r="AL231" s="27"/>
      <c r="AM231" s="245"/>
      <c r="AN231" s="245"/>
      <c r="AO231" s="245"/>
      <c r="AP231" s="245"/>
      <c r="AQ231" s="245"/>
      <c r="AR231" s="245"/>
      <c r="AS231" s="30"/>
      <c r="AW231" s="238"/>
      <c r="AX231" s="238"/>
      <c r="AY231" s="238"/>
      <c r="AZ231" s="238"/>
      <c r="BA231" s="238"/>
      <c r="BB231" s="238"/>
      <c r="BK231" s="250"/>
      <c r="BL231" s="250"/>
      <c r="BM231" s="250"/>
      <c r="BN231" s="250"/>
      <c r="BO231" s="250"/>
      <c r="BP231" s="250"/>
      <c r="BQ231" s="250"/>
      <c r="BR231" s="250"/>
      <c r="BS231" s="250"/>
      <c r="BT231" s="250"/>
      <c r="BU231" s="250"/>
      <c r="BV231" s="250"/>
      <c r="BW231" s="250"/>
      <c r="BX231" s="250"/>
      <c r="BY231" s="250"/>
      <c r="BZ231" s="250"/>
      <c r="CW231" s="9"/>
      <c r="CX231" s="9"/>
      <c r="CY231" s="9"/>
      <c r="DQ231" s="9"/>
      <c r="DR231" s="9"/>
      <c r="DS231" s="9"/>
      <c r="DT231" s="9"/>
      <c r="DU231" s="9"/>
      <c r="EQ231" s="245"/>
      <c r="ER231" s="245"/>
      <c r="ES231" s="245"/>
      <c r="ET231" s="245"/>
      <c r="EU231" s="245"/>
      <c r="EV231" s="245"/>
      <c r="EW231" s="245"/>
      <c r="EX231" s="245"/>
      <c r="EY231" s="245"/>
      <c r="EZ231" s="245"/>
      <c r="FA231" s="245"/>
      <c r="FB231" s="245"/>
      <c r="FC231" s="245"/>
      <c r="FD231" s="245"/>
      <c r="FE231" s="245"/>
      <c r="FF231" s="245"/>
      <c r="FG231" s="245"/>
      <c r="FH231" s="245"/>
      <c r="FI231" s="245"/>
      <c r="FJ231" s="245"/>
      <c r="FK231" s="245"/>
      <c r="FL231" s="245"/>
      <c r="FM231" s="245"/>
      <c r="FN231" s="245"/>
      <c r="FO231" s="245"/>
      <c r="FP231" s="245"/>
      <c r="FQ231" s="245"/>
      <c r="FR231" s="245"/>
      <c r="FS231" s="245"/>
      <c r="FT231" s="245"/>
      <c r="FU231" s="245"/>
    </row>
    <row r="232" spans="1:177" s="1" customFormat="1" ht="14.25" thickBot="1">
      <c r="A232" s="520" t="s">
        <v>18</v>
      </c>
      <c r="B232" s="521">
        <v>391400</v>
      </c>
      <c r="C232" s="522">
        <v>384900</v>
      </c>
      <c r="D232" s="522">
        <v>377700</v>
      </c>
      <c r="E232" s="522">
        <v>373900</v>
      </c>
      <c r="F232" s="522">
        <v>367600</v>
      </c>
      <c r="G232" s="522">
        <v>365000</v>
      </c>
      <c r="H232" s="522">
        <v>362300</v>
      </c>
      <c r="I232" s="522">
        <v>360900</v>
      </c>
      <c r="J232" s="522">
        <v>357900</v>
      </c>
      <c r="K232" s="522">
        <v>356000</v>
      </c>
      <c r="L232" s="522">
        <v>354600</v>
      </c>
      <c r="M232" s="523">
        <v>354700</v>
      </c>
      <c r="X232" s="250"/>
      <c r="Y232" s="269"/>
      <c r="Z232" s="269"/>
      <c r="AB232" s="251"/>
      <c r="AC232" s="251"/>
      <c r="AD232" s="251"/>
      <c r="AE232" s="251"/>
      <c r="AF232" s="270"/>
      <c r="AG232" s="30"/>
      <c r="AH232" s="251"/>
      <c r="AI232" s="251"/>
      <c r="AL232" s="27"/>
      <c r="AM232" s="245"/>
      <c r="AN232" s="245"/>
      <c r="AO232" s="245"/>
      <c r="AP232" s="245"/>
      <c r="AQ232" s="245"/>
      <c r="AR232" s="245"/>
      <c r="AS232" s="30"/>
      <c r="AW232" s="238"/>
      <c r="AX232" s="238"/>
      <c r="AY232" s="238"/>
      <c r="AZ232" s="238"/>
      <c r="BA232" s="238"/>
      <c r="BB232" s="238"/>
      <c r="BK232" s="250"/>
      <c r="BL232" s="250"/>
      <c r="BM232" s="250"/>
      <c r="BN232" s="250"/>
      <c r="BO232" s="250"/>
      <c r="BP232" s="250"/>
      <c r="BQ232" s="250"/>
      <c r="BR232" s="250"/>
      <c r="BS232" s="250"/>
      <c r="BT232" s="250"/>
      <c r="BU232" s="250"/>
      <c r="BV232" s="250"/>
      <c r="BW232" s="250"/>
      <c r="BX232" s="250"/>
      <c r="BY232" s="250"/>
      <c r="BZ232" s="250"/>
      <c r="CW232" s="9"/>
      <c r="CX232" s="9"/>
      <c r="CY232" s="9"/>
      <c r="DQ232" s="9"/>
      <c r="DR232" s="9"/>
      <c r="DS232" s="9"/>
      <c r="DT232" s="9"/>
      <c r="DU232" s="9"/>
      <c r="EQ232" s="245"/>
      <c r="ER232" s="245"/>
      <c r="ES232" s="245"/>
      <c r="ET232" s="245"/>
      <c r="EU232" s="245"/>
      <c r="EV232" s="245"/>
      <c r="EW232" s="245"/>
      <c r="EX232" s="245"/>
      <c r="EY232" s="245"/>
      <c r="EZ232" s="245"/>
      <c r="FA232" s="245"/>
      <c r="FB232" s="245"/>
      <c r="FC232" s="245"/>
      <c r="FD232" s="245"/>
      <c r="FE232" s="245"/>
      <c r="FF232" s="245"/>
      <c r="FG232" s="245"/>
      <c r="FH232" s="245"/>
      <c r="FI232" s="245"/>
      <c r="FJ232" s="245"/>
      <c r="FK232" s="245"/>
      <c r="FL232" s="245"/>
      <c r="FM232" s="245"/>
      <c r="FN232" s="245"/>
      <c r="FO232" s="245"/>
      <c r="FP232" s="245"/>
      <c r="FQ232" s="245"/>
      <c r="FR232" s="245"/>
      <c r="FS232" s="245"/>
      <c r="FT232" s="245"/>
      <c r="FU232" s="245"/>
    </row>
    <row r="233" spans="1:177" s="1" customFormat="1" ht="14.25" thickBot="1">
      <c r="A233" s="6"/>
      <c r="B233" s="269"/>
      <c r="C233" s="269"/>
      <c r="D233" s="269"/>
      <c r="E233" s="269"/>
      <c r="F233" s="269"/>
      <c r="G233" s="269"/>
      <c r="H233" s="30"/>
      <c r="I233" s="269"/>
      <c r="J233" s="269"/>
      <c r="X233" s="250"/>
      <c r="Y233" s="269"/>
      <c r="Z233" s="269"/>
      <c r="AB233" s="251"/>
      <c r="AC233" s="251"/>
      <c r="AD233" s="251"/>
      <c r="AE233" s="251"/>
      <c r="AF233" s="270"/>
      <c r="AG233" s="30"/>
      <c r="AH233" s="251"/>
      <c r="AI233" s="251"/>
      <c r="AL233" s="27"/>
      <c r="AM233" s="245"/>
      <c r="AN233" s="245"/>
      <c r="AO233" s="245"/>
      <c r="AP233" s="245"/>
      <c r="AQ233" s="245"/>
      <c r="AR233" s="245"/>
      <c r="AS233" s="30"/>
      <c r="AW233" s="238"/>
      <c r="AX233" s="238"/>
      <c r="AY233" s="238"/>
      <c r="AZ233" s="238"/>
      <c r="BA233" s="238"/>
      <c r="BB233" s="238"/>
      <c r="BK233" s="250"/>
      <c r="BL233" s="250"/>
      <c r="BM233" s="250"/>
      <c r="BN233" s="250"/>
      <c r="BO233" s="250"/>
      <c r="BP233" s="250"/>
      <c r="BQ233" s="250"/>
      <c r="BR233" s="250"/>
      <c r="BS233" s="250"/>
      <c r="BT233" s="250"/>
      <c r="BU233" s="250"/>
      <c r="BV233" s="250"/>
      <c r="BW233" s="250"/>
      <c r="BX233" s="250"/>
      <c r="BY233" s="250"/>
      <c r="BZ233" s="250"/>
      <c r="CW233" s="9"/>
      <c r="CX233" s="9"/>
      <c r="CY233" s="9"/>
      <c r="DQ233" s="9"/>
      <c r="DR233" s="9"/>
      <c r="DS233" s="9"/>
      <c r="DT233" s="9"/>
      <c r="DU233" s="9"/>
      <c r="EQ233" s="245"/>
      <c r="ER233" s="245"/>
      <c r="ES233" s="245"/>
      <c r="ET233" s="245"/>
      <c r="EU233" s="245"/>
      <c r="EV233" s="245"/>
      <c r="EW233" s="245"/>
      <c r="EX233" s="245"/>
      <c r="EY233" s="245"/>
      <c r="EZ233" s="245"/>
      <c r="FA233" s="245"/>
      <c r="FB233" s="245"/>
      <c r="FC233" s="245"/>
      <c r="FD233" s="245"/>
      <c r="FE233" s="245"/>
      <c r="FF233" s="245"/>
      <c r="FG233" s="245"/>
      <c r="FH233" s="245"/>
      <c r="FI233" s="245"/>
      <c r="FJ233" s="245"/>
      <c r="FK233" s="245"/>
      <c r="FL233" s="245"/>
      <c r="FM233" s="245"/>
      <c r="FN233" s="245"/>
      <c r="FO233" s="245"/>
      <c r="FP233" s="245"/>
      <c r="FQ233" s="245"/>
      <c r="FR233" s="245"/>
      <c r="FS233" s="245"/>
      <c r="FT233" s="245"/>
      <c r="FU233" s="245"/>
    </row>
    <row r="234" spans="1:177" s="1" customFormat="1" ht="14.25" thickBot="1">
      <c r="A234" s="6"/>
      <c r="B234" s="514">
        <v>42005</v>
      </c>
      <c r="C234" s="515">
        <v>42036</v>
      </c>
      <c r="D234" s="515">
        <v>42064</v>
      </c>
      <c r="E234" s="515">
        <v>42095</v>
      </c>
      <c r="F234" s="515">
        <v>42125</v>
      </c>
      <c r="G234" s="515">
        <v>42156</v>
      </c>
      <c r="H234" s="516">
        <v>42186</v>
      </c>
      <c r="I234" s="269"/>
      <c r="J234" s="269"/>
      <c r="X234" s="250"/>
      <c r="Y234" s="269"/>
      <c r="Z234" s="269"/>
      <c r="AB234" s="251"/>
      <c r="AC234" s="251"/>
      <c r="AD234" s="251"/>
      <c r="AE234" s="251"/>
      <c r="AF234" s="270"/>
      <c r="AG234" s="30"/>
      <c r="AH234" s="251"/>
      <c r="AI234" s="251"/>
      <c r="AL234" s="27"/>
      <c r="AM234" s="245"/>
      <c r="AN234" s="245"/>
      <c r="AO234" s="245"/>
      <c r="AP234" s="245"/>
      <c r="AQ234" s="245"/>
      <c r="AR234" s="245"/>
      <c r="AS234" s="30"/>
      <c r="AW234" s="238"/>
      <c r="AX234" s="238"/>
      <c r="AY234" s="238"/>
      <c r="AZ234" s="238"/>
      <c r="BA234" s="238"/>
      <c r="BB234" s="238"/>
      <c r="BK234" s="250"/>
      <c r="BL234" s="250"/>
      <c r="BM234" s="250"/>
      <c r="BN234" s="250"/>
      <c r="BO234" s="250"/>
      <c r="BP234" s="250"/>
      <c r="BQ234" s="250"/>
      <c r="BR234" s="250"/>
      <c r="BS234" s="250"/>
      <c r="BT234" s="250"/>
      <c r="BU234" s="250"/>
      <c r="BV234" s="250"/>
      <c r="BW234" s="250"/>
      <c r="BX234" s="250"/>
      <c r="BY234" s="250"/>
      <c r="BZ234" s="250"/>
      <c r="CW234" s="9"/>
      <c r="CX234" s="9"/>
      <c r="CY234" s="9"/>
      <c r="DQ234" s="9"/>
      <c r="DR234" s="9"/>
      <c r="DS234" s="9"/>
      <c r="DT234" s="9"/>
      <c r="DU234" s="9"/>
      <c r="EQ234" s="245"/>
      <c r="ER234" s="245"/>
      <c r="ES234" s="245"/>
      <c r="ET234" s="245"/>
      <c r="EU234" s="245"/>
      <c r="EV234" s="245"/>
      <c r="EW234" s="245"/>
      <c r="EX234" s="245"/>
      <c r="EY234" s="245"/>
      <c r="EZ234" s="245"/>
      <c r="FA234" s="245"/>
      <c r="FB234" s="245"/>
      <c r="FC234" s="245"/>
      <c r="FD234" s="245"/>
      <c r="FE234" s="245"/>
      <c r="FF234" s="245"/>
      <c r="FG234" s="245"/>
      <c r="FH234" s="245"/>
      <c r="FI234" s="245"/>
      <c r="FJ234" s="245"/>
      <c r="FK234" s="245"/>
      <c r="FL234" s="245"/>
      <c r="FM234" s="245"/>
      <c r="FN234" s="245"/>
      <c r="FO234" s="245"/>
      <c r="FP234" s="245"/>
      <c r="FQ234" s="245"/>
      <c r="FR234" s="245"/>
      <c r="FS234" s="245"/>
      <c r="FT234" s="245"/>
      <c r="FU234" s="245"/>
    </row>
    <row r="235" spans="1:177" s="1" customFormat="1" ht="13.5">
      <c r="A235" s="484" t="s">
        <v>216</v>
      </c>
      <c r="B235" s="517">
        <f t="shared" ref="B235:H235" si="18">B236+B237</f>
        <v>142700</v>
      </c>
      <c r="C235" s="271">
        <f t="shared" si="18"/>
        <v>141600</v>
      </c>
      <c r="D235" s="271">
        <f t="shared" si="18"/>
        <v>140600</v>
      </c>
      <c r="E235" s="271">
        <f t="shared" si="18"/>
        <v>139200</v>
      </c>
      <c r="F235" s="271">
        <f t="shared" si="18"/>
        <v>138100</v>
      </c>
      <c r="G235" s="271">
        <f t="shared" si="18"/>
        <v>137300</v>
      </c>
      <c r="H235" s="518">
        <f t="shared" si="18"/>
        <v>136300</v>
      </c>
      <c r="I235" s="269"/>
      <c r="J235" s="269"/>
      <c r="X235" s="250"/>
      <c r="Y235" s="269"/>
      <c r="Z235" s="269"/>
      <c r="AB235" s="251"/>
      <c r="AC235" s="251"/>
      <c r="AD235" s="251"/>
      <c r="AE235" s="251"/>
      <c r="AF235" s="270"/>
      <c r="AG235" s="30"/>
      <c r="AH235" s="251"/>
      <c r="AI235" s="251"/>
      <c r="AL235" s="27"/>
      <c r="AM235" s="245"/>
      <c r="AN235" s="245"/>
      <c r="AO235" s="245"/>
      <c r="AP235" s="245"/>
      <c r="AQ235" s="245"/>
      <c r="AR235" s="245"/>
      <c r="AS235" s="30"/>
      <c r="AW235" s="238"/>
      <c r="AX235" s="238"/>
      <c r="AY235" s="238"/>
      <c r="AZ235" s="238"/>
      <c r="BA235" s="238"/>
      <c r="BB235" s="238"/>
      <c r="BK235" s="250"/>
      <c r="BL235" s="250"/>
      <c r="BM235" s="250"/>
      <c r="BN235" s="250"/>
      <c r="BO235" s="250"/>
      <c r="BP235" s="250"/>
      <c r="BQ235" s="250"/>
      <c r="BR235" s="250"/>
      <c r="BS235" s="250"/>
      <c r="BT235" s="250"/>
      <c r="BU235" s="250"/>
      <c r="BV235" s="250"/>
      <c r="BW235" s="250"/>
      <c r="BX235" s="250"/>
      <c r="BY235" s="250"/>
      <c r="BZ235" s="250"/>
      <c r="CW235" s="9"/>
      <c r="CX235" s="9"/>
      <c r="CY235" s="9"/>
      <c r="DQ235" s="9"/>
      <c r="DR235" s="9"/>
      <c r="DS235" s="9"/>
      <c r="DT235" s="9"/>
      <c r="DU235" s="9"/>
      <c r="EQ235" s="245"/>
      <c r="ER235" s="245"/>
      <c r="ES235" s="245"/>
      <c r="ET235" s="245"/>
      <c r="EU235" s="245"/>
      <c r="EV235" s="245"/>
      <c r="EW235" s="245"/>
      <c r="EX235" s="245"/>
      <c r="EY235" s="245"/>
      <c r="EZ235" s="245"/>
      <c r="FA235" s="245"/>
      <c r="FB235" s="245"/>
      <c r="FC235" s="245"/>
      <c r="FD235" s="245"/>
      <c r="FE235" s="245"/>
      <c r="FF235" s="245"/>
      <c r="FG235" s="245"/>
      <c r="FH235" s="245"/>
      <c r="FI235" s="245"/>
      <c r="FJ235" s="245"/>
      <c r="FK235" s="245"/>
      <c r="FL235" s="245"/>
      <c r="FM235" s="245"/>
      <c r="FN235" s="245"/>
      <c r="FO235" s="245"/>
      <c r="FP235" s="245"/>
      <c r="FQ235" s="245"/>
      <c r="FR235" s="245"/>
      <c r="FS235" s="245"/>
      <c r="FT235" s="245"/>
      <c r="FU235" s="245"/>
    </row>
    <row r="236" spans="1:177" s="1" customFormat="1" ht="13.5">
      <c r="A236" s="519" t="s">
        <v>217</v>
      </c>
      <c r="B236" s="453">
        <v>104000</v>
      </c>
      <c r="C236" s="256">
        <v>103200</v>
      </c>
      <c r="D236" s="256">
        <v>102300</v>
      </c>
      <c r="E236" s="256">
        <v>101400</v>
      </c>
      <c r="F236" s="256">
        <v>100600</v>
      </c>
      <c r="G236" s="256">
        <v>100100</v>
      </c>
      <c r="H236" s="454">
        <v>99700</v>
      </c>
      <c r="I236" s="269"/>
      <c r="J236" s="269"/>
      <c r="X236" s="250"/>
      <c r="Y236" s="269"/>
      <c r="Z236" s="269"/>
      <c r="AB236" s="251"/>
      <c r="AC236" s="251"/>
      <c r="AD236" s="251"/>
      <c r="AE236" s="251"/>
      <c r="AF236" s="270"/>
      <c r="AG236" s="30"/>
      <c r="AH236" s="251"/>
      <c r="AI236" s="251"/>
      <c r="AL236" s="27"/>
      <c r="AM236" s="245"/>
      <c r="AN236" s="245"/>
      <c r="AO236" s="245"/>
      <c r="AP236" s="245"/>
      <c r="AQ236" s="245"/>
      <c r="AR236" s="245"/>
      <c r="AS236" s="30"/>
      <c r="AW236" s="238"/>
      <c r="AX236" s="238"/>
      <c r="AY236" s="238"/>
      <c r="AZ236" s="238"/>
      <c r="BA236" s="238"/>
      <c r="BB236" s="238"/>
      <c r="BK236" s="250"/>
      <c r="BL236" s="250"/>
      <c r="BM236" s="250"/>
      <c r="BN236" s="250"/>
      <c r="BO236" s="250"/>
      <c r="BP236" s="250"/>
      <c r="BQ236" s="250"/>
      <c r="BR236" s="250"/>
      <c r="BS236" s="250"/>
      <c r="BT236" s="250"/>
      <c r="BU236" s="250"/>
      <c r="BV236" s="250"/>
      <c r="BW236" s="250"/>
      <c r="BX236" s="250"/>
      <c r="BY236" s="250"/>
      <c r="BZ236" s="250"/>
      <c r="CW236" s="9"/>
      <c r="CX236" s="9"/>
      <c r="CY236" s="9"/>
      <c r="DQ236" s="9"/>
      <c r="DR236" s="9"/>
      <c r="DS236" s="9"/>
      <c r="DT236" s="9"/>
      <c r="DU236" s="9"/>
      <c r="EQ236" s="245"/>
      <c r="ER236" s="245"/>
      <c r="ES236" s="245"/>
      <c r="ET236" s="245"/>
      <c r="EU236" s="245"/>
      <c r="EV236" s="245"/>
      <c r="EW236" s="245"/>
      <c r="EX236" s="245"/>
      <c r="EY236" s="245"/>
      <c r="EZ236" s="245"/>
      <c r="FA236" s="245"/>
      <c r="FB236" s="245"/>
      <c r="FC236" s="245"/>
      <c r="FD236" s="245"/>
      <c r="FE236" s="245"/>
      <c r="FF236" s="245"/>
      <c r="FG236" s="245"/>
      <c r="FH236" s="245"/>
      <c r="FI236" s="245"/>
      <c r="FJ236" s="245"/>
      <c r="FK236" s="245"/>
      <c r="FL236" s="245"/>
      <c r="FM236" s="245"/>
      <c r="FN236" s="245"/>
      <c r="FO236" s="245"/>
      <c r="FP236" s="245"/>
      <c r="FQ236" s="245"/>
      <c r="FR236" s="245"/>
      <c r="FS236" s="245"/>
      <c r="FT236" s="245"/>
      <c r="FU236" s="245"/>
    </row>
    <row r="237" spans="1:177" s="1" customFormat="1" ht="13.5">
      <c r="A237" s="519" t="s">
        <v>218</v>
      </c>
      <c r="B237" s="453">
        <v>38700</v>
      </c>
      <c r="C237" s="256">
        <v>38400</v>
      </c>
      <c r="D237" s="256">
        <v>38300</v>
      </c>
      <c r="E237" s="256">
        <v>37800</v>
      </c>
      <c r="F237" s="256">
        <v>37500</v>
      </c>
      <c r="G237" s="256">
        <v>37200</v>
      </c>
      <c r="H237" s="454">
        <v>36600</v>
      </c>
      <c r="I237" s="269"/>
      <c r="J237" s="269"/>
      <c r="X237" s="250"/>
      <c r="Y237" s="269"/>
      <c r="Z237" s="269"/>
      <c r="AB237" s="251"/>
      <c r="AC237" s="251"/>
      <c r="AD237" s="251"/>
      <c r="AE237" s="251"/>
      <c r="AF237" s="270"/>
      <c r="AG237" s="30"/>
      <c r="AH237" s="251"/>
      <c r="AI237" s="251"/>
      <c r="AL237" s="27"/>
      <c r="AM237" s="245"/>
      <c r="AN237" s="245"/>
      <c r="AO237" s="245"/>
      <c r="AP237" s="245"/>
      <c r="AQ237" s="245"/>
      <c r="AR237" s="245"/>
      <c r="AS237" s="30"/>
      <c r="AW237" s="238"/>
      <c r="AX237" s="238"/>
      <c r="AY237" s="238"/>
      <c r="AZ237" s="238"/>
      <c r="BA237" s="238"/>
      <c r="BB237" s="238"/>
      <c r="BK237" s="250"/>
      <c r="BL237" s="250"/>
      <c r="BM237" s="250"/>
      <c r="BN237" s="250"/>
      <c r="BO237" s="250"/>
      <c r="BP237" s="250"/>
      <c r="BQ237" s="250"/>
      <c r="BR237" s="250"/>
      <c r="BS237" s="250"/>
      <c r="BT237" s="250"/>
      <c r="BU237" s="250"/>
      <c r="BV237" s="250"/>
      <c r="BW237" s="250"/>
      <c r="BX237" s="250"/>
      <c r="BY237" s="250"/>
      <c r="BZ237" s="250"/>
      <c r="CW237" s="9"/>
      <c r="CX237" s="9"/>
      <c r="CY237" s="9"/>
      <c r="DQ237" s="9"/>
      <c r="DR237" s="9"/>
      <c r="DS237" s="9"/>
      <c r="DT237" s="9"/>
      <c r="DU237" s="9"/>
      <c r="EQ237" s="245"/>
      <c r="ER237" s="245"/>
      <c r="ES237" s="245"/>
      <c r="ET237" s="245"/>
      <c r="EU237" s="245"/>
      <c r="EV237" s="245"/>
      <c r="EW237" s="245"/>
      <c r="EX237" s="245"/>
      <c r="EY237" s="245"/>
      <c r="EZ237" s="245"/>
      <c r="FA237" s="245"/>
      <c r="FB237" s="245"/>
      <c r="FC237" s="245"/>
      <c r="FD237" s="245"/>
      <c r="FE237" s="245"/>
      <c r="FF237" s="245"/>
      <c r="FG237" s="245"/>
      <c r="FH237" s="245"/>
      <c r="FI237" s="245"/>
      <c r="FJ237" s="245"/>
      <c r="FK237" s="245"/>
      <c r="FL237" s="245"/>
      <c r="FM237" s="245"/>
      <c r="FN237" s="245"/>
      <c r="FO237" s="245"/>
      <c r="FP237" s="245"/>
      <c r="FQ237" s="245"/>
      <c r="FR237" s="245"/>
      <c r="FS237" s="245"/>
      <c r="FT237" s="245"/>
      <c r="FU237" s="245"/>
    </row>
    <row r="238" spans="1:177" s="1" customFormat="1" ht="13.5">
      <c r="A238" s="519" t="s">
        <v>188</v>
      </c>
      <c r="B238" s="453">
        <v>184300</v>
      </c>
      <c r="C238" s="256">
        <v>184000</v>
      </c>
      <c r="D238" s="256">
        <v>183900</v>
      </c>
      <c r="E238" s="256">
        <v>183500</v>
      </c>
      <c r="F238" s="256">
        <v>183200</v>
      </c>
      <c r="G238" s="256">
        <v>183500</v>
      </c>
      <c r="H238" s="454">
        <v>181400</v>
      </c>
      <c r="I238" s="269"/>
      <c r="J238" s="269"/>
      <c r="X238" s="250"/>
      <c r="Y238" s="269"/>
      <c r="Z238" s="269"/>
      <c r="AB238" s="251"/>
      <c r="AC238" s="251"/>
      <c r="AD238" s="251"/>
      <c r="AE238" s="251"/>
      <c r="AF238" s="270"/>
      <c r="AG238" s="30"/>
      <c r="AH238" s="251"/>
      <c r="AI238" s="251"/>
      <c r="AL238" s="27"/>
      <c r="AM238" s="245"/>
      <c r="AN238" s="245"/>
      <c r="AO238" s="245"/>
      <c r="AP238" s="245"/>
      <c r="AQ238" s="245"/>
      <c r="AR238" s="245"/>
      <c r="AS238" s="30"/>
      <c r="AW238" s="238"/>
      <c r="AX238" s="238"/>
      <c r="AY238" s="238"/>
      <c r="AZ238" s="238"/>
      <c r="BA238" s="238"/>
      <c r="BB238" s="238"/>
      <c r="BK238" s="250"/>
      <c r="BL238" s="250"/>
      <c r="BM238" s="250"/>
      <c r="BN238" s="250"/>
      <c r="BO238" s="250"/>
      <c r="BP238" s="250"/>
      <c r="BQ238" s="250"/>
      <c r="BR238" s="250"/>
      <c r="BS238" s="250"/>
      <c r="BT238" s="250"/>
      <c r="BU238" s="250"/>
      <c r="BV238" s="250"/>
      <c r="BW238" s="250"/>
      <c r="BX238" s="250"/>
      <c r="BY238" s="250"/>
      <c r="BZ238" s="250"/>
      <c r="CW238" s="9"/>
      <c r="CX238" s="9"/>
      <c r="CY238" s="9"/>
      <c r="DQ238" s="9"/>
      <c r="DR238" s="9"/>
      <c r="DS238" s="9"/>
      <c r="DT238" s="9"/>
      <c r="DU238" s="9"/>
      <c r="EQ238" s="245"/>
      <c r="ER238" s="245"/>
      <c r="ES238" s="245"/>
      <c r="ET238" s="245"/>
      <c r="EU238" s="245"/>
      <c r="EV238" s="245"/>
      <c r="EW238" s="245"/>
      <c r="EX238" s="245"/>
      <c r="EY238" s="245"/>
      <c r="EZ238" s="245"/>
      <c r="FA238" s="245"/>
      <c r="FB238" s="245"/>
      <c r="FC238" s="245"/>
      <c r="FD238" s="245"/>
      <c r="FE238" s="245"/>
      <c r="FF238" s="245"/>
      <c r="FG238" s="245"/>
      <c r="FH238" s="245"/>
      <c r="FI238" s="245"/>
      <c r="FJ238" s="245"/>
      <c r="FK238" s="245"/>
      <c r="FL238" s="245"/>
      <c r="FM238" s="245"/>
      <c r="FN238" s="245"/>
      <c r="FO238" s="245"/>
      <c r="FP238" s="245"/>
      <c r="FQ238" s="245"/>
      <c r="FR238" s="245"/>
      <c r="FS238" s="245"/>
      <c r="FT238" s="245"/>
      <c r="FU238" s="245"/>
    </row>
    <row r="239" spans="1:177" s="1" customFormat="1" ht="13.5">
      <c r="A239" s="519" t="s">
        <v>219</v>
      </c>
      <c r="B239" s="453">
        <v>25800</v>
      </c>
      <c r="C239" s="256">
        <v>26500</v>
      </c>
      <c r="D239" s="256">
        <v>26800</v>
      </c>
      <c r="E239" s="256">
        <v>25500</v>
      </c>
      <c r="F239" s="256">
        <v>25500</v>
      </c>
      <c r="G239" s="256">
        <v>24400</v>
      </c>
      <c r="H239" s="454">
        <v>24600</v>
      </c>
      <c r="I239" s="269"/>
      <c r="J239" s="269"/>
      <c r="X239" s="250"/>
      <c r="Y239" s="269"/>
      <c r="Z239" s="269"/>
      <c r="AB239" s="251"/>
      <c r="AC239" s="251"/>
      <c r="AD239" s="251"/>
      <c r="AE239" s="251"/>
      <c r="AF239" s="270"/>
      <c r="AG239" s="30"/>
      <c r="AH239" s="251"/>
      <c r="AI239" s="251"/>
      <c r="AL239" s="27"/>
      <c r="AM239" s="245"/>
      <c r="AN239" s="245"/>
      <c r="AO239" s="245"/>
      <c r="AP239" s="245"/>
      <c r="AQ239" s="245"/>
      <c r="AR239" s="245"/>
      <c r="AS239" s="30"/>
      <c r="AW239" s="238"/>
      <c r="AX239" s="238"/>
      <c r="AY239" s="238"/>
      <c r="AZ239" s="238"/>
      <c r="BA239" s="238"/>
      <c r="BB239" s="238"/>
      <c r="BK239" s="250"/>
      <c r="BL239" s="250"/>
      <c r="BM239" s="250"/>
      <c r="BN239" s="250"/>
      <c r="BO239" s="250"/>
      <c r="BP239" s="250"/>
      <c r="BQ239" s="250"/>
      <c r="BR239" s="250"/>
      <c r="BS239" s="250"/>
      <c r="BT239" s="250"/>
      <c r="BU239" s="250"/>
      <c r="BV239" s="250"/>
      <c r="BW239" s="250"/>
      <c r="BX239" s="250"/>
      <c r="BY239" s="250"/>
      <c r="BZ239" s="250"/>
      <c r="CW239" s="9"/>
      <c r="CX239" s="9"/>
      <c r="CY239" s="9"/>
      <c r="DQ239" s="9"/>
      <c r="DR239" s="9"/>
      <c r="DS239" s="9"/>
      <c r="DT239" s="9"/>
      <c r="DU239" s="9"/>
      <c r="EQ239" s="245"/>
      <c r="ER239" s="245"/>
      <c r="ES239" s="245"/>
      <c r="ET239" s="245"/>
      <c r="EU239" s="245"/>
      <c r="EV239" s="245"/>
      <c r="EW239" s="245"/>
      <c r="EX239" s="245"/>
      <c r="EY239" s="245"/>
      <c r="EZ239" s="245"/>
      <c r="FA239" s="245"/>
      <c r="FB239" s="245"/>
      <c r="FC239" s="245"/>
      <c r="FD239" s="245"/>
      <c r="FE239" s="245"/>
      <c r="FF239" s="245"/>
      <c r="FG239" s="245"/>
      <c r="FH239" s="245"/>
      <c r="FI239" s="245"/>
      <c r="FJ239" s="245"/>
      <c r="FK239" s="245"/>
      <c r="FL239" s="245"/>
      <c r="FM239" s="245"/>
      <c r="FN239" s="245"/>
      <c r="FO239" s="245"/>
      <c r="FP239" s="245"/>
      <c r="FQ239" s="245"/>
      <c r="FR239" s="245"/>
      <c r="FS239" s="245"/>
      <c r="FT239" s="245"/>
      <c r="FU239" s="245"/>
    </row>
    <row r="240" spans="1:177" s="1" customFormat="1" ht="14.25" thickBot="1">
      <c r="A240" s="520" t="s">
        <v>18</v>
      </c>
      <c r="B240" s="521">
        <v>352700</v>
      </c>
      <c r="C240" s="522">
        <v>352100</v>
      </c>
      <c r="D240" s="522">
        <v>351200</v>
      </c>
      <c r="E240" s="522">
        <v>348100</v>
      </c>
      <c r="F240" s="522">
        <v>346800</v>
      </c>
      <c r="G240" s="522">
        <v>345200</v>
      </c>
      <c r="H240" s="523">
        <v>342400</v>
      </c>
      <c r="I240" s="269"/>
      <c r="J240" s="269"/>
      <c r="X240" s="250"/>
      <c r="Y240" s="269"/>
      <c r="Z240" s="269"/>
      <c r="AB240" s="251"/>
      <c r="AC240" s="251"/>
      <c r="AD240" s="251"/>
      <c r="AE240" s="251"/>
      <c r="AF240" s="270"/>
      <c r="AG240" s="30"/>
      <c r="AH240" s="251"/>
      <c r="AI240" s="251"/>
      <c r="AL240" s="27"/>
      <c r="AM240" s="245"/>
      <c r="AN240" s="245"/>
      <c r="AO240" s="245"/>
      <c r="AP240" s="245"/>
      <c r="AQ240" s="245"/>
      <c r="AR240" s="245"/>
      <c r="AS240" s="30"/>
      <c r="AW240" s="238"/>
      <c r="AX240" s="238"/>
      <c r="AY240" s="238"/>
      <c r="AZ240" s="238"/>
      <c r="BA240" s="238"/>
      <c r="BB240" s="238"/>
      <c r="BK240" s="250"/>
      <c r="BL240" s="250"/>
      <c r="BM240" s="250"/>
      <c r="BN240" s="250"/>
      <c r="BO240" s="250"/>
      <c r="BP240" s="250"/>
      <c r="BQ240" s="250"/>
      <c r="BR240" s="250"/>
      <c r="BS240" s="250"/>
      <c r="BT240" s="250"/>
      <c r="BU240" s="250"/>
      <c r="BV240" s="250"/>
      <c r="BW240" s="250"/>
      <c r="BX240" s="250"/>
      <c r="BY240" s="250"/>
      <c r="BZ240" s="250"/>
      <c r="CW240" s="9"/>
      <c r="CX240" s="9"/>
      <c r="CY240" s="9"/>
      <c r="DQ240" s="9"/>
      <c r="DR240" s="9"/>
      <c r="DS240" s="9"/>
      <c r="DT240" s="9"/>
      <c r="DU240" s="9"/>
      <c r="EQ240" s="245"/>
      <c r="ER240" s="245"/>
      <c r="ES240" s="245"/>
      <c r="ET240" s="245"/>
      <c r="EU240" s="245"/>
      <c r="EV240" s="245"/>
      <c r="EW240" s="245"/>
      <c r="EX240" s="245"/>
      <c r="EY240" s="245"/>
      <c r="EZ240" s="245"/>
      <c r="FA240" s="245"/>
      <c r="FB240" s="245"/>
      <c r="FC240" s="245"/>
      <c r="FD240" s="245"/>
      <c r="FE240" s="245"/>
      <c r="FF240" s="245"/>
      <c r="FG240" s="245"/>
      <c r="FH240" s="245"/>
      <c r="FI240" s="245"/>
      <c r="FJ240" s="245"/>
      <c r="FK240" s="245"/>
      <c r="FL240" s="245"/>
      <c r="FM240" s="245"/>
      <c r="FN240" s="245"/>
      <c r="FO240" s="245"/>
      <c r="FP240" s="245"/>
      <c r="FQ240" s="245"/>
      <c r="FR240" s="245"/>
      <c r="FS240" s="245"/>
      <c r="FT240" s="245"/>
      <c r="FU240" s="245"/>
    </row>
    <row r="241" spans="1:177" s="1" customFormat="1" ht="13.5">
      <c r="A241" s="14" t="s">
        <v>224</v>
      </c>
      <c r="B241" s="269"/>
      <c r="C241" s="269"/>
      <c r="D241" s="269"/>
      <c r="E241" s="269"/>
      <c r="F241" s="269"/>
      <c r="G241" s="269"/>
      <c r="H241" s="30"/>
      <c r="I241" s="269"/>
      <c r="J241" s="269"/>
      <c r="X241" s="250"/>
      <c r="Y241" s="269"/>
      <c r="Z241" s="269"/>
      <c r="AB241" s="251"/>
      <c r="AC241" s="251"/>
      <c r="AD241" s="251"/>
      <c r="AE241" s="251"/>
      <c r="AF241" s="270"/>
      <c r="AG241" s="30"/>
      <c r="AH241" s="251"/>
      <c r="AI241" s="251"/>
      <c r="AL241" s="27"/>
      <c r="AM241" s="245"/>
      <c r="AN241" s="245"/>
      <c r="AO241" s="245"/>
      <c r="AP241" s="245"/>
      <c r="AQ241" s="245"/>
      <c r="AR241" s="245"/>
      <c r="AS241" s="30"/>
      <c r="AW241" s="238"/>
      <c r="AX241" s="238"/>
      <c r="AY241" s="238"/>
      <c r="AZ241" s="238"/>
      <c r="BA241" s="238"/>
      <c r="BB241" s="238"/>
      <c r="BK241" s="250"/>
      <c r="BL241" s="250"/>
      <c r="BM241" s="250"/>
      <c r="BN241" s="250"/>
      <c r="BO241" s="250"/>
      <c r="BP241" s="250"/>
      <c r="BQ241" s="250"/>
      <c r="BR241" s="250"/>
      <c r="BS241" s="250"/>
      <c r="BT241" s="250"/>
      <c r="BU241" s="250"/>
      <c r="BV241" s="250"/>
      <c r="BW241" s="250"/>
      <c r="BX241" s="250"/>
      <c r="BY241" s="250"/>
      <c r="BZ241" s="250"/>
      <c r="CW241" s="9"/>
      <c r="CX241" s="9"/>
      <c r="CY241" s="9"/>
      <c r="DQ241" s="9"/>
      <c r="DR241" s="9"/>
      <c r="DS241" s="9"/>
      <c r="DT241" s="9"/>
      <c r="DU241" s="9"/>
      <c r="EQ241" s="245"/>
      <c r="ER241" s="245"/>
      <c r="ES241" s="245"/>
      <c r="ET241" s="245"/>
      <c r="EU241" s="245"/>
      <c r="EV241" s="245"/>
      <c r="EW241" s="245"/>
      <c r="EX241" s="245"/>
      <c r="EY241" s="245"/>
      <c r="EZ241" s="245"/>
      <c r="FA241" s="245"/>
      <c r="FB241" s="245"/>
      <c r="FC241" s="245"/>
      <c r="FD241" s="245"/>
      <c r="FE241" s="245"/>
      <c r="FF241" s="245"/>
      <c r="FG241" s="245"/>
      <c r="FH241" s="245"/>
      <c r="FI241" s="245"/>
      <c r="FJ241" s="245"/>
      <c r="FK241" s="245"/>
      <c r="FL241" s="245"/>
      <c r="FM241" s="245"/>
      <c r="FN241" s="245"/>
      <c r="FO241" s="245"/>
      <c r="FP241" s="245"/>
      <c r="FQ241" s="245"/>
      <c r="FR241" s="245"/>
      <c r="FS241" s="245"/>
      <c r="FT241" s="245"/>
      <c r="FU241" s="245"/>
    </row>
    <row r="242" spans="1:177" s="1" customFormat="1" ht="13.5">
      <c r="A242" s="6" t="s">
        <v>221</v>
      </c>
      <c r="B242" s="269"/>
      <c r="C242" s="269"/>
      <c r="D242" s="269"/>
      <c r="E242" s="269"/>
      <c r="F242" s="269"/>
      <c r="G242" s="269"/>
      <c r="H242" s="30"/>
      <c r="I242" s="269"/>
      <c r="J242" s="269"/>
      <c r="X242" s="250"/>
      <c r="Y242" s="269"/>
      <c r="Z242" s="269"/>
      <c r="AB242" s="251"/>
      <c r="AC242" s="251"/>
      <c r="AD242" s="251"/>
      <c r="AE242" s="251"/>
      <c r="AF242" s="270"/>
      <c r="AG242" s="30"/>
      <c r="AH242" s="251"/>
      <c r="AI242" s="251"/>
      <c r="AL242" s="27"/>
      <c r="AM242" s="245"/>
      <c r="AN242" s="245"/>
      <c r="AO242" s="245"/>
      <c r="AP242" s="245"/>
      <c r="AQ242" s="245"/>
      <c r="AR242" s="245"/>
      <c r="AS242" s="30"/>
      <c r="AW242" s="238"/>
      <c r="AX242" s="238"/>
      <c r="AY242" s="238"/>
      <c r="AZ242" s="238"/>
      <c r="BA242" s="238"/>
      <c r="BB242" s="238"/>
      <c r="BK242" s="250"/>
      <c r="BL242" s="250"/>
      <c r="BM242" s="250"/>
      <c r="BN242" s="250"/>
      <c r="BO242" s="250"/>
      <c r="BP242" s="250"/>
      <c r="BQ242" s="250"/>
      <c r="BR242" s="250"/>
      <c r="BS242" s="250"/>
      <c r="BT242" s="250"/>
      <c r="BU242" s="250"/>
      <c r="BV242" s="250"/>
      <c r="BW242" s="250"/>
      <c r="BX242" s="250"/>
      <c r="BY242" s="250"/>
      <c r="BZ242" s="250"/>
      <c r="CW242" s="9"/>
      <c r="CX242" s="9"/>
      <c r="CY242" s="9"/>
      <c r="DQ242" s="9"/>
      <c r="DR242" s="9"/>
      <c r="DS242" s="9"/>
      <c r="DT242" s="9"/>
      <c r="DU242" s="9"/>
      <c r="EQ242" s="245"/>
      <c r="ER242" s="245"/>
      <c r="ES242" s="245"/>
      <c r="ET242" s="245"/>
      <c r="EU242" s="245"/>
      <c r="EV242" s="245"/>
      <c r="EW242" s="245"/>
      <c r="EX242" s="245"/>
      <c r="EY242" s="245"/>
      <c r="EZ242" s="245"/>
      <c r="FA242" s="245"/>
      <c r="FB242" s="245"/>
      <c r="FC242" s="245"/>
      <c r="FD242" s="245"/>
      <c r="FE242" s="245"/>
      <c r="FF242" s="245"/>
      <c r="FG242" s="245"/>
      <c r="FH242" s="245"/>
      <c r="FI242" s="245"/>
      <c r="FJ242" s="245"/>
      <c r="FK242" s="245"/>
      <c r="FL242" s="245"/>
      <c r="FM242" s="245"/>
      <c r="FN242" s="245"/>
      <c r="FO242" s="245"/>
      <c r="FP242" s="245"/>
      <c r="FQ242" s="245"/>
      <c r="FR242" s="245"/>
      <c r="FS242" s="245"/>
      <c r="FT242" s="245"/>
      <c r="FU242" s="245"/>
    </row>
    <row r="243" spans="1:177" s="1" customFormat="1" ht="13.5">
      <c r="A243" s="6" t="s">
        <v>455</v>
      </c>
      <c r="B243" s="269"/>
      <c r="C243" s="269"/>
      <c r="D243" s="269"/>
      <c r="E243" s="269"/>
      <c r="F243" s="269"/>
      <c r="G243" s="269"/>
      <c r="H243" s="30"/>
      <c r="I243" s="269"/>
      <c r="J243" s="269"/>
      <c r="X243" s="250"/>
      <c r="Y243" s="269"/>
      <c r="Z243" s="269"/>
      <c r="AB243" s="251"/>
      <c r="AC243" s="251"/>
      <c r="AD243" s="251"/>
      <c r="AE243" s="251"/>
      <c r="AF243" s="270"/>
      <c r="AG243" s="30"/>
      <c r="AH243" s="251"/>
      <c r="AI243" s="251"/>
      <c r="AL243" s="27"/>
      <c r="AM243" s="245"/>
      <c r="AN243" s="245"/>
      <c r="AO243" s="245"/>
      <c r="AP243" s="245"/>
      <c r="AQ243" s="245"/>
      <c r="AR243" s="245"/>
      <c r="AS243" s="30"/>
      <c r="AW243" s="238"/>
      <c r="AX243" s="238"/>
      <c r="AY243" s="238"/>
      <c r="AZ243" s="238"/>
      <c r="BA243" s="238"/>
      <c r="BB243" s="238"/>
      <c r="BK243" s="250"/>
      <c r="BL243" s="250"/>
      <c r="BM243" s="250"/>
      <c r="BN243" s="250"/>
      <c r="BO243" s="250"/>
      <c r="BP243" s="250"/>
      <c r="BQ243" s="250"/>
      <c r="BR243" s="250"/>
      <c r="BS243" s="250"/>
      <c r="BT243" s="250"/>
      <c r="BU243" s="250"/>
      <c r="BV243" s="250"/>
      <c r="BW243" s="250"/>
      <c r="BX243" s="250"/>
      <c r="BY243" s="250"/>
      <c r="BZ243" s="250"/>
      <c r="CW243" s="9"/>
      <c r="CX243" s="9"/>
      <c r="CY243" s="9"/>
      <c r="DQ243" s="9"/>
      <c r="DR243" s="9"/>
      <c r="DS243" s="9"/>
      <c r="DT243" s="9"/>
      <c r="DU243" s="9"/>
      <c r="EQ243" s="245"/>
      <c r="ER243" s="245"/>
      <c r="ES243" s="245"/>
      <c r="ET243" s="245"/>
      <c r="EU243" s="245"/>
      <c r="EV243" s="245"/>
      <c r="EW243" s="245"/>
      <c r="EX243" s="245"/>
      <c r="EY243" s="245"/>
      <c r="EZ243" s="245"/>
      <c r="FA243" s="245"/>
      <c r="FB243" s="245"/>
      <c r="FC243" s="245"/>
      <c r="FD243" s="245"/>
      <c r="FE243" s="245"/>
      <c r="FF243" s="245"/>
      <c r="FG243" s="245"/>
      <c r="FH243" s="245"/>
      <c r="FI243" s="245"/>
      <c r="FJ243" s="245"/>
      <c r="FK243" s="245"/>
      <c r="FL243" s="245"/>
      <c r="FM243" s="245"/>
      <c r="FN243" s="245"/>
      <c r="FO243" s="245"/>
      <c r="FP243" s="245"/>
      <c r="FQ243" s="245"/>
      <c r="FR243" s="245"/>
      <c r="FS243" s="245"/>
      <c r="FT243" s="245"/>
      <c r="FU243" s="245"/>
    </row>
    <row r="244" spans="1:177" s="1" customFormat="1" ht="13.5">
      <c r="A244" s="6" t="s">
        <v>223</v>
      </c>
      <c r="B244" s="269"/>
      <c r="C244" s="269"/>
      <c r="D244" s="269"/>
      <c r="E244" s="269"/>
      <c r="F244" s="269"/>
      <c r="G244" s="269"/>
      <c r="H244" s="30"/>
      <c r="I244" s="269"/>
      <c r="J244" s="269"/>
      <c r="X244" s="250"/>
      <c r="Y244" s="269"/>
      <c r="Z244" s="269"/>
      <c r="AB244" s="251"/>
      <c r="AC244" s="251"/>
      <c r="AD244" s="251"/>
      <c r="AE244" s="251"/>
      <c r="AF244" s="270"/>
      <c r="AG244" s="30"/>
      <c r="AH244" s="251"/>
      <c r="AI244" s="251"/>
      <c r="AL244" s="27"/>
      <c r="AM244" s="245"/>
      <c r="AN244" s="245"/>
      <c r="AO244" s="245"/>
      <c r="AP244" s="245"/>
      <c r="AQ244" s="245"/>
      <c r="AR244" s="245"/>
      <c r="AS244" s="30"/>
      <c r="AW244" s="238"/>
      <c r="AX244" s="238"/>
      <c r="AY244" s="238"/>
      <c r="AZ244" s="238"/>
      <c r="BA244" s="238"/>
      <c r="BB244" s="238"/>
      <c r="BK244" s="250"/>
      <c r="BL244" s="250"/>
      <c r="BM244" s="250"/>
      <c r="BN244" s="250"/>
      <c r="BO244" s="250"/>
      <c r="BP244" s="250"/>
      <c r="BQ244" s="250"/>
      <c r="BR244" s="250"/>
      <c r="BS244" s="250"/>
      <c r="BT244" s="250"/>
      <c r="BU244" s="250"/>
      <c r="BV244" s="250"/>
      <c r="BW244" s="250"/>
      <c r="BX244" s="250"/>
      <c r="BY244" s="250"/>
      <c r="BZ244" s="250"/>
      <c r="CW244" s="9"/>
      <c r="CX244" s="9"/>
      <c r="CY244" s="9"/>
      <c r="DQ244" s="9"/>
      <c r="DR244" s="9"/>
      <c r="DS244" s="9"/>
      <c r="DT244" s="9"/>
      <c r="DU244" s="9"/>
      <c r="EQ244" s="245"/>
      <c r="ER244" s="245"/>
      <c r="ES244" s="245"/>
      <c r="ET244" s="245"/>
      <c r="EU244" s="245"/>
      <c r="EV244" s="245"/>
      <c r="EW244" s="245"/>
      <c r="EX244" s="245"/>
      <c r="EY244" s="245"/>
      <c r="EZ244" s="245"/>
      <c r="FA244" s="245"/>
      <c r="FB244" s="245"/>
      <c r="FC244" s="245"/>
      <c r="FD244" s="245"/>
      <c r="FE244" s="245"/>
      <c r="FF244" s="245"/>
      <c r="FG244" s="245"/>
      <c r="FH244" s="245"/>
      <c r="FI244" s="245"/>
      <c r="FJ244" s="245"/>
      <c r="FK244" s="245"/>
      <c r="FL244" s="245"/>
      <c r="FM244" s="245"/>
      <c r="FN244" s="245"/>
      <c r="FO244" s="245"/>
      <c r="FP244" s="245"/>
      <c r="FQ244" s="245"/>
      <c r="FR244" s="245"/>
      <c r="FS244" s="245"/>
      <c r="FT244" s="245"/>
      <c r="FU244" s="245"/>
    </row>
    <row r="245" spans="1:177" s="1" customFormat="1" ht="13.5">
      <c r="A245" s="6"/>
      <c r="B245" s="269"/>
      <c r="C245" s="269"/>
      <c r="D245" s="269"/>
      <c r="E245" s="269"/>
      <c r="F245" s="269"/>
      <c r="G245" s="269"/>
      <c r="H245" s="30"/>
      <c r="I245" s="269"/>
      <c r="J245" s="269"/>
      <c r="X245" s="250"/>
      <c r="Y245" s="269"/>
      <c r="Z245" s="269"/>
      <c r="AB245" s="251"/>
      <c r="AC245" s="251"/>
      <c r="AD245" s="251"/>
      <c r="AE245" s="251"/>
      <c r="AF245" s="270"/>
      <c r="AG245" s="30"/>
      <c r="AH245" s="251"/>
      <c r="AI245" s="251"/>
      <c r="AL245" s="27"/>
      <c r="AM245" s="245"/>
      <c r="AN245" s="245"/>
      <c r="AO245" s="245"/>
      <c r="AP245" s="245"/>
      <c r="AQ245" s="245"/>
      <c r="AR245" s="245"/>
      <c r="AS245" s="30"/>
      <c r="AW245" s="238"/>
      <c r="AX245" s="238"/>
      <c r="AY245" s="238"/>
      <c r="AZ245" s="238"/>
      <c r="BA245" s="238"/>
      <c r="BB245" s="238"/>
      <c r="BK245" s="250"/>
      <c r="BL245" s="250"/>
      <c r="BM245" s="250"/>
      <c r="BN245" s="250"/>
      <c r="BO245" s="250"/>
      <c r="BP245" s="250"/>
      <c r="BQ245" s="250"/>
      <c r="BR245" s="250"/>
      <c r="BS245" s="250"/>
      <c r="BT245" s="250"/>
      <c r="BU245" s="250"/>
      <c r="BV245" s="250"/>
      <c r="BW245" s="250"/>
      <c r="BX245" s="250"/>
      <c r="BY245" s="250"/>
      <c r="BZ245" s="250"/>
      <c r="CW245" s="9"/>
      <c r="CX245" s="9"/>
      <c r="CY245" s="9"/>
      <c r="DQ245" s="9"/>
      <c r="DR245" s="9"/>
      <c r="DS245" s="9"/>
      <c r="DT245" s="9"/>
      <c r="DU245" s="9"/>
      <c r="EQ245" s="245"/>
      <c r="ER245" s="245"/>
      <c r="ES245" s="245"/>
      <c r="ET245" s="245"/>
      <c r="EU245" s="245"/>
      <c r="EV245" s="245"/>
      <c r="EW245" s="245"/>
      <c r="EX245" s="245"/>
      <c r="EY245" s="245"/>
      <c r="EZ245" s="245"/>
      <c r="FA245" s="245"/>
      <c r="FB245" s="245"/>
      <c r="FC245" s="245"/>
      <c r="FD245" s="245"/>
      <c r="FE245" s="245"/>
      <c r="FF245" s="245"/>
      <c r="FG245" s="245"/>
      <c r="FH245" s="245"/>
      <c r="FI245" s="245"/>
      <c r="FJ245" s="245"/>
      <c r="FK245" s="245"/>
      <c r="FL245" s="245"/>
      <c r="FM245" s="245"/>
      <c r="FN245" s="245"/>
      <c r="FO245" s="245"/>
      <c r="FP245" s="245"/>
      <c r="FQ245" s="245"/>
      <c r="FR245" s="245"/>
      <c r="FS245" s="245"/>
      <c r="FT245" s="245"/>
      <c r="FU245" s="245"/>
    </row>
    <row r="246" spans="1:177" s="1" customFormat="1" ht="13.5" customHeight="1" thickBo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CW246" s="9"/>
      <c r="CX246" s="9"/>
      <c r="CY246" s="9"/>
      <c r="DQ246" s="9"/>
      <c r="DR246" s="9"/>
      <c r="DS246" s="9"/>
      <c r="DT246" s="9"/>
      <c r="DU246" s="9"/>
    </row>
    <row r="247" spans="1:177" s="1" customFormat="1" ht="13.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41"/>
      <c r="AU247" s="41"/>
      <c r="AV247" s="41"/>
      <c r="AW247" s="41"/>
      <c r="AX247" s="41"/>
      <c r="AY247" s="41"/>
      <c r="AZ247" s="41"/>
      <c r="BA247" s="41"/>
      <c r="BB247" s="41"/>
      <c r="BC247" s="41"/>
      <c r="BK247" s="250"/>
      <c r="BL247" s="250"/>
      <c r="BM247" s="250"/>
      <c r="BN247" s="250"/>
      <c r="BO247" s="250"/>
      <c r="BP247" s="250"/>
      <c r="BQ247" s="250"/>
      <c r="BR247" s="250"/>
      <c r="BS247" s="250"/>
      <c r="BT247" s="250"/>
      <c r="BU247" s="250"/>
      <c r="BV247" s="250"/>
      <c r="BW247" s="250"/>
      <c r="BX247" s="250"/>
      <c r="BY247" s="250"/>
      <c r="BZ247" s="250"/>
      <c r="CA247" s="256"/>
      <c r="CB247" s="256"/>
      <c r="CW247" s="9"/>
      <c r="CX247" s="9"/>
      <c r="CY247" s="9"/>
      <c r="DQ247" s="9"/>
      <c r="DR247" s="9"/>
      <c r="DS247" s="9"/>
      <c r="DT247" s="9"/>
      <c r="DU247" s="9"/>
    </row>
    <row r="248" spans="1:177" s="1" customFormat="1" ht="13.5">
      <c r="A248" s="16" t="s">
        <v>348</v>
      </c>
      <c r="B248" s="8" t="s">
        <v>347</v>
      </c>
      <c r="C248" s="269"/>
      <c r="D248" s="269"/>
      <c r="E248" s="269"/>
      <c r="F248" s="269"/>
      <c r="G248" s="269"/>
      <c r="H248" s="269"/>
      <c r="I248" s="269"/>
      <c r="J248" s="269"/>
      <c r="K248" s="250"/>
      <c r="L248" s="269"/>
      <c r="M248" s="269"/>
      <c r="O248" s="251"/>
      <c r="P248" s="251"/>
      <c r="Q248" s="251"/>
      <c r="R248" s="251"/>
      <c r="S248" s="251"/>
      <c r="T248" s="251"/>
      <c r="U248" s="251"/>
      <c r="V248" s="251"/>
      <c r="Y248" s="27"/>
      <c r="Z248" s="245"/>
      <c r="AA248" s="245"/>
      <c r="AB248" s="245"/>
      <c r="AC248" s="245"/>
      <c r="AD248" s="245"/>
      <c r="AE248" s="245"/>
      <c r="AF248" s="245"/>
      <c r="AK248" s="27"/>
      <c r="AL248" s="27"/>
      <c r="AW248" s="238"/>
      <c r="AX248" s="238"/>
      <c r="AY248" s="238"/>
      <c r="AZ248" s="238"/>
      <c r="BA248" s="238"/>
      <c r="BB248" s="238"/>
      <c r="BC248" s="31"/>
      <c r="BU248" s="245"/>
      <c r="BV248" s="256"/>
      <c r="BW248" s="256"/>
      <c r="BX248" s="256"/>
      <c r="BY248" s="256"/>
      <c r="BZ248" s="256"/>
      <c r="CA248" s="256"/>
      <c r="CB248" s="256"/>
    </row>
    <row r="249" spans="1:177" s="1" customFormat="1" ht="14.25" thickBot="1">
      <c r="A249" s="6"/>
      <c r="B249" s="269"/>
      <c r="C249" s="269"/>
      <c r="D249" s="269"/>
      <c r="E249" s="269"/>
      <c r="F249" s="269"/>
      <c r="G249" s="269"/>
      <c r="H249" s="269"/>
      <c r="I249" s="269"/>
      <c r="J249" s="269"/>
      <c r="K249" s="250"/>
      <c r="L249" s="269"/>
      <c r="M249" s="269"/>
      <c r="O249" s="251"/>
      <c r="P249" s="251"/>
      <c r="Q249" s="251"/>
      <c r="R249" s="251"/>
      <c r="S249" s="251"/>
      <c r="T249" s="251"/>
      <c r="U249" s="251"/>
      <c r="V249" s="251"/>
      <c r="W249" s="251"/>
      <c r="X249" s="251"/>
      <c r="Y249" s="251"/>
      <c r="Z249" s="245"/>
      <c r="AA249" s="245"/>
      <c r="AB249" s="245"/>
      <c r="AC249" s="245"/>
      <c r="AD249" s="245"/>
      <c r="AE249" s="245"/>
      <c r="AF249" s="245"/>
      <c r="AK249" s="242"/>
      <c r="AL249" s="27"/>
      <c r="AM249" s="242"/>
      <c r="AN249" s="242"/>
      <c r="AO249" s="242"/>
      <c r="AP249" s="242"/>
      <c r="AQ249" s="242"/>
      <c r="AR249" s="242"/>
      <c r="AS249" s="242"/>
      <c r="AT249" s="242"/>
      <c r="AU249" s="242"/>
      <c r="AV249" s="242"/>
      <c r="AW249" s="238"/>
      <c r="AX249" s="238"/>
      <c r="AY249" s="238"/>
      <c r="AZ249" s="238"/>
      <c r="BA249" s="238"/>
      <c r="BB249" s="238"/>
      <c r="BC249" s="31"/>
      <c r="BV249" s="256"/>
      <c r="BW249" s="256"/>
      <c r="BX249" s="256"/>
      <c r="BY249" s="256"/>
      <c r="BZ249" s="256"/>
      <c r="CA249" s="256"/>
      <c r="CB249" s="256"/>
    </row>
    <row r="250" spans="1:177" s="1" customFormat="1" ht="14.25" thickBot="1">
      <c r="A250" s="6"/>
      <c r="B250" s="526">
        <v>39814</v>
      </c>
      <c r="C250" s="527">
        <v>39845</v>
      </c>
      <c r="D250" s="527">
        <v>39873</v>
      </c>
      <c r="E250" s="527">
        <v>39904</v>
      </c>
      <c r="F250" s="527">
        <v>39934</v>
      </c>
      <c r="G250" s="527">
        <v>39965</v>
      </c>
      <c r="H250" s="527">
        <v>39995</v>
      </c>
      <c r="I250" s="527">
        <v>40026</v>
      </c>
      <c r="J250" s="527">
        <v>40057</v>
      </c>
      <c r="K250" s="527">
        <v>40087</v>
      </c>
      <c r="L250" s="527">
        <v>40118</v>
      </c>
      <c r="M250" s="528">
        <v>40148</v>
      </c>
      <c r="N250" s="529"/>
      <c r="O250" s="529"/>
      <c r="P250" s="529"/>
      <c r="Q250" s="529"/>
      <c r="R250" s="529"/>
      <c r="S250" s="529"/>
      <c r="T250" s="529"/>
      <c r="U250" s="529"/>
      <c r="V250" s="529"/>
      <c r="W250" s="529"/>
      <c r="X250" s="529"/>
      <c r="Y250" s="529"/>
      <c r="Z250" s="529"/>
      <c r="AA250" s="529"/>
      <c r="AB250" s="529"/>
      <c r="AC250" s="529"/>
      <c r="AD250" s="529"/>
      <c r="AE250" s="529"/>
      <c r="AF250" s="529"/>
      <c r="AG250" s="529"/>
      <c r="AH250" s="529"/>
      <c r="AI250" s="529"/>
      <c r="AJ250" s="529"/>
      <c r="AK250" s="529"/>
      <c r="AL250" s="529"/>
      <c r="AM250" s="529"/>
      <c r="AN250" s="529"/>
      <c r="AO250" s="529"/>
      <c r="AP250" s="529"/>
      <c r="AQ250" s="529"/>
      <c r="AR250" s="529"/>
      <c r="AS250" s="529"/>
      <c r="AT250" s="529"/>
      <c r="AU250" s="529"/>
      <c r="AV250" s="529"/>
      <c r="AW250" s="529"/>
      <c r="AX250" s="529"/>
      <c r="AY250" s="529"/>
      <c r="AZ250" s="529"/>
      <c r="BA250" s="529"/>
      <c r="BB250" s="529"/>
      <c r="BC250" s="529"/>
      <c r="BD250" s="529"/>
      <c r="BE250" s="529"/>
      <c r="BF250" s="529"/>
      <c r="BG250" s="529"/>
      <c r="BH250" s="529"/>
      <c r="BI250" s="529"/>
      <c r="BJ250" s="529"/>
      <c r="BK250" s="529"/>
      <c r="BL250" s="529"/>
      <c r="BM250" s="529"/>
      <c r="BN250" s="529"/>
      <c r="BO250" s="529"/>
      <c r="BP250" s="529"/>
      <c r="BQ250" s="529"/>
      <c r="BR250" s="529"/>
      <c r="BS250" s="529"/>
      <c r="BT250" s="529"/>
      <c r="BU250" s="529"/>
      <c r="BV250" s="529"/>
      <c r="BW250" s="529"/>
      <c r="BX250" s="529"/>
      <c r="BY250" s="529"/>
      <c r="BZ250" s="529"/>
      <c r="CA250" s="529"/>
      <c r="CB250" s="529"/>
      <c r="CC250" s="530"/>
      <c r="CD250" s="530"/>
      <c r="CE250" s="530"/>
      <c r="CF250" s="530"/>
      <c r="CG250" s="530"/>
      <c r="CH250" s="530"/>
      <c r="CI250" s="530"/>
      <c r="CJ250" s="530"/>
      <c r="CK250" s="530"/>
      <c r="CL250" s="530"/>
      <c r="CM250" s="530"/>
      <c r="CN250" s="530"/>
      <c r="CO250" s="530"/>
      <c r="CP250" s="530"/>
      <c r="CQ250" s="530"/>
      <c r="CR250" s="530"/>
      <c r="CS250" s="530"/>
      <c r="CT250" s="530"/>
      <c r="CU250" s="530"/>
      <c r="CV250" s="530"/>
      <c r="CW250" s="530"/>
      <c r="CX250" s="530"/>
      <c r="CY250" s="530"/>
      <c r="CZ250" s="530"/>
      <c r="DA250" s="530"/>
      <c r="DB250" s="530"/>
      <c r="DC250" s="530"/>
      <c r="DD250" s="530"/>
      <c r="DE250" s="530"/>
      <c r="DF250" s="530"/>
      <c r="DG250" s="530"/>
      <c r="DH250" s="530"/>
      <c r="DI250" s="530"/>
      <c r="DJ250" s="530"/>
      <c r="DK250" s="530"/>
      <c r="DL250" s="530"/>
      <c r="DM250" s="530"/>
      <c r="DN250" s="530"/>
      <c r="DO250" s="530"/>
      <c r="DP250" s="530"/>
      <c r="DQ250" s="530"/>
      <c r="DR250" s="530"/>
      <c r="DS250" s="530"/>
      <c r="DT250" s="530"/>
      <c r="DU250" s="530"/>
      <c r="DV250" s="530"/>
      <c r="DW250" s="530"/>
      <c r="DX250" s="530"/>
      <c r="DY250" s="530"/>
      <c r="DZ250" s="530"/>
      <c r="EA250" s="530"/>
      <c r="EB250" s="530"/>
      <c r="EC250" s="530"/>
      <c r="ED250" s="530"/>
      <c r="EE250" s="530"/>
      <c r="EF250" s="530"/>
      <c r="EG250" s="530"/>
      <c r="EH250" s="530"/>
      <c r="EI250" s="530"/>
      <c r="EJ250" s="530"/>
      <c r="EK250" s="530"/>
      <c r="EL250" s="530"/>
      <c r="EM250" s="530"/>
      <c r="EN250" s="530"/>
      <c r="EO250" s="530"/>
      <c r="EP250" s="530"/>
      <c r="EQ250" s="530"/>
      <c r="ER250" s="530"/>
      <c r="ES250" s="530"/>
      <c r="ET250" s="530"/>
      <c r="EU250" s="530"/>
      <c r="EV250" s="530"/>
      <c r="EW250" s="530"/>
      <c r="EX250" s="530"/>
      <c r="EY250" s="530"/>
      <c r="EZ250" s="530"/>
      <c r="FA250" s="530"/>
      <c r="FB250" s="530"/>
      <c r="FC250" s="530"/>
      <c r="FD250" s="530"/>
      <c r="FE250" s="530"/>
      <c r="FF250" s="530"/>
      <c r="FG250" s="530"/>
      <c r="FH250" s="530"/>
      <c r="FI250" s="530"/>
      <c r="FJ250" s="530"/>
      <c r="FK250" s="530"/>
      <c r="FL250" s="530"/>
      <c r="FM250" s="530"/>
      <c r="FN250" s="530"/>
      <c r="FO250" s="530"/>
    </row>
    <row r="251" spans="1:177" s="1" customFormat="1" ht="13.5">
      <c r="A251" s="484" t="s">
        <v>216</v>
      </c>
      <c r="B251" s="517">
        <f t="shared" ref="B251:M251" si="19">B252+B253</f>
        <v>25784000</v>
      </c>
      <c r="C251" s="271">
        <f t="shared" si="19"/>
        <v>25125300</v>
      </c>
      <c r="D251" s="271">
        <f t="shared" si="19"/>
        <v>24811800</v>
      </c>
      <c r="E251" s="271">
        <f t="shared" si="19"/>
        <v>24280000</v>
      </c>
      <c r="F251" s="271">
        <f t="shared" si="19"/>
        <v>23800800</v>
      </c>
      <c r="G251" s="271">
        <f t="shared" si="19"/>
        <v>23448700</v>
      </c>
      <c r="H251" s="271">
        <f t="shared" si="19"/>
        <v>23079300</v>
      </c>
      <c r="I251" s="271">
        <f t="shared" si="19"/>
        <v>22936800</v>
      </c>
      <c r="J251" s="271">
        <f t="shared" si="19"/>
        <v>22430700</v>
      </c>
      <c r="K251" s="271">
        <f t="shared" si="19"/>
        <v>21986300</v>
      </c>
      <c r="L251" s="271">
        <f t="shared" si="19"/>
        <v>21785600</v>
      </c>
      <c r="M251" s="518">
        <f t="shared" si="19"/>
        <v>21758700</v>
      </c>
      <c r="N251" s="241"/>
      <c r="O251" s="241"/>
      <c r="P251" s="241"/>
      <c r="Q251" s="241"/>
      <c r="R251" s="241"/>
      <c r="S251" s="241"/>
      <c r="T251" s="241"/>
      <c r="U251" s="241"/>
      <c r="V251" s="241"/>
      <c r="W251" s="241"/>
      <c r="X251" s="241"/>
      <c r="Y251" s="241"/>
      <c r="Z251" s="241"/>
      <c r="AA251" s="241"/>
      <c r="AB251" s="241"/>
      <c r="AC251" s="241"/>
      <c r="AD251" s="241"/>
      <c r="AE251" s="241"/>
      <c r="AF251" s="241"/>
      <c r="AG251" s="241"/>
      <c r="AH251" s="241"/>
      <c r="AI251" s="241"/>
      <c r="AJ251" s="241"/>
      <c r="AK251" s="241"/>
      <c r="AL251" s="241"/>
      <c r="AM251" s="241"/>
      <c r="AN251" s="241"/>
      <c r="AO251" s="241"/>
      <c r="AP251" s="241"/>
      <c r="AQ251" s="241"/>
      <c r="AR251" s="241"/>
      <c r="AS251" s="241"/>
      <c r="AT251" s="241"/>
      <c r="AU251" s="241"/>
      <c r="AV251" s="241"/>
      <c r="AW251" s="241"/>
      <c r="AX251" s="241"/>
      <c r="AY251" s="241"/>
      <c r="AZ251" s="241"/>
      <c r="BA251" s="241"/>
      <c r="BB251" s="241"/>
      <c r="BC251" s="241"/>
      <c r="BD251" s="241"/>
      <c r="BE251" s="241"/>
      <c r="BF251" s="241"/>
      <c r="BG251" s="241"/>
      <c r="BH251" s="241"/>
      <c r="BI251" s="241"/>
      <c r="BJ251" s="241"/>
      <c r="BK251" s="241"/>
      <c r="BL251" s="241"/>
      <c r="BM251" s="241"/>
      <c r="BN251" s="241"/>
      <c r="BO251" s="241"/>
      <c r="BP251" s="241"/>
      <c r="BQ251" s="241"/>
      <c r="BR251" s="241"/>
      <c r="BS251" s="241"/>
      <c r="BT251" s="241"/>
      <c r="BU251" s="241"/>
      <c r="BV251" s="241"/>
      <c r="BW251" s="241"/>
      <c r="BX251" s="241"/>
      <c r="BY251" s="241"/>
      <c r="BZ251" s="241"/>
      <c r="CA251" s="241"/>
      <c r="CB251" s="241"/>
      <c r="CC251" s="530"/>
      <c r="CD251" s="530"/>
      <c r="CE251" s="530"/>
      <c r="CF251" s="530"/>
      <c r="CG251" s="530"/>
      <c r="CH251" s="530"/>
      <c r="CI251" s="530"/>
      <c r="CJ251" s="530"/>
      <c r="CK251" s="530"/>
      <c r="CL251" s="530"/>
      <c r="CM251" s="530"/>
      <c r="CN251" s="530"/>
      <c r="CO251" s="530"/>
      <c r="CP251" s="530"/>
      <c r="CQ251" s="530"/>
      <c r="CR251" s="530"/>
      <c r="CS251" s="530"/>
      <c r="CT251" s="530"/>
      <c r="CU251" s="530"/>
      <c r="CV251" s="530"/>
      <c r="CW251" s="530"/>
      <c r="CX251" s="530"/>
      <c r="CY251" s="530"/>
      <c r="CZ251" s="530"/>
      <c r="DA251" s="530"/>
      <c r="DB251" s="530"/>
      <c r="DC251" s="530"/>
      <c r="DD251" s="530"/>
      <c r="DE251" s="530"/>
      <c r="DF251" s="530"/>
      <c r="DG251" s="530"/>
      <c r="DH251" s="530"/>
      <c r="DI251" s="530"/>
      <c r="DJ251" s="530"/>
      <c r="DK251" s="530"/>
      <c r="DL251" s="530"/>
      <c r="DM251" s="530"/>
      <c r="DN251" s="530"/>
      <c r="DO251" s="530"/>
      <c r="DP251" s="530"/>
      <c r="DQ251" s="530"/>
      <c r="DR251" s="530"/>
      <c r="DS251" s="530"/>
      <c r="DT251" s="530"/>
      <c r="DU251" s="530"/>
      <c r="DV251" s="530"/>
      <c r="DW251" s="530"/>
      <c r="DX251" s="530"/>
      <c r="DY251" s="530"/>
      <c r="DZ251" s="530"/>
      <c r="EA251" s="530"/>
      <c r="EB251" s="530"/>
      <c r="EC251" s="530"/>
      <c r="ED251" s="530"/>
      <c r="EE251" s="530"/>
      <c r="EF251" s="530"/>
      <c r="EG251" s="530"/>
      <c r="EH251" s="530"/>
      <c r="EI251" s="530"/>
      <c r="EJ251" s="530"/>
      <c r="EK251" s="530"/>
      <c r="EL251" s="530"/>
      <c r="EM251" s="530"/>
      <c r="EN251" s="530"/>
      <c r="EO251" s="530"/>
      <c r="EP251" s="530"/>
      <c r="EQ251" s="530"/>
      <c r="ER251" s="530"/>
      <c r="ES251" s="530"/>
      <c r="ET251" s="530"/>
      <c r="EU251" s="530"/>
      <c r="EV251" s="530"/>
      <c r="EW251" s="530"/>
      <c r="EX251" s="530"/>
      <c r="EY251" s="530"/>
      <c r="EZ251" s="530"/>
      <c r="FA251" s="530"/>
      <c r="FB251" s="530"/>
      <c r="FC251" s="530"/>
      <c r="FD251" s="530"/>
      <c r="FE251" s="530"/>
      <c r="FF251" s="530"/>
      <c r="FG251" s="530"/>
      <c r="FH251" s="530"/>
      <c r="FI251" s="530"/>
      <c r="FJ251" s="530"/>
      <c r="FK251" s="530"/>
      <c r="FL251" s="530"/>
      <c r="FM251" s="530"/>
      <c r="FN251" s="530"/>
      <c r="FO251" s="530"/>
    </row>
    <row r="252" spans="1:177" s="1" customFormat="1" ht="13.5">
      <c r="A252" s="519" t="s">
        <v>217</v>
      </c>
      <c r="B252" s="453">
        <v>21461900</v>
      </c>
      <c r="C252" s="256">
        <v>20936200</v>
      </c>
      <c r="D252" s="256">
        <v>20714200</v>
      </c>
      <c r="E252" s="256">
        <v>20241600</v>
      </c>
      <c r="F252" s="256">
        <v>19768700</v>
      </c>
      <c r="G252" s="256">
        <v>19404200</v>
      </c>
      <c r="H252" s="256">
        <v>19100800</v>
      </c>
      <c r="I252" s="256">
        <v>18936400</v>
      </c>
      <c r="J252" s="256">
        <v>18476600</v>
      </c>
      <c r="K252" s="256">
        <v>17926800</v>
      </c>
      <c r="L252" s="256">
        <v>17624400</v>
      </c>
      <c r="M252" s="454">
        <v>17385300</v>
      </c>
      <c r="N252" s="241"/>
      <c r="O252" s="241"/>
      <c r="P252" s="241"/>
      <c r="Q252" s="241"/>
      <c r="R252" s="241"/>
      <c r="S252" s="241"/>
      <c r="T252" s="241"/>
      <c r="U252" s="241"/>
      <c r="V252" s="241"/>
      <c r="W252" s="241"/>
      <c r="X252" s="241"/>
      <c r="Y252" s="241"/>
      <c r="Z252" s="241"/>
      <c r="AA252" s="241"/>
      <c r="AB252" s="241"/>
      <c r="AC252" s="241"/>
      <c r="AD252" s="241"/>
      <c r="AE252" s="241"/>
      <c r="AF252" s="241"/>
      <c r="AG252" s="241"/>
      <c r="AH252" s="241"/>
      <c r="AI252" s="241"/>
      <c r="AJ252" s="241"/>
      <c r="AK252" s="241"/>
      <c r="AL252" s="241"/>
      <c r="AM252" s="241"/>
      <c r="AN252" s="241"/>
      <c r="AO252" s="241"/>
      <c r="AP252" s="241"/>
      <c r="AQ252" s="241"/>
      <c r="AR252" s="241"/>
      <c r="AS252" s="241"/>
      <c r="AT252" s="241"/>
      <c r="AU252" s="241"/>
      <c r="AV252" s="241"/>
      <c r="AW252" s="241"/>
      <c r="AX252" s="241"/>
      <c r="AY252" s="241"/>
      <c r="AZ252" s="241"/>
      <c r="BA252" s="241"/>
      <c r="BB252" s="241"/>
      <c r="BC252" s="241"/>
      <c r="BD252" s="241"/>
      <c r="BE252" s="241"/>
      <c r="BF252" s="241"/>
      <c r="BG252" s="241"/>
      <c r="BH252" s="241"/>
      <c r="BI252" s="241"/>
      <c r="BJ252" s="241"/>
      <c r="BK252" s="241"/>
      <c r="BL252" s="241"/>
      <c r="BM252" s="241"/>
      <c r="BN252" s="241"/>
      <c r="BO252" s="241"/>
      <c r="BP252" s="241"/>
      <c r="BQ252" s="241"/>
      <c r="BR252" s="241"/>
      <c r="BS252" s="241"/>
      <c r="BT252" s="241"/>
      <c r="BU252" s="241"/>
      <c r="BV252" s="241"/>
      <c r="BW252" s="241"/>
      <c r="BX252" s="241"/>
      <c r="BY252" s="241"/>
      <c r="BZ252" s="241"/>
      <c r="CA252" s="241"/>
      <c r="CB252" s="241"/>
      <c r="CC252" s="530"/>
      <c r="CD252" s="530"/>
      <c r="CE252" s="530"/>
      <c r="CF252" s="530"/>
      <c r="CG252" s="530"/>
      <c r="CH252" s="530"/>
      <c r="CI252" s="530"/>
      <c r="CJ252" s="530"/>
      <c r="CK252" s="530"/>
      <c r="CL252" s="530"/>
      <c r="CM252" s="530"/>
      <c r="CN252" s="530"/>
      <c r="CO252" s="530"/>
      <c r="CP252" s="530"/>
      <c r="CQ252" s="530"/>
      <c r="CR252" s="530"/>
      <c r="CS252" s="530"/>
      <c r="CT252" s="530"/>
      <c r="CU252" s="530"/>
      <c r="CV252" s="530"/>
      <c r="CW252" s="530"/>
      <c r="CX252" s="530"/>
      <c r="CY252" s="530"/>
      <c r="CZ252" s="530"/>
      <c r="DA252" s="530"/>
      <c r="DB252" s="530"/>
      <c r="DC252" s="530"/>
      <c r="DD252" s="530"/>
      <c r="DE252" s="530"/>
      <c r="DF252" s="530"/>
      <c r="DG252" s="530"/>
      <c r="DH252" s="530"/>
      <c r="DI252" s="530"/>
      <c r="DJ252" s="530"/>
      <c r="DK252" s="530"/>
      <c r="DL252" s="530"/>
      <c r="DM252" s="530"/>
      <c r="DN252" s="530"/>
      <c r="DO252" s="530"/>
      <c r="DP252" s="530"/>
      <c r="DQ252" s="530"/>
      <c r="DR252" s="530"/>
      <c r="DS252" s="530"/>
      <c r="DT252" s="530"/>
      <c r="DU252" s="530"/>
      <c r="DV252" s="530"/>
      <c r="DW252" s="530"/>
      <c r="DX252" s="530"/>
      <c r="DY252" s="530"/>
      <c r="DZ252" s="530"/>
      <c r="EA252" s="530"/>
      <c r="EB252" s="530"/>
      <c r="EC252" s="530"/>
      <c r="ED252" s="530"/>
      <c r="EE252" s="530"/>
      <c r="EF252" s="530"/>
      <c r="EG252" s="530"/>
      <c r="EH252" s="530"/>
      <c r="EI252" s="530"/>
      <c r="EJ252" s="530"/>
      <c r="EK252" s="530"/>
      <c r="EL252" s="530"/>
      <c r="EM252" s="530"/>
      <c r="EN252" s="530"/>
      <c r="EO252" s="530"/>
      <c r="EP252" s="530"/>
      <c r="EQ252" s="530"/>
      <c r="ER252" s="530"/>
      <c r="ES252" s="530"/>
      <c r="ET252" s="530"/>
      <c r="EU252" s="530"/>
      <c r="EV252" s="530"/>
      <c r="EW252" s="530"/>
      <c r="EX252" s="530"/>
      <c r="EY252" s="530"/>
      <c r="EZ252" s="530"/>
      <c r="FA252" s="530"/>
      <c r="FB252" s="530"/>
      <c r="FC252" s="530"/>
      <c r="FD252" s="530"/>
      <c r="FE252" s="530"/>
      <c r="FF252" s="530"/>
      <c r="FG252" s="530"/>
      <c r="FH252" s="530"/>
      <c r="FI252" s="530"/>
      <c r="FJ252" s="530"/>
      <c r="FK252" s="530"/>
      <c r="FL252" s="530"/>
      <c r="FM252" s="530"/>
      <c r="FN252" s="530"/>
      <c r="FO252" s="530"/>
    </row>
    <row r="253" spans="1:177" s="1" customFormat="1" ht="13.5">
      <c r="A253" s="519" t="s">
        <v>218</v>
      </c>
      <c r="B253" s="453">
        <v>4322100</v>
      </c>
      <c r="C253" s="256">
        <v>4189100</v>
      </c>
      <c r="D253" s="256">
        <v>4097600</v>
      </c>
      <c r="E253" s="256">
        <v>4038400</v>
      </c>
      <c r="F253" s="256">
        <v>4032100</v>
      </c>
      <c r="G253" s="256">
        <v>4044500</v>
      </c>
      <c r="H253" s="256">
        <v>3978500</v>
      </c>
      <c r="I253" s="256">
        <v>4000400</v>
      </c>
      <c r="J253" s="256">
        <v>3954100</v>
      </c>
      <c r="K253" s="256">
        <v>4059500</v>
      </c>
      <c r="L253" s="256">
        <v>4161200</v>
      </c>
      <c r="M253" s="454">
        <v>4373400</v>
      </c>
      <c r="N253" s="241"/>
      <c r="O253" s="241"/>
      <c r="P253" s="241"/>
      <c r="Q253" s="241"/>
      <c r="R253" s="241"/>
      <c r="S253" s="241"/>
      <c r="T253" s="241"/>
      <c r="U253" s="241"/>
      <c r="V253" s="241"/>
      <c r="W253" s="241"/>
      <c r="X253" s="241"/>
      <c r="Y253" s="241"/>
      <c r="Z253" s="241"/>
      <c r="AA253" s="241"/>
      <c r="AB253" s="241"/>
      <c r="AC253" s="241"/>
      <c r="AD253" s="241"/>
      <c r="AE253" s="241"/>
      <c r="AF253" s="241"/>
      <c r="AG253" s="241"/>
      <c r="AH253" s="241"/>
      <c r="AI253" s="241"/>
      <c r="AJ253" s="241"/>
      <c r="AK253" s="241"/>
      <c r="AL253" s="241"/>
      <c r="AM253" s="241"/>
      <c r="AN253" s="241"/>
      <c r="AO253" s="241"/>
      <c r="AP253" s="241"/>
      <c r="AQ253" s="241"/>
      <c r="AR253" s="241"/>
      <c r="AS253" s="241"/>
      <c r="AT253" s="241"/>
      <c r="AU253" s="241"/>
      <c r="AV253" s="241"/>
      <c r="AW253" s="241"/>
      <c r="AX253" s="241"/>
      <c r="AY253" s="241"/>
      <c r="AZ253" s="241"/>
      <c r="BA253" s="241"/>
      <c r="BB253" s="241"/>
      <c r="BC253" s="241"/>
      <c r="BD253" s="241"/>
      <c r="BE253" s="241"/>
      <c r="BF253" s="241"/>
      <c r="BG253" s="241"/>
      <c r="BH253" s="241"/>
      <c r="BI253" s="241"/>
      <c r="BJ253" s="241"/>
      <c r="BK253" s="241"/>
      <c r="BL253" s="241"/>
      <c r="BM253" s="241"/>
      <c r="BN253" s="241"/>
      <c r="BO253" s="241"/>
      <c r="BP253" s="241"/>
      <c r="BQ253" s="241"/>
      <c r="BR253" s="241"/>
      <c r="BS253" s="241"/>
      <c r="BT253" s="241"/>
      <c r="BU253" s="241"/>
      <c r="BV253" s="241"/>
      <c r="BW253" s="241"/>
      <c r="BX253" s="241"/>
      <c r="BY253" s="241"/>
      <c r="BZ253" s="241"/>
      <c r="CA253" s="241"/>
      <c r="CB253" s="241"/>
      <c r="CC253" s="530"/>
      <c r="CD253" s="530"/>
      <c r="CE253" s="530"/>
      <c r="CF253" s="530"/>
      <c r="CG253" s="530"/>
      <c r="CH253" s="530"/>
      <c r="CI253" s="530"/>
      <c r="CJ253" s="530"/>
      <c r="CK253" s="530"/>
      <c r="CL253" s="530"/>
      <c r="CM253" s="530"/>
      <c r="CN253" s="530"/>
      <c r="CO253" s="530"/>
      <c r="CP253" s="530"/>
      <c r="CQ253" s="530"/>
      <c r="CR253" s="530"/>
      <c r="CS253" s="530"/>
      <c r="CT253" s="530"/>
      <c r="CU253" s="530"/>
      <c r="CV253" s="530"/>
      <c r="CW253" s="530"/>
      <c r="CX253" s="530"/>
      <c r="CY253" s="530"/>
      <c r="CZ253" s="530"/>
      <c r="DA253" s="530"/>
      <c r="DB253" s="530"/>
      <c r="DC253" s="530"/>
      <c r="DD253" s="530"/>
      <c r="DE253" s="530"/>
      <c r="DF253" s="530"/>
      <c r="DG253" s="530"/>
      <c r="DH253" s="530"/>
      <c r="DI253" s="530"/>
      <c r="DJ253" s="530"/>
      <c r="DK253" s="530"/>
      <c r="DL253" s="530"/>
      <c r="DM253" s="530"/>
      <c r="DN253" s="530"/>
      <c r="DO253" s="530"/>
      <c r="DP253" s="530"/>
      <c r="DQ253" s="530"/>
      <c r="DR253" s="530"/>
      <c r="DS253" s="530"/>
      <c r="DT253" s="530"/>
      <c r="DU253" s="530"/>
      <c r="DV253" s="530"/>
      <c r="DW253" s="530"/>
      <c r="DX253" s="530"/>
      <c r="DY253" s="530"/>
      <c r="DZ253" s="530"/>
      <c r="EA253" s="530"/>
      <c r="EB253" s="530"/>
      <c r="EC253" s="530"/>
      <c r="ED253" s="530"/>
      <c r="EE253" s="530"/>
      <c r="EF253" s="530"/>
      <c r="EG253" s="530"/>
      <c r="EH253" s="530"/>
      <c r="EI253" s="530"/>
      <c r="EJ253" s="530"/>
      <c r="EK253" s="530"/>
      <c r="EL253" s="530"/>
      <c r="EM253" s="530"/>
      <c r="EN253" s="530"/>
      <c r="EO253" s="530"/>
      <c r="EP253" s="530"/>
      <c r="EQ253" s="530"/>
      <c r="ER253" s="530"/>
      <c r="ES253" s="530"/>
      <c r="ET253" s="530"/>
      <c r="EU253" s="530"/>
      <c r="EV253" s="530"/>
      <c r="EW253" s="530"/>
      <c r="EX253" s="530"/>
      <c r="EY253" s="530"/>
      <c r="EZ253" s="530"/>
      <c r="FA253" s="530"/>
      <c r="FB253" s="530"/>
      <c r="FC253" s="530"/>
      <c r="FD253" s="530"/>
      <c r="FE253" s="530"/>
      <c r="FF253" s="530"/>
      <c r="FG253" s="530"/>
      <c r="FH253" s="530"/>
      <c r="FI253" s="530"/>
      <c r="FJ253" s="530"/>
      <c r="FK253" s="530"/>
      <c r="FL253" s="530"/>
      <c r="FM253" s="530"/>
      <c r="FN253" s="530"/>
      <c r="FO253" s="530"/>
    </row>
    <row r="254" spans="1:177" s="1" customFormat="1" ht="13.5">
      <c r="A254" s="519" t="s">
        <v>188</v>
      </c>
      <c r="B254" s="453">
        <v>10660500</v>
      </c>
      <c r="C254" s="256">
        <v>10175600</v>
      </c>
      <c r="D254" s="256">
        <v>9912400</v>
      </c>
      <c r="E254" s="256">
        <v>9724400</v>
      </c>
      <c r="F254" s="256">
        <v>9531100</v>
      </c>
      <c r="G254" s="256">
        <v>9380600</v>
      </c>
      <c r="H254" s="256">
        <v>9565800</v>
      </c>
      <c r="I254" s="256">
        <v>9653300</v>
      </c>
      <c r="J254" s="256">
        <v>9538900</v>
      </c>
      <c r="K254" s="256">
        <v>9524500</v>
      </c>
      <c r="L254" s="256">
        <v>9910200</v>
      </c>
      <c r="M254" s="454">
        <v>10313500</v>
      </c>
      <c r="N254" s="241"/>
      <c r="O254" s="241"/>
      <c r="P254" s="241"/>
      <c r="Q254" s="241"/>
      <c r="R254" s="241"/>
      <c r="S254" s="241"/>
      <c r="T254" s="241"/>
      <c r="U254" s="241"/>
      <c r="V254" s="241"/>
      <c r="W254" s="241"/>
      <c r="X254" s="241"/>
      <c r="Y254" s="241"/>
      <c r="Z254" s="241"/>
      <c r="AA254" s="241"/>
      <c r="AB254" s="241"/>
      <c r="AC254" s="241"/>
      <c r="AD254" s="241"/>
      <c r="AE254" s="241"/>
      <c r="AF254" s="241"/>
      <c r="AG254" s="241"/>
      <c r="AH254" s="241"/>
      <c r="AI254" s="241"/>
      <c r="AJ254" s="241"/>
      <c r="AK254" s="241"/>
      <c r="AL254" s="241"/>
      <c r="AM254" s="241"/>
      <c r="AN254" s="241"/>
      <c r="AO254" s="241"/>
      <c r="AP254" s="241"/>
      <c r="AQ254" s="241"/>
      <c r="AR254" s="241"/>
      <c r="AS254" s="241"/>
      <c r="AT254" s="241"/>
      <c r="AU254" s="241"/>
      <c r="AV254" s="241"/>
      <c r="AW254" s="241"/>
      <c r="AX254" s="241"/>
      <c r="AY254" s="241"/>
      <c r="AZ254" s="241"/>
      <c r="BA254" s="241"/>
      <c r="BB254" s="241"/>
      <c r="BC254" s="241"/>
      <c r="BD254" s="241"/>
      <c r="BE254" s="241"/>
      <c r="BF254" s="241"/>
      <c r="BG254" s="241"/>
      <c r="BH254" s="241"/>
      <c r="BI254" s="241"/>
      <c r="BJ254" s="241"/>
      <c r="BK254" s="241"/>
      <c r="BL254" s="241"/>
      <c r="BM254" s="241"/>
      <c r="BN254" s="241"/>
      <c r="BO254" s="241"/>
      <c r="BP254" s="241"/>
      <c r="BQ254" s="241"/>
      <c r="BR254" s="241"/>
      <c r="BS254" s="241"/>
      <c r="BT254" s="241"/>
      <c r="BU254" s="241"/>
      <c r="BV254" s="241"/>
      <c r="BW254" s="241"/>
      <c r="BX254" s="241"/>
      <c r="BY254" s="241"/>
      <c r="BZ254" s="241"/>
      <c r="CA254" s="241"/>
      <c r="CB254" s="241"/>
      <c r="CC254" s="530"/>
      <c r="CD254" s="530"/>
      <c r="CE254" s="530"/>
      <c r="CF254" s="530"/>
      <c r="CG254" s="530"/>
      <c r="CH254" s="530"/>
      <c r="CI254" s="530"/>
      <c r="CJ254" s="530"/>
      <c r="CK254" s="530"/>
      <c r="CL254" s="530"/>
      <c r="CM254" s="530"/>
      <c r="CN254" s="530"/>
      <c r="CO254" s="530"/>
      <c r="CP254" s="530"/>
      <c r="CQ254" s="530"/>
      <c r="CR254" s="530"/>
      <c r="CS254" s="530"/>
      <c r="CT254" s="530"/>
      <c r="CU254" s="530"/>
      <c r="CV254" s="530"/>
      <c r="CW254" s="530"/>
      <c r="CX254" s="530"/>
      <c r="CY254" s="530"/>
      <c r="CZ254" s="530"/>
      <c r="DA254" s="530"/>
      <c r="DB254" s="530"/>
      <c r="DC254" s="530"/>
      <c r="DD254" s="530"/>
      <c r="DE254" s="530"/>
      <c r="DF254" s="530"/>
      <c r="DG254" s="530"/>
      <c r="DH254" s="530"/>
      <c r="DI254" s="530"/>
      <c r="DJ254" s="530"/>
      <c r="DK254" s="530"/>
      <c r="DL254" s="530"/>
      <c r="DM254" s="530"/>
      <c r="DN254" s="530"/>
      <c r="DO254" s="530"/>
      <c r="DP254" s="530"/>
      <c r="DQ254" s="530"/>
      <c r="DR254" s="530"/>
      <c r="DS254" s="530"/>
      <c r="DT254" s="530"/>
      <c r="DU254" s="530"/>
      <c r="DV254" s="530"/>
      <c r="DW254" s="530"/>
      <c r="DX254" s="530"/>
      <c r="DY254" s="530"/>
      <c r="DZ254" s="530"/>
      <c r="EA254" s="530"/>
      <c r="EB254" s="530"/>
      <c r="EC254" s="530"/>
      <c r="ED254" s="530"/>
      <c r="EE254" s="530"/>
      <c r="EF254" s="530"/>
      <c r="EG254" s="530"/>
      <c r="EH254" s="530"/>
      <c r="EI254" s="530"/>
      <c r="EJ254" s="530"/>
      <c r="EK254" s="530"/>
      <c r="EL254" s="530"/>
      <c r="EM254" s="530"/>
      <c r="EN254" s="530"/>
      <c r="EO254" s="530"/>
      <c r="EP254" s="530"/>
      <c r="EQ254" s="530"/>
      <c r="ER254" s="530"/>
      <c r="ES254" s="530"/>
      <c r="ET254" s="530"/>
      <c r="EU254" s="530"/>
      <c r="EV254" s="530"/>
      <c r="EW254" s="530"/>
      <c r="EX254" s="530"/>
      <c r="EY254" s="530"/>
      <c r="EZ254" s="530"/>
      <c r="FA254" s="530"/>
      <c r="FB254" s="530"/>
      <c r="FC254" s="530"/>
      <c r="FD254" s="530"/>
      <c r="FE254" s="530"/>
      <c r="FF254" s="530"/>
      <c r="FG254" s="530"/>
      <c r="FH254" s="530"/>
      <c r="FI254" s="530"/>
      <c r="FJ254" s="530"/>
      <c r="FK254" s="530"/>
      <c r="FL254" s="530"/>
      <c r="FM254" s="530"/>
      <c r="FN254" s="530"/>
      <c r="FO254" s="530"/>
    </row>
    <row r="255" spans="1:177" s="1" customFormat="1" ht="13.5">
      <c r="A255" s="519" t="s">
        <v>219</v>
      </c>
      <c r="B255" s="453">
        <v>935900</v>
      </c>
      <c r="C255" s="256">
        <v>901800</v>
      </c>
      <c r="D255" s="256">
        <v>825400</v>
      </c>
      <c r="E255" s="256">
        <v>855000</v>
      </c>
      <c r="F255" s="256">
        <v>799000</v>
      </c>
      <c r="G255" s="256">
        <v>794400</v>
      </c>
      <c r="H255" s="256">
        <v>866100</v>
      </c>
      <c r="I255" s="256">
        <v>879900</v>
      </c>
      <c r="J255" s="256">
        <v>889900</v>
      </c>
      <c r="K255" s="256">
        <v>914900</v>
      </c>
      <c r="L255" s="256">
        <v>929000</v>
      </c>
      <c r="M255" s="454">
        <v>1005400</v>
      </c>
      <c r="N255" s="241"/>
      <c r="O255" s="241"/>
      <c r="P255" s="241"/>
      <c r="Q255" s="241"/>
      <c r="R255" s="241"/>
      <c r="S255" s="241"/>
      <c r="T255" s="241"/>
      <c r="U255" s="241"/>
      <c r="V255" s="241"/>
      <c r="W255" s="241"/>
      <c r="X255" s="241"/>
      <c r="Y255" s="241"/>
      <c r="Z255" s="241"/>
      <c r="AA255" s="241"/>
      <c r="AB255" s="241"/>
      <c r="AC255" s="241"/>
      <c r="AD255" s="241"/>
      <c r="AE255" s="241"/>
      <c r="AF255" s="241"/>
      <c r="AG255" s="241"/>
      <c r="AH255" s="241"/>
      <c r="AI255" s="241"/>
      <c r="AJ255" s="241"/>
      <c r="AK255" s="241"/>
      <c r="AL255" s="241"/>
      <c r="AM255" s="241"/>
      <c r="AN255" s="241"/>
      <c r="AO255" s="241"/>
      <c r="AP255" s="241"/>
      <c r="AQ255" s="241"/>
      <c r="AR255" s="241"/>
      <c r="AS255" s="241"/>
      <c r="AT255" s="241"/>
      <c r="AU255" s="241"/>
      <c r="AV255" s="241"/>
      <c r="AW255" s="241"/>
      <c r="AX255" s="241"/>
      <c r="AY255" s="241"/>
      <c r="AZ255" s="241"/>
      <c r="BA255" s="241"/>
      <c r="BB255" s="241"/>
      <c r="BC255" s="241"/>
      <c r="BD255" s="241"/>
      <c r="BE255" s="241"/>
      <c r="BF255" s="241"/>
      <c r="BG255" s="241"/>
      <c r="BH255" s="241"/>
      <c r="BI255" s="241"/>
      <c r="BJ255" s="241"/>
      <c r="BK255" s="241"/>
      <c r="BL255" s="241"/>
      <c r="BM255" s="241"/>
      <c r="BN255" s="241"/>
      <c r="BO255" s="241"/>
      <c r="BP255" s="241"/>
      <c r="BQ255" s="241"/>
      <c r="BR255" s="241"/>
      <c r="BS255" s="241"/>
      <c r="BT255" s="241"/>
      <c r="BU255" s="241"/>
      <c r="BV255" s="241"/>
      <c r="BW255" s="241"/>
      <c r="BX255" s="241"/>
      <c r="BY255" s="241"/>
      <c r="BZ255" s="241"/>
      <c r="CA255" s="241"/>
      <c r="CB255" s="241"/>
      <c r="CC255" s="530"/>
      <c r="CD255" s="530"/>
      <c r="CE255" s="530"/>
      <c r="CF255" s="530"/>
      <c r="CG255" s="530"/>
      <c r="CH255" s="530"/>
      <c r="CI255" s="530"/>
      <c r="CJ255" s="530"/>
      <c r="CK255" s="530"/>
      <c r="CL255" s="530"/>
      <c r="CM255" s="530"/>
      <c r="CN255" s="530"/>
      <c r="CO255" s="530"/>
      <c r="CP255" s="530"/>
      <c r="CQ255" s="530"/>
      <c r="CR255" s="530"/>
      <c r="CS255" s="530"/>
      <c r="CT255" s="530"/>
      <c r="CU255" s="530"/>
      <c r="CV255" s="530"/>
      <c r="CW255" s="530"/>
      <c r="CX255" s="530"/>
      <c r="CY255" s="530"/>
      <c r="CZ255" s="530"/>
      <c r="DA255" s="530"/>
      <c r="DB255" s="530"/>
      <c r="DC255" s="530"/>
      <c r="DD255" s="530"/>
      <c r="DE255" s="530"/>
      <c r="DF255" s="530"/>
      <c r="DG255" s="530"/>
      <c r="DH255" s="530"/>
      <c r="DI255" s="530"/>
      <c r="DJ255" s="530"/>
      <c r="DK255" s="530"/>
      <c r="DL255" s="530"/>
      <c r="DM255" s="530"/>
      <c r="DN255" s="530"/>
      <c r="DO255" s="530"/>
      <c r="DP255" s="530"/>
      <c r="DQ255" s="530"/>
      <c r="DR255" s="530"/>
      <c r="DS255" s="530"/>
      <c r="DT255" s="530"/>
      <c r="DU255" s="530"/>
      <c r="DV255" s="530"/>
      <c r="DW255" s="530"/>
      <c r="DX255" s="530"/>
      <c r="DY255" s="530"/>
      <c r="DZ255" s="530"/>
      <c r="EA255" s="530"/>
      <c r="EB255" s="530"/>
      <c r="EC255" s="530"/>
      <c r="ED255" s="530"/>
      <c r="EE255" s="530"/>
      <c r="EF255" s="530"/>
      <c r="EG255" s="530"/>
      <c r="EH255" s="530"/>
      <c r="EI255" s="530"/>
      <c r="EJ255" s="530"/>
      <c r="EK255" s="530"/>
      <c r="EL255" s="530"/>
      <c r="EM255" s="530"/>
      <c r="EN255" s="530"/>
      <c r="EO255" s="530"/>
      <c r="EP255" s="530"/>
      <c r="EQ255" s="530"/>
      <c r="ER255" s="530"/>
      <c r="ES255" s="530"/>
      <c r="ET255" s="530"/>
      <c r="EU255" s="530"/>
      <c r="EV255" s="530"/>
      <c r="EW255" s="530"/>
      <c r="EX255" s="530"/>
      <c r="EY255" s="530"/>
      <c r="EZ255" s="530"/>
      <c r="FA255" s="530"/>
      <c r="FB255" s="530"/>
      <c r="FC255" s="530"/>
      <c r="FD255" s="530"/>
      <c r="FE255" s="530"/>
      <c r="FF255" s="530"/>
      <c r="FG255" s="530"/>
      <c r="FH255" s="530"/>
      <c r="FI255" s="530"/>
      <c r="FJ255" s="530"/>
      <c r="FK255" s="530"/>
      <c r="FL255" s="530"/>
      <c r="FM255" s="530"/>
      <c r="FN255" s="530"/>
      <c r="FO255" s="530"/>
    </row>
    <row r="256" spans="1:177" s="1" customFormat="1" ht="14.25" thickBot="1">
      <c r="A256" s="520" t="s">
        <v>18</v>
      </c>
      <c r="B256" s="521">
        <v>37380700</v>
      </c>
      <c r="C256" s="522">
        <v>36202900</v>
      </c>
      <c r="D256" s="522">
        <v>35549700</v>
      </c>
      <c r="E256" s="522">
        <v>34859500</v>
      </c>
      <c r="F256" s="522">
        <v>34130900</v>
      </c>
      <c r="G256" s="522">
        <v>33623500</v>
      </c>
      <c r="H256" s="522">
        <v>33510900</v>
      </c>
      <c r="I256" s="522">
        <v>33469500</v>
      </c>
      <c r="J256" s="522">
        <v>32859000</v>
      </c>
      <c r="K256" s="522">
        <v>32425200</v>
      </c>
      <c r="L256" s="522">
        <v>32624300</v>
      </c>
      <c r="M256" s="523">
        <v>33077100</v>
      </c>
      <c r="N256" s="253"/>
      <c r="O256" s="253"/>
      <c r="P256" s="253"/>
      <c r="Q256" s="253"/>
      <c r="R256" s="253"/>
      <c r="S256" s="253"/>
      <c r="T256" s="253"/>
      <c r="U256" s="253"/>
      <c r="V256" s="253"/>
      <c r="W256" s="253"/>
      <c r="X256" s="253"/>
      <c r="Y256" s="253"/>
      <c r="Z256" s="253"/>
      <c r="AA256" s="253"/>
      <c r="AB256" s="253"/>
      <c r="AC256" s="253"/>
      <c r="AD256" s="253"/>
      <c r="AE256" s="253"/>
      <c r="AF256" s="253"/>
      <c r="AG256" s="253"/>
      <c r="AH256" s="253"/>
      <c r="AI256" s="253"/>
      <c r="AJ256" s="253"/>
      <c r="AK256" s="253"/>
      <c r="AL256" s="253"/>
      <c r="AM256" s="253"/>
      <c r="AN256" s="253"/>
      <c r="AO256" s="253"/>
      <c r="AP256" s="253"/>
      <c r="AQ256" s="253"/>
      <c r="AR256" s="253"/>
      <c r="AS256" s="253"/>
      <c r="AT256" s="253"/>
      <c r="AU256" s="253"/>
      <c r="AV256" s="253"/>
      <c r="AW256" s="253"/>
      <c r="AX256" s="253"/>
      <c r="AY256" s="253"/>
      <c r="AZ256" s="253"/>
      <c r="BA256" s="253"/>
      <c r="BB256" s="253"/>
      <c r="BC256" s="253"/>
      <c r="BD256" s="253"/>
      <c r="BE256" s="253"/>
      <c r="BF256" s="253"/>
      <c r="BG256" s="253"/>
      <c r="BH256" s="253"/>
      <c r="BI256" s="253"/>
      <c r="BJ256" s="253"/>
      <c r="BK256" s="253"/>
      <c r="BL256" s="253"/>
      <c r="BM256" s="253"/>
      <c r="BN256" s="253"/>
      <c r="BO256" s="253"/>
      <c r="BP256" s="253"/>
      <c r="BQ256" s="253"/>
      <c r="BR256" s="253"/>
      <c r="BS256" s="253"/>
      <c r="BT256" s="253"/>
      <c r="BU256" s="253"/>
      <c r="BV256" s="253"/>
      <c r="BW256" s="253"/>
      <c r="BX256" s="253"/>
      <c r="BY256" s="253"/>
      <c r="BZ256" s="253"/>
      <c r="CA256" s="253"/>
      <c r="CB256" s="253"/>
      <c r="CC256" s="530"/>
      <c r="CD256" s="530"/>
      <c r="CE256" s="530"/>
      <c r="CF256" s="530"/>
      <c r="CG256" s="530"/>
      <c r="CH256" s="530"/>
      <c r="CI256" s="530"/>
      <c r="CJ256" s="530"/>
      <c r="CK256" s="530"/>
      <c r="CL256" s="530"/>
      <c r="CM256" s="530"/>
      <c r="CN256" s="530"/>
      <c r="CO256" s="530"/>
      <c r="CP256" s="530"/>
      <c r="CQ256" s="530"/>
      <c r="CR256" s="530"/>
      <c r="CS256" s="530"/>
      <c r="CT256" s="530"/>
      <c r="CU256" s="530"/>
      <c r="CV256" s="530"/>
      <c r="CW256" s="530"/>
      <c r="CX256" s="530"/>
      <c r="CY256" s="530"/>
      <c r="CZ256" s="530"/>
      <c r="DA256" s="530"/>
      <c r="DB256" s="530"/>
      <c r="DC256" s="530"/>
      <c r="DD256" s="530"/>
      <c r="DE256" s="530"/>
      <c r="DF256" s="530"/>
      <c r="DG256" s="530"/>
      <c r="DH256" s="530"/>
      <c r="DI256" s="530"/>
      <c r="DJ256" s="530"/>
      <c r="DK256" s="530"/>
      <c r="DL256" s="530"/>
      <c r="DM256" s="530"/>
      <c r="DN256" s="530"/>
      <c r="DO256" s="530"/>
      <c r="DP256" s="530"/>
      <c r="DQ256" s="530"/>
      <c r="DR256" s="530"/>
      <c r="DS256" s="530"/>
      <c r="DT256" s="530"/>
      <c r="DU256" s="530"/>
      <c r="DV256" s="530"/>
      <c r="DW256" s="530"/>
      <c r="DX256" s="530"/>
      <c r="DY256" s="530"/>
      <c r="DZ256" s="530"/>
      <c r="EA256" s="530"/>
      <c r="EB256" s="530"/>
      <c r="EC256" s="530"/>
      <c r="ED256" s="530"/>
      <c r="EE256" s="530"/>
      <c r="EF256" s="530"/>
      <c r="EG256" s="530"/>
      <c r="EH256" s="530"/>
      <c r="EI256" s="530"/>
      <c r="EJ256" s="530"/>
      <c r="EK256" s="530"/>
      <c r="EL256" s="530"/>
      <c r="EM256" s="530"/>
      <c r="EN256" s="530"/>
      <c r="EO256" s="530"/>
      <c r="EP256" s="530"/>
      <c r="EQ256" s="530"/>
      <c r="ER256" s="530"/>
      <c r="ES256" s="530"/>
      <c r="ET256" s="530"/>
      <c r="EU256" s="530"/>
      <c r="EV256" s="530"/>
      <c r="EW256" s="530"/>
      <c r="EX256" s="530"/>
      <c r="EY256" s="530"/>
      <c r="EZ256" s="530"/>
      <c r="FA256" s="530"/>
      <c r="FB256" s="530"/>
      <c r="FC256" s="530"/>
      <c r="FD256" s="530"/>
      <c r="FE256" s="530"/>
      <c r="FF256" s="530"/>
      <c r="FG256" s="530"/>
      <c r="FH256" s="530"/>
      <c r="FI256" s="530"/>
      <c r="FJ256" s="530"/>
      <c r="FK256" s="530"/>
      <c r="FL256" s="530"/>
      <c r="FM256" s="530"/>
      <c r="FN256" s="530"/>
      <c r="FO256" s="530"/>
    </row>
    <row r="257" spans="1:171" s="1" customFormat="1" ht="14.25" thickBot="1">
      <c r="A257" s="6"/>
      <c r="B257" s="530"/>
      <c r="C257" s="530"/>
      <c r="D257" s="530"/>
      <c r="E257" s="530"/>
      <c r="F257" s="530"/>
      <c r="G257" s="530"/>
      <c r="H257" s="530"/>
      <c r="I257" s="530"/>
      <c r="J257" s="530"/>
      <c r="K257" s="530"/>
      <c r="L257" s="530"/>
      <c r="M257" s="530"/>
      <c r="N257" s="530"/>
      <c r="O257" s="530"/>
      <c r="P257" s="530"/>
      <c r="Q257" s="530"/>
      <c r="R257" s="530"/>
      <c r="S257" s="530"/>
      <c r="T257" s="530"/>
      <c r="U257" s="530"/>
      <c r="V257" s="530"/>
      <c r="W257" s="530"/>
      <c r="X257" s="530"/>
      <c r="Y257" s="530"/>
      <c r="Z257" s="530"/>
      <c r="AA257" s="530"/>
      <c r="AB257" s="530"/>
      <c r="AC257" s="530"/>
      <c r="AD257" s="530"/>
      <c r="AE257" s="530"/>
      <c r="AF257" s="530"/>
      <c r="AG257" s="530"/>
      <c r="AH257" s="530"/>
      <c r="AI257" s="530"/>
      <c r="AJ257" s="530"/>
      <c r="AK257" s="530"/>
      <c r="AL257" s="530"/>
      <c r="AM257" s="530"/>
      <c r="AN257" s="530"/>
      <c r="AO257" s="530"/>
      <c r="AP257" s="530"/>
      <c r="AQ257" s="530"/>
      <c r="AR257" s="530"/>
      <c r="AS257" s="530"/>
      <c r="AT257" s="530"/>
      <c r="AU257" s="530"/>
      <c r="AV257" s="530"/>
      <c r="AW257" s="530"/>
      <c r="AX257" s="530"/>
      <c r="AY257" s="530"/>
      <c r="AZ257" s="530"/>
      <c r="BA257" s="530"/>
      <c r="BB257" s="530"/>
      <c r="BC257" s="530"/>
      <c r="BD257" s="530"/>
      <c r="BE257" s="530"/>
      <c r="BF257" s="530"/>
      <c r="BG257" s="530"/>
      <c r="BH257" s="530"/>
      <c r="BI257" s="530"/>
      <c r="BJ257" s="530"/>
      <c r="BK257" s="530"/>
      <c r="BL257" s="530"/>
      <c r="BM257" s="530"/>
      <c r="BN257" s="530"/>
      <c r="BO257" s="530"/>
      <c r="BP257" s="530"/>
      <c r="BQ257" s="530"/>
      <c r="BR257" s="530"/>
      <c r="BS257" s="530"/>
      <c r="BT257" s="530"/>
      <c r="BU257" s="530"/>
      <c r="BV257" s="530"/>
      <c r="BW257" s="530"/>
      <c r="BX257" s="530"/>
      <c r="BY257" s="530"/>
      <c r="BZ257" s="530"/>
      <c r="CA257" s="530"/>
      <c r="CB257" s="530"/>
      <c r="CC257" s="530"/>
      <c r="CD257" s="530"/>
      <c r="CE257" s="530"/>
      <c r="CF257" s="530"/>
      <c r="CG257" s="530"/>
      <c r="CH257" s="530"/>
      <c r="CI257" s="530"/>
      <c r="CJ257" s="530"/>
      <c r="CK257" s="530"/>
      <c r="CL257" s="530"/>
      <c r="CM257" s="530"/>
      <c r="CN257" s="530"/>
      <c r="CO257" s="530"/>
      <c r="CP257" s="530"/>
      <c r="CQ257" s="530"/>
      <c r="CR257" s="530"/>
      <c r="CS257" s="530"/>
      <c r="CT257" s="530"/>
      <c r="CU257" s="530"/>
      <c r="CV257" s="530"/>
      <c r="CW257" s="530"/>
      <c r="CX257" s="530"/>
      <c r="CY257" s="530"/>
      <c r="CZ257" s="530"/>
      <c r="DA257" s="530"/>
      <c r="DB257" s="530"/>
      <c r="DC257" s="530"/>
      <c r="DD257" s="530"/>
      <c r="DE257" s="530"/>
      <c r="DF257" s="530"/>
      <c r="DG257" s="530"/>
      <c r="DH257" s="530"/>
      <c r="DI257" s="530"/>
      <c r="DJ257" s="530"/>
      <c r="DK257" s="530"/>
      <c r="DL257" s="530"/>
      <c r="DM257" s="530"/>
      <c r="DN257" s="530"/>
      <c r="DO257" s="530"/>
      <c r="DP257" s="530"/>
      <c r="DQ257" s="530"/>
      <c r="DR257" s="530"/>
      <c r="DS257" s="530"/>
      <c r="DT257" s="530"/>
      <c r="DU257" s="530"/>
      <c r="DV257" s="530"/>
      <c r="DW257" s="530"/>
      <c r="DX257" s="530"/>
      <c r="DY257" s="530"/>
      <c r="DZ257" s="530"/>
      <c r="EA257" s="530"/>
      <c r="EB257" s="530"/>
      <c r="EC257" s="530"/>
      <c r="ED257" s="530"/>
      <c r="EE257" s="530"/>
      <c r="EF257" s="530"/>
      <c r="EG257" s="530"/>
      <c r="EH257" s="530"/>
      <c r="EI257" s="530"/>
      <c r="EJ257" s="530"/>
      <c r="EK257" s="530"/>
      <c r="EL257" s="530"/>
      <c r="EM257" s="530"/>
      <c r="EN257" s="530"/>
      <c r="EO257" s="530"/>
      <c r="EP257" s="530"/>
      <c r="EQ257" s="530"/>
      <c r="ER257" s="530"/>
      <c r="ES257" s="530"/>
      <c r="ET257" s="530"/>
      <c r="EU257" s="530"/>
      <c r="EV257" s="530"/>
      <c r="EW257" s="530"/>
      <c r="EX257" s="530"/>
      <c r="EY257" s="530"/>
      <c r="EZ257" s="530"/>
      <c r="FA257" s="530"/>
      <c r="FB257" s="530"/>
      <c r="FC257" s="530"/>
      <c r="FD257" s="530"/>
      <c r="FE257" s="530"/>
      <c r="FF257" s="530"/>
      <c r="FG257" s="530"/>
      <c r="FH257" s="530"/>
      <c r="FI257" s="530"/>
      <c r="FJ257" s="530"/>
      <c r="FK257" s="530"/>
      <c r="FL257" s="530"/>
      <c r="FM257" s="530"/>
      <c r="FN257" s="530"/>
      <c r="FO257" s="530"/>
    </row>
    <row r="258" spans="1:171" s="1" customFormat="1" ht="14.25" thickBot="1">
      <c r="A258" s="6"/>
      <c r="B258" s="526">
        <v>40179</v>
      </c>
      <c r="C258" s="527">
        <v>40210</v>
      </c>
      <c r="D258" s="527">
        <v>40238</v>
      </c>
      <c r="E258" s="527">
        <v>40269</v>
      </c>
      <c r="F258" s="527">
        <v>40299</v>
      </c>
      <c r="G258" s="527">
        <v>40330</v>
      </c>
      <c r="H258" s="527">
        <v>40360</v>
      </c>
      <c r="I258" s="527">
        <v>40391</v>
      </c>
      <c r="J258" s="527">
        <v>40422</v>
      </c>
      <c r="K258" s="527">
        <v>40452</v>
      </c>
      <c r="L258" s="527">
        <v>40483</v>
      </c>
      <c r="M258" s="528">
        <v>40513</v>
      </c>
      <c r="N258" s="530"/>
      <c r="O258" s="530"/>
      <c r="P258" s="530"/>
      <c r="Q258" s="530"/>
      <c r="R258" s="530"/>
      <c r="S258" s="530"/>
      <c r="T258" s="530"/>
      <c r="U258" s="530"/>
      <c r="V258" s="530"/>
      <c r="W258" s="530"/>
      <c r="X258" s="530"/>
      <c r="Y258" s="530"/>
      <c r="Z258" s="530"/>
      <c r="AA258" s="530"/>
      <c r="AB258" s="530"/>
      <c r="AC258" s="530"/>
      <c r="AD258" s="530"/>
      <c r="AE258" s="530"/>
      <c r="AF258" s="530"/>
      <c r="AG258" s="530"/>
      <c r="AH258" s="530"/>
      <c r="AI258" s="530"/>
      <c r="AJ258" s="530"/>
      <c r="AK258" s="530"/>
      <c r="AL258" s="530"/>
      <c r="AM258" s="530"/>
      <c r="AN258" s="530"/>
      <c r="AO258" s="530"/>
      <c r="AP258" s="530"/>
      <c r="AQ258" s="530"/>
      <c r="AR258" s="530"/>
      <c r="AS258" s="530"/>
      <c r="AT258" s="530"/>
      <c r="AU258" s="530"/>
      <c r="AV258" s="530"/>
      <c r="AW258" s="530"/>
      <c r="AX258" s="530"/>
      <c r="AY258" s="530"/>
      <c r="AZ258" s="530"/>
      <c r="BA258" s="530"/>
      <c r="BB258" s="530"/>
      <c r="BC258" s="530"/>
      <c r="BD258" s="530"/>
      <c r="BE258" s="530"/>
      <c r="BF258" s="530"/>
      <c r="BG258" s="530"/>
      <c r="BH258" s="530"/>
      <c r="BI258" s="530"/>
      <c r="BJ258" s="530"/>
      <c r="BK258" s="530"/>
      <c r="BL258" s="530"/>
      <c r="BM258" s="530"/>
      <c r="BN258" s="530"/>
      <c r="BO258" s="530"/>
      <c r="BP258" s="530"/>
      <c r="BQ258" s="530"/>
      <c r="BR258" s="530"/>
      <c r="BS258" s="530"/>
      <c r="BT258" s="530"/>
      <c r="BU258" s="530"/>
      <c r="BV258" s="530"/>
      <c r="BW258" s="530"/>
      <c r="BX258" s="530"/>
      <c r="BY258" s="530"/>
      <c r="BZ258" s="530"/>
      <c r="CA258" s="530"/>
      <c r="CB258" s="530"/>
      <c r="CC258" s="530"/>
      <c r="CD258" s="530"/>
      <c r="CE258" s="530"/>
      <c r="CF258" s="530"/>
      <c r="CG258" s="530"/>
      <c r="CH258" s="530"/>
      <c r="CI258" s="530"/>
      <c r="CJ258" s="530"/>
      <c r="CK258" s="530"/>
      <c r="CL258" s="530"/>
      <c r="CM258" s="530"/>
      <c r="CN258" s="530"/>
      <c r="CO258" s="530"/>
      <c r="CP258" s="530"/>
      <c r="CQ258" s="530"/>
      <c r="CR258" s="530"/>
      <c r="CS258" s="530"/>
      <c r="CT258" s="530"/>
      <c r="CU258" s="530"/>
      <c r="CV258" s="530"/>
      <c r="CW258" s="530"/>
      <c r="CX258" s="530"/>
      <c r="CY258" s="530"/>
      <c r="CZ258" s="530"/>
      <c r="DA258" s="530"/>
      <c r="DB258" s="530"/>
      <c r="DC258" s="530"/>
      <c r="DD258" s="530"/>
      <c r="DE258" s="530"/>
      <c r="DF258" s="530"/>
      <c r="DG258" s="530"/>
      <c r="DH258" s="530"/>
      <c r="DI258" s="530"/>
      <c r="DJ258" s="530"/>
      <c r="DK258" s="530"/>
      <c r="DL258" s="530"/>
      <c r="DM258" s="530"/>
      <c r="DN258" s="530"/>
      <c r="DO258" s="530"/>
      <c r="DP258" s="530"/>
      <c r="DQ258" s="530"/>
      <c r="DR258" s="530"/>
      <c r="DS258" s="530"/>
      <c r="DT258" s="530"/>
      <c r="DU258" s="530"/>
      <c r="DV258" s="530"/>
      <c r="DW258" s="530"/>
      <c r="DX258" s="530"/>
      <c r="DY258" s="530"/>
      <c r="DZ258" s="530"/>
      <c r="EA258" s="530"/>
      <c r="EB258" s="530"/>
      <c r="EC258" s="530"/>
      <c r="ED258" s="530"/>
      <c r="EE258" s="530"/>
      <c r="EF258" s="530"/>
      <c r="EG258" s="530"/>
      <c r="EH258" s="530"/>
      <c r="EI258" s="530"/>
      <c r="EJ258" s="530"/>
      <c r="EK258" s="530"/>
      <c r="EL258" s="530"/>
      <c r="EM258" s="530"/>
      <c r="EN258" s="530"/>
      <c r="EO258" s="530"/>
      <c r="EP258" s="530"/>
      <c r="EQ258" s="530"/>
      <c r="ER258" s="530"/>
      <c r="ES258" s="530"/>
      <c r="ET258" s="530"/>
      <c r="EU258" s="530"/>
      <c r="EV258" s="530"/>
      <c r="EW258" s="530"/>
      <c r="EX258" s="530"/>
      <c r="EY258" s="530"/>
      <c r="EZ258" s="530"/>
      <c r="FA258" s="530"/>
      <c r="FB258" s="530"/>
      <c r="FC258" s="530"/>
      <c r="FD258" s="530"/>
      <c r="FE258" s="530"/>
      <c r="FF258" s="530"/>
      <c r="FG258" s="530"/>
      <c r="FH258" s="530"/>
      <c r="FI258" s="530"/>
      <c r="FJ258" s="530"/>
      <c r="FK258" s="530"/>
      <c r="FL258" s="530"/>
      <c r="FM258" s="530"/>
      <c r="FN258" s="530"/>
      <c r="FO258" s="530"/>
    </row>
    <row r="259" spans="1:171" s="1" customFormat="1" ht="13.5">
      <c r="A259" s="484" t="s">
        <v>216</v>
      </c>
      <c r="B259" s="517">
        <f t="shared" ref="B259:M259" si="20">B260+B261</f>
        <v>21536000</v>
      </c>
      <c r="C259" s="271">
        <f t="shared" si="20"/>
        <v>21322900</v>
      </c>
      <c r="D259" s="271">
        <f t="shared" si="20"/>
        <v>21362100</v>
      </c>
      <c r="E259" s="271">
        <f t="shared" si="20"/>
        <v>21437400</v>
      </c>
      <c r="F259" s="271">
        <f t="shared" si="20"/>
        <v>21611800</v>
      </c>
      <c r="G259" s="271">
        <f t="shared" si="20"/>
        <v>21659700</v>
      </c>
      <c r="H259" s="271">
        <f t="shared" si="20"/>
        <v>21812000</v>
      </c>
      <c r="I259" s="271">
        <f t="shared" si="20"/>
        <v>21934400</v>
      </c>
      <c r="J259" s="271">
        <f t="shared" si="20"/>
        <v>22318200</v>
      </c>
      <c r="K259" s="271">
        <f t="shared" si="20"/>
        <v>22600900</v>
      </c>
      <c r="L259" s="271">
        <f t="shared" si="20"/>
        <v>22899200</v>
      </c>
      <c r="M259" s="518">
        <f t="shared" si="20"/>
        <v>23243900</v>
      </c>
      <c r="N259" s="530"/>
      <c r="O259" s="530"/>
      <c r="P259" s="530"/>
      <c r="Q259" s="530"/>
      <c r="R259" s="530"/>
      <c r="S259" s="530"/>
      <c r="T259" s="530"/>
      <c r="U259" s="530"/>
      <c r="V259" s="530"/>
      <c r="W259" s="530"/>
      <c r="X259" s="530"/>
      <c r="Y259" s="530"/>
      <c r="Z259" s="530"/>
      <c r="AA259" s="530"/>
      <c r="AB259" s="530"/>
      <c r="AC259" s="530"/>
      <c r="AD259" s="530"/>
      <c r="AE259" s="530"/>
      <c r="AF259" s="530"/>
      <c r="AG259" s="530"/>
      <c r="AH259" s="530"/>
      <c r="AI259" s="530"/>
      <c r="AJ259" s="530"/>
      <c r="AK259" s="530"/>
      <c r="AL259" s="530"/>
      <c r="AM259" s="530"/>
      <c r="AN259" s="530"/>
      <c r="AO259" s="530"/>
      <c r="AP259" s="530"/>
      <c r="AQ259" s="530"/>
      <c r="AR259" s="530"/>
      <c r="AS259" s="530"/>
      <c r="AT259" s="530"/>
      <c r="AU259" s="530"/>
      <c r="AV259" s="530"/>
      <c r="AW259" s="530"/>
      <c r="AX259" s="530"/>
      <c r="AY259" s="530"/>
      <c r="AZ259" s="530"/>
      <c r="BA259" s="530"/>
      <c r="BB259" s="530"/>
      <c r="BC259" s="530"/>
      <c r="BD259" s="530"/>
      <c r="BE259" s="530"/>
      <c r="BF259" s="530"/>
      <c r="BG259" s="530"/>
      <c r="BH259" s="530"/>
      <c r="BI259" s="530"/>
      <c r="BJ259" s="530"/>
      <c r="BK259" s="530"/>
      <c r="BL259" s="530"/>
      <c r="BM259" s="530"/>
      <c r="BN259" s="530"/>
      <c r="BO259" s="530"/>
      <c r="BP259" s="530"/>
      <c r="BQ259" s="530"/>
      <c r="BR259" s="530"/>
      <c r="BS259" s="530"/>
      <c r="BT259" s="530"/>
      <c r="BU259" s="530"/>
      <c r="BV259" s="530"/>
      <c r="BW259" s="530"/>
      <c r="BX259" s="530"/>
      <c r="BY259" s="530"/>
      <c r="BZ259" s="530"/>
      <c r="CA259" s="530"/>
      <c r="CB259" s="530"/>
      <c r="CC259" s="530"/>
      <c r="CD259" s="530"/>
      <c r="CE259" s="530"/>
      <c r="CF259" s="530"/>
      <c r="CG259" s="530"/>
      <c r="CH259" s="530"/>
      <c r="CI259" s="530"/>
      <c r="CJ259" s="530"/>
      <c r="CK259" s="530"/>
      <c r="CL259" s="530"/>
      <c r="CM259" s="530"/>
      <c r="CN259" s="530"/>
      <c r="CO259" s="530"/>
      <c r="CP259" s="530"/>
      <c r="CQ259" s="530"/>
      <c r="CR259" s="530"/>
      <c r="CS259" s="530"/>
      <c r="CT259" s="530"/>
      <c r="CU259" s="530"/>
      <c r="CV259" s="530"/>
      <c r="CW259" s="530"/>
      <c r="CX259" s="530"/>
      <c r="CY259" s="530"/>
      <c r="CZ259" s="530"/>
      <c r="DA259" s="530"/>
      <c r="DB259" s="530"/>
      <c r="DC259" s="530"/>
      <c r="DD259" s="530"/>
      <c r="DE259" s="530"/>
      <c r="DF259" s="530"/>
      <c r="DG259" s="530"/>
      <c r="DH259" s="530"/>
      <c r="DI259" s="530"/>
      <c r="DJ259" s="530"/>
      <c r="DK259" s="530"/>
      <c r="DL259" s="530"/>
      <c r="DM259" s="530"/>
      <c r="DN259" s="530"/>
      <c r="DO259" s="530"/>
      <c r="DP259" s="530"/>
      <c r="DQ259" s="530"/>
      <c r="DR259" s="530"/>
      <c r="DS259" s="530"/>
      <c r="DT259" s="530"/>
      <c r="DU259" s="530"/>
      <c r="DV259" s="530"/>
      <c r="DW259" s="530"/>
      <c r="DX259" s="530"/>
      <c r="DY259" s="530"/>
      <c r="DZ259" s="530"/>
      <c r="EA259" s="530"/>
      <c r="EB259" s="530"/>
      <c r="EC259" s="530"/>
      <c r="ED259" s="530"/>
      <c r="EE259" s="530"/>
      <c r="EF259" s="530"/>
      <c r="EG259" s="530"/>
      <c r="EH259" s="530"/>
      <c r="EI259" s="530"/>
      <c r="EJ259" s="530"/>
      <c r="EK259" s="530"/>
      <c r="EL259" s="530"/>
      <c r="EM259" s="530"/>
      <c r="EN259" s="530"/>
      <c r="EO259" s="530"/>
      <c r="EP259" s="530"/>
      <c r="EQ259" s="530"/>
      <c r="ER259" s="530"/>
      <c r="ES259" s="530"/>
      <c r="ET259" s="530"/>
      <c r="EU259" s="530"/>
      <c r="EV259" s="530"/>
      <c r="EW259" s="530"/>
      <c r="EX259" s="530"/>
      <c r="EY259" s="530"/>
      <c r="EZ259" s="530"/>
      <c r="FA259" s="530"/>
      <c r="FB259" s="530"/>
      <c r="FC259" s="530"/>
      <c r="FD259" s="530"/>
      <c r="FE259" s="530"/>
      <c r="FF259" s="530"/>
      <c r="FG259" s="530"/>
      <c r="FH259" s="530"/>
      <c r="FI259" s="530"/>
      <c r="FJ259" s="530"/>
      <c r="FK259" s="530"/>
      <c r="FL259" s="530"/>
      <c r="FM259" s="530"/>
      <c r="FN259" s="530"/>
      <c r="FO259" s="530"/>
    </row>
    <row r="260" spans="1:171" s="1" customFormat="1" ht="13.5">
      <c r="A260" s="519" t="s">
        <v>217</v>
      </c>
      <c r="B260" s="453">
        <v>17121300</v>
      </c>
      <c r="C260" s="256">
        <v>16880800</v>
      </c>
      <c r="D260" s="256">
        <v>16844300</v>
      </c>
      <c r="E260" s="256">
        <v>16861600</v>
      </c>
      <c r="F260" s="256">
        <v>16922700</v>
      </c>
      <c r="G260" s="256">
        <v>16961300</v>
      </c>
      <c r="H260" s="256">
        <v>17033000</v>
      </c>
      <c r="I260" s="256">
        <v>17093500</v>
      </c>
      <c r="J260" s="256">
        <v>17379500</v>
      </c>
      <c r="K260" s="256">
        <v>17671100</v>
      </c>
      <c r="L260" s="256">
        <v>17893400</v>
      </c>
      <c r="M260" s="454">
        <v>18261100</v>
      </c>
      <c r="N260" s="530"/>
      <c r="O260" s="530"/>
      <c r="P260" s="530"/>
      <c r="Q260" s="530"/>
      <c r="R260" s="530"/>
      <c r="S260" s="530"/>
      <c r="T260" s="530"/>
      <c r="U260" s="530"/>
      <c r="V260" s="530"/>
      <c r="W260" s="530"/>
      <c r="X260" s="530"/>
      <c r="Y260" s="530"/>
      <c r="Z260" s="530"/>
      <c r="AA260" s="530"/>
      <c r="AB260" s="530"/>
      <c r="AC260" s="530"/>
      <c r="AD260" s="530"/>
      <c r="AE260" s="530"/>
      <c r="AF260" s="530"/>
      <c r="AG260" s="530"/>
      <c r="AH260" s="530"/>
      <c r="AI260" s="530"/>
      <c r="AJ260" s="530"/>
      <c r="AK260" s="530"/>
      <c r="AL260" s="530"/>
      <c r="AM260" s="530"/>
      <c r="AN260" s="530"/>
      <c r="AO260" s="530"/>
      <c r="AP260" s="530"/>
      <c r="AQ260" s="530"/>
      <c r="AR260" s="530"/>
      <c r="AS260" s="530"/>
      <c r="AT260" s="530"/>
      <c r="AU260" s="530"/>
      <c r="AV260" s="530"/>
      <c r="AW260" s="530"/>
      <c r="AX260" s="530"/>
      <c r="AY260" s="530"/>
      <c r="AZ260" s="530"/>
      <c r="BA260" s="530"/>
      <c r="BB260" s="530"/>
      <c r="BC260" s="530"/>
      <c r="BD260" s="530"/>
      <c r="BE260" s="530"/>
      <c r="BF260" s="530"/>
      <c r="BG260" s="530"/>
      <c r="BH260" s="530"/>
      <c r="BI260" s="530"/>
      <c r="BJ260" s="530"/>
      <c r="BK260" s="530"/>
      <c r="BL260" s="530"/>
      <c r="BM260" s="530"/>
      <c r="BN260" s="530"/>
      <c r="BO260" s="530"/>
      <c r="BP260" s="530"/>
      <c r="BQ260" s="530"/>
      <c r="BR260" s="530"/>
      <c r="BS260" s="530"/>
      <c r="BT260" s="530"/>
      <c r="BU260" s="530"/>
      <c r="BV260" s="530"/>
      <c r="BW260" s="530"/>
      <c r="BX260" s="530"/>
      <c r="BY260" s="530"/>
      <c r="BZ260" s="530"/>
      <c r="CA260" s="530"/>
      <c r="CB260" s="530"/>
      <c r="CC260" s="530"/>
      <c r="CD260" s="530"/>
      <c r="CE260" s="530"/>
      <c r="CF260" s="530"/>
      <c r="CG260" s="530"/>
      <c r="CH260" s="530"/>
      <c r="CI260" s="530"/>
      <c r="CJ260" s="530"/>
      <c r="CK260" s="530"/>
      <c r="CL260" s="530"/>
      <c r="CM260" s="530"/>
      <c r="CN260" s="530"/>
      <c r="CO260" s="530"/>
      <c r="CP260" s="530"/>
      <c r="CQ260" s="530"/>
      <c r="CR260" s="530"/>
      <c r="CS260" s="530"/>
      <c r="CT260" s="530"/>
      <c r="CU260" s="530"/>
      <c r="CV260" s="530"/>
      <c r="CW260" s="530"/>
      <c r="CX260" s="530"/>
      <c r="CY260" s="530"/>
      <c r="CZ260" s="530"/>
      <c r="DA260" s="530"/>
      <c r="DB260" s="530"/>
      <c r="DC260" s="530"/>
      <c r="DD260" s="530"/>
      <c r="DE260" s="530"/>
      <c r="DF260" s="530"/>
      <c r="DG260" s="530"/>
      <c r="DH260" s="530"/>
      <c r="DI260" s="530"/>
      <c r="DJ260" s="530"/>
      <c r="DK260" s="530"/>
      <c r="DL260" s="530"/>
      <c r="DM260" s="530"/>
      <c r="DN260" s="530"/>
      <c r="DO260" s="530"/>
      <c r="DP260" s="530"/>
      <c r="DQ260" s="530"/>
      <c r="DR260" s="530"/>
      <c r="DS260" s="530"/>
      <c r="DT260" s="530"/>
      <c r="DU260" s="530"/>
      <c r="DV260" s="530"/>
      <c r="DW260" s="530"/>
      <c r="DX260" s="530"/>
      <c r="DY260" s="530"/>
      <c r="DZ260" s="530"/>
      <c r="EA260" s="530"/>
      <c r="EB260" s="530"/>
      <c r="EC260" s="530"/>
      <c r="ED260" s="530"/>
      <c r="EE260" s="530"/>
      <c r="EF260" s="530"/>
      <c r="EG260" s="530"/>
      <c r="EH260" s="530"/>
      <c r="EI260" s="530"/>
      <c r="EJ260" s="530"/>
      <c r="EK260" s="530"/>
      <c r="EL260" s="530"/>
      <c r="EM260" s="530"/>
      <c r="EN260" s="530"/>
      <c r="EO260" s="530"/>
      <c r="EP260" s="530"/>
      <c r="EQ260" s="530"/>
      <c r="ER260" s="530"/>
      <c r="ES260" s="530"/>
      <c r="ET260" s="530"/>
      <c r="EU260" s="530"/>
      <c r="EV260" s="530"/>
      <c r="EW260" s="530"/>
      <c r="EX260" s="530"/>
      <c r="EY260" s="530"/>
      <c r="EZ260" s="530"/>
      <c r="FA260" s="530"/>
      <c r="FB260" s="530"/>
      <c r="FC260" s="530"/>
      <c r="FD260" s="530"/>
      <c r="FE260" s="530"/>
      <c r="FF260" s="530"/>
      <c r="FG260" s="530"/>
      <c r="FH260" s="530"/>
      <c r="FI260" s="530"/>
      <c r="FJ260" s="530"/>
      <c r="FK260" s="530"/>
      <c r="FL260" s="530"/>
      <c r="FM260" s="530"/>
      <c r="FN260" s="530"/>
      <c r="FO260" s="530"/>
    </row>
    <row r="261" spans="1:171" s="1" customFormat="1" ht="13.5">
      <c r="A261" s="519" t="s">
        <v>218</v>
      </c>
      <c r="B261" s="453">
        <v>4414700</v>
      </c>
      <c r="C261" s="256">
        <v>4442100</v>
      </c>
      <c r="D261" s="256">
        <v>4517800</v>
      </c>
      <c r="E261" s="256">
        <v>4575800</v>
      </c>
      <c r="F261" s="256">
        <v>4689100</v>
      </c>
      <c r="G261" s="256">
        <v>4698400</v>
      </c>
      <c r="H261" s="256">
        <v>4779000</v>
      </c>
      <c r="I261" s="256">
        <v>4840900</v>
      </c>
      <c r="J261" s="256">
        <v>4938700</v>
      </c>
      <c r="K261" s="256">
        <v>4929800</v>
      </c>
      <c r="L261" s="256">
        <v>5005800</v>
      </c>
      <c r="M261" s="454">
        <v>4982800</v>
      </c>
      <c r="N261" s="530"/>
      <c r="O261" s="530"/>
      <c r="P261" s="530"/>
      <c r="Q261" s="530"/>
      <c r="R261" s="530"/>
      <c r="S261" s="530"/>
      <c r="T261" s="530"/>
      <c r="U261" s="530"/>
      <c r="V261" s="530"/>
      <c r="W261" s="530"/>
      <c r="X261" s="530"/>
      <c r="Y261" s="530"/>
      <c r="Z261" s="530"/>
      <c r="AA261" s="530"/>
      <c r="AB261" s="530"/>
      <c r="AC261" s="530"/>
      <c r="AD261" s="530"/>
      <c r="AE261" s="530"/>
      <c r="AF261" s="530"/>
      <c r="AG261" s="530"/>
      <c r="AH261" s="530"/>
      <c r="AI261" s="530"/>
      <c r="AJ261" s="530"/>
      <c r="AK261" s="530"/>
      <c r="AL261" s="530"/>
      <c r="AM261" s="530"/>
      <c r="AN261" s="530"/>
      <c r="AO261" s="530"/>
      <c r="AP261" s="530"/>
      <c r="AQ261" s="530"/>
      <c r="AR261" s="530"/>
      <c r="AS261" s="530"/>
      <c r="AT261" s="530"/>
      <c r="AU261" s="530"/>
      <c r="AV261" s="530"/>
      <c r="AW261" s="530"/>
      <c r="AX261" s="530"/>
      <c r="AY261" s="530"/>
      <c r="AZ261" s="530"/>
      <c r="BA261" s="530"/>
      <c r="BB261" s="530"/>
      <c r="BC261" s="530"/>
      <c r="BD261" s="530"/>
      <c r="BE261" s="530"/>
      <c r="BF261" s="530"/>
      <c r="BG261" s="530"/>
      <c r="BH261" s="530"/>
      <c r="BI261" s="530"/>
      <c r="BJ261" s="530"/>
      <c r="BK261" s="530"/>
      <c r="BL261" s="530"/>
      <c r="BM261" s="530"/>
      <c r="BN261" s="530"/>
      <c r="BO261" s="530"/>
      <c r="BP261" s="530"/>
      <c r="BQ261" s="530"/>
      <c r="BR261" s="530"/>
      <c r="BS261" s="530"/>
      <c r="BT261" s="530"/>
      <c r="BU261" s="530"/>
      <c r="BV261" s="530"/>
      <c r="BW261" s="530"/>
      <c r="BX261" s="530"/>
      <c r="BY261" s="530"/>
      <c r="BZ261" s="530"/>
      <c r="CA261" s="530"/>
      <c r="CB261" s="530"/>
      <c r="CC261" s="530"/>
      <c r="CD261" s="530"/>
      <c r="CE261" s="530"/>
      <c r="CF261" s="530"/>
      <c r="CG261" s="530"/>
      <c r="CH261" s="530"/>
      <c r="CI261" s="530"/>
      <c r="CJ261" s="530"/>
      <c r="CK261" s="530"/>
      <c r="CL261" s="530"/>
      <c r="CM261" s="530"/>
      <c r="CN261" s="530"/>
      <c r="CO261" s="530"/>
      <c r="CP261" s="530"/>
      <c r="CQ261" s="530"/>
      <c r="CR261" s="530"/>
      <c r="CS261" s="530"/>
      <c r="CT261" s="530"/>
      <c r="CU261" s="530"/>
      <c r="CV261" s="530"/>
      <c r="CW261" s="530"/>
      <c r="CX261" s="530"/>
      <c r="CY261" s="530"/>
      <c r="CZ261" s="530"/>
      <c r="DA261" s="530"/>
      <c r="DB261" s="530"/>
      <c r="DC261" s="530"/>
      <c r="DD261" s="530"/>
      <c r="DE261" s="530"/>
      <c r="DF261" s="530"/>
      <c r="DG261" s="530"/>
      <c r="DH261" s="530"/>
      <c r="DI261" s="530"/>
      <c r="DJ261" s="530"/>
      <c r="DK261" s="530"/>
      <c r="DL261" s="530"/>
      <c r="DM261" s="530"/>
      <c r="DN261" s="530"/>
      <c r="DO261" s="530"/>
      <c r="DP261" s="530"/>
      <c r="DQ261" s="530"/>
      <c r="DR261" s="530"/>
      <c r="DS261" s="530"/>
      <c r="DT261" s="530"/>
      <c r="DU261" s="530"/>
      <c r="DV261" s="530"/>
      <c r="DW261" s="530"/>
      <c r="DX261" s="530"/>
      <c r="DY261" s="530"/>
      <c r="DZ261" s="530"/>
      <c r="EA261" s="530"/>
      <c r="EB261" s="530"/>
      <c r="EC261" s="530"/>
      <c r="ED261" s="530"/>
      <c r="EE261" s="530"/>
      <c r="EF261" s="530"/>
      <c r="EG261" s="530"/>
      <c r="EH261" s="530"/>
      <c r="EI261" s="530"/>
      <c r="EJ261" s="530"/>
      <c r="EK261" s="530"/>
      <c r="EL261" s="530"/>
      <c r="EM261" s="530"/>
      <c r="EN261" s="530"/>
      <c r="EO261" s="530"/>
      <c r="EP261" s="530"/>
      <c r="EQ261" s="530"/>
      <c r="ER261" s="530"/>
      <c r="ES261" s="530"/>
      <c r="ET261" s="530"/>
      <c r="EU261" s="530"/>
      <c r="EV261" s="530"/>
      <c r="EW261" s="530"/>
      <c r="EX261" s="530"/>
      <c r="EY261" s="530"/>
      <c r="EZ261" s="530"/>
      <c r="FA261" s="530"/>
      <c r="FB261" s="530"/>
      <c r="FC261" s="530"/>
      <c r="FD261" s="530"/>
      <c r="FE261" s="530"/>
      <c r="FF261" s="530"/>
      <c r="FG261" s="530"/>
      <c r="FH261" s="530"/>
      <c r="FI261" s="530"/>
      <c r="FJ261" s="530"/>
      <c r="FK261" s="530"/>
      <c r="FL261" s="530"/>
      <c r="FM261" s="530"/>
      <c r="FN261" s="530"/>
      <c r="FO261" s="530"/>
    </row>
    <row r="262" spans="1:171" s="1" customFormat="1" ht="13.5">
      <c r="A262" s="519" t="s">
        <v>188</v>
      </c>
      <c r="B262" s="453">
        <v>10305900</v>
      </c>
      <c r="C262" s="256">
        <v>10481300</v>
      </c>
      <c r="D262" s="256">
        <v>10636100</v>
      </c>
      <c r="E262" s="256">
        <v>10592900</v>
      </c>
      <c r="F262" s="256">
        <v>10651900</v>
      </c>
      <c r="G262" s="256">
        <v>10822700</v>
      </c>
      <c r="H262" s="256">
        <v>10732200</v>
      </c>
      <c r="I262" s="256">
        <v>10739200</v>
      </c>
      <c r="J262" s="256">
        <v>11023000</v>
      </c>
      <c r="K262" s="256">
        <v>11466100</v>
      </c>
      <c r="L262" s="256">
        <v>11832400</v>
      </c>
      <c r="M262" s="454">
        <v>12109600</v>
      </c>
      <c r="N262" s="530"/>
      <c r="O262" s="530"/>
      <c r="P262" s="530"/>
      <c r="Q262" s="530"/>
      <c r="R262" s="530"/>
      <c r="S262" s="530"/>
      <c r="T262" s="530"/>
      <c r="U262" s="530"/>
      <c r="V262" s="530"/>
      <c r="W262" s="530"/>
      <c r="X262" s="530"/>
      <c r="Y262" s="530"/>
      <c r="Z262" s="530"/>
      <c r="AA262" s="530"/>
      <c r="AB262" s="530"/>
      <c r="AC262" s="530"/>
      <c r="AD262" s="530"/>
      <c r="AE262" s="530"/>
      <c r="AF262" s="530"/>
      <c r="AG262" s="530"/>
      <c r="AH262" s="530"/>
      <c r="AI262" s="530"/>
      <c r="AJ262" s="530"/>
      <c r="AK262" s="530"/>
      <c r="AL262" s="530"/>
      <c r="AM262" s="530"/>
      <c r="AN262" s="530"/>
      <c r="AO262" s="530"/>
      <c r="AP262" s="530"/>
      <c r="AQ262" s="530"/>
      <c r="AR262" s="530"/>
      <c r="AS262" s="530"/>
      <c r="AT262" s="530"/>
      <c r="AU262" s="530"/>
      <c r="AV262" s="530"/>
      <c r="AW262" s="530"/>
      <c r="AX262" s="530"/>
      <c r="AY262" s="530"/>
      <c r="AZ262" s="530"/>
      <c r="BA262" s="530"/>
      <c r="BB262" s="530"/>
      <c r="BC262" s="530"/>
      <c r="BD262" s="530"/>
      <c r="BE262" s="530"/>
      <c r="BF262" s="530"/>
      <c r="BG262" s="530"/>
      <c r="BH262" s="530"/>
      <c r="BI262" s="530"/>
      <c r="BJ262" s="530"/>
      <c r="BK262" s="530"/>
      <c r="BL262" s="530"/>
      <c r="BM262" s="530"/>
      <c r="BN262" s="530"/>
      <c r="BO262" s="530"/>
      <c r="BP262" s="530"/>
      <c r="BQ262" s="530"/>
      <c r="BR262" s="530"/>
      <c r="BS262" s="530"/>
      <c r="BT262" s="530"/>
      <c r="BU262" s="530"/>
      <c r="BV262" s="530"/>
      <c r="BW262" s="530"/>
      <c r="BX262" s="530"/>
      <c r="BY262" s="530"/>
      <c r="BZ262" s="530"/>
      <c r="CA262" s="530"/>
      <c r="CB262" s="530"/>
      <c r="CC262" s="530"/>
      <c r="CD262" s="530"/>
      <c r="CE262" s="530"/>
      <c r="CF262" s="530"/>
      <c r="CG262" s="530"/>
      <c r="CH262" s="530"/>
      <c r="CI262" s="530"/>
      <c r="CJ262" s="530"/>
      <c r="CK262" s="530"/>
      <c r="CL262" s="530"/>
      <c r="CM262" s="530"/>
      <c r="CN262" s="530"/>
      <c r="CO262" s="530"/>
      <c r="CP262" s="530"/>
      <c r="CQ262" s="530"/>
      <c r="CR262" s="530"/>
      <c r="CS262" s="530"/>
      <c r="CT262" s="530"/>
      <c r="CU262" s="530"/>
      <c r="CV262" s="530"/>
      <c r="CW262" s="530"/>
      <c r="CX262" s="530"/>
      <c r="CY262" s="530"/>
      <c r="CZ262" s="530"/>
      <c r="DA262" s="530"/>
      <c r="DB262" s="530"/>
      <c r="DC262" s="530"/>
      <c r="DD262" s="530"/>
      <c r="DE262" s="530"/>
      <c r="DF262" s="530"/>
      <c r="DG262" s="530"/>
      <c r="DH262" s="530"/>
      <c r="DI262" s="530"/>
      <c r="DJ262" s="530"/>
      <c r="DK262" s="530"/>
      <c r="DL262" s="530"/>
      <c r="DM262" s="530"/>
      <c r="DN262" s="530"/>
      <c r="DO262" s="530"/>
      <c r="DP262" s="530"/>
      <c r="DQ262" s="530"/>
      <c r="DR262" s="530"/>
      <c r="DS262" s="530"/>
      <c r="DT262" s="530"/>
      <c r="DU262" s="530"/>
      <c r="DV262" s="530"/>
      <c r="DW262" s="530"/>
      <c r="DX262" s="530"/>
      <c r="DY262" s="530"/>
      <c r="DZ262" s="530"/>
      <c r="EA262" s="530"/>
      <c r="EB262" s="530"/>
      <c r="EC262" s="530"/>
      <c r="ED262" s="530"/>
      <c r="EE262" s="530"/>
      <c r="EF262" s="530"/>
      <c r="EG262" s="530"/>
      <c r="EH262" s="530"/>
      <c r="EI262" s="530"/>
      <c r="EJ262" s="530"/>
      <c r="EK262" s="530"/>
      <c r="EL262" s="530"/>
      <c r="EM262" s="530"/>
      <c r="EN262" s="530"/>
      <c r="EO262" s="530"/>
      <c r="EP262" s="530"/>
      <c r="EQ262" s="530"/>
      <c r="ER262" s="530"/>
      <c r="ES262" s="530"/>
      <c r="ET262" s="530"/>
      <c r="EU262" s="530"/>
      <c r="EV262" s="530"/>
      <c r="EW262" s="530"/>
      <c r="EX262" s="530"/>
      <c r="EY262" s="530"/>
      <c r="EZ262" s="530"/>
      <c r="FA262" s="530"/>
      <c r="FB262" s="530"/>
      <c r="FC262" s="530"/>
      <c r="FD262" s="530"/>
      <c r="FE262" s="530"/>
      <c r="FF262" s="530"/>
      <c r="FG262" s="530"/>
      <c r="FH262" s="530"/>
      <c r="FI262" s="530"/>
      <c r="FJ262" s="530"/>
      <c r="FK262" s="530"/>
      <c r="FL262" s="530"/>
      <c r="FM262" s="530"/>
      <c r="FN262" s="530"/>
      <c r="FO262" s="530"/>
    </row>
    <row r="263" spans="1:171" s="1" customFormat="1" ht="13.5">
      <c r="A263" s="519" t="s">
        <v>219</v>
      </c>
      <c r="B263" s="453">
        <v>1058100</v>
      </c>
      <c r="C263" s="256">
        <v>1062500</v>
      </c>
      <c r="D263" s="256">
        <v>1073900</v>
      </c>
      <c r="E263" s="256">
        <v>1042000</v>
      </c>
      <c r="F263" s="256">
        <v>1085700</v>
      </c>
      <c r="G263" s="256">
        <v>1060900</v>
      </c>
      <c r="H263" s="256">
        <v>1076400</v>
      </c>
      <c r="I263" s="256">
        <v>1102200</v>
      </c>
      <c r="J263" s="256">
        <v>1159800</v>
      </c>
      <c r="K263" s="256">
        <v>1199100</v>
      </c>
      <c r="L263" s="256">
        <v>1324200</v>
      </c>
      <c r="M263" s="454">
        <v>1305000</v>
      </c>
      <c r="N263" s="530"/>
      <c r="O263" s="530"/>
      <c r="P263" s="530"/>
      <c r="Q263" s="530"/>
      <c r="R263" s="530"/>
      <c r="S263" s="530"/>
      <c r="T263" s="530"/>
      <c r="U263" s="530"/>
      <c r="V263" s="530"/>
      <c r="W263" s="530"/>
      <c r="X263" s="530"/>
      <c r="Y263" s="530"/>
      <c r="Z263" s="530"/>
      <c r="AA263" s="530"/>
      <c r="AB263" s="530"/>
      <c r="AC263" s="530"/>
      <c r="AD263" s="530"/>
      <c r="AE263" s="530"/>
      <c r="AF263" s="530"/>
      <c r="AG263" s="530"/>
      <c r="AH263" s="530"/>
      <c r="AI263" s="530"/>
      <c r="AJ263" s="530"/>
      <c r="AK263" s="530"/>
      <c r="AL263" s="530"/>
      <c r="AM263" s="530"/>
      <c r="AN263" s="530"/>
      <c r="AO263" s="530"/>
      <c r="AP263" s="530"/>
      <c r="AQ263" s="530"/>
      <c r="AR263" s="530"/>
      <c r="AS263" s="530"/>
      <c r="AT263" s="530"/>
      <c r="AU263" s="530"/>
      <c r="AV263" s="530"/>
      <c r="AW263" s="530"/>
      <c r="AX263" s="530"/>
      <c r="AY263" s="530"/>
      <c r="AZ263" s="530"/>
      <c r="BA263" s="530"/>
      <c r="BB263" s="530"/>
      <c r="BC263" s="530"/>
      <c r="BD263" s="530"/>
      <c r="BE263" s="530"/>
      <c r="BF263" s="530"/>
      <c r="BG263" s="530"/>
      <c r="BH263" s="530"/>
      <c r="BI263" s="530"/>
      <c r="BJ263" s="530"/>
      <c r="BK263" s="530"/>
      <c r="BL263" s="530"/>
      <c r="BM263" s="530"/>
      <c r="BN263" s="530"/>
      <c r="BO263" s="530"/>
      <c r="BP263" s="530"/>
      <c r="BQ263" s="530"/>
      <c r="BR263" s="530"/>
      <c r="BS263" s="530"/>
      <c r="BT263" s="530"/>
      <c r="BU263" s="530"/>
      <c r="BV263" s="530"/>
      <c r="BW263" s="530"/>
      <c r="BX263" s="530"/>
      <c r="BY263" s="530"/>
      <c r="BZ263" s="530"/>
      <c r="CA263" s="530"/>
      <c r="CB263" s="530"/>
      <c r="CC263" s="530"/>
      <c r="CD263" s="530"/>
      <c r="CE263" s="530"/>
      <c r="CF263" s="530"/>
      <c r="CG263" s="530"/>
      <c r="CH263" s="530"/>
      <c r="CI263" s="530"/>
      <c r="CJ263" s="530"/>
      <c r="CK263" s="530"/>
      <c r="CL263" s="530"/>
      <c r="CM263" s="530"/>
      <c r="CN263" s="530"/>
      <c r="CO263" s="530"/>
      <c r="CP263" s="530"/>
      <c r="CQ263" s="530"/>
      <c r="CR263" s="530"/>
      <c r="CS263" s="530"/>
      <c r="CT263" s="530"/>
      <c r="CU263" s="530"/>
      <c r="CV263" s="530"/>
      <c r="CW263" s="530"/>
      <c r="CX263" s="530"/>
      <c r="CY263" s="530"/>
      <c r="CZ263" s="530"/>
      <c r="DA263" s="530"/>
      <c r="DB263" s="530"/>
      <c r="DC263" s="530"/>
      <c r="DD263" s="530"/>
      <c r="DE263" s="530"/>
      <c r="DF263" s="530"/>
      <c r="DG263" s="530"/>
      <c r="DH263" s="530"/>
      <c r="DI263" s="530"/>
      <c r="DJ263" s="530"/>
      <c r="DK263" s="530"/>
      <c r="DL263" s="530"/>
      <c r="DM263" s="530"/>
      <c r="DN263" s="530"/>
      <c r="DO263" s="530"/>
      <c r="DP263" s="530"/>
      <c r="DQ263" s="530"/>
      <c r="DR263" s="530"/>
      <c r="DS263" s="530"/>
      <c r="DT263" s="530"/>
      <c r="DU263" s="530"/>
      <c r="DV263" s="530"/>
      <c r="DW263" s="530"/>
      <c r="DX263" s="530"/>
      <c r="DY263" s="530"/>
      <c r="DZ263" s="530"/>
      <c r="EA263" s="530"/>
      <c r="EB263" s="530"/>
      <c r="EC263" s="530"/>
      <c r="ED263" s="530"/>
      <c r="EE263" s="530"/>
      <c r="EF263" s="530"/>
      <c r="EG263" s="530"/>
      <c r="EH263" s="530"/>
      <c r="EI263" s="530"/>
      <c r="EJ263" s="530"/>
      <c r="EK263" s="530"/>
      <c r="EL263" s="530"/>
      <c r="EM263" s="530"/>
      <c r="EN263" s="530"/>
      <c r="EO263" s="530"/>
      <c r="EP263" s="530"/>
      <c r="EQ263" s="530"/>
      <c r="ER263" s="530"/>
      <c r="ES263" s="530"/>
      <c r="ET263" s="530"/>
      <c r="EU263" s="530"/>
      <c r="EV263" s="530"/>
      <c r="EW263" s="530"/>
      <c r="EX263" s="530"/>
      <c r="EY263" s="530"/>
      <c r="EZ263" s="530"/>
      <c r="FA263" s="530"/>
      <c r="FB263" s="530"/>
      <c r="FC263" s="530"/>
      <c r="FD263" s="530"/>
      <c r="FE263" s="530"/>
      <c r="FF263" s="530"/>
      <c r="FG263" s="530"/>
      <c r="FH263" s="530"/>
      <c r="FI263" s="530"/>
      <c r="FJ263" s="530"/>
      <c r="FK263" s="530"/>
      <c r="FL263" s="530"/>
      <c r="FM263" s="530"/>
      <c r="FN263" s="530"/>
      <c r="FO263" s="530"/>
    </row>
    <row r="264" spans="1:171" s="1" customFormat="1" ht="14.25" thickBot="1">
      <c r="A264" s="520" t="s">
        <v>18</v>
      </c>
      <c r="B264" s="521">
        <v>32899400</v>
      </c>
      <c r="C264" s="522">
        <v>32866200</v>
      </c>
      <c r="D264" s="522">
        <v>33071700</v>
      </c>
      <c r="E264" s="522">
        <v>33071900</v>
      </c>
      <c r="F264" s="522">
        <v>33349200</v>
      </c>
      <c r="G264" s="522">
        <v>33543200</v>
      </c>
      <c r="H264" s="522">
        <v>33620500</v>
      </c>
      <c r="I264" s="522">
        <v>33775800</v>
      </c>
      <c r="J264" s="522">
        <v>34500900</v>
      </c>
      <c r="K264" s="522">
        <v>35266000</v>
      </c>
      <c r="L264" s="522">
        <v>36055900</v>
      </c>
      <c r="M264" s="523">
        <v>36658600</v>
      </c>
      <c r="N264" s="530"/>
      <c r="O264" s="530"/>
      <c r="P264" s="530"/>
      <c r="Q264" s="530"/>
      <c r="R264" s="530"/>
      <c r="S264" s="530"/>
      <c r="T264" s="530"/>
      <c r="U264" s="530"/>
      <c r="V264" s="530"/>
      <c r="W264" s="530"/>
      <c r="X264" s="530"/>
      <c r="Y264" s="530"/>
      <c r="Z264" s="530"/>
      <c r="AA264" s="530"/>
      <c r="AB264" s="530"/>
      <c r="AC264" s="530"/>
      <c r="AD264" s="530"/>
      <c r="AE264" s="530"/>
      <c r="AF264" s="530"/>
      <c r="AG264" s="530"/>
      <c r="AH264" s="530"/>
      <c r="AI264" s="530"/>
      <c r="AJ264" s="530"/>
      <c r="AK264" s="530"/>
      <c r="AL264" s="530"/>
      <c r="AM264" s="530"/>
      <c r="AN264" s="530"/>
      <c r="AO264" s="530"/>
      <c r="AP264" s="530"/>
      <c r="AQ264" s="530"/>
      <c r="AR264" s="530"/>
      <c r="AS264" s="530"/>
      <c r="AT264" s="530"/>
      <c r="AU264" s="530"/>
      <c r="AV264" s="530"/>
      <c r="AW264" s="530"/>
      <c r="AX264" s="530"/>
      <c r="AY264" s="530"/>
      <c r="AZ264" s="530"/>
      <c r="BA264" s="530"/>
      <c r="BB264" s="530"/>
      <c r="BC264" s="530"/>
      <c r="BD264" s="530"/>
      <c r="BE264" s="530"/>
      <c r="BF264" s="530"/>
      <c r="BG264" s="530"/>
      <c r="BH264" s="530"/>
      <c r="BI264" s="530"/>
      <c r="BJ264" s="530"/>
      <c r="BK264" s="530"/>
      <c r="BL264" s="530"/>
      <c r="BM264" s="530"/>
      <c r="BN264" s="530"/>
      <c r="BO264" s="530"/>
      <c r="BP264" s="530"/>
      <c r="BQ264" s="530"/>
      <c r="BR264" s="530"/>
      <c r="BS264" s="530"/>
      <c r="BT264" s="530"/>
      <c r="BU264" s="530"/>
      <c r="BV264" s="530"/>
      <c r="BW264" s="530"/>
      <c r="BX264" s="530"/>
      <c r="BY264" s="530"/>
      <c r="BZ264" s="530"/>
      <c r="CA264" s="530"/>
      <c r="CB264" s="530"/>
      <c r="CC264" s="530"/>
      <c r="CD264" s="530"/>
      <c r="CE264" s="530"/>
      <c r="CF264" s="530"/>
      <c r="CG264" s="530"/>
      <c r="CH264" s="530"/>
      <c r="CI264" s="530"/>
      <c r="CJ264" s="530"/>
      <c r="CK264" s="530"/>
      <c r="CL264" s="530"/>
      <c r="CM264" s="530"/>
      <c r="CN264" s="530"/>
      <c r="CO264" s="530"/>
      <c r="CP264" s="530"/>
      <c r="CQ264" s="530"/>
      <c r="CR264" s="530"/>
      <c r="CS264" s="530"/>
      <c r="CT264" s="530"/>
      <c r="CU264" s="530"/>
      <c r="CV264" s="530"/>
      <c r="CW264" s="530"/>
      <c r="CX264" s="530"/>
      <c r="CY264" s="530"/>
      <c r="CZ264" s="530"/>
      <c r="DA264" s="530"/>
      <c r="DB264" s="530"/>
      <c r="DC264" s="530"/>
      <c r="DD264" s="530"/>
      <c r="DE264" s="530"/>
      <c r="DF264" s="530"/>
      <c r="DG264" s="530"/>
      <c r="DH264" s="530"/>
      <c r="DI264" s="530"/>
      <c r="DJ264" s="530"/>
      <c r="DK264" s="530"/>
      <c r="DL264" s="530"/>
      <c r="DM264" s="530"/>
      <c r="DN264" s="530"/>
      <c r="DO264" s="530"/>
      <c r="DP264" s="530"/>
      <c r="DQ264" s="530"/>
      <c r="DR264" s="530"/>
      <c r="DS264" s="530"/>
      <c r="DT264" s="530"/>
      <c r="DU264" s="530"/>
      <c r="DV264" s="530"/>
      <c r="DW264" s="530"/>
      <c r="DX264" s="530"/>
      <c r="DY264" s="530"/>
      <c r="DZ264" s="530"/>
      <c r="EA264" s="530"/>
      <c r="EB264" s="530"/>
      <c r="EC264" s="530"/>
      <c r="ED264" s="530"/>
      <c r="EE264" s="530"/>
      <c r="EF264" s="530"/>
      <c r="EG264" s="530"/>
      <c r="EH264" s="530"/>
      <c r="EI264" s="530"/>
      <c r="EJ264" s="530"/>
      <c r="EK264" s="530"/>
      <c r="EL264" s="530"/>
      <c r="EM264" s="530"/>
      <c r="EN264" s="530"/>
      <c r="EO264" s="530"/>
      <c r="EP264" s="530"/>
      <c r="EQ264" s="530"/>
      <c r="ER264" s="530"/>
      <c r="ES264" s="530"/>
      <c r="ET264" s="530"/>
      <c r="EU264" s="530"/>
      <c r="EV264" s="530"/>
      <c r="EW264" s="530"/>
      <c r="EX264" s="530"/>
      <c r="EY264" s="530"/>
      <c r="EZ264" s="530"/>
      <c r="FA264" s="530"/>
      <c r="FB264" s="530"/>
      <c r="FC264" s="530"/>
      <c r="FD264" s="530"/>
      <c r="FE264" s="530"/>
      <c r="FF264" s="530"/>
      <c r="FG264" s="530"/>
      <c r="FH264" s="530"/>
      <c r="FI264" s="530"/>
      <c r="FJ264" s="530"/>
      <c r="FK264" s="530"/>
      <c r="FL264" s="530"/>
      <c r="FM264" s="530"/>
      <c r="FN264" s="530"/>
      <c r="FO264" s="530"/>
    </row>
    <row r="265" spans="1:171" s="1" customFormat="1" ht="14.25" thickBot="1">
      <c r="A265" s="6"/>
      <c r="B265" s="530"/>
      <c r="C265" s="530"/>
      <c r="D265" s="530"/>
      <c r="E265" s="530"/>
      <c r="F265" s="530"/>
      <c r="G265" s="530"/>
      <c r="H265" s="530"/>
      <c r="I265" s="530"/>
      <c r="J265" s="530"/>
      <c r="K265" s="530"/>
      <c r="L265" s="530"/>
      <c r="M265" s="530"/>
      <c r="N265" s="530"/>
      <c r="O265" s="530"/>
      <c r="P265" s="530"/>
      <c r="Q265" s="530"/>
      <c r="R265" s="530"/>
      <c r="S265" s="530"/>
      <c r="T265" s="530"/>
      <c r="U265" s="530"/>
      <c r="V265" s="530"/>
      <c r="W265" s="530"/>
      <c r="X265" s="530"/>
      <c r="Y265" s="530"/>
      <c r="Z265" s="530"/>
      <c r="AA265" s="530"/>
      <c r="AB265" s="530"/>
      <c r="AC265" s="530"/>
      <c r="AD265" s="530"/>
      <c r="AE265" s="530"/>
      <c r="AF265" s="530"/>
      <c r="AG265" s="530"/>
      <c r="AH265" s="530"/>
      <c r="AI265" s="530"/>
      <c r="AJ265" s="530"/>
      <c r="AK265" s="530"/>
      <c r="AL265" s="530"/>
      <c r="AM265" s="530"/>
      <c r="AN265" s="530"/>
      <c r="AO265" s="530"/>
      <c r="AP265" s="530"/>
      <c r="AQ265" s="530"/>
      <c r="AR265" s="530"/>
      <c r="AS265" s="530"/>
      <c r="AT265" s="530"/>
      <c r="AU265" s="530"/>
      <c r="AV265" s="530"/>
      <c r="AW265" s="530"/>
      <c r="AX265" s="530"/>
      <c r="AY265" s="530"/>
      <c r="AZ265" s="530"/>
      <c r="BA265" s="530"/>
      <c r="BB265" s="530"/>
      <c r="BC265" s="530"/>
      <c r="BD265" s="530"/>
      <c r="BE265" s="530"/>
      <c r="BF265" s="530"/>
      <c r="BG265" s="530"/>
      <c r="BH265" s="530"/>
      <c r="BI265" s="530"/>
      <c r="BJ265" s="530"/>
      <c r="BK265" s="530"/>
      <c r="BL265" s="530"/>
      <c r="BM265" s="530"/>
      <c r="BN265" s="530"/>
      <c r="BO265" s="530"/>
      <c r="BP265" s="530"/>
      <c r="BQ265" s="530"/>
      <c r="BR265" s="530"/>
      <c r="BS265" s="530"/>
      <c r="BT265" s="530"/>
      <c r="BU265" s="530"/>
      <c r="BV265" s="530"/>
      <c r="BW265" s="530"/>
      <c r="BX265" s="530"/>
      <c r="BY265" s="530"/>
      <c r="BZ265" s="530"/>
      <c r="CA265" s="530"/>
      <c r="CB265" s="530"/>
      <c r="CC265" s="530"/>
      <c r="CD265" s="530"/>
      <c r="CE265" s="530"/>
      <c r="CF265" s="530"/>
      <c r="CG265" s="530"/>
      <c r="CH265" s="530"/>
      <c r="CI265" s="530"/>
      <c r="CJ265" s="530"/>
      <c r="CK265" s="530"/>
      <c r="CL265" s="530"/>
      <c r="CM265" s="530"/>
      <c r="CN265" s="530"/>
      <c r="CO265" s="530"/>
      <c r="CP265" s="530"/>
      <c r="CQ265" s="530"/>
      <c r="CR265" s="530"/>
      <c r="CS265" s="530"/>
      <c r="CT265" s="530"/>
      <c r="CU265" s="530"/>
      <c r="CV265" s="530"/>
      <c r="CW265" s="530"/>
      <c r="CX265" s="530"/>
      <c r="CY265" s="530"/>
      <c r="CZ265" s="530"/>
      <c r="DA265" s="530"/>
      <c r="DB265" s="530"/>
      <c r="DC265" s="530"/>
      <c r="DD265" s="530"/>
      <c r="DE265" s="530"/>
      <c r="DF265" s="530"/>
      <c r="DG265" s="530"/>
      <c r="DH265" s="530"/>
      <c r="DI265" s="530"/>
      <c r="DJ265" s="530"/>
      <c r="DK265" s="530"/>
      <c r="DL265" s="530"/>
      <c r="DM265" s="530"/>
      <c r="DN265" s="530"/>
      <c r="DO265" s="530"/>
      <c r="DP265" s="530"/>
      <c r="DQ265" s="530"/>
      <c r="DR265" s="530"/>
      <c r="DS265" s="530"/>
      <c r="DT265" s="530"/>
      <c r="DU265" s="530"/>
      <c r="DV265" s="530"/>
      <c r="DW265" s="530"/>
      <c r="DX265" s="530"/>
      <c r="DY265" s="530"/>
      <c r="DZ265" s="530"/>
      <c r="EA265" s="530"/>
      <c r="EB265" s="530"/>
      <c r="EC265" s="530"/>
      <c r="ED265" s="530"/>
      <c r="EE265" s="530"/>
      <c r="EF265" s="530"/>
      <c r="EG265" s="530"/>
      <c r="EH265" s="530"/>
      <c r="EI265" s="530"/>
      <c r="EJ265" s="530"/>
      <c r="EK265" s="530"/>
      <c r="EL265" s="530"/>
      <c r="EM265" s="530"/>
      <c r="EN265" s="530"/>
      <c r="EO265" s="530"/>
      <c r="EP265" s="530"/>
      <c r="EQ265" s="530"/>
      <c r="ER265" s="530"/>
      <c r="ES265" s="530"/>
      <c r="ET265" s="530"/>
      <c r="EU265" s="530"/>
      <c r="EV265" s="530"/>
      <c r="EW265" s="530"/>
      <c r="EX265" s="530"/>
      <c r="EY265" s="530"/>
      <c r="EZ265" s="530"/>
      <c r="FA265" s="530"/>
      <c r="FB265" s="530"/>
      <c r="FC265" s="530"/>
      <c r="FD265" s="530"/>
      <c r="FE265" s="530"/>
      <c r="FF265" s="530"/>
      <c r="FG265" s="530"/>
      <c r="FH265" s="530"/>
      <c r="FI265" s="530"/>
      <c r="FJ265" s="530"/>
      <c r="FK265" s="530"/>
      <c r="FL265" s="530"/>
      <c r="FM265" s="530"/>
      <c r="FN265" s="530"/>
      <c r="FO265" s="530"/>
    </row>
    <row r="266" spans="1:171" s="1" customFormat="1" ht="14.25" thickBot="1">
      <c r="A266" s="6"/>
      <c r="B266" s="526">
        <v>40544</v>
      </c>
      <c r="C266" s="527">
        <v>40575</v>
      </c>
      <c r="D266" s="527">
        <v>40603</v>
      </c>
      <c r="E266" s="527">
        <v>40634</v>
      </c>
      <c r="F266" s="527">
        <v>40664</v>
      </c>
      <c r="G266" s="527">
        <v>40695</v>
      </c>
      <c r="H266" s="527">
        <v>40725</v>
      </c>
      <c r="I266" s="527">
        <v>40756</v>
      </c>
      <c r="J266" s="527">
        <v>40787</v>
      </c>
      <c r="K266" s="527">
        <v>40817</v>
      </c>
      <c r="L266" s="527">
        <v>40848</v>
      </c>
      <c r="M266" s="528">
        <v>40878</v>
      </c>
      <c r="N266" s="530"/>
      <c r="O266" s="530"/>
      <c r="P266" s="530"/>
      <c r="Q266" s="530"/>
      <c r="R266" s="530"/>
      <c r="S266" s="530"/>
      <c r="T266" s="530"/>
      <c r="U266" s="530"/>
      <c r="V266" s="530"/>
      <c r="W266" s="530"/>
      <c r="X266" s="530"/>
      <c r="Y266" s="530"/>
      <c r="Z266" s="530"/>
      <c r="AA266" s="530"/>
      <c r="AB266" s="530"/>
      <c r="AC266" s="530"/>
      <c r="AD266" s="530"/>
      <c r="AE266" s="530"/>
      <c r="AF266" s="530"/>
      <c r="AG266" s="530"/>
      <c r="AH266" s="530"/>
      <c r="AI266" s="530"/>
      <c r="AJ266" s="530"/>
      <c r="AK266" s="530"/>
      <c r="AL266" s="530"/>
      <c r="AM266" s="530"/>
      <c r="AN266" s="530"/>
      <c r="AO266" s="530"/>
      <c r="AP266" s="530"/>
      <c r="AQ266" s="530"/>
      <c r="AR266" s="530"/>
      <c r="AS266" s="530"/>
      <c r="AT266" s="530"/>
      <c r="AU266" s="530"/>
      <c r="AV266" s="530"/>
      <c r="AW266" s="530"/>
      <c r="AX266" s="530"/>
      <c r="AY266" s="530"/>
      <c r="AZ266" s="530"/>
      <c r="BA266" s="530"/>
      <c r="BB266" s="530"/>
      <c r="BC266" s="530"/>
      <c r="BD266" s="530"/>
      <c r="BE266" s="530"/>
      <c r="BF266" s="530"/>
      <c r="BG266" s="530"/>
      <c r="BH266" s="530"/>
      <c r="BI266" s="530"/>
      <c r="BJ266" s="530"/>
      <c r="BK266" s="530"/>
      <c r="BL266" s="530"/>
      <c r="BM266" s="530"/>
      <c r="BN266" s="530"/>
      <c r="BO266" s="530"/>
      <c r="BP266" s="530"/>
      <c r="BQ266" s="530"/>
      <c r="BR266" s="530"/>
      <c r="BS266" s="530"/>
      <c r="BT266" s="530"/>
      <c r="BU266" s="530"/>
      <c r="BV266" s="530"/>
      <c r="BW266" s="530"/>
      <c r="BX266" s="530"/>
      <c r="BY266" s="530"/>
      <c r="BZ266" s="530"/>
      <c r="CA266" s="530"/>
      <c r="CB266" s="530"/>
      <c r="CC266" s="530"/>
      <c r="CD266" s="530"/>
      <c r="CE266" s="530"/>
      <c r="CF266" s="530"/>
      <c r="CG266" s="530"/>
      <c r="CH266" s="530"/>
      <c r="CI266" s="530"/>
      <c r="CJ266" s="530"/>
      <c r="CK266" s="530"/>
      <c r="CL266" s="530"/>
      <c r="CM266" s="530"/>
      <c r="CN266" s="530"/>
      <c r="CO266" s="530"/>
      <c r="CP266" s="530"/>
      <c r="CQ266" s="530"/>
      <c r="CR266" s="530"/>
      <c r="CS266" s="530"/>
      <c r="CT266" s="530"/>
      <c r="CU266" s="530"/>
      <c r="CV266" s="530"/>
      <c r="CW266" s="530"/>
      <c r="CX266" s="530"/>
      <c r="CY266" s="530"/>
      <c r="CZ266" s="530"/>
      <c r="DA266" s="530"/>
      <c r="DB266" s="530"/>
      <c r="DC266" s="530"/>
      <c r="DD266" s="530"/>
      <c r="DE266" s="530"/>
      <c r="DF266" s="530"/>
      <c r="DG266" s="530"/>
      <c r="DH266" s="530"/>
      <c r="DI266" s="530"/>
      <c r="DJ266" s="530"/>
      <c r="DK266" s="530"/>
      <c r="DL266" s="530"/>
      <c r="DM266" s="530"/>
      <c r="DN266" s="530"/>
      <c r="DO266" s="530"/>
      <c r="DP266" s="530"/>
      <c r="DQ266" s="530"/>
      <c r="DR266" s="530"/>
      <c r="DS266" s="530"/>
      <c r="DT266" s="530"/>
      <c r="DU266" s="530"/>
      <c r="DV266" s="530"/>
      <c r="DW266" s="530"/>
      <c r="DX266" s="530"/>
      <c r="DY266" s="530"/>
      <c r="DZ266" s="530"/>
      <c r="EA266" s="530"/>
      <c r="EB266" s="530"/>
      <c r="EC266" s="530"/>
      <c r="ED266" s="530"/>
      <c r="EE266" s="530"/>
      <c r="EF266" s="530"/>
      <c r="EG266" s="530"/>
      <c r="EH266" s="530"/>
      <c r="EI266" s="530"/>
      <c r="EJ266" s="530"/>
      <c r="EK266" s="530"/>
      <c r="EL266" s="530"/>
      <c r="EM266" s="530"/>
      <c r="EN266" s="530"/>
      <c r="EO266" s="530"/>
      <c r="EP266" s="530"/>
      <c r="EQ266" s="530"/>
      <c r="ER266" s="530"/>
      <c r="ES266" s="530"/>
      <c r="ET266" s="530"/>
      <c r="EU266" s="530"/>
      <c r="EV266" s="530"/>
      <c r="EW266" s="530"/>
      <c r="EX266" s="530"/>
      <c r="EY266" s="530"/>
      <c r="EZ266" s="530"/>
      <c r="FA266" s="530"/>
      <c r="FB266" s="530"/>
      <c r="FC266" s="530"/>
      <c r="FD266" s="530"/>
      <c r="FE266" s="530"/>
      <c r="FF266" s="530"/>
      <c r="FG266" s="530"/>
      <c r="FH266" s="530"/>
      <c r="FI266" s="530"/>
      <c r="FJ266" s="530"/>
      <c r="FK266" s="530"/>
      <c r="FL266" s="530"/>
      <c r="FM266" s="530"/>
      <c r="FN266" s="530"/>
      <c r="FO266" s="530"/>
    </row>
    <row r="267" spans="1:171" s="1" customFormat="1" ht="13.5">
      <c r="A267" s="484" t="s">
        <v>216</v>
      </c>
      <c r="B267" s="517">
        <f t="shared" ref="B267:M267" si="21">B268+B269</f>
        <v>23746600</v>
      </c>
      <c r="C267" s="271">
        <f t="shared" si="21"/>
        <v>24181000</v>
      </c>
      <c r="D267" s="271">
        <f t="shared" si="21"/>
        <v>24406000</v>
      </c>
      <c r="E267" s="271">
        <f t="shared" si="21"/>
        <v>24532800</v>
      </c>
      <c r="F267" s="271">
        <f t="shared" si="21"/>
        <v>24696500</v>
      </c>
      <c r="G267" s="271">
        <f t="shared" si="21"/>
        <v>24681000</v>
      </c>
      <c r="H267" s="271">
        <f t="shared" si="21"/>
        <v>24562300</v>
      </c>
      <c r="I267" s="271">
        <f t="shared" si="21"/>
        <v>24540200</v>
      </c>
      <c r="J267" s="271">
        <f t="shared" si="21"/>
        <v>24353800</v>
      </c>
      <c r="K267" s="271">
        <f t="shared" si="21"/>
        <v>24254300</v>
      </c>
      <c r="L267" s="271">
        <f t="shared" si="21"/>
        <v>24148900</v>
      </c>
      <c r="M267" s="518">
        <f t="shared" si="21"/>
        <v>23929500</v>
      </c>
      <c r="N267" s="530"/>
      <c r="O267" s="530"/>
      <c r="P267" s="530"/>
      <c r="Q267" s="530"/>
      <c r="R267" s="530"/>
      <c r="S267" s="530"/>
      <c r="T267" s="530"/>
      <c r="U267" s="530"/>
      <c r="V267" s="530"/>
      <c r="W267" s="530"/>
      <c r="X267" s="530"/>
      <c r="Y267" s="530"/>
      <c r="Z267" s="530"/>
      <c r="AA267" s="530"/>
      <c r="AB267" s="530"/>
      <c r="AC267" s="530"/>
      <c r="AD267" s="530"/>
      <c r="AE267" s="530"/>
      <c r="AF267" s="530"/>
      <c r="AG267" s="530"/>
      <c r="AH267" s="530"/>
      <c r="AI267" s="530"/>
      <c r="AJ267" s="530"/>
      <c r="AK267" s="530"/>
      <c r="AL267" s="530"/>
      <c r="AM267" s="530"/>
      <c r="AN267" s="530"/>
      <c r="AO267" s="530"/>
      <c r="AP267" s="530"/>
      <c r="AQ267" s="530"/>
      <c r="AR267" s="530"/>
      <c r="AS267" s="530"/>
      <c r="AT267" s="530"/>
      <c r="AU267" s="530"/>
      <c r="AV267" s="530"/>
      <c r="AW267" s="530"/>
      <c r="AX267" s="530"/>
      <c r="AY267" s="530"/>
      <c r="AZ267" s="530"/>
      <c r="BA267" s="530"/>
      <c r="BB267" s="530"/>
      <c r="BC267" s="530"/>
      <c r="BD267" s="530"/>
      <c r="BE267" s="530"/>
      <c r="BF267" s="530"/>
      <c r="BG267" s="530"/>
      <c r="BH267" s="530"/>
      <c r="BI267" s="530"/>
      <c r="BJ267" s="530"/>
      <c r="BK267" s="530"/>
      <c r="BL267" s="530"/>
      <c r="BM267" s="530"/>
      <c r="BN267" s="530"/>
      <c r="BO267" s="530"/>
      <c r="BP267" s="530"/>
      <c r="BQ267" s="530"/>
      <c r="BR267" s="530"/>
      <c r="BS267" s="530"/>
      <c r="BT267" s="530"/>
      <c r="BU267" s="530"/>
      <c r="BV267" s="530"/>
      <c r="BW267" s="530"/>
      <c r="BX267" s="530"/>
      <c r="BY267" s="530"/>
      <c r="BZ267" s="530"/>
      <c r="CA267" s="530"/>
      <c r="CB267" s="530"/>
      <c r="CC267" s="530"/>
      <c r="CD267" s="530"/>
      <c r="CE267" s="530"/>
      <c r="CF267" s="530"/>
      <c r="CG267" s="530"/>
      <c r="CH267" s="530"/>
      <c r="CI267" s="530"/>
      <c r="CJ267" s="530"/>
      <c r="CK267" s="530"/>
      <c r="CL267" s="530"/>
      <c r="CM267" s="530"/>
      <c r="CN267" s="530"/>
      <c r="CO267" s="530"/>
      <c r="CP267" s="530"/>
      <c r="CQ267" s="530"/>
      <c r="CR267" s="530"/>
      <c r="CS267" s="530"/>
      <c r="CT267" s="530"/>
      <c r="CU267" s="530"/>
      <c r="CV267" s="530"/>
      <c r="CW267" s="530"/>
      <c r="CX267" s="530"/>
      <c r="CY267" s="530"/>
      <c r="CZ267" s="530"/>
      <c r="DA267" s="530"/>
      <c r="DB267" s="530"/>
      <c r="DC267" s="530"/>
      <c r="DD267" s="530"/>
      <c r="DE267" s="530"/>
      <c r="DF267" s="530"/>
      <c r="DG267" s="530"/>
      <c r="DH267" s="530"/>
      <c r="DI267" s="530"/>
      <c r="DJ267" s="530"/>
      <c r="DK267" s="530"/>
      <c r="DL267" s="530"/>
      <c r="DM267" s="530"/>
      <c r="DN267" s="530"/>
      <c r="DO267" s="530"/>
      <c r="DP267" s="530"/>
      <c r="DQ267" s="530"/>
      <c r="DR267" s="530"/>
      <c r="DS267" s="530"/>
      <c r="DT267" s="530"/>
      <c r="DU267" s="530"/>
      <c r="DV267" s="530"/>
      <c r="DW267" s="530"/>
      <c r="DX267" s="530"/>
      <c r="DY267" s="530"/>
      <c r="DZ267" s="530"/>
      <c r="EA267" s="530"/>
      <c r="EB267" s="530"/>
      <c r="EC267" s="530"/>
      <c r="ED267" s="530"/>
      <c r="EE267" s="530"/>
      <c r="EF267" s="530"/>
      <c r="EG267" s="530"/>
      <c r="EH267" s="530"/>
      <c r="EI267" s="530"/>
      <c r="EJ267" s="530"/>
      <c r="EK267" s="530"/>
      <c r="EL267" s="530"/>
      <c r="EM267" s="530"/>
      <c r="EN267" s="530"/>
      <c r="EO267" s="530"/>
      <c r="EP267" s="530"/>
      <c r="EQ267" s="530"/>
      <c r="ER267" s="530"/>
      <c r="ES267" s="530"/>
      <c r="ET267" s="530"/>
      <c r="EU267" s="530"/>
      <c r="EV267" s="530"/>
      <c r="EW267" s="530"/>
      <c r="EX267" s="530"/>
      <c r="EY267" s="530"/>
      <c r="EZ267" s="530"/>
      <c r="FA267" s="530"/>
      <c r="FB267" s="530"/>
      <c r="FC267" s="530"/>
      <c r="FD267" s="530"/>
      <c r="FE267" s="530"/>
      <c r="FF267" s="530"/>
      <c r="FG267" s="530"/>
      <c r="FH267" s="530"/>
      <c r="FI267" s="530"/>
      <c r="FJ267" s="530"/>
      <c r="FK267" s="530"/>
      <c r="FL267" s="530"/>
      <c r="FM267" s="530"/>
      <c r="FN267" s="530"/>
      <c r="FO267" s="530"/>
    </row>
    <row r="268" spans="1:171" s="1" customFormat="1" ht="13.5">
      <c r="A268" s="519" t="s">
        <v>217</v>
      </c>
      <c r="B268" s="453">
        <v>18700200</v>
      </c>
      <c r="C268" s="256">
        <v>19071600</v>
      </c>
      <c r="D268" s="256">
        <v>19266400</v>
      </c>
      <c r="E268" s="256">
        <v>19378500</v>
      </c>
      <c r="F268" s="256">
        <v>19551500</v>
      </c>
      <c r="G268" s="256">
        <v>19584800</v>
      </c>
      <c r="H268" s="256">
        <v>19500800</v>
      </c>
      <c r="I268" s="256">
        <v>19521800</v>
      </c>
      <c r="J268" s="256">
        <v>19389300</v>
      </c>
      <c r="K268" s="256">
        <v>19345300</v>
      </c>
      <c r="L268" s="256">
        <v>19274000</v>
      </c>
      <c r="M268" s="454">
        <v>19052000</v>
      </c>
      <c r="N268" s="530"/>
      <c r="O268" s="530"/>
      <c r="P268" s="530"/>
      <c r="Q268" s="530"/>
      <c r="R268" s="530"/>
      <c r="S268" s="530"/>
      <c r="T268" s="530"/>
      <c r="U268" s="530"/>
      <c r="V268" s="530"/>
      <c r="W268" s="530"/>
      <c r="X268" s="530"/>
      <c r="Y268" s="530"/>
      <c r="Z268" s="530"/>
      <c r="AA268" s="530"/>
      <c r="AB268" s="530"/>
      <c r="AC268" s="530"/>
      <c r="AD268" s="530"/>
      <c r="AE268" s="530"/>
      <c r="AF268" s="530"/>
      <c r="AG268" s="530"/>
      <c r="AH268" s="530"/>
      <c r="AI268" s="530"/>
      <c r="AJ268" s="530"/>
      <c r="AK268" s="530"/>
      <c r="AL268" s="530"/>
      <c r="AM268" s="530"/>
      <c r="AN268" s="530"/>
      <c r="AO268" s="530"/>
      <c r="AP268" s="530"/>
      <c r="AQ268" s="530"/>
      <c r="AR268" s="530"/>
      <c r="AS268" s="530"/>
      <c r="AT268" s="530"/>
      <c r="AU268" s="530"/>
      <c r="AV268" s="530"/>
      <c r="AW268" s="530"/>
      <c r="AX268" s="530"/>
      <c r="AY268" s="530"/>
      <c r="AZ268" s="530"/>
      <c r="BA268" s="530"/>
      <c r="BB268" s="530"/>
      <c r="BC268" s="530"/>
      <c r="BD268" s="530"/>
      <c r="BE268" s="530"/>
      <c r="BF268" s="530"/>
      <c r="BG268" s="530"/>
      <c r="BH268" s="530"/>
      <c r="BI268" s="530"/>
      <c r="BJ268" s="530"/>
      <c r="BK268" s="530"/>
      <c r="BL268" s="530"/>
      <c r="BM268" s="530"/>
      <c r="BN268" s="530"/>
      <c r="BO268" s="530"/>
      <c r="BP268" s="530"/>
      <c r="BQ268" s="530"/>
      <c r="BR268" s="530"/>
      <c r="BS268" s="530"/>
      <c r="BT268" s="530"/>
      <c r="BU268" s="530"/>
      <c r="BV268" s="530"/>
      <c r="BW268" s="530"/>
      <c r="BX268" s="530"/>
      <c r="BY268" s="530"/>
      <c r="BZ268" s="530"/>
      <c r="CA268" s="530"/>
      <c r="CB268" s="530"/>
      <c r="CC268" s="530"/>
      <c r="CD268" s="530"/>
      <c r="CE268" s="530"/>
      <c r="CF268" s="530"/>
      <c r="CG268" s="530"/>
      <c r="CH268" s="530"/>
      <c r="CI268" s="530"/>
      <c r="CJ268" s="530"/>
      <c r="CK268" s="530"/>
      <c r="CL268" s="530"/>
      <c r="CM268" s="530"/>
      <c r="CN268" s="530"/>
      <c r="CO268" s="530"/>
      <c r="CP268" s="530"/>
      <c r="CQ268" s="530"/>
      <c r="CR268" s="530"/>
      <c r="CS268" s="530"/>
      <c r="CT268" s="530"/>
      <c r="CU268" s="530"/>
      <c r="CV268" s="530"/>
      <c r="CW268" s="530"/>
      <c r="CX268" s="530"/>
      <c r="CY268" s="530"/>
      <c r="CZ268" s="530"/>
      <c r="DA268" s="530"/>
      <c r="DB268" s="530"/>
      <c r="DC268" s="530"/>
      <c r="DD268" s="530"/>
      <c r="DE268" s="530"/>
      <c r="DF268" s="530"/>
      <c r="DG268" s="530"/>
      <c r="DH268" s="530"/>
      <c r="DI268" s="530"/>
      <c r="DJ268" s="530"/>
      <c r="DK268" s="530"/>
      <c r="DL268" s="530"/>
      <c r="DM268" s="530"/>
      <c r="DN268" s="530"/>
      <c r="DO268" s="530"/>
      <c r="DP268" s="530"/>
      <c r="DQ268" s="530"/>
      <c r="DR268" s="530"/>
      <c r="DS268" s="530"/>
      <c r="DT268" s="530"/>
      <c r="DU268" s="530"/>
      <c r="DV268" s="530"/>
      <c r="DW268" s="530"/>
      <c r="DX268" s="530"/>
      <c r="DY268" s="530"/>
      <c r="DZ268" s="530"/>
      <c r="EA268" s="530"/>
      <c r="EB268" s="530"/>
      <c r="EC268" s="530"/>
      <c r="ED268" s="530"/>
      <c r="EE268" s="530"/>
      <c r="EF268" s="530"/>
      <c r="EG268" s="530"/>
      <c r="EH268" s="530"/>
      <c r="EI268" s="530"/>
      <c r="EJ268" s="530"/>
      <c r="EK268" s="530"/>
      <c r="EL268" s="530"/>
      <c r="EM268" s="530"/>
      <c r="EN268" s="530"/>
      <c r="EO268" s="530"/>
      <c r="EP268" s="530"/>
      <c r="EQ268" s="530"/>
      <c r="ER268" s="530"/>
      <c r="ES268" s="530"/>
      <c r="ET268" s="530"/>
      <c r="EU268" s="530"/>
      <c r="EV268" s="530"/>
      <c r="EW268" s="530"/>
      <c r="EX268" s="530"/>
      <c r="EY268" s="530"/>
      <c r="EZ268" s="530"/>
      <c r="FA268" s="530"/>
      <c r="FB268" s="530"/>
      <c r="FC268" s="530"/>
      <c r="FD268" s="530"/>
      <c r="FE268" s="530"/>
      <c r="FF268" s="530"/>
      <c r="FG268" s="530"/>
      <c r="FH268" s="530"/>
      <c r="FI268" s="530"/>
      <c r="FJ268" s="530"/>
      <c r="FK268" s="530"/>
      <c r="FL268" s="530"/>
      <c r="FM268" s="530"/>
      <c r="FN268" s="530"/>
      <c r="FO268" s="530"/>
    </row>
    <row r="269" spans="1:171" s="1" customFormat="1" ht="13.5">
      <c r="A269" s="519" t="s">
        <v>218</v>
      </c>
      <c r="B269" s="453">
        <v>5046400</v>
      </c>
      <c r="C269" s="256">
        <v>5109400</v>
      </c>
      <c r="D269" s="256">
        <v>5139600</v>
      </c>
      <c r="E269" s="256">
        <v>5154300</v>
      </c>
      <c r="F269" s="256">
        <v>5145000</v>
      </c>
      <c r="G269" s="256">
        <v>5096200</v>
      </c>
      <c r="H269" s="256">
        <v>5061500</v>
      </c>
      <c r="I269" s="256">
        <v>5018400</v>
      </c>
      <c r="J269" s="256">
        <v>4964500</v>
      </c>
      <c r="K269" s="256">
        <v>4909000</v>
      </c>
      <c r="L269" s="256">
        <v>4874900</v>
      </c>
      <c r="M269" s="454">
        <v>4877500</v>
      </c>
      <c r="N269" s="530"/>
      <c r="O269" s="530"/>
      <c r="P269" s="530"/>
      <c r="Q269" s="530"/>
      <c r="R269" s="530"/>
      <c r="S269" s="530"/>
      <c r="T269" s="530"/>
      <c r="U269" s="530"/>
      <c r="V269" s="530"/>
      <c r="W269" s="530"/>
      <c r="X269" s="530"/>
      <c r="Y269" s="530"/>
      <c r="Z269" s="530"/>
      <c r="AA269" s="530"/>
      <c r="AB269" s="530"/>
      <c r="AC269" s="530"/>
      <c r="AD269" s="530"/>
      <c r="AE269" s="530"/>
      <c r="AF269" s="530"/>
      <c r="AG269" s="530"/>
      <c r="AH269" s="530"/>
      <c r="AI269" s="530"/>
      <c r="AJ269" s="530"/>
      <c r="AK269" s="530"/>
      <c r="AL269" s="530"/>
      <c r="AM269" s="530"/>
      <c r="AN269" s="530"/>
      <c r="AO269" s="530"/>
      <c r="AP269" s="530"/>
      <c r="AQ269" s="530"/>
      <c r="AR269" s="530"/>
      <c r="AS269" s="530"/>
      <c r="AT269" s="530"/>
      <c r="AU269" s="530"/>
      <c r="AV269" s="530"/>
      <c r="AW269" s="530"/>
      <c r="AX269" s="530"/>
      <c r="AY269" s="530"/>
      <c r="AZ269" s="530"/>
      <c r="BA269" s="530"/>
      <c r="BB269" s="530"/>
      <c r="BC269" s="530"/>
      <c r="BD269" s="530"/>
      <c r="BE269" s="530"/>
      <c r="BF269" s="530"/>
      <c r="BG269" s="530"/>
      <c r="BH269" s="530"/>
      <c r="BI269" s="530"/>
      <c r="BJ269" s="530"/>
      <c r="BK269" s="530"/>
      <c r="BL269" s="530"/>
      <c r="BM269" s="530"/>
      <c r="BN269" s="530"/>
      <c r="BO269" s="530"/>
      <c r="BP269" s="530"/>
      <c r="BQ269" s="530"/>
      <c r="BR269" s="530"/>
      <c r="BS269" s="530"/>
      <c r="BT269" s="530"/>
      <c r="BU269" s="530"/>
      <c r="BV269" s="530"/>
      <c r="BW269" s="530"/>
      <c r="BX269" s="530"/>
      <c r="BY269" s="530"/>
      <c r="BZ269" s="530"/>
      <c r="CA269" s="530"/>
      <c r="CB269" s="530"/>
      <c r="CC269" s="530"/>
      <c r="CD269" s="530"/>
      <c r="CE269" s="530"/>
      <c r="CF269" s="530"/>
      <c r="CG269" s="530"/>
      <c r="CH269" s="530"/>
      <c r="CI269" s="530"/>
      <c r="CJ269" s="530"/>
      <c r="CK269" s="530"/>
      <c r="CL269" s="530"/>
      <c r="CM269" s="530"/>
      <c r="CN269" s="530"/>
      <c r="CO269" s="530"/>
      <c r="CP269" s="530"/>
      <c r="CQ269" s="530"/>
      <c r="CR269" s="530"/>
      <c r="CS269" s="530"/>
      <c r="CT269" s="530"/>
      <c r="CU269" s="530"/>
      <c r="CV269" s="530"/>
      <c r="CW269" s="530"/>
      <c r="CX269" s="530"/>
      <c r="CY269" s="530"/>
      <c r="CZ269" s="530"/>
      <c r="DA269" s="530"/>
      <c r="DB269" s="530"/>
      <c r="DC269" s="530"/>
      <c r="DD269" s="530"/>
      <c r="DE269" s="530"/>
      <c r="DF269" s="530"/>
      <c r="DG269" s="530"/>
      <c r="DH269" s="530"/>
      <c r="DI269" s="530"/>
      <c r="DJ269" s="530"/>
      <c r="DK269" s="530"/>
      <c r="DL269" s="530"/>
      <c r="DM269" s="530"/>
      <c r="DN269" s="530"/>
      <c r="DO269" s="530"/>
      <c r="DP269" s="530"/>
      <c r="DQ269" s="530"/>
      <c r="DR269" s="530"/>
      <c r="DS269" s="530"/>
      <c r="DT269" s="530"/>
      <c r="DU269" s="530"/>
      <c r="DV269" s="530"/>
      <c r="DW269" s="530"/>
      <c r="DX269" s="530"/>
      <c r="DY269" s="530"/>
      <c r="DZ269" s="530"/>
      <c r="EA269" s="530"/>
      <c r="EB269" s="530"/>
      <c r="EC269" s="530"/>
      <c r="ED269" s="530"/>
      <c r="EE269" s="530"/>
      <c r="EF269" s="530"/>
      <c r="EG269" s="530"/>
      <c r="EH269" s="530"/>
      <c r="EI269" s="530"/>
      <c r="EJ269" s="530"/>
      <c r="EK269" s="530"/>
      <c r="EL269" s="530"/>
      <c r="EM269" s="530"/>
      <c r="EN269" s="530"/>
      <c r="EO269" s="530"/>
      <c r="EP269" s="530"/>
      <c r="EQ269" s="530"/>
      <c r="ER269" s="530"/>
      <c r="ES269" s="530"/>
      <c r="ET269" s="530"/>
      <c r="EU269" s="530"/>
      <c r="EV269" s="530"/>
      <c r="EW269" s="530"/>
      <c r="EX269" s="530"/>
      <c r="EY269" s="530"/>
      <c r="EZ269" s="530"/>
      <c r="FA269" s="530"/>
      <c r="FB269" s="530"/>
      <c r="FC269" s="530"/>
      <c r="FD269" s="530"/>
      <c r="FE269" s="530"/>
      <c r="FF269" s="530"/>
      <c r="FG269" s="530"/>
      <c r="FH269" s="530"/>
      <c r="FI269" s="530"/>
      <c r="FJ269" s="530"/>
      <c r="FK269" s="530"/>
      <c r="FL269" s="530"/>
      <c r="FM269" s="530"/>
      <c r="FN269" s="530"/>
      <c r="FO269" s="530"/>
    </row>
    <row r="270" spans="1:171" s="1" customFormat="1" ht="13.5">
      <c r="A270" s="519" t="s">
        <v>188</v>
      </c>
      <c r="B270" s="453">
        <v>12180800</v>
      </c>
      <c r="C270" s="256">
        <v>12194900</v>
      </c>
      <c r="D270" s="256">
        <v>12327100</v>
      </c>
      <c r="E270" s="256">
        <v>12338900</v>
      </c>
      <c r="F270" s="256">
        <v>12469200</v>
      </c>
      <c r="G270" s="256">
        <v>12225400</v>
      </c>
      <c r="H270" s="256">
        <v>12264600</v>
      </c>
      <c r="I270" s="256">
        <v>12254800</v>
      </c>
      <c r="J270" s="256">
        <v>12114800</v>
      </c>
      <c r="K270" s="256">
        <v>12029800</v>
      </c>
      <c r="L270" s="256">
        <v>12234500</v>
      </c>
      <c r="M270" s="454">
        <v>12362600</v>
      </c>
      <c r="N270" s="530"/>
      <c r="O270" s="530"/>
      <c r="P270" s="530"/>
      <c r="Q270" s="530"/>
      <c r="R270" s="530"/>
      <c r="S270" s="530"/>
      <c r="T270" s="530"/>
      <c r="U270" s="530"/>
      <c r="V270" s="530"/>
      <c r="W270" s="530"/>
      <c r="X270" s="530"/>
      <c r="Y270" s="530"/>
      <c r="Z270" s="530"/>
      <c r="AA270" s="530"/>
      <c r="AB270" s="530"/>
      <c r="AC270" s="530"/>
      <c r="AD270" s="530"/>
      <c r="AE270" s="530"/>
      <c r="AF270" s="530"/>
      <c r="AG270" s="530"/>
      <c r="AH270" s="530"/>
      <c r="AI270" s="530"/>
      <c r="AJ270" s="530"/>
      <c r="AK270" s="530"/>
      <c r="AL270" s="530"/>
      <c r="AM270" s="530"/>
      <c r="AN270" s="530"/>
      <c r="AO270" s="530"/>
      <c r="AP270" s="530"/>
      <c r="AQ270" s="530"/>
      <c r="AR270" s="530"/>
      <c r="AS270" s="530"/>
      <c r="AT270" s="530"/>
      <c r="AU270" s="530"/>
      <c r="AV270" s="530"/>
      <c r="AW270" s="530"/>
      <c r="AX270" s="530"/>
      <c r="AY270" s="530"/>
      <c r="AZ270" s="530"/>
      <c r="BA270" s="530"/>
      <c r="BB270" s="530"/>
      <c r="BC270" s="530"/>
      <c r="BD270" s="530"/>
      <c r="BE270" s="530"/>
      <c r="BF270" s="530"/>
      <c r="BG270" s="530"/>
      <c r="BH270" s="530"/>
      <c r="BI270" s="530"/>
      <c r="BJ270" s="530"/>
      <c r="BK270" s="530"/>
      <c r="BL270" s="530"/>
      <c r="BM270" s="530"/>
      <c r="BN270" s="530"/>
      <c r="BO270" s="530"/>
      <c r="BP270" s="530"/>
      <c r="BQ270" s="530"/>
      <c r="BR270" s="530"/>
      <c r="BS270" s="530"/>
      <c r="BT270" s="530"/>
      <c r="BU270" s="530"/>
      <c r="BV270" s="530"/>
      <c r="BW270" s="530"/>
      <c r="BX270" s="530"/>
      <c r="BY270" s="530"/>
      <c r="BZ270" s="530"/>
      <c r="CA270" s="530"/>
      <c r="CB270" s="530"/>
      <c r="CC270" s="530"/>
      <c r="CD270" s="530"/>
      <c r="CE270" s="530"/>
      <c r="CF270" s="530"/>
      <c r="CG270" s="530"/>
      <c r="CH270" s="530"/>
      <c r="CI270" s="530"/>
      <c r="CJ270" s="530"/>
      <c r="CK270" s="530"/>
      <c r="CL270" s="530"/>
      <c r="CM270" s="530"/>
      <c r="CN270" s="530"/>
      <c r="CO270" s="530"/>
      <c r="CP270" s="530"/>
      <c r="CQ270" s="530"/>
      <c r="CR270" s="530"/>
      <c r="CS270" s="530"/>
      <c r="CT270" s="530"/>
      <c r="CU270" s="530"/>
      <c r="CV270" s="530"/>
      <c r="CW270" s="530"/>
      <c r="CX270" s="530"/>
      <c r="CY270" s="530"/>
      <c r="CZ270" s="530"/>
      <c r="DA270" s="530"/>
      <c r="DB270" s="530"/>
      <c r="DC270" s="530"/>
      <c r="DD270" s="530"/>
      <c r="DE270" s="530"/>
      <c r="DF270" s="530"/>
      <c r="DG270" s="530"/>
      <c r="DH270" s="530"/>
      <c r="DI270" s="530"/>
      <c r="DJ270" s="530"/>
      <c r="DK270" s="530"/>
      <c r="DL270" s="530"/>
      <c r="DM270" s="530"/>
      <c r="DN270" s="530"/>
      <c r="DO270" s="530"/>
      <c r="DP270" s="530"/>
      <c r="DQ270" s="530"/>
      <c r="DR270" s="530"/>
      <c r="DS270" s="530"/>
      <c r="DT270" s="530"/>
      <c r="DU270" s="530"/>
      <c r="DV270" s="530"/>
      <c r="DW270" s="530"/>
      <c r="DX270" s="530"/>
      <c r="DY270" s="530"/>
      <c r="DZ270" s="530"/>
      <c r="EA270" s="530"/>
      <c r="EB270" s="530"/>
      <c r="EC270" s="530"/>
      <c r="ED270" s="530"/>
      <c r="EE270" s="530"/>
      <c r="EF270" s="530"/>
      <c r="EG270" s="530"/>
      <c r="EH270" s="530"/>
      <c r="EI270" s="530"/>
      <c r="EJ270" s="530"/>
      <c r="EK270" s="530"/>
      <c r="EL270" s="530"/>
      <c r="EM270" s="530"/>
      <c r="EN270" s="530"/>
      <c r="EO270" s="530"/>
      <c r="EP270" s="530"/>
      <c r="EQ270" s="530"/>
      <c r="ER270" s="530"/>
      <c r="ES270" s="530"/>
      <c r="ET270" s="530"/>
      <c r="EU270" s="530"/>
      <c r="EV270" s="530"/>
      <c r="EW270" s="530"/>
      <c r="EX270" s="530"/>
      <c r="EY270" s="530"/>
      <c r="EZ270" s="530"/>
      <c r="FA270" s="530"/>
      <c r="FB270" s="530"/>
      <c r="FC270" s="530"/>
      <c r="FD270" s="530"/>
      <c r="FE270" s="530"/>
      <c r="FF270" s="530"/>
      <c r="FG270" s="530"/>
      <c r="FH270" s="530"/>
      <c r="FI270" s="530"/>
      <c r="FJ270" s="530"/>
      <c r="FK270" s="530"/>
      <c r="FL270" s="530"/>
      <c r="FM270" s="530"/>
      <c r="FN270" s="530"/>
      <c r="FO270" s="530"/>
    </row>
    <row r="271" spans="1:171" s="1" customFormat="1" ht="13.5">
      <c r="A271" s="519" t="s">
        <v>219</v>
      </c>
      <c r="B271" s="453">
        <v>1315800</v>
      </c>
      <c r="C271" s="256">
        <v>1313000</v>
      </c>
      <c r="D271" s="256">
        <v>1301900</v>
      </c>
      <c r="E271" s="256">
        <v>1338300</v>
      </c>
      <c r="F271" s="256">
        <v>1378400</v>
      </c>
      <c r="G271" s="256">
        <v>1373400</v>
      </c>
      <c r="H271" s="256">
        <v>1296900</v>
      </c>
      <c r="I271" s="256">
        <v>1250600</v>
      </c>
      <c r="J271" s="256">
        <v>1245300</v>
      </c>
      <c r="K271" s="256">
        <v>1198800</v>
      </c>
      <c r="L271" s="256">
        <v>1197000</v>
      </c>
      <c r="M271" s="454">
        <v>1222800</v>
      </c>
      <c r="N271" s="530"/>
      <c r="O271" s="530"/>
      <c r="P271" s="530"/>
      <c r="Q271" s="530"/>
      <c r="R271" s="530"/>
      <c r="S271" s="530"/>
      <c r="T271" s="530"/>
      <c r="U271" s="530"/>
      <c r="V271" s="530"/>
      <c r="W271" s="530"/>
      <c r="X271" s="530"/>
      <c r="Y271" s="530"/>
      <c r="Z271" s="530"/>
      <c r="AA271" s="530"/>
      <c r="AB271" s="530"/>
      <c r="AC271" s="530"/>
      <c r="AD271" s="530"/>
      <c r="AE271" s="530"/>
      <c r="AF271" s="530"/>
      <c r="AG271" s="530"/>
      <c r="AH271" s="530"/>
      <c r="AI271" s="530"/>
      <c r="AJ271" s="530"/>
      <c r="AK271" s="530"/>
      <c r="AL271" s="530"/>
      <c r="AM271" s="530"/>
      <c r="AN271" s="530"/>
      <c r="AO271" s="530"/>
      <c r="AP271" s="530"/>
      <c r="AQ271" s="530"/>
      <c r="AR271" s="530"/>
      <c r="AS271" s="530"/>
      <c r="AT271" s="530"/>
      <c r="AU271" s="530"/>
      <c r="AV271" s="530"/>
      <c r="AW271" s="530"/>
      <c r="AX271" s="530"/>
      <c r="AY271" s="530"/>
      <c r="AZ271" s="530"/>
      <c r="BA271" s="530"/>
      <c r="BB271" s="530"/>
      <c r="BC271" s="530"/>
      <c r="BD271" s="530"/>
      <c r="BE271" s="530"/>
      <c r="BF271" s="530"/>
      <c r="BG271" s="530"/>
      <c r="BH271" s="530"/>
      <c r="BI271" s="530"/>
      <c r="BJ271" s="530"/>
      <c r="BK271" s="530"/>
      <c r="BL271" s="530"/>
      <c r="BM271" s="530"/>
      <c r="BN271" s="530"/>
      <c r="BO271" s="530"/>
      <c r="BP271" s="530"/>
      <c r="BQ271" s="530"/>
      <c r="BR271" s="530"/>
      <c r="BS271" s="530"/>
      <c r="BT271" s="530"/>
      <c r="BU271" s="530"/>
      <c r="BV271" s="530"/>
      <c r="BW271" s="530"/>
      <c r="BX271" s="530"/>
      <c r="BY271" s="530"/>
      <c r="BZ271" s="530"/>
      <c r="CA271" s="530"/>
      <c r="CB271" s="530"/>
      <c r="CC271" s="530"/>
      <c r="CD271" s="530"/>
      <c r="CE271" s="530"/>
      <c r="CF271" s="530"/>
      <c r="CG271" s="530"/>
      <c r="CH271" s="530"/>
      <c r="CI271" s="530"/>
      <c r="CJ271" s="530"/>
      <c r="CK271" s="530"/>
      <c r="CL271" s="530"/>
      <c r="CM271" s="530"/>
      <c r="CN271" s="530"/>
      <c r="CO271" s="530"/>
      <c r="CP271" s="530"/>
      <c r="CQ271" s="530"/>
      <c r="CR271" s="530"/>
      <c r="CS271" s="530"/>
      <c r="CT271" s="530"/>
      <c r="CU271" s="530"/>
      <c r="CV271" s="530"/>
      <c r="CW271" s="530"/>
      <c r="CX271" s="530"/>
      <c r="CY271" s="530"/>
      <c r="CZ271" s="530"/>
      <c r="DA271" s="530"/>
      <c r="DB271" s="530"/>
      <c r="DC271" s="530"/>
      <c r="DD271" s="530"/>
      <c r="DE271" s="530"/>
      <c r="DF271" s="530"/>
      <c r="DG271" s="530"/>
      <c r="DH271" s="530"/>
      <c r="DI271" s="530"/>
      <c r="DJ271" s="530"/>
      <c r="DK271" s="530"/>
      <c r="DL271" s="530"/>
      <c r="DM271" s="530"/>
      <c r="DN271" s="530"/>
      <c r="DO271" s="530"/>
      <c r="DP271" s="530"/>
      <c r="DQ271" s="530"/>
      <c r="DR271" s="530"/>
      <c r="DS271" s="530"/>
      <c r="DT271" s="530"/>
      <c r="DU271" s="530"/>
      <c r="DV271" s="530"/>
      <c r="DW271" s="530"/>
      <c r="DX271" s="530"/>
      <c r="DY271" s="530"/>
      <c r="DZ271" s="530"/>
      <c r="EA271" s="530"/>
      <c r="EB271" s="530"/>
      <c r="EC271" s="530"/>
      <c r="ED271" s="530"/>
      <c r="EE271" s="530"/>
      <c r="EF271" s="530"/>
      <c r="EG271" s="530"/>
      <c r="EH271" s="530"/>
      <c r="EI271" s="530"/>
      <c r="EJ271" s="530"/>
      <c r="EK271" s="530"/>
      <c r="EL271" s="530"/>
      <c r="EM271" s="530"/>
      <c r="EN271" s="530"/>
      <c r="EO271" s="530"/>
      <c r="EP271" s="530"/>
      <c r="EQ271" s="530"/>
      <c r="ER271" s="530"/>
      <c r="ES271" s="530"/>
      <c r="ET271" s="530"/>
      <c r="EU271" s="530"/>
      <c r="EV271" s="530"/>
      <c r="EW271" s="530"/>
      <c r="EX271" s="530"/>
      <c r="EY271" s="530"/>
      <c r="EZ271" s="530"/>
      <c r="FA271" s="530"/>
      <c r="FB271" s="530"/>
      <c r="FC271" s="530"/>
      <c r="FD271" s="530"/>
      <c r="FE271" s="530"/>
      <c r="FF271" s="530"/>
      <c r="FG271" s="530"/>
      <c r="FH271" s="530"/>
      <c r="FI271" s="530"/>
      <c r="FJ271" s="530"/>
      <c r="FK271" s="530"/>
      <c r="FL271" s="530"/>
      <c r="FM271" s="530"/>
      <c r="FN271" s="530"/>
      <c r="FO271" s="530"/>
    </row>
    <row r="272" spans="1:171" s="1" customFormat="1" ht="14.25" thickBot="1">
      <c r="A272" s="520" t="s">
        <v>18</v>
      </c>
      <c r="B272" s="521">
        <v>37243400</v>
      </c>
      <c r="C272" s="522">
        <v>37689100</v>
      </c>
      <c r="D272" s="522">
        <v>38035200</v>
      </c>
      <c r="E272" s="522">
        <v>38210200</v>
      </c>
      <c r="F272" s="522">
        <v>38544100</v>
      </c>
      <c r="G272" s="522">
        <v>38279800</v>
      </c>
      <c r="H272" s="522">
        <v>38123800</v>
      </c>
      <c r="I272" s="522">
        <v>38045700</v>
      </c>
      <c r="J272" s="522">
        <v>37714000</v>
      </c>
      <c r="K272" s="522">
        <v>37483000</v>
      </c>
      <c r="L272" s="522">
        <v>37580500</v>
      </c>
      <c r="M272" s="523">
        <v>37515000</v>
      </c>
      <c r="N272" s="530"/>
      <c r="O272" s="530"/>
      <c r="P272" s="530"/>
      <c r="Q272" s="530"/>
      <c r="R272" s="530"/>
      <c r="S272" s="530"/>
      <c r="T272" s="530"/>
      <c r="U272" s="530"/>
      <c r="V272" s="530"/>
      <c r="W272" s="530"/>
      <c r="X272" s="530"/>
      <c r="Y272" s="530"/>
      <c r="Z272" s="530"/>
      <c r="AA272" s="530"/>
      <c r="AB272" s="530"/>
      <c r="AC272" s="530"/>
      <c r="AD272" s="530"/>
      <c r="AE272" s="530"/>
      <c r="AF272" s="530"/>
      <c r="AG272" s="530"/>
      <c r="AH272" s="530"/>
      <c r="AI272" s="530"/>
      <c r="AJ272" s="530"/>
      <c r="AK272" s="530"/>
      <c r="AL272" s="530"/>
      <c r="AM272" s="530"/>
      <c r="AN272" s="530"/>
      <c r="AO272" s="530"/>
      <c r="AP272" s="530"/>
      <c r="AQ272" s="530"/>
      <c r="AR272" s="530"/>
      <c r="AS272" s="530"/>
      <c r="AT272" s="530"/>
      <c r="AU272" s="530"/>
      <c r="AV272" s="530"/>
      <c r="AW272" s="530"/>
      <c r="AX272" s="530"/>
      <c r="AY272" s="530"/>
      <c r="AZ272" s="530"/>
      <c r="BA272" s="530"/>
      <c r="BB272" s="530"/>
      <c r="BC272" s="530"/>
      <c r="BD272" s="530"/>
      <c r="BE272" s="530"/>
      <c r="BF272" s="530"/>
      <c r="BG272" s="530"/>
      <c r="BH272" s="530"/>
      <c r="BI272" s="530"/>
      <c r="BJ272" s="530"/>
      <c r="BK272" s="530"/>
      <c r="BL272" s="530"/>
      <c r="BM272" s="530"/>
      <c r="BN272" s="530"/>
      <c r="BO272" s="530"/>
      <c r="BP272" s="530"/>
      <c r="BQ272" s="530"/>
      <c r="BR272" s="530"/>
      <c r="BS272" s="530"/>
      <c r="BT272" s="530"/>
      <c r="BU272" s="530"/>
      <c r="BV272" s="530"/>
      <c r="BW272" s="530"/>
      <c r="BX272" s="530"/>
      <c r="BY272" s="530"/>
      <c r="BZ272" s="530"/>
      <c r="CA272" s="530"/>
      <c r="CB272" s="530"/>
      <c r="CC272" s="530"/>
      <c r="CD272" s="530"/>
      <c r="CE272" s="530"/>
      <c r="CF272" s="530"/>
      <c r="CG272" s="530"/>
      <c r="CH272" s="530"/>
      <c r="CI272" s="530"/>
      <c r="CJ272" s="530"/>
      <c r="CK272" s="530"/>
      <c r="CL272" s="530"/>
      <c r="CM272" s="530"/>
      <c r="CN272" s="530"/>
      <c r="CO272" s="530"/>
      <c r="CP272" s="530"/>
      <c r="CQ272" s="530"/>
      <c r="CR272" s="530"/>
      <c r="CS272" s="530"/>
      <c r="CT272" s="530"/>
      <c r="CU272" s="530"/>
      <c r="CV272" s="530"/>
      <c r="CW272" s="530"/>
      <c r="CX272" s="530"/>
      <c r="CY272" s="530"/>
      <c r="CZ272" s="530"/>
      <c r="DA272" s="530"/>
      <c r="DB272" s="530"/>
      <c r="DC272" s="530"/>
      <c r="DD272" s="530"/>
      <c r="DE272" s="530"/>
      <c r="DF272" s="530"/>
      <c r="DG272" s="530"/>
      <c r="DH272" s="530"/>
      <c r="DI272" s="530"/>
      <c r="DJ272" s="530"/>
      <c r="DK272" s="530"/>
      <c r="DL272" s="530"/>
      <c r="DM272" s="530"/>
      <c r="DN272" s="530"/>
      <c r="DO272" s="530"/>
      <c r="DP272" s="530"/>
      <c r="DQ272" s="530"/>
      <c r="DR272" s="530"/>
      <c r="DS272" s="530"/>
      <c r="DT272" s="530"/>
      <c r="DU272" s="530"/>
      <c r="DV272" s="530"/>
      <c r="DW272" s="530"/>
      <c r="DX272" s="530"/>
      <c r="DY272" s="530"/>
      <c r="DZ272" s="530"/>
      <c r="EA272" s="530"/>
      <c r="EB272" s="530"/>
      <c r="EC272" s="530"/>
      <c r="ED272" s="530"/>
      <c r="EE272" s="530"/>
      <c r="EF272" s="530"/>
      <c r="EG272" s="530"/>
      <c r="EH272" s="530"/>
      <c r="EI272" s="530"/>
      <c r="EJ272" s="530"/>
      <c r="EK272" s="530"/>
      <c r="EL272" s="530"/>
      <c r="EM272" s="530"/>
      <c r="EN272" s="530"/>
      <c r="EO272" s="530"/>
      <c r="EP272" s="530"/>
      <c r="EQ272" s="530"/>
      <c r="ER272" s="530"/>
      <c r="ES272" s="530"/>
      <c r="ET272" s="530"/>
      <c r="EU272" s="530"/>
      <c r="EV272" s="530"/>
      <c r="EW272" s="530"/>
      <c r="EX272" s="530"/>
      <c r="EY272" s="530"/>
      <c r="EZ272" s="530"/>
      <c r="FA272" s="530"/>
      <c r="FB272" s="530"/>
      <c r="FC272" s="530"/>
      <c r="FD272" s="530"/>
      <c r="FE272" s="530"/>
      <c r="FF272" s="530"/>
      <c r="FG272" s="530"/>
      <c r="FH272" s="530"/>
      <c r="FI272" s="530"/>
      <c r="FJ272" s="530"/>
      <c r="FK272" s="530"/>
      <c r="FL272" s="530"/>
      <c r="FM272" s="530"/>
      <c r="FN272" s="530"/>
      <c r="FO272" s="530"/>
    </row>
    <row r="273" spans="1:171" s="1" customFormat="1" ht="14.25" thickBot="1">
      <c r="A273" s="6"/>
      <c r="B273" s="530"/>
      <c r="C273" s="530"/>
      <c r="D273" s="530"/>
      <c r="E273" s="530"/>
      <c r="F273" s="530"/>
      <c r="G273" s="530"/>
      <c r="H273" s="530"/>
      <c r="I273" s="530"/>
      <c r="J273" s="530"/>
      <c r="K273" s="530"/>
      <c r="L273" s="530"/>
      <c r="M273" s="530"/>
      <c r="N273" s="530"/>
      <c r="O273" s="530"/>
      <c r="P273" s="530"/>
      <c r="Q273" s="530"/>
      <c r="R273" s="530"/>
      <c r="S273" s="530"/>
      <c r="T273" s="530"/>
      <c r="U273" s="530"/>
      <c r="V273" s="530"/>
      <c r="W273" s="530"/>
      <c r="X273" s="530"/>
      <c r="Y273" s="530"/>
      <c r="Z273" s="530"/>
      <c r="AA273" s="530"/>
      <c r="AB273" s="530"/>
      <c r="AC273" s="530"/>
      <c r="AD273" s="530"/>
      <c r="AE273" s="530"/>
      <c r="AF273" s="530"/>
      <c r="AG273" s="530"/>
      <c r="AH273" s="530"/>
      <c r="AI273" s="530"/>
      <c r="AJ273" s="530"/>
      <c r="AK273" s="530"/>
      <c r="AL273" s="530"/>
      <c r="AM273" s="530"/>
      <c r="AN273" s="530"/>
      <c r="AO273" s="530"/>
      <c r="AP273" s="530"/>
      <c r="AQ273" s="530"/>
      <c r="AR273" s="530"/>
      <c r="AS273" s="530"/>
      <c r="AT273" s="530"/>
      <c r="AU273" s="530"/>
      <c r="AV273" s="530"/>
      <c r="AW273" s="530"/>
      <c r="AX273" s="530"/>
      <c r="AY273" s="530"/>
      <c r="AZ273" s="530"/>
      <c r="BA273" s="530"/>
      <c r="BB273" s="530"/>
      <c r="BC273" s="530"/>
      <c r="BD273" s="530"/>
      <c r="BE273" s="530"/>
      <c r="BF273" s="530"/>
      <c r="BG273" s="530"/>
      <c r="BH273" s="530"/>
      <c r="BI273" s="530"/>
      <c r="BJ273" s="530"/>
      <c r="BK273" s="530"/>
      <c r="BL273" s="530"/>
      <c r="BM273" s="530"/>
      <c r="BN273" s="530"/>
      <c r="BO273" s="530"/>
      <c r="BP273" s="530"/>
      <c r="BQ273" s="530"/>
      <c r="BR273" s="530"/>
      <c r="BS273" s="530"/>
      <c r="BT273" s="530"/>
      <c r="BU273" s="530"/>
      <c r="BV273" s="530"/>
      <c r="BW273" s="530"/>
      <c r="BX273" s="530"/>
      <c r="BY273" s="530"/>
      <c r="BZ273" s="530"/>
      <c r="CA273" s="530"/>
      <c r="CB273" s="530"/>
      <c r="CC273" s="530"/>
      <c r="CD273" s="530"/>
      <c r="CE273" s="530"/>
      <c r="CF273" s="530"/>
      <c r="CG273" s="530"/>
      <c r="CH273" s="530"/>
      <c r="CI273" s="530"/>
      <c r="CJ273" s="530"/>
      <c r="CK273" s="530"/>
      <c r="CL273" s="530"/>
      <c r="CM273" s="530"/>
      <c r="CN273" s="530"/>
      <c r="CO273" s="530"/>
      <c r="CP273" s="530"/>
      <c r="CQ273" s="530"/>
      <c r="CR273" s="530"/>
      <c r="CS273" s="530"/>
      <c r="CT273" s="530"/>
      <c r="CU273" s="530"/>
      <c r="CV273" s="530"/>
      <c r="CW273" s="530"/>
      <c r="CX273" s="530"/>
      <c r="CY273" s="530"/>
      <c r="CZ273" s="530"/>
      <c r="DA273" s="530"/>
      <c r="DB273" s="530"/>
      <c r="DC273" s="530"/>
      <c r="DD273" s="530"/>
      <c r="DE273" s="530"/>
      <c r="DF273" s="530"/>
      <c r="DG273" s="530"/>
      <c r="DH273" s="530"/>
      <c r="DI273" s="530"/>
      <c r="DJ273" s="530"/>
      <c r="DK273" s="530"/>
      <c r="DL273" s="530"/>
      <c r="DM273" s="530"/>
      <c r="DN273" s="530"/>
      <c r="DO273" s="530"/>
      <c r="DP273" s="530"/>
      <c r="DQ273" s="530"/>
      <c r="DR273" s="530"/>
      <c r="DS273" s="530"/>
      <c r="DT273" s="530"/>
      <c r="DU273" s="530"/>
      <c r="DV273" s="530"/>
      <c r="DW273" s="530"/>
      <c r="DX273" s="530"/>
      <c r="DY273" s="530"/>
      <c r="DZ273" s="530"/>
      <c r="EA273" s="530"/>
      <c r="EB273" s="530"/>
      <c r="EC273" s="530"/>
      <c r="ED273" s="530"/>
      <c r="EE273" s="530"/>
      <c r="EF273" s="530"/>
      <c r="EG273" s="530"/>
      <c r="EH273" s="530"/>
      <c r="EI273" s="530"/>
      <c r="EJ273" s="530"/>
      <c r="EK273" s="530"/>
      <c r="EL273" s="530"/>
      <c r="EM273" s="530"/>
      <c r="EN273" s="530"/>
      <c r="EO273" s="530"/>
      <c r="EP273" s="530"/>
      <c r="EQ273" s="530"/>
      <c r="ER273" s="530"/>
      <c r="ES273" s="530"/>
      <c r="ET273" s="530"/>
      <c r="EU273" s="530"/>
      <c r="EV273" s="530"/>
      <c r="EW273" s="530"/>
      <c r="EX273" s="530"/>
      <c r="EY273" s="530"/>
      <c r="EZ273" s="530"/>
      <c r="FA273" s="530"/>
      <c r="FB273" s="530"/>
      <c r="FC273" s="530"/>
      <c r="FD273" s="530"/>
      <c r="FE273" s="530"/>
      <c r="FF273" s="530"/>
      <c r="FG273" s="530"/>
      <c r="FH273" s="530"/>
      <c r="FI273" s="530"/>
      <c r="FJ273" s="530"/>
      <c r="FK273" s="530"/>
      <c r="FL273" s="530"/>
      <c r="FM273" s="530"/>
      <c r="FN273" s="530"/>
      <c r="FO273" s="530"/>
    </row>
    <row r="274" spans="1:171" s="1" customFormat="1" ht="14.25" thickBot="1">
      <c r="A274" s="6"/>
      <c r="B274" s="526">
        <v>40909</v>
      </c>
      <c r="C274" s="527">
        <v>40940</v>
      </c>
      <c r="D274" s="527">
        <v>40969</v>
      </c>
      <c r="E274" s="527">
        <v>41000</v>
      </c>
      <c r="F274" s="527">
        <v>41030</v>
      </c>
      <c r="G274" s="527">
        <v>41061</v>
      </c>
      <c r="H274" s="527">
        <v>41091</v>
      </c>
      <c r="I274" s="527">
        <v>41122</v>
      </c>
      <c r="J274" s="527">
        <v>41153</v>
      </c>
      <c r="K274" s="527">
        <v>41183</v>
      </c>
      <c r="L274" s="527">
        <v>41214</v>
      </c>
      <c r="M274" s="528">
        <v>41244</v>
      </c>
      <c r="N274" s="530"/>
      <c r="O274" s="530"/>
      <c r="P274" s="530"/>
      <c r="Q274" s="530"/>
      <c r="R274" s="530"/>
      <c r="S274" s="530"/>
      <c r="T274" s="530"/>
      <c r="U274" s="530"/>
      <c r="V274" s="530"/>
      <c r="W274" s="530"/>
      <c r="X274" s="530"/>
      <c r="Y274" s="530"/>
      <c r="Z274" s="530"/>
      <c r="AA274" s="530"/>
      <c r="AB274" s="530"/>
      <c r="AC274" s="530"/>
      <c r="AD274" s="530"/>
      <c r="AE274" s="530"/>
      <c r="AF274" s="530"/>
      <c r="AG274" s="530"/>
      <c r="AH274" s="530"/>
      <c r="AI274" s="530"/>
      <c r="AJ274" s="530"/>
      <c r="AK274" s="530"/>
      <c r="AL274" s="530"/>
      <c r="AM274" s="530"/>
      <c r="AN274" s="530"/>
      <c r="AO274" s="530"/>
      <c r="AP274" s="530"/>
      <c r="AQ274" s="530"/>
      <c r="AR274" s="530"/>
      <c r="AS274" s="530"/>
      <c r="AT274" s="530"/>
      <c r="AU274" s="530"/>
      <c r="AV274" s="530"/>
      <c r="AW274" s="530"/>
      <c r="AX274" s="530"/>
      <c r="AY274" s="530"/>
      <c r="AZ274" s="530"/>
      <c r="BA274" s="530"/>
      <c r="BB274" s="530"/>
      <c r="BC274" s="530"/>
      <c r="BD274" s="530"/>
      <c r="BE274" s="530"/>
      <c r="BF274" s="530"/>
      <c r="BG274" s="530"/>
      <c r="BH274" s="530"/>
      <c r="BI274" s="530"/>
      <c r="BJ274" s="530"/>
      <c r="BK274" s="530"/>
      <c r="BL274" s="530"/>
      <c r="BM274" s="530"/>
      <c r="BN274" s="530"/>
      <c r="BO274" s="530"/>
      <c r="BP274" s="530"/>
      <c r="BQ274" s="530"/>
      <c r="BR274" s="530"/>
      <c r="BS274" s="530"/>
      <c r="BT274" s="530"/>
      <c r="BU274" s="530"/>
      <c r="BV274" s="530"/>
      <c r="BW274" s="530"/>
      <c r="BX274" s="530"/>
      <c r="BY274" s="530"/>
      <c r="BZ274" s="530"/>
      <c r="CA274" s="530"/>
      <c r="CB274" s="530"/>
      <c r="CC274" s="530"/>
      <c r="CD274" s="530"/>
      <c r="CE274" s="530"/>
      <c r="CF274" s="530"/>
      <c r="CG274" s="530"/>
      <c r="CH274" s="530"/>
      <c r="CI274" s="530"/>
      <c r="CJ274" s="530"/>
      <c r="CK274" s="530"/>
      <c r="CL274" s="530"/>
      <c r="CM274" s="530"/>
      <c r="CN274" s="530"/>
      <c r="CO274" s="530"/>
      <c r="CP274" s="530"/>
      <c r="CQ274" s="530"/>
      <c r="CR274" s="530"/>
      <c r="CS274" s="530"/>
      <c r="CT274" s="530"/>
      <c r="CU274" s="530"/>
      <c r="CV274" s="530"/>
      <c r="CW274" s="530"/>
      <c r="CX274" s="530"/>
      <c r="CY274" s="530"/>
      <c r="CZ274" s="530"/>
      <c r="DA274" s="530"/>
      <c r="DB274" s="530"/>
      <c r="DC274" s="530"/>
      <c r="DD274" s="530"/>
      <c r="DE274" s="530"/>
      <c r="DF274" s="530"/>
      <c r="DG274" s="530"/>
      <c r="DH274" s="530"/>
      <c r="DI274" s="530"/>
      <c r="DJ274" s="530"/>
      <c r="DK274" s="530"/>
      <c r="DL274" s="530"/>
      <c r="DM274" s="530"/>
      <c r="DN274" s="530"/>
      <c r="DO274" s="530"/>
      <c r="DP274" s="530"/>
      <c r="DQ274" s="530"/>
      <c r="DR274" s="530"/>
      <c r="DS274" s="530"/>
      <c r="DT274" s="530"/>
      <c r="DU274" s="530"/>
      <c r="DV274" s="530"/>
      <c r="DW274" s="530"/>
      <c r="DX274" s="530"/>
      <c r="DY274" s="530"/>
      <c r="DZ274" s="530"/>
      <c r="EA274" s="530"/>
      <c r="EB274" s="530"/>
      <c r="EC274" s="530"/>
      <c r="ED274" s="530"/>
      <c r="EE274" s="530"/>
      <c r="EF274" s="530"/>
      <c r="EG274" s="530"/>
      <c r="EH274" s="530"/>
      <c r="EI274" s="530"/>
      <c r="EJ274" s="530"/>
      <c r="EK274" s="530"/>
      <c r="EL274" s="530"/>
      <c r="EM274" s="530"/>
      <c r="EN274" s="530"/>
      <c r="EO274" s="530"/>
      <c r="EP274" s="530"/>
      <c r="EQ274" s="530"/>
      <c r="ER274" s="530"/>
      <c r="ES274" s="530"/>
      <c r="ET274" s="530"/>
      <c r="EU274" s="530"/>
      <c r="EV274" s="530"/>
      <c r="EW274" s="530"/>
      <c r="EX274" s="530"/>
      <c r="EY274" s="530"/>
      <c r="EZ274" s="530"/>
      <c r="FA274" s="530"/>
      <c r="FB274" s="530"/>
      <c r="FC274" s="530"/>
      <c r="FD274" s="530"/>
      <c r="FE274" s="530"/>
      <c r="FF274" s="530"/>
      <c r="FG274" s="530"/>
      <c r="FH274" s="530"/>
      <c r="FI274" s="530"/>
      <c r="FJ274" s="530"/>
      <c r="FK274" s="530"/>
      <c r="FL274" s="530"/>
      <c r="FM274" s="530"/>
      <c r="FN274" s="530"/>
      <c r="FO274" s="530"/>
    </row>
    <row r="275" spans="1:171" s="1" customFormat="1" ht="13.5">
      <c r="A275" s="484" t="s">
        <v>216</v>
      </c>
      <c r="B275" s="517">
        <f t="shared" ref="B275:M275" si="22">B276+B277</f>
        <v>23762800</v>
      </c>
      <c r="C275" s="271">
        <f t="shared" si="22"/>
        <v>23556500</v>
      </c>
      <c r="D275" s="271">
        <f t="shared" si="22"/>
        <v>23376200</v>
      </c>
      <c r="E275" s="271">
        <f t="shared" si="22"/>
        <v>23207300</v>
      </c>
      <c r="F275" s="271">
        <f t="shared" si="22"/>
        <v>22964200</v>
      </c>
      <c r="G275" s="271">
        <f t="shared" si="22"/>
        <v>22809400</v>
      </c>
      <c r="H275" s="271">
        <f t="shared" si="22"/>
        <v>22629300</v>
      </c>
      <c r="I275" s="271">
        <f t="shared" si="22"/>
        <v>22543800</v>
      </c>
      <c r="J275" s="271">
        <f t="shared" si="22"/>
        <v>22330800</v>
      </c>
      <c r="K275" s="271">
        <f t="shared" si="22"/>
        <v>22246400</v>
      </c>
      <c r="L275" s="271">
        <f t="shared" si="22"/>
        <v>22048800</v>
      </c>
      <c r="M275" s="518">
        <f t="shared" si="22"/>
        <v>22008800</v>
      </c>
      <c r="N275" s="530"/>
      <c r="O275" s="530"/>
      <c r="P275" s="530"/>
      <c r="Q275" s="530"/>
      <c r="R275" s="530"/>
      <c r="S275" s="530"/>
      <c r="T275" s="530"/>
      <c r="U275" s="530"/>
      <c r="V275" s="530"/>
      <c r="W275" s="530"/>
      <c r="X275" s="530"/>
      <c r="Y275" s="530"/>
      <c r="Z275" s="530"/>
      <c r="AA275" s="530"/>
      <c r="AB275" s="530"/>
      <c r="AC275" s="530"/>
      <c r="AD275" s="530"/>
      <c r="AE275" s="530"/>
      <c r="AF275" s="530"/>
      <c r="AG275" s="530"/>
      <c r="AH275" s="530"/>
      <c r="AI275" s="530"/>
      <c r="AJ275" s="530"/>
      <c r="AK275" s="530"/>
      <c r="AL275" s="530"/>
      <c r="AM275" s="530"/>
      <c r="AN275" s="530"/>
      <c r="AO275" s="530"/>
      <c r="AP275" s="530"/>
      <c r="AQ275" s="530"/>
      <c r="AR275" s="530"/>
      <c r="AS275" s="530"/>
      <c r="AT275" s="530"/>
      <c r="AU275" s="530"/>
      <c r="AV275" s="530"/>
      <c r="AW275" s="530"/>
      <c r="AX275" s="530"/>
      <c r="AY275" s="530"/>
      <c r="AZ275" s="530"/>
      <c r="BA275" s="530"/>
      <c r="BB275" s="530"/>
      <c r="BC275" s="530"/>
      <c r="BD275" s="530"/>
      <c r="BE275" s="530"/>
      <c r="BF275" s="530"/>
      <c r="BG275" s="530"/>
      <c r="BH275" s="530"/>
      <c r="BI275" s="530"/>
      <c r="BJ275" s="530"/>
      <c r="BK275" s="530"/>
      <c r="BL275" s="530"/>
      <c r="BM275" s="530"/>
      <c r="BN275" s="530"/>
      <c r="BO275" s="530"/>
      <c r="BP275" s="530"/>
      <c r="BQ275" s="530"/>
      <c r="BR275" s="530"/>
      <c r="BS275" s="530"/>
      <c r="BT275" s="530"/>
      <c r="BU275" s="530"/>
      <c r="BV275" s="530"/>
      <c r="BW275" s="530"/>
      <c r="BX275" s="530"/>
      <c r="BY275" s="530"/>
      <c r="BZ275" s="530"/>
      <c r="CA275" s="530"/>
      <c r="CB275" s="530"/>
      <c r="CC275" s="530"/>
      <c r="CD275" s="530"/>
      <c r="CE275" s="530"/>
      <c r="CF275" s="530"/>
      <c r="CG275" s="530"/>
      <c r="CH275" s="530"/>
      <c r="CI275" s="530"/>
      <c r="CJ275" s="530"/>
      <c r="CK275" s="530"/>
      <c r="CL275" s="530"/>
      <c r="CM275" s="530"/>
      <c r="CN275" s="530"/>
      <c r="CO275" s="530"/>
      <c r="CP275" s="530"/>
      <c r="CQ275" s="530"/>
      <c r="CR275" s="530"/>
      <c r="CS275" s="530"/>
      <c r="CT275" s="530"/>
      <c r="CU275" s="530"/>
      <c r="CV275" s="530"/>
      <c r="CW275" s="530"/>
      <c r="CX275" s="530"/>
      <c r="CY275" s="530"/>
      <c r="CZ275" s="530"/>
      <c r="DA275" s="530"/>
      <c r="DB275" s="530"/>
      <c r="DC275" s="530"/>
      <c r="DD275" s="530"/>
      <c r="DE275" s="530"/>
      <c r="DF275" s="530"/>
      <c r="DG275" s="530"/>
      <c r="DH275" s="530"/>
      <c r="DI275" s="530"/>
      <c r="DJ275" s="530"/>
      <c r="DK275" s="530"/>
      <c r="DL275" s="530"/>
      <c r="DM275" s="530"/>
      <c r="DN275" s="530"/>
      <c r="DO275" s="530"/>
      <c r="DP275" s="530"/>
      <c r="DQ275" s="530"/>
      <c r="DR275" s="530"/>
      <c r="DS275" s="530"/>
      <c r="DT275" s="530"/>
      <c r="DU275" s="530"/>
      <c r="DV275" s="530"/>
      <c r="DW275" s="530"/>
      <c r="DX275" s="530"/>
      <c r="DY275" s="530"/>
      <c r="DZ275" s="530"/>
      <c r="EA275" s="530"/>
      <c r="EB275" s="530"/>
      <c r="EC275" s="530"/>
      <c r="ED275" s="530"/>
      <c r="EE275" s="530"/>
      <c r="EF275" s="530"/>
      <c r="EG275" s="530"/>
      <c r="EH275" s="530"/>
      <c r="EI275" s="530"/>
      <c r="EJ275" s="530"/>
      <c r="EK275" s="530"/>
      <c r="EL275" s="530"/>
      <c r="EM275" s="530"/>
      <c r="EN275" s="530"/>
      <c r="EO275" s="530"/>
      <c r="EP275" s="530"/>
      <c r="EQ275" s="530"/>
      <c r="ER275" s="530"/>
      <c r="ES275" s="530"/>
      <c r="ET275" s="530"/>
      <c r="EU275" s="530"/>
      <c r="EV275" s="530"/>
      <c r="EW275" s="530"/>
      <c r="EX275" s="530"/>
      <c r="EY275" s="530"/>
      <c r="EZ275" s="530"/>
      <c r="FA275" s="530"/>
      <c r="FB275" s="530"/>
      <c r="FC275" s="530"/>
      <c r="FD275" s="530"/>
      <c r="FE275" s="530"/>
      <c r="FF275" s="530"/>
      <c r="FG275" s="530"/>
      <c r="FH275" s="530"/>
      <c r="FI275" s="530"/>
      <c r="FJ275" s="530"/>
      <c r="FK275" s="530"/>
      <c r="FL275" s="530"/>
      <c r="FM275" s="530"/>
      <c r="FN275" s="530"/>
      <c r="FO275" s="530"/>
    </row>
    <row r="276" spans="1:171" s="1" customFormat="1" ht="13.5">
      <c r="A276" s="519" t="s">
        <v>217</v>
      </c>
      <c r="B276" s="453">
        <v>18923900</v>
      </c>
      <c r="C276" s="256">
        <v>18772500</v>
      </c>
      <c r="D276" s="256">
        <v>18603300</v>
      </c>
      <c r="E276" s="256">
        <v>18497200</v>
      </c>
      <c r="F276" s="256">
        <v>18329000</v>
      </c>
      <c r="G276" s="256">
        <v>18171600</v>
      </c>
      <c r="H276" s="256">
        <v>18010500</v>
      </c>
      <c r="I276" s="256">
        <v>17923300</v>
      </c>
      <c r="J276" s="256">
        <v>17719700</v>
      </c>
      <c r="K276" s="256">
        <v>17593800</v>
      </c>
      <c r="L276" s="256">
        <v>17501000</v>
      </c>
      <c r="M276" s="454">
        <v>17464400</v>
      </c>
      <c r="N276" s="530"/>
      <c r="O276" s="530"/>
      <c r="P276" s="530"/>
      <c r="Q276" s="530"/>
      <c r="R276" s="530"/>
      <c r="S276" s="530"/>
      <c r="T276" s="530"/>
      <c r="U276" s="530"/>
      <c r="V276" s="530"/>
      <c r="W276" s="530"/>
      <c r="X276" s="530"/>
      <c r="Y276" s="530"/>
      <c r="Z276" s="530"/>
      <c r="AA276" s="530"/>
      <c r="AB276" s="530"/>
      <c r="AC276" s="530"/>
      <c r="AD276" s="530"/>
      <c r="AE276" s="530"/>
      <c r="AF276" s="530"/>
      <c r="AG276" s="530"/>
      <c r="AH276" s="530"/>
      <c r="AI276" s="530"/>
      <c r="AJ276" s="530"/>
      <c r="AK276" s="530"/>
      <c r="AL276" s="530"/>
      <c r="AM276" s="530"/>
      <c r="AN276" s="530"/>
      <c r="AO276" s="530"/>
      <c r="AP276" s="530"/>
      <c r="AQ276" s="530"/>
      <c r="AR276" s="530"/>
      <c r="AS276" s="530"/>
      <c r="AT276" s="530"/>
      <c r="AU276" s="530"/>
      <c r="AV276" s="530"/>
      <c r="AW276" s="530"/>
      <c r="AX276" s="530"/>
      <c r="AY276" s="530"/>
      <c r="AZ276" s="530"/>
      <c r="BA276" s="530"/>
      <c r="BB276" s="530"/>
      <c r="BC276" s="530"/>
      <c r="BD276" s="530"/>
      <c r="BE276" s="530"/>
      <c r="BF276" s="530"/>
      <c r="BG276" s="530"/>
      <c r="BH276" s="530"/>
      <c r="BI276" s="530"/>
      <c r="BJ276" s="530"/>
      <c r="BK276" s="530"/>
      <c r="BL276" s="530"/>
      <c r="BM276" s="530"/>
      <c r="BN276" s="530"/>
      <c r="BO276" s="530"/>
      <c r="BP276" s="530"/>
      <c r="BQ276" s="530"/>
      <c r="BR276" s="530"/>
      <c r="BS276" s="530"/>
      <c r="BT276" s="530"/>
      <c r="BU276" s="530"/>
      <c r="BV276" s="530"/>
      <c r="BW276" s="530"/>
      <c r="BX276" s="530"/>
      <c r="BY276" s="530"/>
      <c r="BZ276" s="530"/>
      <c r="CA276" s="530"/>
      <c r="CB276" s="530"/>
      <c r="CC276" s="530"/>
      <c r="CD276" s="530"/>
      <c r="CE276" s="530"/>
      <c r="CF276" s="530"/>
      <c r="CG276" s="530"/>
      <c r="CH276" s="530"/>
      <c r="CI276" s="530"/>
      <c r="CJ276" s="530"/>
      <c r="CK276" s="530"/>
      <c r="CL276" s="530"/>
      <c r="CM276" s="530"/>
      <c r="CN276" s="530"/>
      <c r="CO276" s="530"/>
      <c r="CP276" s="530"/>
      <c r="CQ276" s="530"/>
      <c r="CR276" s="530"/>
      <c r="CS276" s="530"/>
      <c r="CT276" s="530"/>
      <c r="CU276" s="530"/>
      <c r="CV276" s="530"/>
      <c r="CW276" s="530"/>
      <c r="CX276" s="530"/>
      <c r="CY276" s="530"/>
      <c r="CZ276" s="530"/>
      <c r="DA276" s="530"/>
      <c r="DB276" s="530"/>
      <c r="DC276" s="530"/>
      <c r="DD276" s="530"/>
      <c r="DE276" s="530"/>
      <c r="DF276" s="530"/>
      <c r="DG276" s="530"/>
      <c r="DH276" s="530"/>
      <c r="DI276" s="530"/>
      <c r="DJ276" s="530"/>
      <c r="DK276" s="530"/>
      <c r="DL276" s="530"/>
      <c r="DM276" s="530"/>
      <c r="DN276" s="530"/>
      <c r="DO276" s="530"/>
      <c r="DP276" s="530"/>
      <c r="DQ276" s="530"/>
      <c r="DR276" s="530"/>
      <c r="DS276" s="530"/>
      <c r="DT276" s="530"/>
      <c r="DU276" s="530"/>
      <c r="DV276" s="530"/>
      <c r="DW276" s="530"/>
      <c r="DX276" s="530"/>
      <c r="DY276" s="530"/>
      <c r="DZ276" s="530"/>
      <c r="EA276" s="530"/>
      <c r="EB276" s="530"/>
      <c r="EC276" s="530"/>
      <c r="ED276" s="530"/>
      <c r="EE276" s="530"/>
      <c r="EF276" s="530"/>
      <c r="EG276" s="530"/>
      <c r="EH276" s="530"/>
      <c r="EI276" s="530"/>
      <c r="EJ276" s="530"/>
      <c r="EK276" s="530"/>
      <c r="EL276" s="530"/>
      <c r="EM276" s="530"/>
      <c r="EN276" s="530"/>
      <c r="EO276" s="530"/>
      <c r="EP276" s="530"/>
      <c r="EQ276" s="530"/>
      <c r="ER276" s="530"/>
      <c r="ES276" s="530"/>
      <c r="ET276" s="530"/>
      <c r="EU276" s="530"/>
      <c r="EV276" s="530"/>
      <c r="EW276" s="530"/>
      <c r="EX276" s="530"/>
      <c r="EY276" s="530"/>
      <c r="EZ276" s="530"/>
      <c r="FA276" s="530"/>
      <c r="FB276" s="530"/>
      <c r="FC276" s="530"/>
      <c r="FD276" s="530"/>
      <c r="FE276" s="530"/>
      <c r="FF276" s="530"/>
      <c r="FG276" s="530"/>
      <c r="FH276" s="530"/>
      <c r="FI276" s="530"/>
      <c r="FJ276" s="530"/>
      <c r="FK276" s="530"/>
      <c r="FL276" s="530"/>
      <c r="FM276" s="530"/>
      <c r="FN276" s="530"/>
      <c r="FO276" s="530"/>
    </row>
    <row r="277" spans="1:171" s="1" customFormat="1" ht="13.5">
      <c r="A277" s="519" t="s">
        <v>218</v>
      </c>
      <c r="B277" s="453">
        <v>4838900</v>
      </c>
      <c r="C277" s="256">
        <v>4784000</v>
      </c>
      <c r="D277" s="256">
        <v>4772900</v>
      </c>
      <c r="E277" s="256">
        <v>4710100</v>
      </c>
      <c r="F277" s="256">
        <v>4635200</v>
      </c>
      <c r="G277" s="256">
        <v>4637800</v>
      </c>
      <c r="H277" s="256">
        <v>4618800</v>
      </c>
      <c r="I277" s="256">
        <v>4620500</v>
      </c>
      <c r="J277" s="256">
        <v>4611100</v>
      </c>
      <c r="K277" s="256">
        <v>4652600</v>
      </c>
      <c r="L277" s="256">
        <v>4547800</v>
      </c>
      <c r="M277" s="454">
        <v>4544400</v>
      </c>
      <c r="N277" s="530"/>
      <c r="O277" s="530"/>
      <c r="P277" s="530"/>
      <c r="Q277" s="530"/>
      <c r="R277" s="530"/>
      <c r="S277" s="530"/>
      <c r="T277" s="530"/>
      <c r="U277" s="530"/>
      <c r="V277" s="530"/>
      <c r="W277" s="530"/>
      <c r="X277" s="530"/>
      <c r="Y277" s="530"/>
      <c r="Z277" s="530"/>
      <c r="AA277" s="530"/>
      <c r="AB277" s="530"/>
      <c r="AC277" s="530"/>
      <c r="AD277" s="530"/>
      <c r="AE277" s="530"/>
      <c r="AF277" s="530"/>
      <c r="AG277" s="530"/>
      <c r="AH277" s="530"/>
      <c r="AI277" s="530"/>
      <c r="AJ277" s="530"/>
      <c r="AK277" s="530"/>
      <c r="AL277" s="530"/>
      <c r="AM277" s="530"/>
      <c r="AN277" s="530"/>
      <c r="AO277" s="530"/>
      <c r="AP277" s="530"/>
      <c r="AQ277" s="530"/>
      <c r="AR277" s="530"/>
      <c r="AS277" s="530"/>
      <c r="AT277" s="530"/>
      <c r="AU277" s="530"/>
      <c r="AV277" s="530"/>
      <c r="AW277" s="530"/>
      <c r="AX277" s="530"/>
      <c r="AY277" s="530"/>
      <c r="AZ277" s="530"/>
      <c r="BA277" s="530"/>
      <c r="BB277" s="530"/>
      <c r="BC277" s="530"/>
      <c r="BD277" s="530"/>
      <c r="BE277" s="530"/>
      <c r="BF277" s="530"/>
      <c r="BG277" s="530"/>
      <c r="BH277" s="530"/>
      <c r="BI277" s="530"/>
      <c r="BJ277" s="530"/>
      <c r="BK277" s="530"/>
      <c r="BL277" s="530"/>
      <c r="BM277" s="530"/>
      <c r="BN277" s="530"/>
      <c r="BO277" s="530"/>
      <c r="BP277" s="530"/>
      <c r="BQ277" s="530"/>
      <c r="BR277" s="530"/>
      <c r="BS277" s="530"/>
      <c r="BT277" s="530"/>
      <c r="BU277" s="530"/>
      <c r="BV277" s="530"/>
      <c r="BW277" s="530"/>
      <c r="BX277" s="530"/>
      <c r="BY277" s="530"/>
      <c r="BZ277" s="530"/>
      <c r="CA277" s="530"/>
      <c r="CB277" s="530"/>
      <c r="CC277" s="530"/>
      <c r="CD277" s="530"/>
      <c r="CE277" s="530"/>
      <c r="CF277" s="530"/>
      <c r="CG277" s="530"/>
      <c r="CH277" s="530"/>
      <c r="CI277" s="530"/>
      <c r="CJ277" s="530"/>
      <c r="CK277" s="530"/>
      <c r="CL277" s="530"/>
      <c r="CM277" s="530"/>
      <c r="CN277" s="530"/>
      <c r="CO277" s="530"/>
      <c r="CP277" s="530"/>
      <c r="CQ277" s="530"/>
      <c r="CR277" s="530"/>
      <c r="CS277" s="530"/>
      <c r="CT277" s="530"/>
      <c r="CU277" s="530"/>
      <c r="CV277" s="530"/>
      <c r="CW277" s="530"/>
      <c r="CX277" s="530"/>
      <c r="CY277" s="530"/>
      <c r="CZ277" s="530"/>
      <c r="DA277" s="530"/>
      <c r="DB277" s="530"/>
      <c r="DC277" s="530"/>
      <c r="DD277" s="530"/>
      <c r="DE277" s="530"/>
      <c r="DF277" s="530"/>
      <c r="DG277" s="530"/>
      <c r="DH277" s="530"/>
      <c r="DI277" s="530"/>
      <c r="DJ277" s="530"/>
      <c r="DK277" s="530"/>
      <c r="DL277" s="530"/>
      <c r="DM277" s="530"/>
      <c r="DN277" s="530"/>
      <c r="DO277" s="530"/>
      <c r="DP277" s="530"/>
      <c r="DQ277" s="530"/>
      <c r="DR277" s="530"/>
      <c r="DS277" s="530"/>
      <c r="DT277" s="530"/>
      <c r="DU277" s="530"/>
      <c r="DV277" s="530"/>
      <c r="DW277" s="530"/>
      <c r="DX277" s="530"/>
      <c r="DY277" s="530"/>
      <c r="DZ277" s="530"/>
      <c r="EA277" s="530"/>
      <c r="EB277" s="530"/>
      <c r="EC277" s="530"/>
      <c r="ED277" s="530"/>
      <c r="EE277" s="530"/>
      <c r="EF277" s="530"/>
      <c r="EG277" s="530"/>
      <c r="EH277" s="530"/>
      <c r="EI277" s="530"/>
      <c r="EJ277" s="530"/>
      <c r="EK277" s="530"/>
      <c r="EL277" s="530"/>
      <c r="EM277" s="530"/>
      <c r="EN277" s="530"/>
      <c r="EO277" s="530"/>
      <c r="EP277" s="530"/>
      <c r="EQ277" s="530"/>
      <c r="ER277" s="530"/>
      <c r="ES277" s="530"/>
      <c r="ET277" s="530"/>
      <c r="EU277" s="530"/>
      <c r="EV277" s="530"/>
      <c r="EW277" s="530"/>
      <c r="EX277" s="530"/>
      <c r="EY277" s="530"/>
      <c r="EZ277" s="530"/>
      <c r="FA277" s="530"/>
      <c r="FB277" s="530"/>
      <c r="FC277" s="530"/>
      <c r="FD277" s="530"/>
      <c r="FE277" s="530"/>
      <c r="FF277" s="530"/>
      <c r="FG277" s="530"/>
      <c r="FH277" s="530"/>
      <c r="FI277" s="530"/>
      <c r="FJ277" s="530"/>
      <c r="FK277" s="530"/>
      <c r="FL277" s="530"/>
      <c r="FM277" s="530"/>
      <c r="FN277" s="530"/>
      <c r="FO277" s="530"/>
    </row>
    <row r="278" spans="1:171" s="1" customFormat="1" ht="13.5">
      <c r="A278" s="519" t="s">
        <v>188</v>
      </c>
      <c r="B278" s="453">
        <v>12435400</v>
      </c>
      <c r="C278" s="256">
        <v>12577200</v>
      </c>
      <c r="D278" s="256">
        <v>12566300</v>
      </c>
      <c r="E278" s="256">
        <v>12641000</v>
      </c>
      <c r="F278" s="256">
        <v>12613800</v>
      </c>
      <c r="G278" s="256">
        <v>12755500</v>
      </c>
      <c r="H278" s="256">
        <v>12826500</v>
      </c>
      <c r="I278" s="256">
        <v>12829700</v>
      </c>
      <c r="J278" s="256">
        <v>12829600</v>
      </c>
      <c r="K278" s="256">
        <v>12735100</v>
      </c>
      <c r="L278" s="256">
        <v>12290700</v>
      </c>
      <c r="M278" s="454">
        <v>12317000</v>
      </c>
      <c r="N278" s="530"/>
      <c r="O278" s="530"/>
      <c r="P278" s="530"/>
      <c r="Q278" s="530"/>
      <c r="R278" s="530"/>
      <c r="S278" s="530"/>
      <c r="T278" s="530"/>
      <c r="U278" s="530"/>
      <c r="V278" s="530"/>
      <c r="W278" s="530"/>
      <c r="X278" s="530"/>
      <c r="Y278" s="530"/>
      <c r="Z278" s="530"/>
      <c r="AA278" s="530"/>
      <c r="AB278" s="530"/>
      <c r="AC278" s="530"/>
      <c r="AD278" s="530"/>
      <c r="AE278" s="530"/>
      <c r="AF278" s="530"/>
      <c r="AG278" s="530"/>
      <c r="AH278" s="530"/>
      <c r="AI278" s="530"/>
      <c r="AJ278" s="530"/>
      <c r="AK278" s="530"/>
      <c r="AL278" s="530"/>
      <c r="AM278" s="530"/>
      <c r="AN278" s="530"/>
      <c r="AO278" s="530"/>
      <c r="AP278" s="530"/>
      <c r="AQ278" s="530"/>
      <c r="AR278" s="530"/>
      <c r="AS278" s="530"/>
      <c r="AT278" s="530"/>
      <c r="AU278" s="530"/>
      <c r="AV278" s="530"/>
      <c r="AW278" s="530"/>
      <c r="AX278" s="530"/>
      <c r="AY278" s="530"/>
      <c r="AZ278" s="530"/>
      <c r="BA278" s="530"/>
      <c r="BB278" s="530"/>
      <c r="BC278" s="530"/>
      <c r="BD278" s="530"/>
      <c r="BE278" s="530"/>
      <c r="BF278" s="530"/>
      <c r="BG278" s="530"/>
      <c r="BH278" s="530"/>
      <c r="BI278" s="530"/>
      <c r="BJ278" s="530"/>
      <c r="BK278" s="530"/>
      <c r="BL278" s="530"/>
      <c r="BM278" s="530"/>
      <c r="BN278" s="530"/>
      <c r="BO278" s="530"/>
      <c r="BP278" s="530"/>
      <c r="BQ278" s="530"/>
      <c r="BR278" s="530"/>
      <c r="BS278" s="530"/>
      <c r="BT278" s="530"/>
      <c r="BU278" s="530"/>
      <c r="BV278" s="530"/>
      <c r="BW278" s="530"/>
      <c r="BX278" s="530"/>
      <c r="BY278" s="530"/>
      <c r="BZ278" s="530"/>
      <c r="CA278" s="530"/>
      <c r="CB278" s="530"/>
      <c r="CC278" s="530"/>
      <c r="CD278" s="530"/>
      <c r="CE278" s="530"/>
      <c r="CF278" s="530"/>
      <c r="CG278" s="530"/>
      <c r="CH278" s="530"/>
      <c r="CI278" s="530"/>
      <c r="CJ278" s="530"/>
      <c r="CK278" s="530"/>
      <c r="CL278" s="530"/>
      <c r="CM278" s="530"/>
      <c r="CN278" s="530"/>
      <c r="CO278" s="530"/>
      <c r="CP278" s="530"/>
      <c r="CQ278" s="530"/>
      <c r="CR278" s="530"/>
      <c r="CS278" s="530"/>
      <c r="CT278" s="530"/>
      <c r="CU278" s="530"/>
      <c r="CV278" s="530"/>
      <c r="CW278" s="530"/>
      <c r="CX278" s="530"/>
      <c r="CY278" s="530"/>
      <c r="CZ278" s="530"/>
      <c r="DA278" s="530"/>
      <c r="DB278" s="530"/>
      <c r="DC278" s="530"/>
      <c r="DD278" s="530"/>
      <c r="DE278" s="530"/>
      <c r="DF278" s="530"/>
      <c r="DG278" s="530"/>
      <c r="DH278" s="530"/>
      <c r="DI278" s="530"/>
      <c r="DJ278" s="530"/>
      <c r="DK278" s="530"/>
      <c r="DL278" s="530"/>
      <c r="DM278" s="530"/>
      <c r="DN278" s="530"/>
      <c r="DO278" s="530"/>
      <c r="DP278" s="530"/>
      <c r="DQ278" s="530"/>
      <c r="DR278" s="530"/>
      <c r="DS278" s="530"/>
      <c r="DT278" s="530"/>
      <c r="DU278" s="530"/>
      <c r="DV278" s="530"/>
      <c r="DW278" s="530"/>
      <c r="DX278" s="530"/>
      <c r="DY278" s="530"/>
      <c r="DZ278" s="530"/>
      <c r="EA278" s="530"/>
      <c r="EB278" s="530"/>
      <c r="EC278" s="530"/>
      <c r="ED278" s="530"/>
      <c r="EE278" s="530"/>
      <c r="EF278" s="530"/>
      <c r="EG278" s="530"/>
      <c r="EH278" s="530"/>
      <c r="EI278" s="530"/>
      <c r="EJ278" s="530"/>
      <c r="EK278" s="530"/>
      <c r="EL278" s="530"/>
      <c r="EM278" s="530"/>
      <c r="EN278" s="530"/>
      <c r="EO278" s="530"/>
      <c r="EP278" s="530"/>
      <c r="EQ278" s="530"/>
      <c r="ER278" s="530"/>
      <c r="ES278" s="530"/>
      <c r="ET278" s="530"/>
      <c r="EU278" s="530"/>
      <c r="EV278" s="530"/>
      <c r="EW278" s="530"/>
      <c r="EX278" s="530"/>
      <c r="EY278" s="530"/>
      <c r="EZ278" s="530"/>
      <c r="FA278" s="530"/>
      <c r="FB278" s="530"/>
      <c r="FC278" s="530"/>
      <c r="FD278" s="530"/>
      <c r="FE278" s="530"/>
      <c r="FF278" s="530"/>
      <c r="FG278" s="530"/>
      <c r="FH278" s="530"/>
      <c r="FI278" s="530"/>
      <c r="FJ278" s="530"/>
      <c r="FK278" s="530"/>
      <c r="FL278" s="530"/>
      <c r="FM278" s="530"/>
      <c r="FN278" s="530"/>
      <c r="FO278" s="530"/>
    </row>
    <row r="279" spans="1:171" s="1" customFormat="1" ht="13.5">
      <c r="A279" s="519" t="s">
        <v>219</v>
      </c>
      <c r="B279" s="453">
        <v>1170200</v>
      </c>
      <c r="C279" s="256">
        <v>1196900</v>
      </c>
      <c r="D279" s="256">
        <v>1244000</v>
      </c>
      <c r="E279" s="256">
        <v>1222500</v>
      </c>
      <c r="F279" s="256">
        <v>1150200</v>
      </c>
      <c r="G279" s="256">
        <v>1190800</v>
      </c>
      <c r="H279" s="256">
        <v>1186000</v>
      </c>
      <c r="I279" s="256">
        <v>1180200</v>
      </c>
      <c r="J279" s="256">
        <v>1148400</v>
      </c>
      <c r="K279" s="256">
        <v>1164300</v>
      </c>
      <c r="L279" s="256">
        <v>1094600</v>
      </c>
      <c r="M279" s="454">
        <v>1095000</v>
      </c>
      <c r="N279" s="530"/>
      <c r="O279" s="530"/>
      <c r="P279" s="530"/>
      <c r="Q279" s="530"/>
      <c r="R279" s="530"/>
      <c r="S279" s="530"/>
      <c r="T279" s="530"/>
      <c r="U279" s="530"/>
      <c r="V279" s="530"/>
      <c r="W279" s="530"/>
      <c r="X279" s="530"/>
      <c r="Y279" s="530"/>
      <c r="Z279" s="530"/>
      <c r="AA279" s="530"/>
      <c r="AB279" s="530"/>
      <c r="AC279" s="530"/>
      <c r="AD279" s="530"/>
      <c r="AE279" s="530"/>
      <c r="AF279" s="530"/>
      <c r="AG279" s="530"/>
      <c r="AH279" s="530"/>
      <c r="AI279" s="530"/>
      <c r="AJ279" s="530"/>
      <c r="AK279" s="530"/>
      <c r="AL279" s="530"/>
      <c r="AM279" s="530"/>
      <c r="AN279" s="530"/>
      <c r="AO279" s="530"/>
      <c r="AP279" s="530"/>
      <c r="AQ279" s="530"/>
      <c r="AR279" s="530"/>
      <c r="AS279" s="530"/>
      <c r="AT279" s="530"/>
      <c r="AU279" s="530"/>
      <c r="AV279" s="530"/>
      <c r="AW279" s="530"/>
      <c r="AX279" s="530"/>
      <c r="AY279" s="530"/>
      <c r="AZ279" s="530"/>
      <c r="BA279" s="530"/>
      <c r="BB279" s="530"/>
      <c r="BC279" s="530"/>
      <c r="BD279" s="530"/>
      <c r="BE279" s="530"/>
      <c r="BF279" s="530"/>
      <c r="BG279" s="530"/>
      <c r="BH279" s="530"/>
      <c r="BI279" s="530"/>
      <c r="BJ279" s="530"/>
      <c r="BK279" s="530"/>
      <c r="BL279" s="530"/>
      <c r="BM279" s="530"/>
      <c r="BN279" s="530"/>
      <c r="BO279" s="530"/>
      <c r="BP279" s="530"/>
      <c r="BQ279" s="530"/>
      <c r="BR279" s="530"/>
      <c r="BS279" s="530"/>
      <c r="BT279" s="530"/>
      <c r="BU279" s="530"/>
      <c r="BV279" s="530"/>
      <c r="BW279" s="530"/>
      <c r="BX279" s="530"/>
      <c r="BY279" s="530"/>
      <c r="BZ279" s="530"/>
      <c r="CA279" s="530"/>
      <c r="CB279" s="530"/>
      <c r="CC279" s="530"/>
      <c r="CD279" s="530"/>
      <c r="CE279" s="530"/>
      <c r="CF279" s="530"/>
      <c r="CG279" s="530"/>
      <c r="CH279" s="530"/>
      <c r="CI279" s="530"/>
      <c r="CJ279" s="530"/>
      <c r="CK279" s="530"/>
      <c r="CL279" s="530"/>
      <c r="CM279" s="530"/>
      <c r="CN279" s="530"/>
      <c r="CO279" s="530"/>
      <c r="CP279" s="530"/>
      <c r="CQ279" s="530"/>
      <c r="CR279" s="530"/>
      <c r="CS279" s="530"/>
      <c r="CT279" s="530"/>
      <c r="CU279" s="530"/>
      <c r="CV279" s="530"/>
      <c r="CW279" s="530"/>
      <c r="CX279" s="530"/>
      <c r="CY279" s="530"/>
      <c r="CZ279" s="530"/>
      <c r="DA279" s="530"/>
      <c r="DB279" s="530"/>
      <c r="DC279" s="530"/>
      <c r="DD279" s="530"/>
      <c r="DE279" s="530"/>
      <c r="DF279" s="530"/>
      <c r="DG279" s="530"/>
      <c r="DH279" s="530"/>
      <c r="DI279" s="530"/>
      <c r="DJ279" s="530"/>
      <c r="DK279" s="530"/>
      <c r="DL279" s="530"/>
      <c r="DM279" s="530"/>
      <c r="DN279" s="530"/>
      <c r="DO279" s="530"/>
      <c r="DP279" s="530"/>
      <c r="DQ279" s="530"/>
      <c r="DR279" s="530"/>
      <c r="DS279" s="530"/>
      <c r="DT279" s="530"/>
      <c r="DU279" s="530"/>
      <c r="DV279" s="530"/>
      <c r="DW279" s="530"/>
      <c r="DX279" s="530"/>
      <c r="DY279" s="530"/>
      <c r="DZ279" s="530"/>
      <c r="EA279" s="530"/>
      <c r="EB279" s="530"/>
      <c r="EC279" s="530"/>
      <c r="ED279" s="530"/>
      <c r="EE279" s="530"/>
      <c r="EF279" s="530"/>
      <c r="EG279" s="530"/>
      <c r="EH279" s="530"/>
      <c r="EI279" s="530"/>
      <c r="EJ279" s="530"/>
      <c r="EK279" s="530"/>
      <c r="EL279" s="530"/>
      <c r="EM279" s="530"/>
      <c r="EN279" s="530"/>
      <c r="EO279" s="530"/>
      <c r="EP279" s="530"/>
      <c r="EQ279" s="530"/>
      <c r="ER279" s="530"/>
      <c r="ES279" s="530"/>
      <c r="ET279" s="530"/>
      <c r="EU279" s="530"/>
      <c r="EV279" s="530"/>
      <c r="EW279" s="530"/>
      <c r="EX279" s="530"/>
      <c r="EY279" s="530"/>
      <c r="EZ279" s="530"/>
      <c r="FA279" s="530"/>
      <c r="FB279" s="530"/>
      <c r="FC279" s="530"/>
      <c r="FD279" s="530"/>
      <c r="FE279" s="530"/>
      <c r="FF279" s="530"/>
      <c r="FG279" s="530"/>
      <c r="FH279" s="530"/>
      <c r="FI279" s="530"/>
      <c r="FJ279" s="530"/>
      <c r="FK279" s="530"/>
      <c r="FL279" s="530"/>
      <c r="FM279" s="530"/>
      <c r="FN279" s="530"/>
      <c r="FO279" s="530"/>
    </row>
    <row r="280" spans="1:171" s="1" customFormat="1" ht="14.25" thickBot="1">
      <c r="A280" s="520" t="s">
        <v>18</v>
      </c>
      <c r="B280" s="521">
        <v>37368500</v>
      </c>
      <c r="C280" s="522">
        <v>37330700</v>
      </c>
      <c r="D280" s="522">
        <v>37186600</v>
      </c>
      <c r="E280" s="522">
        <v>37070900</v>
      </c>
      <c r="F280" s="522">
        <v>36728400</v>
      </c>
      <c r="G280" s="522">
        <v>36755900</v>
      </c>
      <c r="H280" s="522">
        <v>36642200</v>
      </c>
      <c r="I280" s="522">
        <v>36554000</v>
      </c>
      <c r="J280" s="522">
        <v>36309100</v>
      </c>
      <c r="K280" s="522">
        <v>36146000</v>
      </c>
      <c r="L280" s="522">
        <v>35434200</v>
      </c>
      <c r="M280" s="523">
        <v>35420800</v>
      </c>
      <c r="N280" s="530"/>
      <c r="O280" s="530"/>
      <c r="P280" s="530"/>
      <c r="Q280" s="530"/>
      <c r="R280" s="530"/>
      <c r="S280" s="530"/>
      <c r="T280" s="530"/>
      <c r="U280" s="530"/>
      <c r="V280" s="530"/>
      <c r="W280" s="530"/>
      <c r="X280" s="530"/>
      <c r="Y280" s="530"/>
      <c r="Z280" s="530"/>
      <c r="AA280" s="530"/>
      <c r="AB280" s="530"/>
      <c r="AC280" s="530"/>
      <c r="AD280" s="530"/>
      <c r="AE280" s="530"/>
      <c r="AF280" s="530"/>
      <c r="AG280" s="530"/>
      <c r="AH280" s="530"/>
      <c r="AI280" s="530"/>
      <c r="AJ280" s="530"/>
      <c r="AK280" s="530"/>
      <c r="AL280" s="530"/>
      <c r="AM280" s="530"/>
      <c r="AN280" s="530"/>
      <c r="AO280" s="530"/>
      <c r="AP280" s="530"/>
      <c r="AQ280" s="530"/>
      <c r="AR280" s="530"/>
      <c r="AS280" s="530"/>
      <c r="AT280" s="530"/>
      <c r="AU280" s="530"/>
      <c r="AV280" s="530"/>
      <c r="AW280" s="530"/>
      <c r="AX280" s="530"/>
      <c r="AY280" s="530"/>
      <c r="AZ280" s="530"/>
      <c r="BA280" s="530"/>
      <c r="BB280" s="530"/>
      <c r="BC280" s="530"/>
      <c r="BD280" s="530"/>
      <c r="BE280" s="530"/>
      <c r="BF280" s="530"/>
      <c r="BG280" s="530"/>
      <c r="BH280" s="530"/>
      <c r="BI280" s="530"/>
      <c r="BJ280" s="530"/>
      <c r="BK280" s="530"/>
      <c r="BL280" s="530"/>
      <c r="BM280" s="530"/>
      <c r="BN280" s="530"/>
      <c r="BO280" s="530"/>
      <c r="BP280" s="530"/>
      <c r="BQ280" s="530"/>
      <c r="BR280" s="530"/>
      <c r="BS280" s="530"/>
      <c r="BT280" s="530"/>
      <c r="BU280" s="530"/>
      <c r="BV280" s="530"/>
      <c r="BW280" s="530"/>
      <c r="BX280" s="530"/>
      <c r="BY280" s="530"/>
      <c r="BZ280" s="530"/>
      <c r="CA280" s="530"/>
      <c r="CB280" s="530"/>
      <c r="CC280" s="530"/>
      <c r="CD280" s="530"/>
      <c r="CE280" s="530"/>
      <c r="CF280" s="530"/>
      <c r="CG280" s="530"/>
      <c r="CH280" s="530"/>
      <c r="CI280" s="530"/>
      <c r="CJ280" s="530"/>
      <c r="CK280" s="530"/>
      <c r="CL280" s="530"/>
      <c r="CM280" s="530"/>
      <c r="CN280" s="530"/>
      <c r="CO280" s="530"/>
      <c r="CP280" s="530"/>
      <c r="CQ280" s="530"/>
      <c r="CR280" s="530"/>
      <c r="CS280" s="530"/>
      <c r="CT280" s="530"/>
      <c r="CU280" s="530"/>
      <c r="CV280" s="530"/>
      <c r="CW280" s="530"/>
      <c r="CX280" s="530"/>
      <c r="CY280" s="530"/>
      <c r="CZ280" s="530"/>
      <c r="DA280" s="530"/>
      <c r="DB280" s="530"/>
      <c r="DC280" s="530"/>
      <c r="DD280" s="530"/>
      <c r="DE280" s="530"/>
      <c r="DF280" s="530"/>
      <c r="DG280" s="530"/>
      <c r="DH280" s="530"/>
      <c r="DI280" s="530"/>
      <c r="DJ280" s="530"/>
      <c r="DK280" s="530"/>
      <c r="DL280" s="530"/>
      <c r="DM280" s="530"/>
      <c r="DN280" s="530"/>
      <c r="DO280" s="530"/>
      <c r="DP280" s="530"/>
      <c r="DQ280" s="530"/>
      <c r="DR280" s="530"/>
      <c r="DS280" s="530"/>
      <c r="DT280" s="530"/>
      <c r="DU280" s="530"/>
      <c r="DV280" s="530"/>
      <c r="DW280" s="530"/>
      <c r="DX280" s="530"/>
      <c r="DY280" s="530"/>
      <c r="DZ280" s="530"/>
      <c r="EA280" s="530"/>
      <c r="EB280" s="530"/>
      <c r="EC280" s="530"/>
      <c r="ED280" s="530"/>
      <c r="EE280" s="530"/>
      <c r="EF280" s="530"/>
      <c r="EG280" s="530"/>
      <c r="EH280" s="530"/>
      <c r="EI280" s="530"/>
      <c r="EJ280" s="530"/>
      <c r="EK280" s="530"/>
      <c r="EL280" s="530"/>
      <c r="EM280" s="530"/>
      <c r="EN280" s="530"/>
      <c r="EO280" s="530"/>
      <c r="EP280" s="530"/>
      <c r="EQ280" s="530"/>
      <c r="ER280" s="530"/>
      <c r="ES280" s="530"/>
      <c r="ET280" s="530"/>
      <c r="EU280" s="530"/>
      <c r="EV280" s="530"/>
      <c r="EW280" s="530"/>
      <c r="EX280" s="530"/>
      <c r="EY280" s="530"/>
      <c r="EZ280" s="530"/>
      <c r="FA280" s="530"/>
      <c r="FB280" s="530"/>
      <c r="FC280" s="530"/>
      <c r="FD280" s="530"/>
      <c r="FE280" s="530"/>
      <c r="FF280" s="530"/>
      <c r="FG280" s="530"/>
      <c r="FH280" s="530"/>
      <c r="FI280" s="530"/>
      <c r="FJ280" s="530"/>
      <c r="FK280" s="530"/>
      <c r="FL280" s="530"/>
      <c r="FM280" s="530"/>
      <c r="FN280" s="530"/>
      <c r="FO280" s="530"/>
    </row>
    <row r="281" spans="1:171" s="1" customFormat="1" ht="14.25" thickBot="1">
      <c r="A281" s="6"/>
      <c r="B281" s="530"/>
      <c r="C281" s="530"/>
      <c r="D281" s="530"/>
      <c r="E281" s="530"/>
      <c r="F281" s="530"/>
      <c r="G281" s="530"/>
      <c r="H281" s="530"/>
      <c r="I281" s="530"/>
      <c r="J281" s="530"/>
      <c r="K281" s="530"/>
      <c r="L281" s="530"/>
      <c r="M281" s="530"/>
      <c r="N281" s="530"/>
      <c r="O281" s="530"/>
      <c r="P281" s="530"/>
      <c r="Q281" s="530"/>
      <c r="R281" s="530"/>
      <c r="S281" s="530"/>
      <c r="T281" s="530"/>
      <c r="U281" s="530"/>
      <c r="V281" s="530"/>
      <c r="W281" s="530"/>
      <c r="X281" s="530"/>
      <c r="Y281" s="530"/>
      <c r="Z281" s="530"/>
      <c r="AA281" s="530"/>
      <c r="AB281" s="530"/>
      <c r="AC281" s="530"/>
      <c r="AD281" s="530"/>
      <c r="AE281" s="530"/>
      <c r="AF281" s="530"/>
      <c r="AG281" s="530"/>
      <c r="AH281" s="530"/>
      <c r="AI281" s="530"/>
      <c r="AJ281" s="530"/>
      <c r="AK281" s="530"/>
      <c r="AL281" s="530"/>
      <c r="AM281" s="530"/>
      <c r="AN281" s="530"/>
      <c r="AO281" s="530"/>
      <c r="AP281" s="530"/>
      <c r="AQ281" s="530"/>
      <c r="AR281" s="530"/>
      <c r="AS281" s="530"/>
      <c r="AT281" s="530"/>
      <c r="AU281" s="530"/>
      <c r="AV281" s="530"/>
      <c r="AW281" s="530"/>
      <c r="AX281" s="530"/>
      <c r="AY281" s="530"/>
      <c r="AZ281" s="530"/>
      <c r="BA281" s="530"/>
      <c r="BB281" s="530"/>
      <c r="BC281" s="530"/>
      <c r="BD281" s="530"/>
      <c r="BE281" s="530"/>
      <c r="BF281" s="530"/>
      <c r="BG281" s="530"/>
      <c r="BH281" s="530"/>
      <c r="BI281" s="530"/>
      <c r="BJ281" s="530"/>
      <c r="BK281" s="530"/>
      <c r="BL281" s="530"/>
      <c r="BM281" s="530"/>
      <c r="BN281" s="530"/>
      <c r="BO281" s="530"/>
      <c r="BP281" s="530"/>
      <c r="BQ281" s="530"/>
      <c r="BR281" s="530"/>
      <c r="BS281" s="530"/>
      <c r="BT281" s="530"/>
      <c r="BU281" s="530"/>
      <c r="BV281" s="530"/>
      <c r="BW281" s="530"/>
      <c r="BX281" s="530"/>
      <c r="BY281" s="530"/>
      <c r="BZ281" s="530"/>
      <c r="CA281" s="530"/>
      <c r="CB281" s="530"/>
      <c r="CC281" s="530"/>
      <c r="CD281" s="530"/>
      <c r="CE281" s="530"/>
      <c r="CF281" s="530"/>
      <c r="CG281" s="530"/>
      <c r="CH281" s="530"/>
      <c r="CI281" s="530"/>
      <c r="CJ281" s="530"/>
      <c r="CK281" s="530"/>
      <c r="CL281" s="530"/>
      <c r="CM281" s="530"/>
      <c r="CN281" s="530"/>
      <c r="CO281" s="530"/>
      <c r="CP281" s="530"/>
      <c r="CQ281" s="530"/>
      <c r="CR281" s="530"/>
      <c r="CS281" s="530"/>
      <c r="CT281" s="530"/>
      <c r="CU281" s="530"/>
      <c r="CV281" s="530"/>
      <c r="CW281" s="530"/>
      <c r="CX281" s="530"/>
      <c r="CY281" s="530"/>
      <c r="CZ281" s="530"/>
      <c r="DA281" s="530"/>
      <c r="DB281" s="530"/>
      <c r="DC281" s="530"/>
      <c r="DD281" s="530"/>
      <c r="DE281" s="530"/>
      <c r="DF281" s="530"/>
      <c r="DG281" s="530"/>
      <c r="DH281" s="530"/>
      <c r="DI281" s="530"/>
      <c r="DJ281" s="530"/>
      <c r="DK281" s="530"/>
      <c r="DL281" s="530"/>
      <c r="DM281" s="530"/>
      <c r="DN281" s="530"/>
      <c r="DO281" s="530"/>
      <c r="DP281" s="530"/>
      <c r="DQ281" s="530"/>
      <c r="DR281" s="530"/>
      <c r="DS281" s="530"/>
      <c r="DT281" s="530"/>
      <c r="DU281" s="530"/>
      <c r="DV281" s="530"/>
      <c r="DW281" s="530"/>
      <c r="DX281" s="530"/>
      <c r="DY281" s="530"/>
      <c r="DZ281" s="530"/>
      <c r="EA281" s="530"/>
      <c r="EB281" s="530"/>
      <c r="EC281" s="530"/>
      <c r="ED281" s="530"/>
      <c r="EE281" s="530"/>
      <c r="EF281" s="530"/>
      <c r="EG281" s="530"/>
      <c r="EH281" s="530"/>
      <c r="EI281" s="530"/>
      <c r="EJ281" s="530"/>
      <c r="EK281" s="530"/>
      <c r="EL281" s="530"/>
      <c r="EM281" s="530"/>
      <c r="EN281" s="530"/>
      <c r="EO281" s="530"/>
      <c r="EP281" s="530"/>
      <c r="EQ281" s="530"/>
      <c r="ER281" s="530"/>
      <c r="ES281" s="530"/>
      <c r="ET281" s="530"/>
      <c r="EU281" s="530"/>
      <c r="EV281" s="530"/>
      <c r="EW281" s="530"/>
      <c r="EX281" s="530"/>
      <c r="EY281" s="530"/>
      <c r="EZ281" s="530"/>
      <c r="FA281" s="530"/>
      <c r="FB281" s="530"/>
      <c r="FC281" s="530"/>
      <c r="FD281" s="530"/>
      <c r="FE281" s="530"/>
      <c r="FF281" s="530"/>
      <c r="FG281" s="530"/>
      <c r="FH281" s="530"/>
      <c r="FI281" s="530"/>
      <c r="FJ281" s="530"/>
      <c r="FK281" s="530"/>
      <c r="FL281" s="530"/>
      <c r="FM281" s="530"/>
      <c r="FN281" s="530"/>
      <c r="FO281" s="530"/>
    </row>
    <row r="282" spans="1:171" s="1" customFormat="1" ht="14.25" thickBot="1">
      <c r="A282" s="6"/>
      <c r="B282" s="526">
        <v>41275</v>
      </c>
      <c r="C282" s="527">
        <v>41306</v>
      </c>
      <c r="D282" s="527">
        <v>41334</v>
      </c>
      <c r="E282" s="527">
        <v>41365</v>
      </c>
      <c r="F282" s="527">
        <v>41395</v>
      </c>
      <c r="G282" s="527">
        <v>41426</v>
      </c>
      <c r="H282" s="527">
        <v>41456</v>
      </c>
      <c r="I282" s="527">
        <v>41487</v>
      </c>
      <c r="J282" s="527">
        <v>41518</v>
      </c>
      <c r="K282" s="527">
        <v>41548</v>
      </c>
      <c r="L282" s="527">
        <v>41579</v>
      </c>
      <c r="M282" s="528">
        <v>41609</v>
      </c>
      <c r="N282" s="530"/>
      <c r="O282" s="530"/>
      <c r="P282" s="530"/>
      <c r="Q282" s="530"/>
      <c r="R282" s="530"/>
      <c r="S282" s="530"/>
      <c r="T282" s="530"/>
      <c r="U282" s="530"/>
      <c r="V282" s="530"/>
      <c r="W282" s="530"/>
      <c r="X282" s="530"/>
      <c r="Y282" s="530"/>
      <c r="Z282" s="530"/>
      <c r="AA282" s="530"/>
      <c r="AB282" s="530"/>
      <c r="AC282" s="530"/>
      <c r="AD282" s="530"/>
      <c r="AE282" s="530"/>
      <c r="AF282" s="530"/>
      <c r="AG282" s="530"/>
      <c r="AH282" s="530"/>
      <c r="AI282" s="530"/>
      <c r="AJ282" s="530"/>
      <c r="AK282" s="530"/>
      <c r="AL282" s="530"/>
      <c r="AM282" s="530"/>
      <c r="AN282" s="530"/>
      <c r="AO282" s="530"/>
      <c r="AP282" s="530"/>
      <c r="AQ282" s="530"/>
      <c r="AR282" s="530"/>
      <c r="AS282" s="530"/>
      <c r="AT282" s="530"/>
      <c r="AU282" s="530"/>
      <c r="AV282" s="530"/>
      <c r="AW282" s="530"/>
      <c r="AX282" s="530"/>
      <c r="AY282" s="530"/>
      <c r="AZ282" s="530"/>
      <c r="BA282" s="530"/>
      <c r="BB282" s="530"/>
      <c r="BC282" s="530"/>
      <c r="BD282" s="530"/>
      <c r="BE282" s="530"/>
      <c r="BF282" s="530"/>
      <c r="BG282" s="530"/>
      <c r="BH282" s="530"/>
      <c r="BI282" s="530"/>
      <c r="BJ282" s="530"/>
      <c r="BK282" s="530"/>
      <c r="BL282" s="530"/>
      <c r="BM282" s="530"/>
      <c r="BN282" s="530"/>
      <c r="BO282" s="530"/>
      <c r="BP282" s="530"/>
      <c r="BQ282" s="530"/>
      <c r="BR282" s="530"/>
      <c r="BS282" s="530"/>
      <c r="BT282" s="530"/>
      <c r="BU282" s="530"/>
      <c r="BV282" s="530"/>
      <c r="BW282" s="530"/>
      <c r="BX282" s="530"/>
      <c r="BY282" s="530"/>
      <c r="BZ282" s="530"/>
      <c r="CA282" s="530"/>
      <c r="CB282" s="530"/>
      <c r="CC282" s="530"/>
      <c r="CD282" s="530"/>
      <c r="CE282" s="530"/>
      <c r="CF282" s="530"/>
      <c r="CG282" s="530"/>
      <c r="CH282" s="530"/>
      <c r="CI282" s="530"/>
      <c r="CJ282" s="530"/>
      <c r="CK282" s="530"/>
      <c r="CL282" s="530"/>
      <c r="CM282" s="530"/>
      <c r="CN282" s="530"/>
      <c r="CO282" s="530"/>
      <c r="CP282" s="530"/>
      <c r="CQ282" s="530"/>
      <c r="CR282" s="530"/>
      <c r="CS282" s="530"/>
      <c r="CT282" s="530"/>
      <c r="CU282" s="530"/>
      <c r="CV282" s="530"/>
      <c r="CW282" s="530"/>
      <c r="CX282" s="530"/>
      <c r="CY282" s="530"/>
      <c r="CZ282" s="530"/>
      <c r="DA282" s="530"/>
      <c r="DB282" s="530"/>
      <c r="DC282" s="530"/>
      <c r="DD282" s="530"/>
      <c r="DE282" s="530"/>
      <c r="DF282" s="530"/>
      <c r="DG282" s="530"/>
      <c r="DH282" s="530"/>
      <c r="DI282" s="530"/>
      <c r="DJ282" s="530"/>
      <c r="DK282" s="530"/>
      <c r="DL282" s="530"/>
      <c r="DM282" s="530"/>
      <c r="DN282" s="530"/>
      <c r="DO282" s="530"/>
      <c r="DP282" s="530"/>
      <c r="DQ282" s="530"/>
      <c r="DR282" s="530"/>
      <c r="DS282" s="530"/>
      <c r="DT282" s="530"/>
      <c r="DU282" s="530"/>
      <c r="DV282" s="530"/>
      <c r="DW282" s="530"/>
      <c r="DX282" s="530"/>
      <c r="DY282" s="530"/>
      <c r="DZ282" s="530"/>
      <c r="EA282" s="530"/>
      <c r="EB282" s="530"/>
      <c r="EC282" s="530"/>
      <c r="ED282" s="530"/>
      <c r="EE282" s="530"/>
      <c r="EF282" s="530"/>
      <c r="EG282" s="530"/>
      <c r="EH282" s="530"/>
      <c r="EI282" s="530"/>
      <c r="EJ282" s="530"/>
      <c r="EK282" s="530"/>
      <c r="EL282" s="530"/>
      <c r="EM282" s="530"/>
      <c r="EN282" s="530"/>
      <c r="EO282" s="530"/>
      <c r="EP282" s="530"/>
      <c r="EQ282" s="530"/>
      <c r="ER282" s="530"/>
      <c r="ES282" s="530"/>
      <c r="ET282" s="530"/>
      <c r="EU282" s="530"/>
      <c r="EV282" s="530"/>
      <c r="EW282" s="530"/>
      <c r="EX282" s="530"/>
      <c r="EY282" s="530"/>
      <c r="EZ282" s="530"/>
      <c r="FA282" s="530"/>
      <c r="FB282" s="530"/>
      <c r="FC282" s="530"/>
      <c r="FD282" s="530"/>
      <c r="FE282" s="530"/>
      <c r="FF282" s="530"/>
      <c r="FG282" s="530"/>
      <c r="FH282" s="530"/>
      <c r="FI282" s="530"/>
      <c r="FJ282" s="530"/>
      <c r="FK282" s="530"/>
      <c r="FL282" s="530"/>
      <c r="FM282" s="530"/>
      <c r="FN282" s="530"/>
      <c r="FO282" s="530"/>
    </row>
    <row r="283" spans="1:171" s="1" customFormat="1" ht="13.5">
      <c r="A283" s="484" t="s">
        <v>216</v>
      </c>
      <c r="B283" s="517">
        <f t="shared" ref="B283:M283" si="23">B284+B285</f>
        <v>21977900</v>
      </c>
      <c r="C283" s="271">
        <f t="shared" si="23"/>
        <v>22039600</v>
      </c>
      <c r="D283" s="271">
        <f t="shared" si="23"/>
        <v>22110700</v>
      </c>
      <c r="E283" s="271">
        <f t="shared" si="23"/>
        <v>22257500</v>
      </c>
      <c r="F283" s="271">
        <f t="shared" si="23"/>
        <v>22233800</v>
      </c>
      <c r="G283" s="271">
        <f t="shared" si="23"/>
        <v>22101100</v>
      </c>
      <c r="H283" s="271">
        <f t="shared" si="23"/>
        <v>21947600</v>
      </c>
      <c r="I283" s="271">
        <f t="shared" si="23"/>
        <v>21791800</v>
      </c>
      <c r="J283" s="271">
        <f t="shared" si="23"/>
        <v>21459800</v>
      </c>
      <c r="K283" s="271">
        <f t="shared" si="23"/>
        <v>21046700</v>
      </c>
      <c r="L283" s="271">
        <f t="shared" si="23"/>
        <v>20753300</v>
      </c>
      <c r="M283" s="518">
        <f t="shared" si="23"/>
        <v>20403800</v>
      </c>
      <c r="N283" s="530"/>
      <c r="O283" s="530"/>
      <c r="P283" s="530"/>
      <c r="Q283" s="530"/>
      <c r="R283" s="530"/>
      <c r="S283" s="530"/>
      <c r="T283" s="530"/>
      <c r="U283" s="530"/>
      <c r="V283" s="530"/>
      <c r="W283" s="530"/>
      <c r="X283" s="530"/>
      <c r="Y283" s="530"/>
      <c r="Z283" s="530"/>
      <c r="AA283" s="530"/>
      <c r="AB283" s="530"/>
      <c r="AC283" s="530"/>
      <c r="AD283" s="530"/>
      <c r="AE283" s="530"/>
      <c r="AF283" s="530"/>
      <c r="AG283" s="530"/>
      <c r="AH283" s="530"/>
      <c r="AI283" s="530"/>
      <c r="AJ283" s="530"/>
      <c r="AK283" s="530"/>
      <c r="AL283" s="530"/>
      <c r="AM283" s="530"/>
      <c r="AN283" s="530"/>
      <c r="AO283" s="530"/>
      <c r="AP283" s="530"/>
      <c r="AQ283" s="530"/>
      <c r="AR283" s="530"/>
      <c r="AS283" s="530"/>
      <c r="AT283" s="530"/>
      <c r="AU283" s="530"/>
      <c r="AV283" s="530"/>
      <c r="AW283" s="530"/>
      <c r="AX283" s="530"/>
      <c r="AY283" s="530"/>
      <c r="AZ283" s="530"/>
      <c r="BA283" s="530"/>
      <c r="BB283" s="530"/>
      <c r="BC283" s="530"/>
      <c r="BD283" s="530"/>
      <c r="BE283" s="530"/>
      <c r="BF283" s="530"/>
      <c r="BG283" s="530"/>
      <c r="BH283" s="530"/>
      <c r="BI283" s="530"/>
      <c r="BJ283" s="530"/>
      <c r="BK283" s="530"/>
      <c r="BL283" s="530"/>
      <c r="BM283" s="530"/>
      <c r="BN283" s="530"/>
      <c r="BO283" s="530"/>
      <c r="BP283" s="530"/>
      <c r="BQ283" s="530"/>
      <c r="BR283" s="530"/>
      <c r="BS283" s="530"/>
      <c r="BT283" s="530"/>
      <c r="BU283" s="530"/>
      <c r="BV283" s="530"/>
      <c r="BW283" s="530"/>
      <c r="BX283" s="530"/>
      <c r="BY283" s="530"/>
      <c r="BZ283" s="530"/>
      <c r="CA283" s="530"/>
      <c r="CB283" s="530"/>
      <c r="CC283" s="530"/>
      <c r="CD283" s="530"/>
      <c r="CE283" s="530"/>
      <c r="CF283" s="530"/>
      <c r="CG283" s="530"/>
      <c r="CH283" s="530"/>
      <c r="CI283" s="530"/>
      <c r="CJ283" s="530"/>
      <c r="CK283" s="530"/>
      <c r="CL283" s="530"/>
      <c r="CM283" s="530"/>
      <c r="CN283" s="530"/>
      <c r="CO283" s="530"/>
      <c r="CP283" s="530"/>
      <c r="CQ283" s="530"/>
      <c r="CR283" s="530"/>
      <c r="CS283" s="530"/>
      <c r="CT283" s="530"/>
      <c r="CU283" s="530"/>
      <c r="CV283" s="530"/>
      <c r="CW283" s="530"/>
      <c r="CX283" s="530"/>
      <c r="CY283" s="530"/>
      <c r="CZ283" s="530"/>
      <c r="DA283" s="530"/>
      <c r="DB283" s="530"/>
      <c r="DC283" s="530"/>
      <c r="DD283" s="530"/>
      <c r="DE283" s="530"/>
      <c r="DF283" s="530"/>
      <c r="DG283" s="530"/>
      <c r="DH283" s="530"/>
      <c r="DI283" s="530"/>
      <c r="DJ283" s="530"/>
      <c r="DK283" s="530"/>
      <c r="DL283" s="530"/>
      <c r="DM283" s="530"/>
      <c r="DN283" s="530"/>
      <c r="DO283" s="530"/>
      <c r="DP283" s="530"/>
      <c r="DQ283" s="530"/>
      <c r="DR283" s="530"/>
      <c r="DS283" s="530"/>
      <c r="DT283" s="530"/>
      <c r="DU283" s="530"/>
      <c r="DV283" s="530"/>
      <c r="DW283" s="530"/>
      <c r="DX283" s="530"/>
      <c r="DY283" s="530"/>
      <c r="DZ283" s="530"/>
      <c r="EA283" s="530"/>
      <c r="EB283" s="530"/>
      <c r="EC283" s="530"/>
      <c r="ED283" s="530"/>
      <c r="EE283" s="530"/>
      <c r="EF283" s="530"/>
      <c r="EG283" s="530"/>
      <c r="EH283" s="530"/>
      <c r="EI283" s="530"/>
      <c r="EJ283" s="530"/>
      <c r="EK283" s="530"/>
      <c r="EL283" s="530"/>
      <c r="EM283" s="530"/>
      <c r="EN283" s="530"/>
      <c r="EO283" s="530"/>
      <c r="EP283" s="530"/>
      <c r="EQ283" s="530"/>
      <c r="ER283" s="530"/>
      <c r="ES283" s="530"/>
      <c r="ET283" s="530"/>
      <c r="EU283" s="530"/>
      <c r="EV283" s="530"/>
      <c r="EW283" s="530"/>
      <c r="EX283" s="530"/>
      <c r="EY283" s="530"/>
      <c r="EZ283" s="530"/>
      <c r="FA283" s="530"/>
      <c r="FB283" s="530"/>
      <c r="FC283" s="530"/>
      <c r="FD283" s="530"/>
      <c r="FE283" s="530"/>
      <c r="FF283" s="530"/>
      <c r="FG283" s="530"/>
      <c r="FH283" s="530"/>
      <c r="FI283" s="530"/>
      <c r="FJ283" s="530"/>
      <c r="FK283" s="530"/>
      <c r="FL283" s="530"/>
      <c r="FM283" s="530"/>
      <c r="FN283" s="530"/>
      <c r="FO283" s="530"/>
    </row>
    <row r="284" spans="1:171" s="1" customFormat="1" ht="13.5">
      <c r="A284" s="519" t="s">
        <v>217</v>
      </c>
      <c r="B284" s="453">
        <v>17422300</v>
      </c>
      <c r="C284" s="256">
        <v>17457400</v>
      </c>
      <c r="D284" s="256">
        <v>17548700</v>
      </c>
      <c r="E284" s="256">
        <v>17627200</v>
      </c>
      <c r="F284" s="256">
        <v>17577400</v>
      </c>
      <c r="G284" s="256">
        <v>17424300</v>
      </c>
      <c r="H284" s="256">
        <v>17243900</v>
      </c>
      <c r="I284" s="256">
        <v>17104100</v>
      </c>
      <c r="J284" s="256">
        <v>16764300</v>
      </c>
      <c r="K284" s="256">
        <v>16412300</v>
      </c>
      <c r="L284" s="256">
        <v>16130100</v>
      </c>
      <c r="M284" s="454">
        <v>15863300</v>
      </c>
      <c r="N284" s="530"/>
      <c r="O284" s="530"/>
      <c r="P284" s="530"/>
      <c r="Q284" s="530"/>
      <c r="R284" s="530"/>
      <c r="S284" s="530"/>
      <c r="T284" s="530"/>
      <c r="U284" s="530"/>
      <c r="V284" s="530"/>
      <c r="W284" s="530"/>
      <c r="X284" s="530"/>
      <c r="Y284" s="530"/>
      <c r="Z284" s="530"/>
      <c r="AA284" s="530"/>
      <c r="AB284" s="530"/>
      <c r="AC284" s="530"/>
      <c r="AD284" s="530"/>
      <c r="AE284" s="530"/>
      <c r="AF284" s="530"/>
      <c r="AG284" s="530"/>
      <c r="AH284" s="530"/>
      <c r="AI284" s="530"/>
      <c r="AJ284" s="530"/>
      <c r="AK284" s="530"/>
      <c r="AL284" s="530"/>
      <c r="AM284" s="530"/>
      <c r="AN284" s="530"/>
      <c r="AO284" s="530"/>
      <c r="AP284" s="530"/>
      <c r="AQ284" s="530"/>
      <c r="AR284" s="530"/>
      <c r="AS284" s="530"/>
      <c r="AT284" s="530"/>
      <c r="AU284" s="530"/>
      <c r="AV284" s="530"/>
      <c r="AW284" s="530"/>
      <c r="AX284" s="530"/>
      <c r="AY284" s="530"/>
      <c r="AZ284" s="530"/>
      <c r="BA284" s="530"/>
      <c r="BB284" s="530"/>
      <c r="BC284" s="530"/>
      <c r="BD284" s="530"/>
      <c r="BE284" s="530"/>
      <c r="BF284" s="530"/>
      <c r="BG284" s="530"/>
      <c r="BH284" s="530"/>
      <c r="BI284" s="530"/>
      <c r="BJ284" s="530"/>
      <c r="BK284" s="530"/>
      <c r="BL284" s="530"/>
      <c r="BM284" s="530"/>
      <c r="BN284" s="530"/>
      <c r="BO284" s="530"/>
      <c r="BP284" s="530"/>
      <c r="BQ284" s="530"/>
      <c r="BR284" s="530"/>
      <c r="BS284" s="530"/>
      <c r="BT284" s="530"/>
      <c r="BU284" s="530"/>
      <c r="BV284" s="530"/>
      <c r="BW284" s="530"/>
      <c r="BX284" s="530"/>
      <c r="BY284" s="530"/>
      <c r="BZ284" s="530"/>
      <c r="CA284" s="530"/>
      <c r="CB284" s="530"/>
      <c r="CC284" s="530"/>
      <c r="CD284" s="530"/>
      <c r="CE284" s="530"/>
      <c r="CF284" s="530"/>
      <c r="CG284" s="530"/>
      <c r="CH284" s="530"/>
      <c r="CI284" s="530"/>
      <c r="CJ284" s="530"/>
      <c r="CK284" s="530"/>
      <c r="CL284" s="530"/>
      <c r="CM284" s="530"/>
      <c r="CN284" s="530"/>
      <c r="CO284" s="530"/>
      <c r="CP284" s="530"/>
      <c r="CQ284" s="530"/>
      <c r="CR284" s="530"/>
      <c r="CS284" s="530"/>
      <c r="CT284" s="530"/>
      <c r="CU284" s="530"/>
      <c r="CV284" s="530"/>
      <c r="CW284" s="530"/>
      <c r="CX284" s="530"/>
      <c r="CY284" s="530"/>
      <c r="CZ284" s="530"/>
      <c r="DA284" s="530"/>
      <c r="DB284" s="530"/>
      <c r="DC284" s="530"/>
      <c r="DD284" s="530"/>
      <c r="DE284" s="530"/>
      <c r="DF284" s="530"/>
      <c r="DG284" s="530"/>
      <c r="DH284" s="530"/>
      <c r="DI284" s="530"/>
      <c r="DJ284" s="530"/>
      <c r="DK284" s="530"/>
      <c r="DL284" s="530"/>
      <c r="DM284" s="530"/>
      <c r="DN284" s="530"/>
      <c r="DO284" s="530"/>
      <c r="DP284" s="530"/>
      <c r="DQ284" s="530"/>
      <c r="DR284" s="530"/>
      <c r="DS284" s="530"/>
      <c r="DT284" s="530"/>
      <c r="DU284" s="530"/>
      <c r="DV284" s="530"/>
      <c r="DW284" s="530"/>
      <c r="DX284" s="530"/>
      <c r="DY284" s="530"/>
      <c r="DZ284" s="530"/>
      <c r="EA284" s="530"/>
      <c r="EB284" s="530"/>
      <c r="EC284" s="530"/>
      <c r="ED284" s="530"/>
      <c r="EE284" s="530"/>
      <c r="EF284" s="530"/>
      <c r="EG284" s="530"/>
      <c r="EH284" s="530"/>
      <c r="EI284" s="530"/>
      <c r="EJ284" s="530"/>
      <c r="EK284" s="530"/>
      <c r="EL284" s="530"/>
      <c r="EM284" s="530"/>
      <c r="EN284" s="530"/>
      <c r="EO284" s="530"/>
      <c r="EP284" s="530"/>
      <c r="EQ284" s="530"/>
      <c r="ER284" s="530"/>
      <c r="ES284" s="530"/>
      <c r="ET284" s="530"/>
      <c r="EU284" s="530"/>
      <c r="EV284" s="530"/>
      <c r="EW284" s="530"/>
      <c r="EX284" s="530"/>
      <c r="EY284" s="530"/>
      <c r="EZ284" s="530"/>
      <c r="FA284" s="530"/>
      <c r="FB284" s="530"/>
      <c r="FC284" s="530"/>
      <c r="FD284" s="530"/>
      <c r="FE284" s="530"/>
      <c r="FF284" s="530"/>
      <c r="FG284" s="530"/>
      <c r="FH284" s="530"/>
      <c r="FI284" s="530"/>
      <c r="FJ284" s="530"/>
      <c r="FK284" s="530"/>
      <c r="FL284" s="530"/>
      <c r="FM284" s="530"/>
      <c r="FN284" s="530"/>
      <c r="FO284" s="530"/>
    </row>
    <row r="285" spans="1:171" s="1" customFormat="1" ht="13.5">
      <c r="A285" s="519" t="s">
        <v>218</v>
      </c>
      <c r="B285" s="453">
        <v>4555600</v>
      </c>
      <c r="C285" s="256">
        <v>4582200</v>
      </c>
      <c r="D285" s="256">
        <v>4562000</v>
      </c>
      <c r="E285" s="256">
        <v>4630300</v>
      </c>
      <c r="F285" s="256">
        <v>4656400</v>
      </c>
      <c r="G285" s="256">
        <v>4676800</v>
      </c>
      <c r="H285" s="256">
        <v>4703700</v>
      </c>
      <c r="I285" s="256">
        <v>4687700</v>
      </c>
      <c r="J285" s="256">
        <v>4695500</v>
      </c>
      <c r="K285" s="256">
        <v>4634400</v>
      </c>
      <c r="L285" s="256">
        <v>4623200</v>
      </c>
      <c r="M285" s="454">
        <v>4540500</v>
      </c>
      <c r="N285" s="530"/>
      <c r="O285" s="530"/>
      <c r="P285" s="530"/>
      <c r="Q285" s="530"/>
      <c r="R285" s="530"/>
      <c r="S285" s="530"/>
      <c r="T285" s="530"/>
      <c r="U285" s="530"/>
      <c r="V285" s="530"/>
      <c r="W285" s="530"/>
      <c r="X285" s="530"/>
      <c r="Y285" s="530"/>
      <c r="Z285" s="530"/>
      <c r="AA285" s="530"/>
      <c r="AB285" s="530"/>
      <c r="AC285" s="530"/>
      <c r="AD285" s="530"/>
      <c r="AE285" s="530"/>
      <c r="AF285" s="530"/>
      <c r="AG285" s="530"/>
      <c r="AH285" s="530"/>
      <c r="AI285" s="530"/>
      <c r="AJ285" s="530"/>
      <c r="AK285" s="530"/>
      <c r="AL285" s="530"/>
      <c r="AM285" s="530"/>
      <c r="AN285" s="530"/>
      <c r="AO285" s="530"/>
      <c r="AP285" s="530"/>
      <c r="AQ285" s="530"/>
      <c r="AR285" s="530"/>
      <c r="AS285" s="530"/>
      <c r="AT285" s="530"/>
      <c r="AU285" s="530"/>
      <c r="AV285" s="530"/>
      <c r="AW285" s="530"/>
      <c r="AX285" s="530"/>
      <c r="AY285" s="530"/>
      <c r="AZ285" s="530"/>
      <c r="BA285" s="530"/>
      <c r="BB285" s="530"/>
      <c r="BC285" s="530"/>
      <c r="BD285" s="530"/>
      <c r="BE285" s="530"/>
      <c r="BF285" s="530"/>
      <c r="BG285" s="530"/>
      <c r="BH285" s="530"/>
      <c r="BI285" s="530"/>
      <c r="BJ285" s="530"/>
      <c r="BK285" s="530"/>
      <c r="BL285" s="530"/>
      <c r="BM285" s="530"/>
      <c r="BN285" s="530"/>
      <c r="BO285" s="530"/>
      <c r="BP285" s="530"/>
      <c r="BQ285" s="530"/>
      <c r="BR285" s="530"/>
      <c r="BS285" s="530"/>
      <c r="BT285" s="530"/>
      <c r="BU285" s="530"/>
      <c r="BV285" s="530"/>
      <c r="BW285" s="530"/>
      <c r="BX285" s="530"/>
      <c r="BY285" s="530"/>
      <c r="BZ285" s="530"/>
      <c r="CA285" s="530"/>
      <c r="CB285" s="530"/>
      <c r="CC285" s="530"/>
      <c r="CD285" s="530"/>
      <c r="CE285" s="530"/>
      <c r="CF285" s="530"/>
      <c r="CG285" s="530"/>
      <c r="CH285" s="530"/>
      <c r="CI285" s="530"/>
      <c r="CJ285" s="530"/>
      <c r="CK285" s="530"/>
      <c r="CL285" s="530"/>
      <c r="CM285" s="530"/>
      <c r="CN285" s="530"/>
      <c r="CO285" s="530"/>
      <c r="CP285" s="530"/>
      <c r="CQ285" s="530"/>
      <c r="CR285" s="530"/>
      <c r="CS285" s="530"/>
      <c r="CT285" s="530"/>
      <c r="CU285" s="530"/>
      <c r="CV285" s="530"/>
      <c r="CW285" s="530"/>
      <c r="CX285" s="530"/>
      <c r="CY285" s="530"/>
      <c r="CZ285" s="530"/>
      <c r="DA285" s="530"/>
      <c r="DB285" s="530"/>
      <c r="DC285" s="530"/>
      <c r="DD285" s="530"/>
      <c r="DE285" s="530"/>
      <c r="DF285" s="530"/>
      <c r="DG285" s="530"/>
      <c r="DH285" s="530"/>
      <c r="DI285" s="530"/>
      <c r="DJ285" s="530"/>
      <c r="DK285" s="530"/>
      <c r="DL285" s="530"/>
      <c r="DM285" s="530"/>
      <c r="DN285" s="530"/>
      <c r="DO285" s="530"/>
      <c r="DP285" s="530"/>
      <c r="DQ285" s="530"/>
      <c r="DR285" s="530"/>
      <c r="DS285" s="530"/>
      <c r="DT285" s="530"/>
      <c r="DU285" s="530"/>
      <c r="DV285" s="530"/>
      <c r="DW285" s="530"/>
      <c r="DX285" s="530"/>
      <c r="DY285" s="530"/>
      <c r="DZ285" s="530"/>
      <c r="EA285" s="530"/>
      <c r="EB285" s="530"/>
      <c r="EC285" s="530"/>
      <c r="ED285" s="530"/>
      <c r="EE285" s="530"/>
      <c r="EF285" s="530"/>
      <c r="EG285" s="530"/>
      <c r="EH285" s="530"/>
      <c r="EI285" s="530"/>
      <c r="EJ285" s="530"/>
      <c r="EK285" s="530"/>
      <c r="EL285" s="530"/>
      <c r="EM285" s="530"/>
      <c r="EN285" s="530"/>
      <c r="EO285" s="530"/>
      <c r="EP285" s="530"/>
      <c r="EQ285" s="530"/>
      <c r="ER285" s="530"/>
      <c r="ES285" s="530"/>
      <c r="ET285" s="530"/>
      <c r="EU285" s="530"/>
      <c r="EV285" s="530"/>
      <c r="EW285" s="530"/>
      <c r="EX285" s="530"/>
      <c r="EY285" s="530"/>
      <c r="EZ285" s="530"/>
      <c r="FA285" s="530"/>
      <c r="FB285" s="530"/>
      <c r="FC285" s="530"/>
      <c r="FD285" s="530"/>
      <c r="FE285" s="530"/>
      <c r="FF285" s="530"/>
      <c r="FG285" s="530"/>
      <c r="FH285" s="530"/>
      <c r="FI285" s="530"/>
      <c r="FJ285" s="530"/>
      <c r="FK285" s="530"/>
      <c r="FL285" s="530"/>
      <c r="FM285" s="530"/>
      <c r="FN285" s="530"/>
      <c r="FO285" s="530"/>
    </row>
    <row r="286" spans="1:171" s="1" customFormat="1" ht="13.5">
      <c r="A286" s="519" t="s">
        <v>188</v>
      </c>
      <c r="B286" s="453">
        <v>12507100</v>
      </c>
      <c r="C286" s="256">
        <v>12616000</v>
      </c>
      <c r="D286" s="256">
        <v>12719400</v>
      </c>
      <c r="E286" s="256">
        <v>12805400</v>
      </c>
      <c r="F286" s="256">
        <v>12916100</v>
      </c>
      <c r="G286" s="256">
        <v>13081900</v>
      </c>
      <c r="H286" s="256">
        <v>13093700</v>
      </c>
      <c r="I286" s="256">
        <v>13089300</v>
      </c>
      <c r="J286" s="256">
        <v>13167500</v>
      </c>
      <c r="K286" s="256">
        <v>13185800</v>
      </c>
      <c r="L286" s="256">
        <v>13168700</v>
      </c>
      <c r="M286" s="454">
        <v>12803200</v>
      </c>
      <c r="N286" s="530"/>
      <c r="O286" s="530"/>
      <c r="P286" s="530"/>
      <c r="Q286" s="530"/>
      <c r="R286" s="530"/>
      <c r="S286" s="530"/>
      <c r="T286" s="530"/>
      <c r="U286" s="530"/>
      <c r="V286" s="530"/>
      <c r="W286" s="530"/>
      <c r="X286" s="530"/>
      <c r="Y286" s="530"/>
      <c r="Z286" s="530"/>
      <c r="AA286" s="530"/>
      <c r="AB286" s="530"/>
      <c r="AC286" s="530"/>
      <c r="AD286" s="530"/>
      <c r="AE286" s="530"/>
      <c r="AF286" s="530"/>
      <c r="AG286" s="530"/>
      <c r="AH286" s="530"/>
      <c r="AI286" s="530"/>
      <c r="AJ286" s="530"/>
      <c r="AK286" s="530"/>
      <c r="AL286" s="530"/>
      <c r="AM286" s="530"/>
      <c r="AN286" s="530"/>
      <c r="AO286" s="530"/>
      <c r="AP286" s="530"/>
      <c r="AQ286" s="530"/>
      <c r="AR286" s="530"/>
      <c r="AS286" s="530"/>
      <c r="AT286" s="530"/>
      <c r="AU286" s="530"/>
      <c r="AV286" s="530"/>
      <c r="AW286" s="530"/>
      <c r="AX286" s="530"/>
      <c r="AY286" s="530"/>
      <c r="AZ286" s="530"/>
      <c r="BA286" s="530"/>
      <c r="BB286" s="530"/>
      <c r="BC286" s="530"/>
      <c r="BD286" s="530"/>
      <c r="BE286" s="530"/>
      <c r="BF286" s="530"/>
      <c r="BG286" s="530"/>
      <c r="BH286" s="530"/>
      <c r="BI286" s="530"/>
      <c r="BJ286" s="530"/>
      <c r="BK286" s="530"/>
      <c r="BL286" s="530"/>
      <c r="BM286" s="530"/>
      <c r="BN286" s="530"/>
      <c r="BO286" s="530"/>
      <c r="BP286" s="530"/>
      <c r="BQ286" s="530"/>
      <c r="BR286" s="530"/>
      <c r="BS286" s="530"/>
      <c r="BT286" s="530"/>
      <c r="BU286" s="530"/>
      <c r="BV286" s="530"/>
      <c r="BW286" s="530"/>
      <c r="BX286" s="530"/>
      <c r="BY286" s="530"/>
      <c r="BZ286" s="530"/>
      <c r="CA286" s="530"/>
      <c r="CB286" s="530"/>
      <c r="CC286" s="530"/>
      <c r="CD286" s="530"/>
      <c r="CE286" s="530"/>
      <c r="CF286" s="530"/>
      <c r="CG286" s="530"/>
      <c r="CH286" s="530"/>
      <c r="CI286" s="530"/>
      <c r="CJ286" s="530"/>
      <c r="CK286" s="530"/>
      <c r="CL286" s="530"/>
      <c r="CM286" s="530"/>
      <c r="CN286" s="530"/>
      <c r="CO286" s="530"/>
      <c r="CP286" s="530"/>
      <c r="CQ286" s="530"/>
      <c r="CR286" s="530"/>
      <c r="CS286" s="530"/>
      <c r="CT286" s="530"/>
      <c r="CU286" s="530"/>
      <c r="CV286" s="530"/>
      <c r="CW286" s="530"/>
      <c r="CX286" s="530"/>
      <c r="CY286" s="530"/>
      <c r="CZ286" s="530"/>
      <c r="DA286" s="530"/>
      <c r="DB286" s="530"/>
      <c r="DC286" s="530"/>
      <c r="DD286" s="530"/>
      <c r="DE286" s="530"/>
      <c r="DF286" s="530"/>
      <c r="DG286" s="530"/>
      <c r="DH286" s="530"/>
      <c r="DI286" s="530"/>
      <c r="DJ286" s="530"/>
      <c r="DK286" s="530"/>
      <c r="DL286" s="530"/>
      <c r="DM286" s="530"/>
      <c r="DN286" s="530"/>
      <c r="DO286" s="530"/>
      <c r="DP286" s="530"/>
      <c r="DQ286" s="530"/>
      <c r="DR286" s="530"/>
      <c r="DS286" s="530"/>
      <c r="DT286" s="530"/>
      <c r="DU286" s="530"/>
      <c r="DV286" s="530"/>
      <c r="DW286" s="530"/>
      <c r="DX286" s="530"/>
      <c r="DY286" s="530"/>
      <c r="DZ286" s="530"/>
      <c r="EA286" s="530"/>
      <c r="EB286" s="530"/>
      <c r="EC286" s="530"/>
      <c r="ED286" s="530"/>
      <c r="EE286" s="530"/>
      <c r="EF286" s="530"/>
      <c r="EG286" s="530"/>
      <c r="EH286" s="530"/>
      <c r="EI286" s="530"/>
      <c r="EJ286" s="530"/>
      <c r="EK286" s="530"/>
      <c r="EL286" s="530"/>
      <c r="EM286" s="530"/>
      <c r="EN286" s="530"/>
      <c r="EO286" s="530"/>
      <c r="EP286" s="530"/>
      <c r="EQ286" s="530"/>
      <c r="ER286" s="530"/>
      <c r="ES286" s="530"/>
      <c r="ET286" s="530"/>
      <c r="EU286" s="530"/>
      <c r="EV286" s="530"/>
      <c r="EW286" s="530"/>
      <c r="EX286" s="530"/>
      <c r="EY286" s="530"/>
      <c r="EZ286" s="530"/>
      <c r="FA286" s="530"/>
      <c r="FB286" s="530"/>
      <c r="FC286" s="530"/>
      <c r="FD286" s="530"/>
      <c r="FE286" s="530"/>
      <c r="FF286" s="530"/>
      <c r="FG286" s="530"/>
      <c r="FH286" s="530"/>
      <c r="FI286" s="530"/>
      <c r="FJ286" s="530"/>
      <c r="FK286" s="530"/>
      <c r="FL286" s="530"/>
      <c r="FM286" s="530"/>
      <c r="FN286" s="530"/>
      <c r="FO286" s="530"/>
    </row>
    <row r="287" spans="1:171" s="1" customFormat="1" ht="13.5">
      <c r="A287" s="519" t="s">
        <v>219</v>
      </c>
      <c r="B287" s="453">
        <v>1088900</v>
      </c>
      <c r="C287" s="256">
        <v>1094700</v>
      </c>
      <c r="D287" s="256">
        <v>1076000</v>
      </c>
      <c r="E287" s="256">
        <v>1074800</v>
      </c>
      <c r="F287" s="256">
        <v>1144200</v>
      </c>
      <c r="G287" s="256">
        <v>1126500</v>
      </c>
      <c r="H287" s="256">
        <v>1144300</v>
      </c>
      <c r="I287" s="256">
        <v>1141700</v>
      </c>
      <c r="J287" s="256">
        <v>1167100</v>
      </c>
      <c r="K287" s="256">
        <v>1165300</v>
      </c>
      <c r="L287" s="256">
        <v>1158900</v>
      </c>
      <c r="M287" s="454">
        <v>1085300</v>
      </c>
      <c r="N287" s="530"/>
      <c r="O287" s="530"/>
      <c r="P287" s="530"/>
      <c r="Q287" s="530"/>
      <c r="R287" s="530"/>
      <c r="S287" s="530"/>
      <c r="T287" s="530"/>
      <c r="U287" s="530"/>
      <c r="V287" s="530"/>
      <c r="W287" s="530"/>
      <c r="X287" s="530"/>
      <c r="Y287" s="530"/>
      <c r="Z287" s="530"/>
      <c r="AA287" s="530"/>
      <c r="AB287" s="530"/>
      <c r="AC287" s="530"/>
      <c r="AD287" s="530"/>
      <c r="AE287" s="530"/>
      <c r="AF287" s="530"/>
      <c r="AG287" s="530"/>
      <c r="AH287" s="530"/>
      <c r="AI287" s="530"/>
      <c r="AJ287" s="530"/>
      <c r="AK287" s="530"/>
      <c r="AL287" s="530"/>
      <c r="AM287" s="530"/>
      <c r="AN287" s="530"/>
      <c r="AO287" s="530"/>
      <c r="AP287" s="530"/>
      <c r="AQ287" s="530"/>
      <c r="AR287" s="530"/>
      <c r="AS287" s="530"/>
      <c r="AT287" s="530"/>
      <c r="AU287" s="530"/>
      <c r="AV287" s="530"/>
      <c r="AW287" s="530"/>
      <c r="AX287" s="530"/>
      <c r="AY287" s="530"/>
      <c r="AZ287" s="530"/>
      <c r="BA287" s="530"/>
      <c r="BB287" s="530"/>
      <c r="BC287" s="530"/>
      <c r="BD287" s="530"/>
      <c r="BE287" s="530"/>
      <c r="BF287" s="530"/>
      <c r="BG287" s="530"/>
      <c r="BH287" s="530"/>
      <c r="BI287" s="530"/>
      <c r="BJ287" s="530"/>
      <c r="BK287" s="530"/>
      <c r="BL287" s="530"/>
      <c r="BM287" s="530"/>
      <c r="BN287" s="530"/>
      <c r="BO287" s="530"/>
      <c r="BP287" s="530"/>
      <c r="BQ287" s="530"/>
      <c r="BR287" s="530"/>
      <c r="BS287" s="530"/>
      <c r="BT287" s="530"/>
      <c r="BU287" s="530"/>
      <c r="BV287" s="530"/>
      <c r="BW287" s="530"/>
      <c r="BX287" s="530"/>
      <c r="BY287" s="530"/>
      <c r="BZ287" s="530"/>
      <c r="CA287" s="530"/>
      <c r="CB287" s="530"/>
      <c r="CC287" s="530"/>
      <c r="CD287" s="530"/>
      <c r="CE287" s="530"/>
      <c r="CF287" s="530"/>
      <c r="CG287" s="530"/>
      <c r="CH287" s="530"/>
      <c r="CI287" s="530"/>
      <c r="CJ287" s="530"/>
      <c r="CK287" s="530"/>
      <c r="CL287" s="530"/>
      <c r="CM287" s="530"/>
      <c r="CN287" s="530"/>
      <c r="CO287" s="530"/>
      <c r="CP287" s="530"/>
      <c r="CQ287" s="530"/>
      <c r="CR287" s="530"/>
      <c r="CS287" s="530"/>
      <c r="CT287" s="530"/>
      <c r="CU287" s="530"/>
      <c r="CV287" s="530"/>
      <c r="CW287" s="530"/>
      <c r="CX287" s="530"/>
      <c r="CY287" s="530"/>
      <c r="CZ287" s="530"/>
      <c r="DA287" s="530"/>
      <c r="DB287" s="530"/>
      <c r="DC287" s="530"/>
      <c r="DD287" s="530"/>
      <c r="DE287" s="530"/>
      <c r="DF287" s="530"/>
      <c r="DG287" s="530"/>
      <c r="DH287" s="530"/>
      <c r="DI287" s="530"/>
      <c r="DJ287" s="530"/>
      <c r="DK287" s="530"/>
      <c r="DL287" s="530"/>
      <c r="DM287" s="530"/>
      <c r="DN287" s="530"/>
      <c r="DO287" s="530"/>
      <c r="DP287" s="530"/>
      <c r="DQ287" s="530"/>
      <c r="DR287" s="530"/>
      <c r="DS287" s="530"/>
      <c r="DT287" s="530"/>
      <c r="DU287" s="530"/>
      <c r="DV287" s="530"/>
      <c r="DW287" s="530"/>
      <c r="DX287" s="530"/>
      <c r="DY287" s="530"/>
      <c r="DZ287" s="530"/>
      <c r="EA287" s="530"/>
      <c r="EB287" s="530"/>
      <c r="EC287" s="530"/>
      <c r="ED287" s="530"/>
      <c r="EE287" s="530"/>
      <c r="EF287" s="530"/>
      <c r="EG287" s="530"/>
      <c r="EH287" s="530"/>
      <c r="EI287" s="530"/>
      <c r="EJ287" s="530"/>
      <c r="EK287" s="530"/>
      <c r="EL287" s="530"/>
      <c r="EM287" s="530"/>
      <c r="EN287" s="530"/>
      <c r="EO287" s="530"/>
      <c r="EP287" s="530"/>
      <c r="EQ287" s="530"/>
      <c r="ER287" s="530"/>
      <c r="ES287" s="530"/>
      <c r="ET287" s="530"/>
      <c r="EU287" s="530"/>
      <c r="EV287" s="530"/>
      <c r="EW287" s="530"/>
      <c r="EX287" s="530"/>
      <c r="EY287" s="530"/>
      <c r="EZ287" s="530"/>
      <c r="FA287" s="530"/>
      <c r="FB287" s="530"/>
      <c r="FC287" s="530"/>
      <c r="FD287" s="530"/>
      <c r="FE287" s="530"/>
      <c r="FF287" s="530"/>
      <c r="FG287" s="530"/>
      <c r="FH287" s="530"/>
      <c r="FI287" s="530"/>
      <c r="FJ287" s="530"/>
      <c r="FK287" s="530"/>
      <c r="FL287" s="530"/>
      <c r="FM287" s="530"/>
      <c r="FN287" s="530"/>
      <c r="FO287" s="530"/>
    </row>
    <row r="288" spans="1:171" s="1" customFormat="1" ht="14.25" thickBot="1">
      <c r="A288" s="520" t="s">
        <v>18</v>
      </c>
      <c r="B288" s="521">
        <v>35573900</v>
      </c>
      <c r="C288" s="522">
        <v>35750400</v>
      </c>
      <c r="D288" s="522">
        <v>35906200</v>
      </c>
      <c r="E288" s="522">
        <v>36137700</v>
      </c>
      <c r="F288" s="522">
        <v>36294100</v>
      </c>
      <c r="G288" s="522">
        <v>36309600</v>
      </c>
      <c r="H288" s="522">
        <v>36185700</v>
      </c>
      <c r="I288" s="522">
        <v>36022900</v>
      </c>
      <c r="J288" s="522">
        <v>35794500</v>
      </c>
      <c r="K288" s="522">
        <v>35397900</v>
      </c>
      <c r="L288" s="522">
        <v>35080900</v>
      </c>
      <c r="M288" s="523">
        <v>34292300</v>
      </c>
      <c r="N288" s="530"/>
      <c r="O288" s="530"/>
      <c r="P288" s="530"/>
      <c r="Q288" s="530"/>
      <c r="R288" s="530"/>
      <c r="S288" s="530"/>
      <c r="T288" s="530"/>
      <c r="U288" s="530"/>
      <c r="V288" s="530"/>
      <c r="W288" s="530"/>
      <c r="X288" s="530"/>
      <c r="Y288" s="530"/>
      <c r="Z288" s="530"/>
      <c r="AA288" s="530"/>
      <c r="AB288" s="530"/>
      <c r="AC288" s="530"/>
      <c r="AD288" s="530"/>
      <c r="AE288" s="530"/>
      <c r="AF288" s="530"/>
      <c r="AG288" s="530"/>
      <c r="AH288" s="530"/>
      <c r="AI288" s="530"/>
      <c r="AJ288" s="530"/>
      <c r="AK288" s="530"/>
      <c r="AL288" s="530"/>
      <c r="AM288" s="530"/>
      <c r="AN288" s="530"/>
      <c r="AO288" s="530"/>
      <c r="AP288" s="530"/>
      <c r="AQ288" s="530"/>
      <c r="AR288" s="530"/>
      <c r="AS288" s="530"/>
      <c r="AT288" s="530"/>
      <c r="AU288" s="530"/>
      <c r="AV288" s="530"/>
      <c r="AW288" s="530"/>
      <c r="AX288" s="530"/>
      <c r="AY288" s="530"/>
      <c r="AZ288" s="530"/>
      <c r="BA288" s="530"/>
      <c r="BB288" s="530"/>
      <c r="BC288" s="530"/>
      <c r="BD288" s="530"/>
      <c r="BE288" s="530"/>
      <c r="BF288" s="530"/>
      <c r="BG288" s="530"/>
      <c r="BH288" s="530"/>
      <c r="BI288" s="530"/>
      <c r="BJ288" s="530"/>
      <c r="BK288" s="530"/>
      <c r="BL288" s="530"/>
      <c r="BM288" s="530"/>
      <c r="BN288" s="530"/>
      <c r="BO288" s="530"/>
      <c r="BP288" s="530"/>
      <c r="BQ288" s="530"/>
      <c r="BR288" s="530"/>
      <c r="BS288" s="530"/>
      <c r="BT288" s="530"/>
      <c r="BU288" s="530"/>
      <c r="BV288" s="530"/>
      <c r="BW288" s="530"/>
      <c r="BX288" s="530"/>
      <c r="BY288" s="530"/>
      <c r="BZ288" s="530"/>
      <c r="CA288" s="530"/>
      <c r="CB288" s="530"/>
      <c r="CC288" s="530"/>
      <c r="CD288" s="530"/>
      <c r="CE288" s="530"/>
      <c r="CF288" s="530"/>
      <c r="CG288" s="530"/>
      <c r="CH288" s="530"/>
      <c r="CI288" s="530"/>
      <c r="CJ288" s="530"/>
      <c r="CK288" s="530"/>
      <c r="CL288" s="530"/>
      <c r="CM288" s="530"/>
      <c r="CN288" s="530"/>
      <c r="CO288" s="530"/>
      <c r="CP288" s="530"/>
      <c r="CQ288" s="530"/>
      <c r="CR288" s="530"/>
      <c r="CS288" s="530"/>
      <c r="CT288" s="530"/>
      <c r="CU288" s="530"/>
      <c r="CV288" s="530"/>
      <c r="CW288" s="530"/>
      <c r="CX288" s="530"/>
      <c r="CY288" s="530"/>
      <c r="CZ288" s="530"/>
      <c r="DA288" s="530"/>
      <c r="DB288" s="530"/>
      <c r="DC288" s="530"/>
      <c r="DD288" s="530"/>
      <c r="DE288" s="530"/>
      <c r="DF288" s="530"/>
      <c r="DG288" s="530"/>
      <c r="DH288" s="530"/>
      <c r="DI288" s="530"/>
      <c r="DJ288" s="530"/>
      <c r="DK288" s="530"/>
      <c r="DL288" s="530"/>
      <c r="DM288" s="530"/>
      <c r="DN288" s="530"/>
      <c r="DO288" s="530"/>
      <c r="DP288" s="530"/>
      <c r="DQ288" s="530"/>
      <c r="DR288" s="530"/>
      <c r="DS288" s="530"/>
      <c r="DT288" s="530"/>
      <c r="DU288" s="530"/>
      <c r="DV288" s="530"/>
      <c r="DW288" s="530"/>
      <c r="DX288" s="530"/>
      <c r="DY288" s="530"/>
      <c r="DZ288" s="530"/>
      <c r="EA288" s="530"/>
      <c r="EB288" s="530"/>
      <c r="EC288" s="530"/>
      <c r="ED288" s="530"/>
      <c r="EE288" s="530"/>
      <c r="EF288" s="530"/>
      <c r="EG288" s="530"/>
      <c r="EH288" s="530"/>
      <c r="EI288" s="530"/>
      <c r="EJ288" s="530"/>
      <c r="EK288" s="530"/>
      <c r="EL288" s="530"/>
      <c r="EM288" s="530"/>
      <c r="EN288" s="530"/>
      <c r="EO288" s="530"/>
      <c r="EP288" s="530"/>
      <c r="EQ288" s="530"/>
      <c r="ER288" s="530"/>
      <c r="ES288" s="530"/>
      <c r="ET288" s="530"/>
      <c r="EU288" s="530"/>
      <c r="EV288" s="530"/>
      <c r="EW288" s="530"/>
      <c r="EX288" s="530"/>
      <c r="EY288" s="530"/>
      <c r="EZ288" s="530"/>
      <c r="FA288" s="530"/>
      <c r="FB288" s="530"/>
      <c r="FC288" s="530"/>
      <c r="FD288" s="530"/>
      <c r="FE288" s="530"/>
      <c r="FF288" s="530"/>
      <c r="FG288" s="530"/>
      <c r="FH288" s="530"/>
      <c r="FI288" s="530"/>
      <c r="FJ288" s="530"/>
      <c r="FK288" s="530"/>
      <c r="FL288" s="530"/>
      <c r="FM288" s="530"/>
      <c r="FN288" s="530"/>
      <c r="FO288" s="530"/>
    </row>
    <row r="289" spans="1:171" s="1" customFormat="1" ht="14.25" thickBot="1">
      <c r="A289" s="6"/>
      <c r="B289" s="530"/>
      <c r="C289" s="530"/>
      <c r="D289" s="530"/>
      <c r="E289" s="530"/>
      <c r="F289" s="530"/>
      <c r="G289" s="530"/>
      <c r="H289" s="530"/>
      <c r="I289" s="530"/>
      <c r="J289" s="530"/>
      <c r="K289" s="530"/>
      <c r="L289" s="530"/>
      <c r="M289" s="530"/>
      <c r="N289" s="530"/>
      <c r="O289" s="530"/>
      <c r="P289" s="530"/>
      <c r="Q289" s="530"/>
      <c r="R289" s="530"/>
      <c r="S289" s="530"/>
      <c r="T289" s="530"/>
      <c r="U289" s="530"/>
      <c r="V289" s="530"/>
      <c r="W289" s="530"/>
      <c r="X289" s="530"/>
      <c r="Y289" s="530"/>
      <c r="Z289" s="530"/>
      <c r="AA289" s="530"/>
      <c r="AB289" s="530"/>
      <c r="AC289" s="530"/>
      <c r="AD289" s="530"/>
      <c r="AE289" s="530"/>
      <c r="AF289" s="530"/>
      <c r="AG289" s="530"/>
      <c r="AH289" s="530"/>
      <c r="AI289" s="530"/>
      <c r="AJ289" s="530"/>
      <c r="AK289" s="530"/>
      <c r="AL289" s="530"/>
      <c r="AM289" s="530"/>
      <c r="AN289" s="530"/>
      <c r="AO289" s="530"/>
      <c r="AP289" s="530"/>
      <c r="AQ289" s="530"/>
      <c r="AR289" s="530"/>
      <c r="AS289" s="530"/>
      <c r="AT289" s="530"/>
      <c r="AU289" s="530"/>
      <c r="AV289" s="530"/>
      <c r="AW289" s="530"/>
      <c r="AX289" s="530"/>
      <c r="AY289" s="530"/>
      <c r="AZ289" s="530"/>
      <c r="BA289" s="530"/>
      <c r="BB289" s="530"/>
      <c r="BC289" s="530"/>
      <c r="BD289" s="530"/>
      <c r="BE289" s="530"/>
      <c r="BF289" s="530"/>
      <c r="BG289" s="530"/>
      <c r="BH289" s="530"/>
      <c r="BI289" s="530"/>
      <c r="BJ289" s="530"/>
      <c r="BK289" s="530"/>
      <c r="BL289" s="530"/>
      <c r="BM289" s="530"/>
      <c r="BN289" s="530"/>
      <c r="BO289" s="530"/>
      <c r="BP289" s="530"/>
      <c r="BQ289" s="530"/>
      <c r="BR289" s="530"/>
      <c r="BS289" s="530"/>
      <c r="BT289" s="530"/>
      <c r="BU289" s="530"/>
      <c r="BV289" s="530"/>
      <c r="BW289" s="530"/>
      <c r="BX289" s="530"/>
      <c r="BY289" s="530"/>
      <c r="BZ289" s="530"/>
      <c r="CA289" s="530"/>
      <c r="CB289" s="530"/>
      <c r="CC289" s="530"/>
      <c r="CD289" s="530"/>
      <c r="CE289" s="530"/>
      <c r="CF289" s="530"/>
      <c r="CG289" s="530"/>
      <c r="CH289" s="530"/>
      <c r="CI289" s="530"/>
      <c r="CJ289" s="530"/>
      <c r="CK289" s="530"/>
      <c r="CL289" s="530"/>
      <c r="CM289" s="530"/>
      <c r="CN289" s="530"/>
      <c r="CO289" s="530"/>
      <c r="CP289" s="530"/>
      <c r="CQ289" s="530"/>
      <c r="CR289" s="530"/>
      <c r="CS289" s="530"/>
      <c r="CT289" s="530"/>
      <c r="CU289" s="530"/>
      <c r="CV289" s="530"/>
      <c r="CW289" s="530"/>
      <c r="CX289" s="530"/>
      <c r="CY289" s="530"/>
      <c r="CZ289" s="530"/>
      <c r="DA289" s="530"/>
      <c r="DB289" s="530"/>
      <c r="DC289" s="530"/>
      <c r="DD289" s="530"/>
      <c r="DE289" s="530"/>
      <c r="DF289" s="530"/>
      <c r="DG289" s="530"/>
      <c r="DH289" s="530"/>
      <c r="DI289" s="530"/>
      <c r="DJ289" s="530"/>
      <c r="DK289" s="530"/>
      <c r="DL289" s="530"/>
      <c r="DM289" s="530"/>
      <c r="DN289" s="530"/>
      <c r="DO289" s="530"/>
      <c r="DP289" s="530"/>
      <c r="DQ289" s="530"/>
      <c r="DR289" s="530"/>
      <c r="DS289" s="530"/>
      <c r="DT289" s="530"/>
      <c r="DU289" s="530"/>
      <c r="DV289" s="530"/>
      <c r="DW289" s="530"/>
      <c r="DX289" s="530"/>
      <c r="DY289" s="530"/>
      <c r="DZ289" s="530"/>
      <c r="EA289" s="530"/>
      <c r="EB289" s="530"/>
      <c r="EC289" s="530"/>
      <c r="ED289" s="530"/>
      <c r="EE289" s="530"/>
      <c r="EF289" s="530"/>
      <c r="EG289" s="530"/>
      <c r="EH289" s="530"/>
      <c r="EI289" s="530"/>
      <c r="EJ289" s="530"/>
      <c r="EK289" s="530"/>
      <c r="EL289" s="530"/>
      <c r="EM289" s="530"/>
      <c r="EN289" s="530"/>
      <c r="EO289" s="530"/>
      <c r="EP289" s="530"/>
      <c r="EQ289" s="530"/>
      <c r="ER289" s="530"/>
      <c r="ES289" s="530"/>
      <c r="ET289" s="530"/>
      <c r="EU289" s="530"/>
      <c r="EV289" s="530"/>
      <c r="EW289" s="530"/>
      <c r="EX289" s="530"/>
      <c r="EY289" s="530"/>
      <c r="EZ289" s="530"/>
      <c r="FA289" s="530"/>
      <c r="FB289" s="530"/>
      <c r="FC289" s="530"/>
      <c r="FD289" s="530"/>
      <c r="FE289" s="530"/>
      <c r="FF289" s="530"/>
      <c r="FG289" s="530"/>
      <c r="FH289" s="530"/>
      <c r="FI289" s="530"/>
      <c r="FJ289" s="530"/>
      <c r="FK289" s="530"/>
      <c r="FL289" s="530"/>
      <c r="FM289" s="530"/>
      <c r="FN289" s="530"/>
      <c r="FO289" s="530"/>
    </row>
    <row r="290" spans="1:171" s="1" customFormat="1" ht="14.25" thickBot="1">
      <c r="A290" s="6"/>
      <c r="B290" s="526">
        <v>41640</v>
      </c>
      <c r="C290" s="527">
        <v>41671</v>
      </c>
      <c r="D290" s="527">
        <v>41699</v>
      </c>
      <c r="E290" s="527">
        <v>41730</v>
      </c>
      <c r="F290" s="527">
        <v>41760</v>
      </c>
      <c r="G290" s="527">
        <v>41791</v>
      </c>
      <c r="H290" s="527">
        <v>41821</v>
      </c>
      <c r="I290" s="527">
        <v>41852</v>
      </c>
      <c r="J290" s="527">
        <v>41883</v>
      </c>
      <c r="K290" s="527">
        <v>41913</v>
      </c>
      <c r="L290" s="527">
        <v>41944</v>
      </c>
      <c r="M290" s="516">
        <v>41974</v>
      </c>
      <c r="U290" s="530"/>
      <c r="V290" s="530"/>
      <c r="W290" s="530"/>
      <c r="X290" s="530"/>
      <c r="Y290" s="530"/>
      <c r="Z290" s="530"/>
      <c r="AA290" s="530"/>
      <c r="AB290" s="530"/>
      <c r="AC290" s="530"/>
      <c r="AD290" s="530"/>
      <c r="AE290" s="530"/>
      <c r="AF290" s="530"/>
      <c r="AG290" s="530"/>
      <c r="AH290" s="530"/>
      <c r="AI290" s="530"/>
      <c r="AJ290" s="530"/>
      <c r="AK290" s="530"/>
      <c r="AL290" s="530"/>
      <c r="AM290" s="530"/>
      <c r="AN290" s="530"/>
      <c r="AO290" s="530"/>
      <c r="AP290" s="530"/>
      <c r="AQ290" s="530"/>
      <c r="AR290" s="530"/>
      <c r="AS290" s="530"/>
      <c r="AT290" s="530"/>
      <c r="AU290" s="530"/>
      <c r="AV290" s="530"/>
      <c r="AW290" s="530"/>
      <c r="AX290" s="530"/>
      <c r="AY290" s="530"/>
      <c r="AZ290" s="530"/>
      <c r="BA290" s="530"/>
      <c r="BB290" s="530"/>
      <c r="BC290" s="530"/>
      <c r="BD290" s="530"/>
      <c r="BE290" s="530"/>
      <c r="BF290" s="530"/>
      <c r="BG290" s="530"/>
      <c r="BH290" s="530"/>
      <c r="BI290" s="530"/>
      <c r="BJ290" s="530"/>
      <c r="BK290" s="530"/>
      <c r="BL290" s="530"/>
      <c r="BM290" s="530"/>
      <c r="BN290" s="530"/>
      <c r="BO290" s="530"/>
      <c r="BP290" s="530"/>
      <c r="BQ290" s="530"/>
      <c r="BR290" s="530"/>
      <c r="BS290" s="530"/>
      <c r="BT290" s="530"/>
      <c r="BU290" s="530"/>
      <c r="BV290" s="530"/>
      <c r="BW290" s="530"/>
      <c r="BX290" s="530"/>
      <c r="BY290" s="530"/>
      <c r="BZ290" s="530"/>
      <c r="CA290" s="530"/>
      <c r="CB290" s="530"/>
      <c r="CC290" s="530"/>
      <c r="CD290" s="530"/>
      <c r="CE290" s="530"/>
      <c r="CF290" s="530"/>
      <c r="CG290" s="530"/>
      <c r="CH290" s="530"/>
      <c r="CI290" s="530"/>
      <c r="CJ290" s="530"/>
      <c r="CK290" s="530"/>
      <c r="CL290" s="530"/>
      <c r="CM290" s="530"/>
      <c r="CN290" s="530"/>
      <c r="CO290" s="530"/>
      <c r="CP290" s="530"/>
      <c r="CQ290" s="530"/>
      <c r="CR290" s="530"/>
      <c r="CS290" s="530"/>
      <c r="CT290" s="530"/>
      <c r="CU290" s="530"/>
      <c r="CV290" s="530"/>
      <c r="CW290" s="530"/>
      <c r="CX290" s="530"/>
      <c r="CY290" s="530"/>
      <c r="CZ290" s="530"/>
      <c r="DA290" s="530"/>
      <c r="DB290" s="530"/>
      <c r="DC290" s="530"/>
      <c r="DD290" s="530"/>
      <c r="DE290" s="530"/>
      <c r="DF290" s="530"/>
      <c r="DG290" s="530"/>
      <c r="DH290" s="530"/>
      <c r="DI290" s="530"/>
      <c r="DJ290" s="530"/>
      <c r="DK290" s="530"/>
      <c r="DL290" s="530"/>
      <c r="DM290" s="530"/>
      <c r="DN290" s="530"/>
      <c r="DO290" s="530"/>
      <c r="DP290" s="530"/>
      <c r="DQ290" s="530"/>
      <c r="DR290" s="530"/>
      <c r="DS290" s="530"/>
      <c r="DT290" s="530"/>
      <c r="DU290" s="530"/>
      <c r="DV290" s="530"/>
      <c r="DW290" s="530"/>
      <c r="DX290" s="530"/>
      <c r="DY290" s="530"/>
      <c r="DZ290" s="530"/>
      <c r="EA290" s="530"/>
      <c r="EB290" s="530"/>
      <c r="EC290" s="530"/>
      <c r="ED290" s="530"/>
      <c r="EE290" s="530"/>
      <c r="EF290" s="530"/>
      <c r="EG290" s="530"/>
      <c r="EH290" s="530"/>
      <c r="EI290" s="530"/>
      <c r="EJ290" s="530"/>
      <c r="EK290" s="530"/>
      <c r="EL290" s="530"/>
      <c r="EM290" s="530"/>
      <c r="EN290" s="530"/>
      <c r="EO290" s="530"/>
      <c r="EP290" s="530"/>
      <c r="EQ290" s="530"/>
      <c r="ER290" s="530"/>
      <c r="ES290" s="530"/>
      <c r="ET290" s="530"/>
      <c r="EU290" s="530"/>
      <c r="EV290" s="530"/>
      <c r="EW290" s="530"/>
      <c r="EX290" s="530"/>
      <c r="EY290" s="530"/>
      <c r="EZ290" s="530"/>
      <c r="FA290" s="530"/>
      <c r="FB290" s="530"/>
      <c r="FC290" s="530"/>
      <c r="FD290" s="530"/>
      <c r="FE290" s="530"/>
      <c r="FF290" s="530"/>
      <c r="FG290" s="530"/>
      <c r="FH290" s="530"/>
      <c r="FI290" s="530"/>
      <c r="FJ290" s="530"/>
      <c r="FK290" s="530"/>
      <c r="FL290" s="530"/>
      <c r="FM290" s="530"/>
      <c r="FN290" s="530"/>
      <c r="FO290" s="530"/>
    </row>
    <row r="291" spans="1:171" s="1" customFormat="1" ht="13.5">
      <c r="A291" s="484" t="s">
        <v>216</v>
      </c>
      <c r="B291" s="517">
        <f t="shared" ref="B291:M291" si="24">B292+B293</f>
        <v>20011100</v>
      </c>
      <c r="C291" s="271">
        <f t="shared" si="24"/>
        <v>19495600</v>
      </c>
      <c r="D291" s="271">
        <f t="shared" si="24"/>
        <v>18845500</v>
      </c>
      <c r="E291" s="271">
        <f t="shared" si="24"/>
        <v>18246500</v>
      </c>
      <c r="F291" s="271">
        <f t="shared" si="24"/>
        <v>17793300</v>
      </c>
      <c r="G291" s="271">
        <f t="shared" si="24"/>
        <v>17413900</v>
      </c>
      <c r="H291" s="271">
        <f t="shared" si="24"/>
        <v>17093600</v>
      </c>
      <c r="I291" s="271">
        <f t="shared" si="24"/>
        <v>16959300</v>
      </c>
      <c r="J291" s="271">
        <f t="shared" si="24"/>
        <v>16725200</v>
      </c>
      <c r="K291" s="271">
        <f t="shared" si="24"/>
        <v>16575700</v>
      </c>
      <c r="L291" s="271">
        <f t="shared" si="24"/>
        <v>16445300</v>
      </c>
      <c r="M291" s="518">
        <f t="shared" si="24"/>
        <v>16318500</v>
      </c>
      <c r="U291" s="530"/>
      <c r="V291" s="530"/>
      <c r="W291" s="530"/>
      <c r="X291" s="530"/>
      <c r="Y291" s="530"/>
      <c r="Z291" s="530"/>
      <c r="AA291" s="530"/>
      <c r="AB291" s="530"/>
      <c r="AC291" s="530"/>
      <c r="AD291" s="530"/>
      <c r="AE291" s="530"/>
      <c r="AF291" s="530"/>
      <c r="AG291" s="530"/>
      <c r="AH291" s="530"/>
      <c r="AI291" s="530"/>
      <c r="AJ291" s="530"/>
      <c r="AK291" s="530"/>
      <c r="AL291" s="530"/>
      <c r="AM291" s="530"/>
      <c r="AN291" s="530"/>
      <c r="AO291" s="530"/>
      <c r="AP291" s="530"/>
      <c r="AQ291" s="530"/>
      <c r="AR291" s="530"/>
      <c r="AS291" s="530"/>
      <c r="AT291" s="530"/>
      <c r="AU291" s="530"/>
      <c r="AV291" s="530"/>
      <c r="AW291" s="530"/>
      <c r="AX291" s="530"/>
      <c r="AY291" s="530"/>
      <c r="AZ291" s="530"/>
      <c r="BA291" s="530"/>
      <c r="BB291" s="530"/>
      <c r="BC291" s="530"/>
      <c r="BD291" s="530"/>
      <c r="BE291" s="530"/>
      <c r="BF291" s="530"/>
      <c r="BG291" s="530"/>
      <c r="BH291" s="530"/>
      <c r="BI291" s="530"/>
      <c r="BJ291" s="530"/>
      <c r="BK291" s="530"/>
      <c r="BL291" s="530"/>
      <c r="BM291" s="530"/>
      <c r="BN291" s="530"/>
      <c r="BO291" s="530"/>
      <c r="BP291" s="530"/>
      <c r="BQ291" s="530"/>
      <c r="BR291" s="530"/>
      <c r="BS291" s="530"/>
      <c r="BT291" s="530"/>
      <c r="BU291" s="530"/>
      <c r="BV291" s="530"/>
      <c r="BW291" s="530"/>
      <c r="BX291" s="530"/>
      <c r="BY291" s="530"/>
      <c r="BZ291" s="530"/>
      <c r="CA291" s="530"/>
      <c r="CB291" s="530"/>
      <c r="CC291" s="530"/>
      <c r="CD291" s="530"/>
      <c r="CE291" s="530"/>
      <c r="CF291" s="530"/>
      <c r="CG291" s="530"/>
      <c r="CH291" s="530"/>
      <c r="CI291" s="530"/>
      <c r="CJ291" s="530"/>
      <c r="CK291" s="530"/>
      <c r="CL291" s="530"/>
      <c r="CM291" s="530"/>
      <c r="CN291" s="530"/>
      <c r="CO291" s="530"/>
      <c r="CP291" s="530"/>
      <c r="CQ291" s="530"/>
      <c r="CR291" s="530"/>
      <c r="CS291" s="530"/>
      <c r="CT291" s="530"/>
      <c r="CU291" s="530"/>
      <c r="CV291" s="530"/>
      <c r="CW291" s="530"/>
      <c r="CX291" s="530"/>
      <c r="CY291" s="530"/>
      <c r="CZ291" s="530"/>
      <c r="DA291" s="530"/>
      <c r="DB291" s="530"/>
      <c r="DC291" s="530"/>
      <c r="DD291" s="530"/>
      <c r="DE291" s="530"/>
      <c r="DF291" s="530"/>
      <c r="DG291" s="530"/>
      <c r="DH291" s="530"/>
      <c r="DI291" s="530"/>
      <c r="DJ291" s="530"/>
      <c r="DK291" s="530"/>
      <c r="DL291" s="530"/>
      <c r="DM291" s="530"/>
      <c r="DN291" s="530"/>
      <c r="DO291" s="530"/>
      <c r="DP291" s="530"/>
      <c r="DQ291" s="530"/>
      <c r="DR291" s="530"/>
      <c r="DS291" s="530"/>
      <c r="DT291" s="530"/>
      <c r="DU291" s="530"/>
      <c r="DV291" s="530"/>
      <c r="DW291" s="530"/>
      <c r="DX291" s="530"/>
      <c r="DY291" s="530"/>
      <c r="DZ291" s="530"/>
      <c r="EA291" s="530"/>
      <c r="EB291" s="530"/>
      <c r="EC291" s="530"/>
      <c r="ED291" s="530"/>
      <c r="EE291" s="530"/>
      <c r="EF291" s="530"/>
      <c r="EG291" s="530"/>
      <c r="EH291" s="530"/>
      <c r="EI291" s="530"/>
      <c r="EJ291" s="530"/>
      <c r="EK291" s="530"/>
      <c r="EL291" s="530"/>
      <c r="EM291" s="530"/>
      <c r="EN291" s="530"/>
      <c r="EO291" s="530"/>
      <c r="EP291" s="530"/>
      <c r="EQ291" s="530"/>
      <c r="ER291" s="530"/>
      <c r="ES291" s="530"/>
      <c r="ET291" s="530"/>
      <c r="EU291" s="530"/>
      <c r="EV291" s="530"/>
      <c r="EW291" s="530"/>
      <c r="EX291" s="530"/>
      <c r="EY291" s="530"/>
      <c r="EZ291" s="530"/>
      <c r="FA291" s="530"/>
      <c r="FB291" s="530"/>
      <c r="FC291" s="530"/>
      <c r="FD291" s="530"/>
      <c r="FE291" s="530"/>
      <c r="FF291" s="530"/>
      <c r="FG291" s="530"/>
      <c r="FH291" s="530"/>
      <c r="FI291" s="530"/>
      <c r="FJ291" s="530"/>
      <c r="FK291" s="530"/>
      <c r="FL291" s="530"/>
      <c r="FM291" s="530"/>
      <c r="FN291" s="530"/>
      <c r="FO291" s="530"/>
    </row>
    <row r="292" spans="1:171" s="1" customFormat="1" ht="13.5">
      <c r="A292" s="519" t="s">
        <v>217</v>
      </c>
      <c r="B292" s="453">
        <v>15522000</v>
      </c>
      <c r="C292" s="256">
        <v>15086200</v>
      </c>
      <c r="D292" s="256">
        <v>14521600</v>
      </c>
      <c r="E292" s="256">
        <v>14017900</v>
      </c>
      <c r="F292" s="256">
        <v>13674600</v>
      </c>
      <c r="G292" s="256">
        <v>13392000</v>
      </c>
      <c r="H292" s="256">
        <v>13165800</v>
      </c>
      <c r="I292" s="256">
        <v>13079900</v>
      </c>
      <c r="J292" s="256">
        <v>12960900</v>
      </c>
      <c r="K292" s="256">
        <v>12876200</v>
      </c>
      <c r="L292" s="256">
        <v>12808500</v>
      </c>
      <c r="M292" s="454">
        <v>12762200</v>
      </c>
      <c r="U292" s="530"/>
      <c r="V292" s="530"/>
      <c r="W292" s="530"/>
      <c r="X292" s="530"/>
      <c r="Y292" s="530"/>
      <c r="Z292" s="530"/>
      <c r="AA292" s="530"/>
      <c r="AB292" s="530"/>
      <c r="AC292" s="530"/>
      <c r="AD292" s="530"/>
      <c r="AE292" s="530"/>
      <c r="AF292" s="530"/>
      <c r="AG292" s="530"/>
      <c r="AH292" s="530"/>
      <c r="AI292" s="530"/>
      <c r="AJ292" s="530"/>
      <c r="AK292" s="530"/>
      <c r="AL292" s="530"/>
      <c r="AM292" s="530"/>
      <c r="AN292" s="530"/>
      <c r="AO292" s="530"/>
      <c r="AP292" s="530"/>
      <c r="AQ292" s="530"/>
      <c r="AR292" s="530"/>
      <c r="AS292" s="530"/>
      <c r="AT292" s="530"/>
      <c r="AU292" s="530"/>
      <c r="AV292" s="530"/>
      <c r="AW292" s="530"/>
      <c r="AX292" s="530"/>
      <c r="AY292" s="530"/>
      <c r="AZ292" s="530"/>
      <c r="BA292" s="530"/>
      <c r="BB292" s="530"/>
      <c r="BC292" s="530"/>
      <c r="BD292" s="530"/>
      <c r="BE292" s="530"/>
      <c r="BF292" s="530"/>
      <c r="BG292" s="530"/>
      <c r="BH292" s="530"/>
      <c r="BI292" s="530"/>
      <c r="BJ292" s="530"/>
      <c r="BK292" s="530"/>
      <c r="BL292" s="530"/>
      <c r="BM292" s="530"/>
      <c r="BN292" s="530"/>
      <c r="BO292" s="530"/>
      <c r="BP292" s="530"/>
      <c r="BQ292" s="530"/>
      <c r="BR292" s="530"/>
      <c r="BS292" s="530"/>
      <c r="BT292" s="530"/>
      <c r="BU292" s="530"/>
      <c r="BV292" s="530"/>
      <c r="BW292" s="530"/>
      <c r="BX292" s="530"/>
      <c r="BY292" s="530"/>
      <c r="BZ292" s="530"/>
      <c r="CA292" s="530"/>
      <c r="CB292" s="530"/>
      <c r="CC292" s="530"/>
      <c r="CD292" s="530"/>
      <c r="CE292" s="530"/>
      <c r="CF292" s="530"/>
      <c r="CG292" s="530"/>
      <c r="CH292" s="530"/>
      <c r="CI292" s="530"/>
      <c r="CJ292" s="530"/>
      <c r="CK292" s="530"/>
      <c r="CL292" s="530"/>
      <c r="CM292" s="530"/>
      <c r="CN292" s="530"/>
      <c r="CO292" s="530"/>
      <c r="CP292" s="530"/>
      <c r="CQ292" s="530"/>
      <c r="CR292" s="530"/>
      <c r="CS292" s="530"/>
      <c r="CT292" s="530"/>
      <c r="CU292" s="530"/>
      <c r="CV292" s="530"/>
      <c r="CW292" s="530"/>
      <c r="CX292" s="530"/>
      <c r="CY292" s="530"/>
      <c r="CZ292" s="530"/>
      <c r="DA292" s="530"/>
      <c r="DB292" s="530"/>
      <c r="DC292" s="530"/>
      <c r="DD292" s="530"/>
      <c r="DE292" s="530"/>
      <c r="DF292" s="530"/>
      <c r="DG292" s="530"/>
      <c r="DH292" s="530"/>
      <c r="DI292" s="530"/>
      <c r="DJ292" s="530"/>
      <c r="DK292" s="530"/>
      <c r="DL292" s="530"/>
      <c r="DM292" s="530"/>
      <c r="DN292" s="530"/>
      <c r="DO292" s="530"/>
      <c r="DP292" s="530"/>
      <c r="DQ292" s="530"/>
      <c r="DR292" s="530"/>
      <c r="DS292" s="530"/>
      <c r="DT292" s="530"/>
      <c r="DU292" s="530"/>
      <c r="DV292" s="530"/>
      <c r="DW292" s="530"/>
      <c r="DX292" s="530"/>
      <c r="DY292" s="530"/>
      <c r="DZ292" s="530"/>
      <c r="EA292" s="530"/>
      <c r="EB292" s="530"/>
      <c r="EC292" s="530"/>
      <c r="ED292" s="530"/>
      <c r="EE292" s="530"/>
      <c r="EF292" s="530"/>
      <c r="EG292" s="530"/>
      <c r="EH292" s="530"/>
      <c r="EI292" s="530"/>
      <c r="EJ292" s="530"/>
      <c r="EK292" s="530"/>
      <c r="EL292" s="530"/>
      <c r="EM292" s="530"/>
      <c r="EN292" s="530"/>
      <c r="EO292" s="530"/>
      <c r="EP292" s="530"/>
      <c r="EQ292" s="530"/>
      <c r="ER292" s="530"/>
      <c r="ES292" s="530"/>
      <c r="ET292" s="530"/>
      <c r="EU292" s="530"/>
      <c r="EV292" s="530"/>
      <c r="EW292" s="530"/>
      <c r="EX292" s="530"/>
      <c r="EY292" s="530"/>
      <c r="EZ292" s="530"/>
      <c r="FA292" s="530"/>
      <c r="FB292" s="530"/>
      <c r="FC292" s="530"/>
      <c r="FD292" s="530"/>
      <c r="FE292" s="530"/>
      <c r="FF292" s="530"/>
      <c r="FG292" s="530"/>
      <c r="FH292" s="530"/>
      <c r="FI292" s="530"/>
      <c r="FJ292" s="530"/>
      <c r="FK292" s="530"/>
      <c r="FL292" s="530"/>
      <c r="FM292" s="530"/>
      <c r="FN292" s="530"/>
      <c r="FO292" s="530"/>
    </row>
    <row r="293" spans="1:171" s="1" customFormat="1" ht="13.5">
      <c r="A293" s="519" t="s">
        <v>218</v>
      </c>
      <c r="B293" s="453">
        <v>4489100</v>
      </c>
      <c r="C293" s="256">
        <v>4409400</v>
      </c>
      <c r="D293" s="256">
        <v>4323900</v>
      </c>
      <c r="E293" s="256">
        <v>4228600</v>
      </c>
      <c r="F293" s="256">
        <v>4118700</v>
      </c>
      <c r="G293" s="256">
        <v>4021900</v>
      </c>
      <c r="H293" s="256">
        <v>3927800</v>
      </c>
      <c r="I293" s="256">
        <v>3879400</v>
      </c>
      <c r="J293" s="256">
        <v>3764300</v>
      </c>
      <c r="K293" s="256">
        <v>3699500</v>
      </c>
      <c r="L293" s="256">
        <v>3636800</v>
      </c>
      <c r="M293" s="454">
        <v>3556300</v>
      </c>
      <c r="U293" s="530"/>
      <c r="V293" s="530"/>
      <c r="W293" s="530"/>
      <c r="X293" s="530"/>
      <c r="Y293" s="530"/>
      <c r="Z293" s="530"/>
      <c r="AA293" s="530"/>
      <c r="AB293" s="530"/>
      <c r="AC293" s="530"/>
      <c r="AD293" s="530"/>
      <c r="AE293" s="530"/>
      <c r="AF293" s="530"/>
      <c r="AG293" s="530"/>
      <c r="AH293" s="530"/>
      <c r="AI293" s="530"/>
      <c r="AJ293" s="530"/>
      <c r="AK293" s="530"/>
      <c r="AL293" s="530"/>
      <c r="AM293" s="530"/>
      <c r="AN293" s="530"/>
      <c r="AO293" s="530"/>
      <c r="AP293" s="530"/>
      <c r="AQ293" s="530"/>
      <c r="AR293" s="530"/>
      <c r="AS293" s="530"/>
      <c r="AT293" s="530"/>
      <c r="AU293" s="530"/>
      <c r="AV293" s="530"/>
      <c r="AW293" s="530"/>
      <c r="AX293" s="530"/>
      <c r="AY293" s="530"/>
      <c r="AZ293" s="530"/>
      <c r="BA293" s="530"/>
      <c r="BB293" s="530"/>
      <c r="BC293" s="530"/>
      <c r="BD293" s="530"/>
      <c r="BE293" s="530"/>
      <c r="BF293" s="530"/>
      <c r="BG293" s="530"/>
      <c r="BH293" s="530"/>
      <c r="BI293" s="530"/>
      <c r="BJ293" s="530"/>
      <c r="BK293" s="530"/>
      <c r="BL293" s="530"/>
      <c r="BM293" s="530"/>
      <c r="BN293" s="530"/>
      <c r="BO293" s="530"/>
      <c r="BP293" s="530"/>
      <c r="BQ293" s="530"/>
      <c r="BR293" s="530"/>
      <c r="BS293" s="530"/>
      <c r="BT293" s="530"/>
      <c r="BU293" s="530"/>
      <c r="BV293" s="530"/>
      <c r="BW293" s="530"/>
      <c r="BX293" s="530"/>
      <c r="BY293" s="530"/>
      <c r="BZ293" s="530"/>
      <c r="CA293" s="530"/>
      <c r="CB293" s="530"/>
      <c r="CC293" s="530"/>
      <c r="CD293" s="530"/>
      <c r="CE293" s="530"/>
      <c r="CF293" s="530"/>
      <c r="CG293" s="530"/>
      <c r="CH293" s="530"/>
      <c r="CI293" s="530"/>
      <c r="CJ293" s="530"/>
      <c r="CK293" s="530"/>
      <c r="CL293" s="530"/>
      <c r="CM293" s="530"/>
      <c r="CN293" s="530"/>
      <c r="CO293" s="530"/>
      <c r="CP293" s="530"/>
      <c r="CQ293" s="530"/>
      <c r="CR293" s="530"/>
      <c r="CS293" s="530"/>
      <c r="CT293" s="530"/>
      <c r="CU293" s="530"/>
      <c r="CV293" s="530"/>
      <c r="CW293" s="530"/>
      <c r="CX293" s="530"/>
      <c r="CY293" s="530"/>
      <c r="CZ293" s="530"/>
      <c r="DA293" s="530"/>
      <c r="DB293" s="530"/>
      <c r="DC293" s="530"/>
      <c r="DD293" s="530"/>
      <c r="DE293" s="530"/>
      <c r="DF293" s="530"/>
      <c r="DG293" s="530"/>
      <c r="DH293" s="530"/>
      <c r="DI293" s="530"/>
      <c r="DJ293" s="530"/>
      <c r="DK293" s="530"/>
      <c r="DL293" s="530"/>
      <c r="DM293" s="530"/>
      <c r="DN293" s="530"/>
      <c r="DO293" s="530"/>
      <c r="DP293" s="530"/>
      <c r="DQ293" s="530"/>
      <c r="DR293" s="530"/>
      <c r="DS293" s="530"/>
      <c r="DT293" s="530"/>
      <c r="DU293" s="530"/>
      <c r="DV293" s="530"/>
      <c r="DW293" s="530"/>
      <c r="DX293" s="530"/>
      <c r="DY293" s="530"/>
      <c r="DZ293" s="530"/>
      <c r="EA293" s="530"/>
      <c r="EB293" s="530"/>
      <c r="EC293" s="530"/>
      <c r="ED293" s="530"/>
      <c r="EE293" s="530"/>
      <c r="EF293" s="530"/>
      <c r="EG293" s="530"/>
      <c r="EH293" s="530"/>
      <c r="EI293" s="530"/>
      <c r="EJ293" s="530"/>
      <c r="EK293" s="530"/>
      <c r="EL293" s="530"/>
      <c r="EM293" s="530"/>
      <c r="EN293" s="530"/>
      <c r="EO293" s="530"/>
      <c r="EP293" s="530"/>
      <c r="EQ293" s="530"/>
      <c r="ER293" s="530"/>
      <c r="ES293" s="530"/>
      <c r="ET293" s="530"/>
      <c r="EU293" s="530"/>
      <c r="EV293" s="530"/>
      <c r="EW293" s="530"/>
      <c r="EX293" s="530"/>
      <c r="EY293" s="530"/>
      <c r="EZ293" s="530"/>
      <c r="FA293" s="530"/>
      <c r="FB293" s="530"/>
      <c r="FC293" s="530"/>
      <c r="FD293" s="530"/>
      <c r="FE293" s="530"/>
      <c r="FF293" s="530"/>
      <c r="FG293" s="530"/>
      <c r="FH293" s="530"/>
      <c r="FI293" s="530"/>
      <c r="FJ293" s="530"/>
      <c r="FK293" s="530"/>
      <c r="FL293" s="530"/>
      <c r="FM293" s="530"/>
      <c r="FN293" s="530"/>
      <c r="FO293" s="530"/>
    </row>
    <row r="294" spans="1:171" s="1" customFormat="1" ht="13.5">
      <c r="A294" s="519" t="s">
        <v>188</v>
      </c>
      <c r="B294" s="453">
        <v>12743700</v>
      </c>
      <c r="C294" s="256">
        <v>12637000</v>
      </c>
      <c r="D294" s="256">
        <v>12497700</v>
      </c>
      <c r="E294" s="256">
        <v>12490700</v>
      </c>
      <c r="F294" s="256">
        <v>12384600</v>
      </c>
      <c r="G294" s="256">
        <v>12282500</v>
      </c>
      <c r="H294" s="256">
        <v>12276400</v>
      </c>
      <c r="I294" s="256">
        <v>12225100</v>
      </c>
      <c r="J294" s="256">
        <v>12195800</v>
      </c>
      <c r="K294" s="256">
        <v>12069800</v>
      </c>
      <c r="L294" s="256">
        <v>11991100</v>
      </c>
      <c r="M294" s="454">
        <v>12009000</v>
      </c>
      <c r="U294" s="530"/>
      <c r="V294" s="530"/>
      <c r="W294" s="530"/>
      <c r="X294" s="530"/>
      <c r="Y294" s="530"/>
      <c r="Z294" s="530"/>
      <c r="AA294" s="530"/>
      <c r="AB294" s="530"/>
      <c r="AC294" s="530"/>
      <c r="AD294" s="530"/>
      <c r="AE294" s="530"/>
      <c r="AF294" s="530"/>
      <c r="AG294" s="530"/>
      <c r="AH294" s="530"/>
      <c r="AI294" s="530"/>
      <c r="AJ294" s="530"/>
      <c r="AK294" s="530"/>
      <c r="AL294" s="530"/>
      <c r="AM294" s="530"/>
      <c r="AN294" s="530"/>
      <c r="AO294" s="530"/>
      <c r="AP294" s="530"/>
      <c r="AQ294" s="530"/>
      <c r="AR294" s="530"/>
      <c r="AS294" s="530"/>
      <c r="AT294" s="530"/>
      <c r="AU294" s="530"/>
      <c r="AV294" s="530"/>
      <c r="AW294" s="530"/>
      <c r="AX294" s="530"/>
      <c r="AY294" s="530"/>
      <c r="AZ294" s="530"/>
      <c r="BA294" s="530"/>
      <c r="BB294" s="530"/>
      <c r="BC294" s="530"/>
      <c r="BD294" s="530"/>
      <c r="BE294" s="530"/>
      <c r="BF294" s="530"/>
      <c r="BG294" s="530"/>
      <c r="BH294" s="530"/>
      <c r="BI294" s="530"/>
      <c r="BJ294" s="530"/>
      <c r="BK294" s="530"/>
      <c r="BL294" s="530"/>
      <c r="BM294" s="530"/>
      <c r="BN294" s="530"/>
      <c r="BO294" s="530"/>
      <c r="BP294" s="530"/>
      <c r="BQ294" s="530"/>
      <c r="BR294" s="530"/>
      <c r="BS294" s="530"/>
      <c r="BT294" s="530"/>
      <c r="BU294" s="530"/>
      <c r="BV294" s="530"/>
      <c r="BW294" s="530"/>
      <c r="BX294" s="530"/>
      <c r="BY294" s="530"/>
      <c r="BZ294" s="530"/>
      <c r="CA294" s="530"/>
      <c r="CB294" s="530"/>
      <c r="CC294" s="530"/>
      <c r="CD294" s="530"/>
      <c r="CE294" s="530"/>
      <c r="CF294" s="530"/>
      <c r="CG294" s="530"/>
      <c r="CH294" s="530"/>
      <c r="CI294" s="530"/>
      <c r="CJ294" s="530"/>
      <c r="CK294" s="530"/>
      <c r="CL294" s="530"/>
      <c r="CM294" s="530"/>
      <c r="CN294" s="530"/>
      <c r="CO294" s="530"/>
      <c r="CP294" s="530"/>
      <c r="CQ294" s="530"/>
      <c r="CR294" s="530"/>
      <c r="CS294" s="530"/>
      <c r="CT294" s="530"/>
      <c r="CU294" s="530"/>
      <c r="CV294" s="530"/>
      <c r="CW294" s="530"/>
      <c r="CX294" s="530"/>
      <c r="CY294" s="530"/>
      <c r="CZ294" s="530"/>
      <c r="DA294" s="530"/>
      <c r="DB294" s="530"/>
      <c r="DC294" s="530"/>
      <c r="DD294" s="530"/>
      <c r="DE294" s="530"/>
      <c r="DF294" s="530"/>
      <c r="DG294" s="530"/>
      <c r="DH294" s="530"/>
      <c r="DI294" s="530"/>
      <c r="DJ294" s="530"/>
      <c r="DK294" s="530"/>
      <c r="DL294" s="530"/>
      <c r="DM294" s="530"/>
      <c r="DN294" s="530"/>
      <c r="DO294" s="530"/>
      <c r="DP294" s="530"/>
      <c r="DQ294" s="530"/>
      <c r="DR294" s="530"/>
      <c r="DS294" s="530"/>
      <c r="DT294" s="530"/>
      <c r="DU294" s="530"/>
      <c r="DV294" s="530"/>
      <c r="DW294" s="530"/>
      <c r="DX294" s="530"/>
      <c r="DY294" s="530"/>
      <c r="DZ294" s="530"/>
      <c r="EA294" s="530"/>
      <c r="EB294" s="530"/>
      <c r="EC294" s="530"/>
      <c r="ED294" s="530"/>
      <c r="EE294" s="530"/>
      <c r="EF294" s="530"/>
      <c r="EG294" s="530"/>
      <c r="EH294" s="530"/>
      <c r="EI294" s="530"/>
      <c r="EJ294" s="530"/>
      <c r="EK294" s="530"/>
      <c r="EL294" s="530"/>
      <c r="EM294" s="530"/>
      <c r="EN294" s="530"/>
      <c r="EO294" s="530"/>
      <c r="EP294" s="530"/>
      <c r="EQ294" s="530"/>
      <c r="ER294" s="530"/>
      <c r="ES294" s="530"/>
      <c r="ET294" s="530"/>
      <c r="EU294" s="530"/>
      <c r="EV294" s="530"/>
      <c r="EW294" s="530"/>
      <c r="EX294" s="530"/>
      <c r="EY294" s="530"/>
      <c r="EZ294" s="530"/>
      <c r="FA294" s="530"/>
      <c r="FB294" s="530"/>
      <c r="FC294" s="530"/>
      <c r="FD294" s="530"/>
      <c r="FE294" s="530"/>
      <c r="FF294" s="530"/>
      <c r="FG294" s="530"/>
      <c r="FH294" s="530"/>
      <c r="FI294" s="530"/>
      <c r="FJ294" s="530"/>
      <c r="FK294" s="530"/>
      <c r="FL294" s="530"/>
      <c r="FM294" s="530"/>
      <c r="FN294" s="530"/>
      <c r="FO294" s="530"/>
    </row>
    <row r="295" spans="1:171" s="1" customFormat="1" ht="13.5">
      <c r="A295" s="519" t="s">
        <v>219</v>
      </c>
      <c r="B295" s="453">
        <v>1120600</v>
      </c>
      <c r="C295" s="256">
        <v>1109500</v>
      </c>
      <c r="D295" s="256">
        <v>1114200</v>
      </c>
      <c r="E295" s="256">
        <v>1147400</v>
      </c>
      <c r="F295" s="256">
        <v>1079500</v>
      </c>
      <c r="G295" s="256">
        <v>1145800</v>
      </c>
      <c r="H295" s="256">
        <v>1138100</v>
      </c>
      <c r="I295" s="256">
        <v>1157100</v>
      </c>
      <c r="J295" s="256">
        <v>1122400</v>
      </c>
      <c r="K295" s="256">
        <v>1137500</v>
      </c>
      <c r="L295" s="256">
        <v>1160800</v>
      </c>
      <c r="M295" s="454">
        <v>1207200</v>
      </c>
      <c r="U295" s="530"/>
      <c r="V295" s="530"/>
      <c r="W295" s="530"/>
      <c r="X295" s="530"/>
      <c r="Y295" s="530"/>
      <c r="Z295" s="530"/>
      <c r="AA295" s="530"/>
      <c r="AB295" s="530"/>
      <c r="AC295" s="530"/>
      <c r="AD295" s="530"/>
      <c r="AE295" s="530"/>
      <c r="AF295" s="530"/>
      <c r="AG295" s="530"/>
      <c r="AH295" s="530"/>
      <c r="AI295" s="530"/>
      <c r="AJ295" s="530"/>
      <c r="AK295" s="530"/>
      <c r="AL295" s="530"/>
      <c r="AM295" s="530"/>
      <c r="AN295" s="530"/>
      <c r="AO295" s="530"/>
      <c r="AP295" s="530"/>
      <c r="AQ295" s="530"/>
      <c r="AR295" s="530"/>
      <c r="AS295" s="530"/>
      <c r="AT295" s="530"/>
      <c r="AU295" s="530"/>
      <c r="AV295" s="530"/>
      <c r="AW295" s="530"/>
      <c r="AX295" s="530"/>
      <c r="AY295" s="530"/>
      <c r="AZ295" s="530"/>
      <c r="BA295" s="530"/>
      <c r="BB295" s="530"/>
      <c r="BC295" s="530"/>
      <c r="BD295" s="530"/>
      <c r="BE295" s="530"/>
      <c r="BF295" s="530"/>
      <c r="BG295" s="530"/>
      <c r="BH295" s="530"/>
      <c r="BI295" s="530"/>
      <c r="BJ295" s="530"/>
      <c r="BK295" s="530"/>
      <c r="BL295" s="530"/>
      <c r="BM295" s="530"/>
      <c r="BN295" s="530"/>
      <c r="BO295" s="530"/>
      <c r="BP295" s="530"/>
      <c r="BQ295" s="530"/>
      <c r="BR295" s="530"/>
      <c r="BS295" s="530"/>
      <c r="BT295" s="530"/>
      <c r="BU295" s="530"/>
      <c r="BV295" s="530"/>
      <c r="BW295" s="530"/>
      <c r="BX295" s="530"/>
      <c r="BY295" s="530"/>
      <c r="BZ295" s="530"/>
      <c r="CA295" s="530"/>
      <c r="CB295" s="530"/>
      <c r="CC295" s="530"/>
      <c r="CD295" s="530"/>
      <c r="CE295" s="530"/>
      <c r="CF295" s="530"/>
      <c r="CG295" s="530"/>
      <c r="CH295" s="530"/>
      <c r="CI295" s="530"/>
      <c r="CJ295" s="530"/>
      <c r="CK295" s="530"/>
      <c r="CL295" s="530"/>
      <c r="CM295" s="530"/>
      <c r="CN295" s="530"/>
      <c r="CO295" s="530"/>
      <c r="CP295" s="530"/>
      <c r="CQ295" s="530"/>
      <c r="CR295" s="530"/>
      <c r="CS295" s="530"/>
      <c r="CT295" s="530"/>
      <c r="CU295" s="530"/>
      <c r="CV295" s="530"/>
      <c r="CW295" s="530"/>
      <c r="CX295" s="530"/>
      <c r="CY295" s="530"/>
      <c r="CZ295" s="530"/>
      <c r="DA295" s="530"/>
      <c r="DB295" s="530"/>
      <c r="DC295" s="530"/>
      <c r="DD295" s="530"/>
      <c r="DE295" s="530"/>
      <c r="DF295" s="530"/>
      <c r="DG295" s="530"/>
      <c r="DH295" s="530"/>
      <c r="DI295" s="530"/>
      <c r="DJ295" s="530"/>
      <c r="DK295" s="530"/>
      <c r="DL295" s="530"/>
      <c r="DM295" s="530"/>
      <c r="DN295" s="530"/>
      <c r="DO295" s="530"/>
      <c r="DP295" s="530"/>
      <c r="DQ295" s="530"/>
      <c r="DR295" s="530"/>
      <c r="DS295" s="530"/>
      <c r="DT295" s="530"/>
      <c r="DU295" s="530"/>
      <c r="DV295" s="530"/>
      <c r="DW295" s="530"/>
      <c r="DX295" s="530"/>
      <c r="DY295" s="530"/>
      <c r="DZ295" s="530"/>
      <c r="EA295" s="530"/>
      <c r="EB295" s="530"/>
      <c r="EC295" s="530"/>
      <c r="ED295" s="530"/>
      <c r="EE295" s="530"/>
      <c r="EF295" s="530"/>
      <c r="EG295" s="530"/>
      <c r="EH295" s="530"/>
      <c r="EI295" s="530"/>
      <c r="EJ295" s="530"/>
      <c r="EK295" s="530"/>
      <c r="EL295" s="530"/>
      <c r="EM295" s="530"/>
      <c r="EN295" s="530"/>
      <c r="EO295" s="530"/>
      <c r="EP295" s="530"/>
      <c r="EQ295" s="530"/>
      <c r="ER295" s="530"/>
      <c r="ES295" s="530"/>
      <c r="ET295" s="530"/>
      <c r="EU295" s="530"/>
      <c r="EV295" s="530"/>
      <c r="EW295" s="530"/>
      <c r="EX295" s="530"/>
      <c r="EY295" s="530"/>
      <c r="EZ295" s="530"/>
      <c r="FA295" s="530"/>
      <c r="FB295" s="530"/>
      <c r="FC295" s="530"/>
      <c r="FD295" s="530"/>
      <c r="FE295" s="530"/>
      <c r="FF295" s="530"/>
      <c r="FG295" s="530"/>
      <c r="FH295" s="530"/>
      <c r="FI295" s="530"/>
      <c r="FJ295" s="530"/>
      <c r="FK295" s="530"/>
      <c r="FL295" s="530"/>
      <c r="FM295" s="530"/>
      <c r="FN295" s="530"/>
      <c r="FO295" s="530"/>
    </row>
    <row r="296" spans="1:171" s="1" customFormat="1" ht="14.25" thickBot="1">
      <c r="A296" s="520" t="s">
        <v>18</v>
      </c>
      <c r="B296" s="521">
        <v>33875400</v>
      </c>
      <c r="C296" s="522">
        <v>33242000</v>
      </c>
      <c r="D296" s="522">
        <v>32457300</v>
      </c>
      <c r="E296" s="522">
        <v>31884600</v>
      </c>
      <c r="F296" s="522">
        <v>31257500</v>
      </c>
      <c r="G296" s="522">
        <v>30842100</v>
      </c>
      <c r="H296" s="522">
        <v>30507900</v>
      </c>
      <c r="I296" s="522">
        <v>30341200</v>
      </c>
      <c r="J296" s="522">
        <v>30043100</v>
      </c>
      <c r="K296" s="522">
        <v>29782700</v>
      </c>
      <c r="L296" s="522">
        <v>29597100</v>
      </c>
      <c r="M296" s="523">
        <v>29534600</v>
      </c>
      <c r="U296" s="530"/>
      <c r="V296" s="530"/>
      <c r="W296" s="530"/>
      <c r="X296" s="530"/>
      <c r="Y296" s="530"/>
      <c r="Z296" s="530"/>
      <c r="AA296" s="530"/>
      <c r="AB296" s="530"/>
      <c r="AC296" s="530"/>
      <c r="AD296" s="530"/>
      <c r="AE296" s="530"/>
      <c r="AF296" s="530"/>
      <c r="AG296" s="530"/>
      <c r="AH296" s="530"/>
      <c r="AI296" s="530"/>
      <c r="AJ296" s="530"/>
      <c r="AK296" s="530"/>
      <c r="AL296" s="530"/>
      <c r="AM296" s="530"/>
      <c r="AN296" s="530"/>
      <c r="AO296" s="530"/>
      <c r="AP296" s="530"/>
      <c r="AQ296" s="530"/>
      <c r="AR296" s="530"/>
      <c r="AS296" s="530"/>
      <c r="AT296" s="530"/>
      <c r="AU296" s="530"/>
      <c r="AV296" s="530"/>
      <c r="AW296" s="530"/>
      <c r="AX296" s="530"/>
      <c r="AY296" s="530"/>
      <c r="AZ296" s="530"/>
      <c r="BA296" s="530"/>
      <c r="BB296" s="530"/>
      <c r="BC296" s="530"/>
      <c r="BD296" s="530"/>
      <c r="BE296" s="530"/>
      <c r="BF296" s="530"/>
      <c r="BG296" s="530"/>
      <c r="BH296" s="530"/>
      <c r="BI296" s="530"/>
      <c r="BJ296" s="530"/>
      <c r="BK296" s="530"/>
      <c r="BL296" s="530"/>
      <c r="BM296" s="530"/>
      <c r="BN296" s="530"/>
      <c r="BO296" s="530"/>
      <c r="BP296" s="530"/>
      <c r="BQ296" s="530"/>
      <c r="BR296" s="530"/>
      <c r="BS296" s="530"/>
      <c r="BT296" s="530"/>
      <c r="BU296" s="530"/>
      <c r="BV296" s="530"/>
      <c r="BW296" s="530"/>
      <c r="BX296" s="530"/>
      <c r="BY296" s="530"/>
      <c r="BZ296" s="530"/>
      <c r="CA296" s="530"/>
      <c r="CB296" s="530"/>
      <c r="CC296" s="530"/>
      <c r="CD296" s="530"/>
      <c r="CE296" s="530"/>
      <c r="CF296" s="530"/>
      <c r="CG296" s="530"/>
      <c r="CH296" s="530"/>
      <c r="CI296" s="530"/>
      <c r="CJ296" s="530"/>
      <c r="CK296" s="530"/>
      <c r="CL296" s="530"/>
      <c r="CM296" s="530"/>
      <c r="CN296" s="530"/>
      <c r="CO296" s="530"/>
      <c r="CP296" s="530"/>
      <c r="CQ296" s="530"/>
      <c r="CR296" s="530"/>
      <c r="CS296" s="530"/>
      <c r="CT296" s="530"/>
      <c r="CU296" s="530"/>
      <c r="CV296" s="530"/>
      <c r="CW296" s="530"/>
      <c r="CX296" s="530"/>
      <c r="CY296" s="530"/>
      <c r="CZ296" s="530"/>
      <c r="DA296" s="530"/>
      <c r="DB296" s="530"/>
      <c r="DC296" s="530"/>
      <c r="DD296" s="530"/>
      <c r="DE296" s="530"/>
      <c r="DF296" s="530"/>
      <c r="DG296" s="530"/>
      <c r="DH296" s="530"/>
      <c r="DI296" s="530"/>
      <c r="DJ296" s="530"/>
      <c r="DK296" s="530"/>
      <c r="DL296" s="530"/>
      <c r="DM296" s="530"/>
      <c r="DN296" s="530"/>
      <c r="DO296" s="530"/>
      <c r="DP296" s="530"/>
      <c r="DQ296" s="530"/>
      <c r="DR296" s="530"/>
      <c r="DS296" s="530"/>
      <c r="DT296" s="530"/>
      <c r="DU296" s="530"/>
      <c r="DV296" s="530"/>
      <c r="DW296" s="530"/>
      <c r="DX296" s="530"/>
      <c r="DY296" s="530"/>
      <c r="DZ296" s="530"/>
      <c r="EA296" s="530"/>
      <c r="EB296" s="530"/>
      <c r="EC296" s="530"/>
      <c r="ED296" s="530"/>
      <c r="EE296" s="530"/>
      <c r="EF296" s="530"/>
      <c r="EG296" s="530"/>
      <c r="EH296" s="530"/>
      <c r="EI296" s="530"/>
      <c r="EJ296" s="530"/>
      <c r="EK296" s="530"/>
      <c r="EL296" s="530"/>
      <c r="EM296" s="530"/>
      <c r="EN296" s="530"/>
      <c r="EO296" s="530"/>
      <c r="EP296" s="530"/>
      <c r="EQ296" s="530"/>
      <c r="ER296" s="530"/>
      <c r="ES296" s="530"/>
      <c r="ET296" s="530"/>
      <c r="EU296" s="530"/>
      <c r="EV296" s="530"/>
      <c r="EW296" s="530"/>
      <c r="EX296" s="530"/>
      <c r="EY296" s="530"/>
      <c r="EZ296" s="530"/>
      <c r="FA296" s="530"/>
      <c r="FB296" s="530"/>
      <c r="FC296" s="530"/>
      <c r="FD296" s="530"/>
      <c r="FE296" s="530"/>
      <c r="FF296" s="530"/>
      <c r="FG296" s="530"/>
      <c r="FH296" s="530"/>
      <c r="FI296" s="530"/>
      <c r="FJ296" s="530"/>
      <c r="FK296" s="530"/>
      <c r="FL296" s="530"/>
      <c r="FM296" s="530"/>
      <c r="FN296" s="530"/>
      <c r="FO296" s="530"/>
    </row>
    <row r="297" spans="1:171" s="1" customFormat="1" ht="14.25" thickBot="1">
      <c r="A297" s="6"/>
      <c r="B297" s="530"/>
      <c r="C297" s="530"/>
      <c r="D297" s="530"/>
      <c r="E297" s="530"/>
      <c r="F297" s="530"/>
      <c r="G297" s="530"/>
      <c r="H297" s="530"/>
      <c r="I297" s="530"/>
      <c r="J297" s="530"/>
      <c r="K297" s="530"/>
      <c r="L297" s="530"/>
      <c r="M297" s="530"/>
      <c r="N297" s="530"/>
      <c r="O297" s="530"/>
      <c r="P297" s="530"/>
      <c r="Q297" s="530"/>
      <c r="R297" s="530"/>
      <c r="S297" s="530"/>
      <c r="T297" s="530"/>
      <c r="U297" s="530"/>
      <c r="V297" s="530"/>
      <c r="W297" s="530"/>
      <c r="X297" s="530"/>
      <c r="Y297" s="530"/>
      <c r="Z297" s="530"/>
      <c r="AA297" s="530"/>
      <c r="AB297" s="530"/>
      <c r="AC297" s="530"/>
      <c r="AD297" s="530"/>
      <c r="AE297" s="530"/>
      <c r="AF297" s="530"/>
      <c r="AG297" s="530"/>
      <c r="AH297" s="530"/>
      <c r="AI297" s="530"/>
      <c r="AJ297" s="530"/>
      <c r="AK297" s="530"/>
      <c r="AL297" s="530"/>
      <c r="AM297" s="530"/>
      <c r="AN297" s="530"/>
      <c r="AO297" s="530"/>
      <c r="AP297" s="530"/>
      <c r="AQ297" s="530"/>
      <c r="AR297" s="530"/>
      <c r="AS297" s="530"/>
      <c r="AT297" s="530"/>
      <c r="AU297" s="530"/>
      <c r="AV297" s="530"/>
      <c r="AW297" s="530"/>
      <c r="AX297" s="530"/>
      <c r="AY297" s="530"/>
      <c r="AZ297" s="530"/>
      <c r="BA297" s="530"/>
      <c r="BB297" s="530"/>
      <c r="BC297" s="530"/>
      <c r="BD297" s="530"/>
      <c r="BE297" s="530"/>
      <c r="BF297" s="530"/>
      <c r="BG297" s="530"/>
      <c r="BH297" s="530"/>
      <c r="BI297" s="530"/>
      <c r="BJ297" s="530"/>
      <c r="BK297" s="530"/>
      <c r="BL297" s="530"/>
      <c r="BM297" s="530"/>
      <c r="BN297" s="530"/>
      <c r="BO297" s="530"/>
      <c r="BP297" s="530"/>
      <c r="BQ297" s="530"/>
      <c r="BR297" s="530"/>
      <c r="BS297" s="530"/>
      <c r="BT297" s="530"/>
      <c r="BU297" s="530"/>
      <c r="BV297" s="530"/>
      <c r="BW297" s="530"/>
      <c r="BX297" s="530"/>
      <c r="BY297" s="530"/>
      <c r="BZ297" s="530"/>
      <c r="CA297" s="530"/>
      <c r="CB297" s="530"/>
      <c r="CC297" s="530"/>
      <c r="CD297" s="530"/>
      <c r="CE297" s="530"/>
      <c r="CF297" s="530"/>
      <c r="CG297" s="530"/>
      <c r="CH297" s="530"/>
      <c r="CI297" s="530"/>
      <c r="CJ297" s="530"/>
      <c r="CK297" s="530"/>
      <c r="CL297" s="530"/>
      <c r="CM297" s="530"/>
      <c r="CN297" s="530"/>
      <c r="CO297" s="530"/>
      <c r="CP297" s="530"/>
      <c r="CQ297" s="530"/>
      <c r="CR297" s="530"/>
      <c r="CS297" s="530"/>
      <c r="CT297" s="530"/>
      <c r="CU297" s="530"/>
      <c r="CV297" s="530"/>
      <c r="CW297" s="530"/>
      <c r="CX297" s="530"/>
      <c r="CY297" s="530"/>
      <c r="CZ297" s="530"/>
      <c r="DA297" s="530"/>
      <c r="DB297" s="530"/>
      <c r="DC297" s="530"/>
      <c r="DD297" s="530"/>
      <c r="DE297" s="530"/>
      <c r="DF297" s="530"/>
      <c r="DG297" s="530"/>
      <c r="DH297" s="530"/>
      <c r="DI297" s="530"/>
      <c r="DJ297" s="530"/>
      <c r="DK297" s="530"/>
      <c r="DL297" s="530"/>
      <c r="DM297" s="530"/>
      <c r="DN297" s="530"/>
      <c r="DO297" s="530"/>
      <c r="DP297" s="530"/>
      <c r="DQ297" s="530"/>
      <c r="DR297" s="530"/>
      <c r="DS297" s="530"/>
      <c r="DT297" s="530"/>
      <c r="DU297" s="530"/>
      <c r="DV297" s="530"/>
      <c r="DW297" s="530"/>
      <c r="DX297" s="530"/>
      <c r="DY297" s="530"/>
      <c r="DZ297" s="530"/>
      <c r="EA297" s="530"/>
      <c r="EB297" s="530"/>
      <c r="EC297" s="530"/>
      <c r="ED297" s="530"/>
      <c r="EE297" s="530"/>
      <c r="EF297" s="530"/>
      <c r="EG297" s="530"/>
      <c r="EH297" s="530"/>
      <c r="EI297" s="530"/>
      <c r="EJ297" s="530"/>
      <c r="EK297" s="530"/>
      <c r="EL297" s="530"/>
      <c r="EM297" s="530"/>
      <c r="EN297" s="530"/>
      <c r="EO297" s="530"/>
      <c r="EP297" s="530"/>
      <c r="EQ297" s="530"/>
      <c r="ER297" s="530"/>
      <c r="ES297" s="530"/>
      <c r="ET297" s="530"/>
      <c r="EU297" s="530"/>
      <c r="EV297" s="530"/>
      <c r="EW297" s="530"/>
      <c r="EX297" s="530"/>
      <c r="EY297" s="530"/>
      <c r="EZ297" s="530"/>
      <c r="FA297" s="530"/>
      <c r="FB297" s="530"/>
      <c r="FC297" s="530"/>
      <c r="FD297" s="530"/>
      <c r="FE297" s="530"/>
      <c r="FF297" s="530"/>
      <c r="FG297" s="530"/>
      <c r="FH297" s="530"/>
      <c r="FI297" s="530"/>
      <c r="FJ297" s="530"/>
      <c r="FK297" s="530"/>
      <c r="FL297" s="530"/>
      <c r="FM297" s="530"/>
      <c r="FN297" s="530"/>
      <c r="FO297" s="530"/>
    </row>
    <row r="298" spans="1:171" s="1" customFormat="1" ht="14.25" thickBot="1">
      <c r="A298" s="6"/>
      <c r="B298" s="514">
        <v>42005</v>
      </c>
      <c r="C298" s="515">
        <v>42036</v>
      </c>
      <c r="D298" s="515">
        <v>42064</v>
      </c>
      <c r="E298" s="515">
        <v>42095</v>
      </c>
      <c r="F298" s="515">
        <v>42125</v>
      </c>
      <c r="G298" s="515">
        <v>42156</v>
      </c>
      <c r="H298" s="516">
        <v>42186</v>
      </c>
      <c r="I298" s="530"/>
      <c r="J298" s="530"/>
      <c r="K298" s="530"/>
      <c r="L298" s="530"/>
      <c r="M298" s="530"/>
      <c r="N298" s="530"/>
      <c r="O298" s="530"/>
      <c r="P298" s="530"/>
      <c r="Q298" s="530"/>
      <c r="R298" s="530"/>
      <c r="S298" s="530"/>
      <c r="T298" s="530"/>
      <c r="U298" s="530"/>
      <c r="V298" s="530"/>
      <c r="W298" s="530"/>
      <c r="X298" s="530"/>
      <c r="Y298" s="530"/>
      <c r="Z298" s="530"/>
      <c r="AA298" s="530"/>
      <c r="AB298" s="530"/>
      <c r="AC298" s="530"/>
      <c r="AD298" s="530"/>
      <c r="AE298" s="530"/>
      <c r="AF298" s="530"/>
      <c r="AG298" s="530"/>
      <c r="AH298" s="530"/>
      <c r="AI298" s="530"/>
      <c r="AJ298" s="530"/>
      <c r="AK298" s="530"/>
      <c r="AL298" s="530"/>
      <c r="AM298" s="530"/>
      <c r="AN298" s="530"/>
      <c r="AO298" s="530"/>
      <c r="AP298" s="530"/>
      <c r="AQ298" s="530"/>
      <c r="AR298" s="530"/>
      <c r="AS298" s="530"/>
      <c r="AT298" s="530"/>
      <c r="AU298" s="530"/>
      <c r="AV298" s="530"/>
      <c r="AW298" s="530"/>
      <c r="AX298" s="530"/>
      <c r="AY298" s="530"/>
      <c r="AZ298" s="530"/>
      <c r="BA298" s="530"/>
      <c r="BB298" s="530"/>
      <c r="BC298" s="530"/>
      <c r="BD298" s="530"/>
      <c r="BE298" s="530"/>
      <c r="BF298" s="530"/>
      <c r="BG298" s="530"/>
      <c r="BH298" s="530"/>
      <c r="BI298" s="530"/>
      <c r="BJ298" s="530"/>
      <c r="BK298" s="530"/>
      <c r="BL298" s="530"/>
      <c r="BM298" s="530"/>
      <c r="BN298" s="530"/>
      <c r="BO298" s="530"/>
      <c r="BP298" s="530"/>
      <c r="BQ298" s="530"/>
      <c r="BR298" s="530"/>
      <c r="BS298" s="530"/>
      <c r="BT298" s="530"/>
      <c r="BU298" s="530"/>
      <c r="BV298" s="530"/>
      <c r="BW298" s="530"/>
      <c r="BX298" s="530"/>
      <c r="BY298" s="530"/>
      <c r="BZ298" s="530"/>
      <c r="CA298" s="530"/>
      <c r="CB298" s="530"/>
      <c r="CC298" s="530"/>
      <c r="CD298" s="530"/>
      <c r="CE298" s="530"/>
      <c r="CF298" s="530"/>
      <c r="CG298" s="530"/>
      <c r="CH298" s="530"/>
      <c r="CI298" s="530"/>
      <c r="CJ298" s="530"/>
      <c r="CK298" s="530"/>
      <c r="CL298" s="530"/>
      <c r="CM298" s="530"/>
      <c r="CN298" s="530"/>
      <c r="CO298" s="530"/>
      <c r="CP298" s="530"/>
      <c r="CQ298" s="530"/>
      <c r="CR298" s="530"/>
      <c r="CS298" s="530"/>
      <c r="CT298" s="530"/>
      <c r="CU298" s="530"/>
      <c r="CV298" s="530"/>
      <c r="CW298" s="530"/>
      <c r="CX298" s="530"/>
      <c r="CY298" s="530"/>
      <c r="CZ298" s="530"/>
      <c r="DA298" s="530"/>
      <c r="DB298" s="530"/>
      <c r="DC298" s="530"/>
      <c r="DD298" s="530"/>
      <c r="DE298" s="530"/>
      <c r="DF298" s="530"/>
      <c r="DG298" s="530"/>
      <c r="DH298" s="530"/>
      <c r="DI298" s="530"/>
      <c r="DJ298" s="530"/>
      <c r="DK298" s="530"/>
      <c r="DL298" s="530"/>
      <c r="DM298" s="530"/>
      <c r="DN298" s="530"/>
      <c r="DO298" s="530"/>
      <c r="DP298" s="530"/>
      <c r="DQ298" s="530"/>
      <c r="DR298" s="530"/>
      <c r="DS298" s="530"/>
      <c r="DT298" s="530"/>
      <c r="DU298" s="530"/>
      <c r="DV298" s="530"/>
      <c r="DW298" s="530"/>
      <c r="DX298" s="530"/>
      <c r="DY298" s="530"/>
      <c r="DZ298" s="530"/>
      <c r="EA298" s="530"/>
      <c r="EB298" s="530"/>
      <c r="EC298" s="530"/>
      <c r="ED298" s="530"/>
      <c r="EE298" s="530"/>
      <c r="EF298" s="530"/>
      <c r="EG298" s="530"/>
      <c r="EH298" s="530"/>
      <c r="EI298" s="530"/>
      <c r="EJ298" s="530"/>
      <c r="EK298" s="530"/>
      <c r="EL298" s="530"/>
      <c r="EM298" s="530"/>
      <c r="EN298" s="530"/>
      <c r="EO298" s="530"/>
      <c r="EP298" s="530"/>
      <c r="EQ298" s="530"/>
      <c r="ER298" s="530"/>
      <c r="ES298" s="530"/>
      <c r="ET298" s="530"/>
      <c r="EU298" s="530"/>
      <c r="EV298" s="530"/>
      <c r="EW298" s="530"/>
      <c r="EX298" s="530"/>
      <c r="EY298" s="530"/>
      <c r="EZ298" s="530"/>
      <c r="FA298" s="530"/>
      <c r="FB298" s="530"/>
      <c r="FC298" s="530"/>
      <c r="FD298" s="530"/>
      <c r="FE298" s="530"/>
      <c r="FF298" s="530"/>
      <c r="FG298" s="530"/>
      <c r="FH298" s="530"/>
      <c r="FI298" s="530"/>
      <c r="FJ298" s="530"/>
      <c r="FK298" s="530"/>
      <c r="FL298" s="530"/>
      <c r="FM298" s="530"/>
      <c r="FN298" s="530"/>
      <c r="FO298" s="530"/>
    </row>
    <row r="299" spans="1:171" s="1" customFormat="1" ht="13.5">
      <c r="A299" s="484" t="s">
        <v>216</v>
      </c>
      <c r="B299" s="517">
        <f t="shared" ref="B299:H299" si="25">B300+B301</f>
        <v>16199600</v>
      </c>
      <c r="C299" s="271">
        <f t="shared" si="25"/>
        <v>16088700</v>
      </c>
      <c r="D299" s="271">
        <f t="shared" si="25"/>
        <v>15951700</v>
      </c>
      <c r="E299" s="271">
        <f t="shared" si="25"/>
        <v>15794700</v>
      </c>
      <c r="F299" s="271">
        <f t="shared" si="25"/>
        <v>15661300</v>
      </c>
      <c r="G299" s="271">
        <f t="shared" si="25"/>
        <v>15569900</v>
      </c>
      <c r="H299" s="518">
        <f t="shared" si="25"/>
        <v>15468600</v>
      </c>
      <c r="I299" s="530"/>
      <c r="J299" s="530"/>
      <c r="K299" s="530"/>
      <c r="L299" s="530"/>
      <c r="M299" s="530"/>
      <c r="N299" s="530"/>
      <c r="O299" s="530"/>
      <c r="P299" s="530"/>
      <c r="Q299" s="530"/>
      <c r="R299" s="530"/>
      <c r="S299" s="530"/>
      <c r="T299" s="530"/>
      <c r="U299" s="530"/>
      <c r="V299" s="530"/>
      <c r="W299" s="530"/>
      <c r="X299" s="530"/>
      <c r="Y299" s="530"/>
      <c r="Z299" s="530"/>
      <c r="AA299" s="530"/>
      <c r="AB299" s="530"/>
      <c r="AC299" s="530"/>
      <c r="AD299" s="530"/>
      <c r="AE299" s="530"/>
      <c r="AF299" s="530"/>
      <c r="AG299" s="530"/>
      <c r="AH299" s="530"/>
      <c r="AI299" s="530"/>
      <c r="AJ299" s="530"/>
      <c r="AK299" s="530"/>
      <c r="AL299" s="530"/>
      <c r="AM299" s="530"/>
      <c r="AN299" s="530"/>
      <c r="AO299" s="530"/>
      <c r="AP299" s="530"/>
      <c r="AQ299" s="530"/>
      <c r="AR299" s="530"/>
      <c r="AS299" s="530"/>
      <c r="AT299" s="530"/>
      <c r="AU299" s="530"/>
      <c r="AV299" s="530"/>
      <c r="AW299" s="530"/>
      <c r="AX299" s="530"/>
      <c r="AY299" s="530"/>
      <c r="AZ299" s="530"/>
      <c r="BA299" s="530"/>
      <c r="BB299" s="530"/>
      <c r="BC299" s="530"/>
      <c r="BD299" s="530"/>
      <c r="BE299" s="530"/>
      <c r="BF299" s="530"/>
      <c r="BG299" s="530"/>
      <c r="BH299" s="530"/>
      <c r="BI299" s="530"/>
      <c r="BJ299" s="530"/>
      <c r="BK299" s="530"/>
      <c r="BL299" s="530"/>
      <c r="BM299" s="530"/>
      <c r="BN299" s="530"/>
      <c r="BO299" s="530"/>
      <c r="BP299" s="530"/>
      <c r="BQ299" s="530"/>
      <c r="BR299" s="530"/>
      <c r="BS299" s="530"/>
      <c r="BT299" s="530"/>
      <c r="BU299" s="530"/>
      <c r="BV299" s="530"/>
      <c r="BW299" s="530"/>
      <c r="BX299" s="530"/>
      <c r="BY299" s="530"/>
      <c r="BZ299" s="530"/>
      <c r="CA299" s="530"/>
      <c r="CB299" s="530"/>
      <c r="CC299" s="530"/>
      <c r="CD299" s="530"/>
      <c r="CE299" s="530"/>
      <c r="CF299" s="530"/>
      <c r="CG299" s="530"/>
      <c r="CH299" s="530"/>
      <c r="CI299" s="530"/>
      <c r="CJ299" s="530"/>
      <c r="CK299" s="530"/>
      <c r="CL299" s="530"/>
      <c r="CM299" s="530"/>
      <c r="CN299" s="530"/>
      <c r="CO299" s="530"/>
      <c r="CP299" s="530"/>
      <c r="CQ299" s="530"/>
      <c r="CR299" s="530"/>
      <c r="CS299" s="530"/>
      <c r="CT299" s="530"/>
      <c r="CU299" s="530"/>
      <c r="CV299" s="530"/>
      <c r="CW299" s="530"/>
      <c r="CX299" s="530"/>
      <c r="CY299" s="530"/>
      <c r="CZ299" s="530"/>
      <c r="DA299" s="530"/>
      <c r="DB299" s="530"/>
      <c r="DC299" s="530"/>
      <c r="DD299" s="530"/>
      <c r="DE299" s="530"/>
      <c r="DF299" s="530"/>
      <c r="DG299" s="530"/>
      <c r="DH299" s="530"/>
      <c r="DI299" s="530"/>
      <c r="DJ299" s="530"/>
      <c r="DK299" s="530"/>
      <c r="DL299" s="530"/>
      <c r="DM299" s="530"/>
      <c r="DN299" s="530"/>
      <c r="DO299" s="530"/>
      <c r="DP299" s="530"/>
      <c r="DQ299" s="530"/>
      <c r="DR299" s="530"/>
      <c r="DS299" s="530"/>
      <c r="DT299" s="530"/>
      <c r="DU299" s="530"/>
      <c r="DV299" s="530"/>
      <c r="DW299" s="530"/>
      <c r="DX299" s="530"/>
      <c r="DY299" s="530"/>
      <c r="DZ299" s="530"/>
      <c r="EA299" s="530"/>
      <c r="EB299" s="530"/>
      <c r="EC299" s="530"/>
      <c r="ED299" s="530"/>
      <c r="EE299" s="530"/>
      <c r="EF299" s="530"/>
      <c r="EG299" s="530"/>
      <c r="EH299" s="530"/>
      <c r="EI299" s="530"/>
      <c r="EJ299" s="530"/>
      <c r="EK299" s="530"/>
      <c r="EL299" s="530"/>
      <c r="EM299" s="530"/>
      <c r="EN299" s="530"/>
      <c r="EO299" s="530"/>
      <c r="EP299" s="530"/>
      <c r="EQ299" s="530"/>
      <c r="ER299" s="530"/>
      <c r="ES299" s="530"/>
      <c r="ET299" s="530"/>
      <c r="EU299" s="530"/>
      <c r="EV299" s="530"/>
      <c r="EW299" s="530"/>
      <c r="EX299" s="530"/>
      <c r="EY299" s="530"/>
      <c r="EZ299" s="530"/>
      <c r="FA299" s="530"/>
      <c r="FB299" s="530"/>
      <c r="FC299" s="530"/>
      <c r="FD299" s="530"/>
      <c r="FE299" s="530"/>
      <c r="FF299" s="530"/>
      <c r="FG299" s="530"/>
      <c r="FH299" s="530"/>
      <c r="FI299" s="530"/>
      <c r="FJ299" s="530"/>
      <c r="FK299" s="530"/>
      <c r="FL299" s="530"/>
      <c r="FM299" s="530"/>
      <c r="FN299" s="530"/>
      <c r="FO299" s="530"/>
    </row>
    <row r="300" spans="1:171" s="1" customFormat="1" ht="13.5">
      <c r="A300" s="519" t="s">
        <v>217</v>
      </c>
      <c r="B300" s="453">
        <v>12684300</v>
      </c>
      <c r="C300" s="256">
        <v>12606000</v>
      </c>
      <c r="D300" s="256">
        <v>12481200</v>
      </c>
      <c r="E300" s="256">
        <v>12372500</v>
      </c>
      <c r="F300" s="256">
        <v>12278700</v>
      </c>
      <c r="G300" s="256">
        <v>12222500</v>
      </c>
      <c r="H300" s="454">
        <v>12182100</v>
      </c>
      <c r="I300" s="530"/>
      <c r="J300" s="530"/>
      <c r="K300" s="530"/>
      <c r="L300" s="530"/>
      <c r="M300" s="530"/>
      <c r="N300" s="530"/>
      <c r="O300" s="530"/>
      <c r="P300" s="530"/>
      <c r="Q300" s="530"/>
      <c r="R300" s="530"/>
      <c r="S300" s="530"/>
      <c r="T300" s="530"/>
      <c r="U300" s="530"/>
      <c r="V300" s="530"/>
      <c r="W300" s="530"/>
      <c r="X300" s="530"/>
      <c r="Y300" s="530"/>
      <c r="Z300" s="530"/>
      <c r="AA300" s="530"/>
      <c r="AB300" s="530"/>
      <c r="AC300" s="530"/>
      <c r="AD300" s="530"/>
      <c r="AE300" s="530"/>
      <c r="AF300" s="530"/>
      <c r="AG300" s="530"/>
      <c r="AH300" s="530"/>
      <c r="AI300" s="530"/>
      <c r="AJ300" s="530"/>
      <c r="AK300" s="530"/>
      <c r="AL300" s="530"/>
      <c r="AM300" s="530"/>
      <c r="AN300" s="530"/>
      <c r="AO300" s="530"/>
      <c r="AP300" s="530"/>
      <c r="AQ300" s="530"/>
      <c r="AR300" s="530"/>
      <c r="AS300" s="530"/>
      <c r="AT300" s="530"/>
      <c r="AU300" s="530"/>
      <c r="AV300" s="530"/>
      <c r="AW300" s="530"/>
      <c r="AX300" s="530"/>
      <c r="AY300" s="530"/>
      <c r="AZ300" s="530"/>
      <c r="BA300" s="530"/>
      <c r="BB300" s="530"/>
      <c r="BC300" s="530"/>
      <c r="BD300" s="530"/>
      <c r="BE300" s="530"/>
      <c r="BF300" s="530"/>
      <c r="BG300" s="530"/>
      <c r="BH300" s="530"/>
      <c r="BI300" s="530"/>
      <c r="BJ300" s="530"/>
      <c r="BK300" s="530"/>
      <c r="BL300" s="530"/>
      <c r="BM300" s="530"/>
      <c r="BN300" s="530"/>
      <c r="BO300" s="530"/>
      <c r="BP300" s="530"/>
      <c r="BQ300" s="530"/>
      <c r="BR300" s="530"/>
      <c r="BS300" s="530"/>
      <c r="BT300" s="530"/>
      <c r="BU300" s="530"/>
      <c r="BV300" s="530"/>
      <c r="BW300" s="530"/>
      <c r="BX300" s="530"/>
      <c r="BY300" s="530"/>
      <c r="BZ300" s="530"/>
      <c r="CA300" s="530"/>
      <c r="CB300" s="530"/>
      <c r="CC300" s="530"/>
      <c r="CD300" s="530"/>
      <c r="CE300" s="530"/>
      <c r="CF300" s="530"/>
      <c r="CG300" s="530"/>
      <c r="CH300" s="530"/>
      <c r="CI300" s="530"/>
      <c r="CJ300" s="530"/>
      <c r="CK300" s="530"/>
      <c r="CL300" s="530"/>
      <c r="CM300" s="530"/>
      <c r="CN300" s="530"/>
      <c r="CO300" s="530"/>
      <c r="CP300" s="530"/>
      <c r="CQ300" s="530"/>
      <c r="CR300" s="530"/>
      <c r="CS300" s="530"/>
      <c r="CT300" s="530"/>
      <c r="CU300" s="530"/>
      <c r="CV300" s="530"/>
      <c r="CW300" s="530"/>
      <c r="CX300" s="530"/>
      <c r="CY300" s="530"/>
      <c r="CZ300" s="530"/>
      <c r="DA300" s="530"/>
      <c r="DB300" s="530"/>
      <c r="DC300" s="530"/>
      <c r="DD300" s="530"/>
      <c r="DE300" s="530"/>
      <c r="DF300" s="530"/>
      <c r="DG300" s="530"/>
      <c r="DH300" s="530"/>
      <c r="DI300" s="530"/>
      <c r="DJ300" s="530"/>
      <c r="DK300" s="530"/>
      <c r="DL300" s="530"/>
      <c r="DM300" s="530"/>
      <c r="DN300" s="530"/>
      <c r="DO300" s="530"/>
      <c r="DP300" s="530"/>
      <c r="DQ300" s="530"/>
      <c r="DR300" s="530"/>
      <c r="DS300" s="530"/>
      <c r="DT300" s="530"/>
      <c r="DU300" s="530"/>
      <c r="DV300" s="530"/>
      <c r="DW300" s="530"/>
      <c r="DX300" s="530"/>
      <c r="DY300" s="530"/>
      <c r="DZ300" s="530"/>
      <c r="EA300" s="530"/>
      <c r="EB300" s="530"/>
      <c r="EC300" s="530"/>
      <c r="ED300" s="530"/>
      <c r="EE300" s="530"/>
      <c r="EF300" s="530"/>
      <c r="EG300" s="530"/>
      <c r="EH300" s="530"/>
      <c r="EI300" s="530"/>
      <c r="EJ300" s="530"/>
      <c r="EK300" s="530"/>
      <c r="EL300" s="530"/>
      <c r="EM300" s="530"/>
      <c r="EN300" s="530"/>
      <c r="EO300" s="530"/>
      <c r="EP300" s="530"/>
      <c r="EQ300" s="530"/>
      <c r="ER300" s="530"/>
      <c r="ES300" s="530"/>
      <c r="ET300" s="530"/>
      <c r="EU300" s="530"/>
      <c r="EV300" s="530"/>
      <c r="EW300" s="530"/>
      <c r="EX300" s="530"/>
      <c r="EY300" s="530"/>
      <c r="EZ300" s="530"/>
      <c r="FA300" s="530"/>
      <c r="FB300" s="530"/>
      <c r="FC300" s="530"/>
      <c r="FD300" s="530"/>
      <c r="FE300" s="530"/>
      <c r="FF300" s="530"/>
      <c r="FG300" s="530"/>
      <c r="FH300" s="530"/>
      <c r="FI300" s="530"/>
      <c r="FJ300" s="530"/>
      <c r="FK300" s="530"/>
      <c r="FL300" s="530"/>
      <c r="FM300" s="530"/>
      <c r="FN300" s="530"/>
      <c r="FO300" s="530"/>
    </row>
    <row r="301" spans="1:171" s="1" customFormat="1" ht="13.5">
      <c r="A301" s="519" t="s">
        <v>218</v>
      </c>
      <c r="B301" s="453">
        <v>3515300</v>
      </c>
      <c r="C301" s="256">
        <v>3482700</v>
      </c>
      <c r="D301" s="256">
        <v>3470500</v>
      </c>
      <c r="E301" s="256">
        <v>3422200</v>
      </c>
      <c r="F301" s="256">
        <v>3382600</v>
      </c>
      <c r="G301" s="256">
        <v>3347400</v>
      </c>
      <c r="H301" s="454">
        <v>3286500</v>
      </c>
      <c r="I301" s="530"/>
      <c r="J301" s="530"/>
      <c r="K301" s="530"/>
      <c r="L301" s="530"/>
      <c r="M301" s="530"/>
      <c r="N301" s="530"/>
      <c r="O301" s="530"/>
      <c r="P301" s="530"/>
      <c r="Q301" s="530"/>
      <c r="R301" s="530"/>
      <c r="S301" s="530"/>
      <c r="T301" s="530"/>
      <c r="U301" s="530"/>
      <c r="V301" s="530"/>
      <c r="W301" s="530"/>
      <c r="X301" s="530"/>
      <c r="Y301" s="530"/>
      <c r="Z301" s="530"/>
      <c r="AA301" s="530"/>
      <c r="AB301" s="530"/>
      <c r="AC301" s="530"/>
      <c r="AD301" s="530"/>
      <c r="AE301" s="530"/>
      <c r="AF301" s="530"/>
      <c r="AG301" s="530"/>
      <c r="AH301" s="530"/>
      <c r="AI301" s="530"/>
      <c r="AJ301" s="530"/>
      <c r="AK301" s="530"/>
      <c r="AL301" s="530"/>
      <c r="AM301" s="530"/>
      <c r="AN301" s="530"/>
      <c r="AO301" s="530"/>
      <c r="AP301" s="530"/>
      <c r="AQ301" s="530"/>
      <c r="AR301" s="530"/>
      <c r="AS301" s="530"/>
      <c r="AT301" s="530"/>
      <c r="AU301" s="530"/>
      <c r="AV301" s="530"/>
      <c r="AW301" s="530"/>
      <c r="AX301" s="530"/>
      <c r="AY301" s="530"/>
      <c r="AZ301" s="530"/>
      <c r="BA301" s="530"/>
      <c r="BB301" s="530"/>
      <c r="BC301" s="530"/>
      <c r="BD301" s="530"/>
      <c r="BE301" s="530"/>
      <c r="BF301" s="530"/>
      <c r="BG301" s="530"/>
      <c r="BH301" s="530"/>
      <c r="BI301" s="530"/>
      <c r="BJ301" s="530"/>
      <c r="BK301" s="530"/>
      <c r="BL301" s="530"/>
      <c r="BM301" s="530"/>
      <c r="BN301" s="530"/>
      <c r="BO301" s="530"/>
      <c r="BP301" s="530"/>
      <c r="BQ301" s="530"/>
      <c r="BR301" s="530"/>
      <c r="BS301" s="530"/>
      <c r="BT301" s="530"/>
      <c r="BU301" s="530"/>
      <c r="BV301" s="530"/>
      <c r="BW301" s="530"/>
      <c r="BX301" s="530"/>
      <c r="BY301" s="530"/>
      <c r="BZ301" s="530"/>
      <c r="CA301" s="530"/>
      <c r="CB301" s="530"/>
      <c r="CC301" s="530"/>
      <c r="CD301" s="530"/>
      <c r="CE301" s="530"/>
      <c r="CF301" s="530"/>
      <c r="CG301" s="530"/>
      <c r="CH301" s="530"/>
      <c r="CI301" s="530"/>
      <c r="CJ301" s="530"/>
      <c r="CK301" s="530"/>
      <c r="CL301" s="530"/>
      <c r="CM301" s="530"/>
      <c r="CN301" s="530"/>
      <c r="CO301" s="530"/>
      <c r="CP301" s="530"/>
      <c r="CQ301" s="530"/>
      <c r="CR301" s="530"/>
      <c r="CS301" s="530"/>
      <c r="CT301" s="530"/>
      <c r="CU301" s="530"/>
      <c r="CV301" s="530"/>
      <c r="CW301" s="530"/>
      <c r="CX301" s="530"/>
      <c r="CY301" s="530"/>
      <c r="CZ301" s="530"/>
      <c r="DA301" s="530"/>
      <c r="DB301" s="530"/>
      <c r="DC301" s="530"/>
      <c r="DD301" s="530"/>
      <c r="DE301" s="530"/>
      <c r="DF301" s="530"/>
      <c r="DG301" s="530"/>
      <c r="DH301" s="530"/>
      <c r="DI301" s="530"/>
      <c r="DJ301" s="530"/>
      <c r="DK301" s="530"/>
      <c r="DL301" s="530"/>
      <c r="DM301" s="530"/>
      <c r="DN301" s="530"/>
      <c r="DO301" s="530"/>
      <c r="DP301" s="530"/>
      <c r="DQ301" s="530"/>
      <c r="DR301" s="530"/>
      <c r="DS301" s="530"/>
      <c r="DT301" s="530"/>
      <c r="DU301" s="530"/>
      <c r="DV301" s="530"/>
      <c r="DW301" s="530"/>
      <c r="DX301" s="530"/>
      <c r="DY301" s="530"/>
      <c r="DZ301" s="530"/>
      <c r="EA301" s="530"/>
      <c r="EB301" s="530"/>
      <c r="EC301" s="530"/>
      <c r="ED301" s="530"/>
      <c r="EE301" s="530"/>
      <c r="EF301" s="530"/>
      <c r="EG301" s="530"/>
      <c r="EH301" s="530"/>
      <c r="EI301" s="530"/>
      <c r="EJ301" s="530"/>
      <c r="EK301" s="530"/>
      <c r="EL301" s="530"/>
      <c r="EM301" s="530"/>
      <c r="EN301" s="530"/>
      <c r="EO301" s="530"/>
      <c r="EP301" s="530"/>
      <c r="EQ301" s="530"/>
      <c r="ER301" s="530"/>
      <c r="ES301" s="530"/>
      <c r="ET301" s="530"/>
      <c r="EU301" s="530"/>
      <c r="EV301" s="530"/>
      <c r="EW301" s="530"/>
      <c r="EX301" s="530"/>
      <c r="EY301" s="530"/>
      <c r="EZ301" s="530"/>
      <c r="FA301" s="530"/>
      <c r="FB301" s="530"/>
      <c r="FC301" s="530"/>
      <c r="FD301" s="530"/>
      <c r="FE301" s="530"/>
      <c r="FF301" s="530"/>
      <c r="FG301" s="530"/>
      <c r="FH301" s="530"/>
      <c r="FI301" s="530"/>
      <c r="FJ301" s="530"/>
      <c r="FK301" s="530"/>
      <c r="FL301" s="530"/>
      <c r="FM301" s="530"/>
      <c r="FN301" s="530"/>
      <c r="FO301" s="530"/>
    </row>
    <row r="302" spans="1:171" s="1" customFormat="1" ht="13.5">
      <c r="A302" s="519" t="s">
        <v>188</v>
      </c>
      <c r="B302" s="453">
        <v>11910000</v>
      </c>
      <c r="C302" s="256">
        <v>11834900</v>
      </c>
      <c r="D302" s="256">
        <v>11817400</v>
      </c>
      <c r="E302" s="256">
        <v>11785400</v>
      </c>
      <c r="F302" s="256">
        <v>11748200</v>
      </c>
      <c r="G302" s="256">
        <v>11773000</v>
      </c>
      <c r="H302" s="454">
        <v>11625600</v>
      </c>
      <c r="I302" s="530"/>
      <c r="J302" s="530"/>
      <c r="K302" s="530"/>
      <c r="L302" s="530"/>
      <c r="M302" s="530"/>
      <c r="N302" s="530"/>
      <c r="O302" s="530"/>
      <c r="P302" s="530"/>
      <c r="Q302" s="530"/>
      <c r="R302" s="530"/>
      <c r="S302" s="530"/>
      <c r="T302" s="530"/>
      <c r="U302" s="530"/>
      <c r="V302" s="530"/>
      <c r="W302" s="530"/>
      <c r="X302" s="530"/>
      <c r="Y302" s="530"/>
      <c r="Z302" s="530"/>
      <c r="AA302" s="530"/>
      <c r="AB302" s="530"/>
      <c r="AC302" s="530"/>
      <c r="AD302" s="530"/>
      <c r="AE302" s="530"/>
      <c r="AF302" s="530"/>
      <c r="AG302" s="530"/>
      <c r="AH302" s="530"/>
      <c r="AI302" s="530"/>
      <c r="AJ302" s="530"/>
      <c r="AK302" s="530"/>
      <c r="AL302" s="530"/>
      <c r="AM302" s="530"/>
      <c r="AN302" s="530"/>
      <c r="AO302" s="530"/>
      <c r="AP302" s="530"/>
      <c r="AQ302" s="530"/>
      <c r="AR302" s="530"/>
      <c r="AS302" s="530"/>
      <c r="AT302" s="530"/>
      <c r="AU302" s="530"/>
      <c r="AV302" s="530"/>
      <c r="AW302" s="530"/>
      <c r="AX302" s="530"/>
      <c r="AY302" s="530"/>
      <c r="AZ302" s="530"/>
      <c r="BA302" s="530"/>
      <c r="BB302" s="530"/>
      <c r="BC302" s="530"/>
      <c r="BD302" s="530"/>
      <c r="BE302" s="530"/>
      <c r="BF302" s="530"/>
      <c r="BG302" s="530"/>
      <c r="BH302" s="530"/>
      <c r="BI302" s="530"/>
      <c r="BJ302" s="530"/>
      <c r="BK302" s="530"/>
      <c r="BL302" s="530"/>
      <c r="BM302" s="530"/>
      <c r="BN302" s="530"/>
      <c r="BO302" s="530"/>
      <c r="BP302" s="530"/>
      <c r="BQ302" s="530"/>
      <c r="BR302" s="530"/>
      <c r="BS302" s="530"/>
      <c r="BT302" s="530"/>
      <c r="BU302" s="530"/>
      <c r="BV302" s="530"/>
      <c r="BW302" s="530"/>
      <c r="BX302" s="530"/>
      <c r="BY302" s="530"/>
      <c r="BZ302" s="530"/>
      <c r="CA302" s="530"/>
      <c r="CB302" s="530"/>
      <c r="CC302" s="530"/>
      <c r="CD302" s="530"/>
      <c r="CE302" s="530"/>
      <c r="CF302" s="530"/>
      <c r="CG302" s="530"/>
      <c r="CH302" s="530"/>
      <c r="CI302" s="530"/>
      <c r="CJ302" s="530"/>
      <c r="CK302" s="530"/>
      <c r="CL302" s="530"/>
      <c r="CM302" s="530"/>
      <c r="CN302" s="530"/>
      <c r="CO302" s="530"/>
      <c r="CP302" s="530"/>
      <c r="CQ302" s="530"/>
      <c r="CR302" s="530"/>
      <c r="CS302" s="530"/>
      <c r="CT302" s="530"/>
      <c r="CU302" s="530"/>
      <c r="CV302" s="530"/>
      <c r="CW302" s="530"/>
      <c r="CX302" s="530"/>
      <c r="CY302" s="530"/>
      <c r="CZ302" s="530"/>
      <c r="DA302" s="530"/>
      <c r="DB302" s="530"/>
      <c r="DC302" s="530"/>
      <c r="DD302" s="530"/>
      <c r="DE302" s="530"/>
      <c r="DF302" s="530"/>
      <c r="DG302" s="530"/>
      <c r="DH302" s="530"/>
      <c r="DI302" s="530"/>
      <c r="DJ302" s="530"/>
      <c r="DK302" s="530"/>
      <c r="DL302" s="530"/>
      <c r="DM302" s="530"/>
      <c r="DN302" s="530"/>
      <c r="DO302" s="530"/>
      <c r="DP302" s="530"/>
      <c r="DQ302" s="530"/>
      <c r="DR302" s="530"/>
      <c r="DS302" s="530"/>
      <c r="DT302" s="530"/>
      <c r="DU302" s="530"/>
      <c r="DV302" s="530"/>
      <c r="DW302" s="530"/>
      <c r="DX302" s="530"/>
      <c r="DY302" s="530"/>
      <c r="DZ302" s="530"/>
      <c r="EA302" s="530"/>
      <c r="EB302" s="530"/>
      <c r="EC302" s="530"/>
      <c r="ED302" s="530"/>
      <c r="EE302" s="530"/>
      <c r="EF302" s="530"/>
      <c r="EG302" s="530"/>
      <c r="EH302" s="530"/>
      <c r="EI302" s="530"/>
      <c r="EJ302" s="530"/>
      <c r="EK302" s="530"/>
      <c r="EL302" s="530"/>
      <c r="EM302" s="530"/>
      <c r="EN302" s="530"/>
      <c r="EO302" s="530"/>
      <c r="EP302" s="530"/>
      <c r="EQ302" s="530"/>
      <c r="ER302" s="530"/>
      <c r="ES302" s="530"/>
      <c r="ET302" s="530"/>
      <c r="EU302" s="530"/>
      <c r="EV302" s="530"/>
      <c r="EW302" s="530"/>
      <c r="EX302" s="530"/>
      <c r="EY302" s="530"/>
      <c r="EZ302" s="530"/>
      <c r="FA302" s="530"/>
      <c r="FB302" s="530"/>
      <c r="FC302" s="530"/>
      <c r="FD302" s="530"/>
      <c r="FE302" s="530"/>
      <c r="FF302" s="530"/>
      <c r="FG302" s="530"/>
      <c r="FH302" s="530"/>
      <c r="FI302" s="530"/>
      <c r="FJ302" s="530"/>
      <c r="FK302" s="530"/>
      <c r="FL302" s="530"/>
      <c r="FM302" s="530"/>
      <c r="FN302" s="530"/>
      <c r="FO302" s="530"/>
    </row>
    <row r="303" spans="1:171" s="1" customFormat="1" ht="13.5">
      <c r="A303" s="519" t="s">
        <v>219</v>
      </c>
      <c r="B303" s="453">
        <v>1210500</v>
      </c>
      <c r="C303" s="256">
        <v>1232400</v>
      </c>
      <c r="D303" s="256">
        <v>1271000</v>
      </c>
      <c r="E303" s="256">
        <v>1227700</v>
      </c>
      <c r="F303" s="256">
        <v>1235300</v>
      </c>
      <c r="G303" s="256">
        <v>1182300</v>
      </c>
      <c r="H303" s="454">
        <v>1208500</v>
      </c>
      <c r="I303" s="530"/>
      <c r="J303" s="530"/>
      <c r="K303" s="530"/>
      <c r="L303" s="530"/>
      <c r="M303" s="530"/>
      <c r="N303" s="530"/>
      <c r="O303" s="530"/>
      <c r="P303" s="530"/>
      <c r="Q303" s="530"/>
      <c r="R303" s="530"/>
      <c r="S303" s="530"/>
      <c r="T303" s="530"/>
      <c r="U303" s="530"/>
      <c r="V303" s="530"/>
      <c r="W303" s="530"/>
      <c r="X303" s="530"/>
      <c r="Y303" s="530"/>
      <c r="Z303" s="530"/>
      <c r="AA303" s="530"/>
      <c r="AB303" s="530"/>
      <c r="AC303" s="530"/>
      <c r="AD303" s="530"/>
      <c r="AE303" s="530"/>
      <c r="AF303" s="530"/>
      <c r="AG303" s="530"/>
      <c r="AH303" s="530"/>
      <c r="AI303" s="530"/>
      <c r="AJ303" s="530"/>
      <c r="AK303" s="530"/>
      <c r="AL303" s="530"/>
      <c r="AM303" s="530"/>
      <c r="AN303" s="530"/>
      <c r="AO303" s="530"/>
      <c r="AP303" s="530"/>
      <c r="AQ303" s="530"/>
      <c r="AR303" s="530"/>
      <c r="AS303" s="530"/>
      <c r="AT303" s="530"/>
      <c r="AU303" s="530"/>
      <c r="AV303" s="530"/>
      <c r="AW303" s="530"/>
      <c r="AX303" s="530"/>
      <c r="AY303" s="530"/>
      <c r="AZ303" s="530"/>
      <c r="BA303" s="530"/>
      <c r="BB303" s="530"/>
      <c r="BC303" s="530"/>
      <c r="BD303" s="530"/>
      <c r="BE303" s="530"/>
      <c r="BF303" s="530"/>
      <c r="BG303" s="530"/>
      <c r="BH303" s="530"/>
      <c r="BI303" s="530"/>
      <c r="BJ303" s="530"/>
      <c r="BK303" s="530"/>
      <c r="BL303" s="530"/>
      <c r="BM303" s="530"/>
      <c r="BN303" s="530"/>
      <c r="BO303" s="530"/>
      <c r="BP303" s="530"/>
      <c r="BQ303" s="530"/>
      <c r="BR303" s="530"/>
      <c r="BS303" s="530"/>
      <c r="BT303" s="530"/>
      <c r="BU303" s="530"/>
      <c r="BV303" s="530"/>
      <c r="BW303" s="530"/>
      <c r="BX303" s="530"/>
      <c r="BY303" s="530"/>
      <c r="BZ303" s="530"/>
      <c r="CA303" s="530"/>
      <c r="CB303" s="530"/>
      <c r="CC303" s="530"/>
      <c r="CD303" s="530"/>
      <c r="CE303" s="530"/>
      <c r="CF303" s="530"/>
      <c r="CG303" s="530"/>
      <c r="CH303" s="530"/>
      <c r="CI303" s="530"/>
      <c r="CJ303" s="530"/>
      <c r="CK303" s="530"/>
      <c r="CL303" s="530"/>
      <c r="CM303" s="530"/>
      <c r="CN303" s="530"/>
      <c r="CO303" s="530"/>
      <c r="CP303" s="530"/>
      <c r="CQ303" s="530"/>
      <c r="CR303" s="530"/>
      <c r="CS303" s="530"/>
      <c r="CT303" s="530"/>
      <c r="CU303" s="530"/>
      <c r="CV303" s="530"/>
      <c r="CW303" s="530"/>
      <c r="CX303" s="530"/>
      <c r="CY303" s="530"/>
      <c r="CZ303" s="530"/>
      <c r="DA303" s="530"/>
      <c r="DB303" s="530"/>
      <c r="DC303" s="530"/>
      <c r="DD303" s="530"/>
      <c r="DE303" s="530"/>
      <c r="DF303" s="530"/>
      <c r="DG303" s="530"/>
      <c r="DH303" s="530"/>
      <c r="DI303" s="530"/>
      <c r="DJ303" s="530"/>
      <c r="DK303" s="530"/>
      <c r="DL303" s="530"/>
      <c r="DM303" s="530"/>
      <c r="DN303" s="530"/>
      <c r="DO303" s="530"/>
      <c r="DP303" s="530"/>
      <c r="DQ303" s="530"/>
      <c r="DR303" s="530"/>
      <c r="DS303" s="530"/>
      <c r="DT303" s="530"/>
      <c r="DU303" s="530"/>
      <c r="DV303" s="530"/>
      <c r="DW303" s="530"/>
      <c r="DX303" s="530"/>
      <c r="DY303" s="530"/>
      <c r="DZ303" s="530"/>
      <c r="EA303" s="530"/>
      <c r="EB303" s="530"/>
      <c r="EC303" s="530"/>
      <c r="ED303" s="530"/>
      <c r="EE303" s="530"/>
      <c r="EF303" s="530"/>
      <c r="EG303" s="530"/>
      <c r="EH303" s="530"/>
      <c r="EI303" s="530"/>
      <c r="EJ303" s="530"/>
      <c r="EK303" s="530"/>
      <c r="EL303" s="530"/>
      <c r="EM303" s="530"/>
      <c r="EN303" s="530"/>
      <c r="EO303" s="530"/>
      <c r="EP303" s="530"/>
      <c r="EQ303" s="530"/>
      <c r="ER303" s="530"/>
      <c r="ES303" s="530"/>
      <c r="ET303" s="530"/>
      <c r="EU303" s="530"/>
      <c r="EV303" s="530"/>
      <c r="EW303" s="530"/>
      <c r="EX303" s="530"/>
      <c r="EY303" s="530"/>
      <c r="EZ303" s="530"/>
      <c r="FA303" s="530"/>
      <c r="FB303" s="530"/>
      <c r="FC303" s="530"/>
      <c r="FD303" s="530"/>
      <c r="FE303" s="530"/>
      <c r="FF303" s="530"/>
      <c r="FG303" s="530"/>
      <c r="FH303" s="530"/>
      <c r="FI303" s="530"/>
      <c r="FJ303" s="530"/>
      <c r="FK303" s="530"/>
      <c r="FL303" s="530"/>
      <c r="FM303" s="530"/>
      <c r="FN303" s="530"/>
      <c r="FO303" s="530"/>
    </row>
    <row r="304" spans="1:171" s="1" customFormat="1" ht="14.25" thickBot="1">
      <c r="A304" s="520" t="s">
        <v>18</v>
      </c>
      <c r="B304" s="521">
        <v>29320000</v>
      </c>
      <c r="C304" s="522">
        <v>29155900</v>
      </c>
      <c r="D304" s="522">
        <v>29039900</v>
      </c>
      <c r="E304" s="522">
        <v>28807500</v>
      </c>
      <c r="F304" s="522">
        <v>28644400</v>
      </c>
      <c r="G304" s="522">
        <v>28525000</v>
      </c>
      <c r="H304" s="523">
        <v>28302500</v>
      </c>
      <c r="I304" s="530"/>
      <c r="J304" s="530"/>
      <c r="K304" s="530"/>
      <c r="L304" s="530"/>
      <c r="M304" s="530"/>
      <c r="N304" s="530"/>
      <c r="O304" s="530"/>
      <c r="P304" s="530"/>
      <c r="Q304" s="530"/>
      <c r="R304" s="530"/>
      <c r="S304" s="530"/>
      <c r="T304" s="530"/>
      <c r="U304" s="530"/>
      <c r="V304" s="530"/>
      <c r="W304" s="530"/>
      <c r="X304" s="530"/>
      <c r="Y304" s="530"/>
      <c r="Z304" s="530"/>
      <c r="AA304" s="530"/>
      <c r="AB304" s="530"/>
      <c r="AC304" s="530"/>
      <c r="AD304" s="530"/>
      <c r="AE304" s="530"/>
      <c r="AF304" s="530"/>
      <c r="AG304" s="530"/>
      <c r="AH304" s="530"/>
      <c r="AI304" s="530"/>
      <c r="AJ304" s="530"/>
      <c r="AK304" s="530"/>
      <c r="AL304" s="530"/>
      <c r="AM304" s="530"/>
      <c r="AN304" s="530"/>
      <c r="AO304" s="530"/>
      <c r="AP304" s="530"/>
      <c r="AQ304" s="530"/>
      <c r="AR304" s="530"/>
      <c r="AS304" s="530"/>
      <c r="AT304" s="530"/>
      <c r="AU304" s="530"/>
      <c r="AV304" s="530"/>
      <c r="AW304" s="530"/>
      <c r="AX304" s="530"/>
      <c r="AY304" s="530"/>
      <c r="AZ304" s="530"/>
      <c r="BA304" s="530"/>
      <c r="BB304" s="530"/>
      <c r="BC304" s="530"/>
      <c r="BD304" s="530"/>
      <c r="BE304" s="530"/>
      <c r="BF304" s="530"/>
      <c r="BG304" s="530"/>
      <c r="BH304" s="530"/>
      <c r="BI304" s="530"/>
      <c r="BJ304" s="530"/>
      <c r="BK304" s="530"/>
      <c r="BL304" s="530"/>
      <c r="BM304" s="530"/>
      <c r="BN304" s="530"/>
      <c r="BO304" s="530"/>
      <c r="BP304" s="530"/>
      <c r="BQ304" s="530"/>
      <c r="BR304" s="530"/>
      <c r="BS304" s="530"/>
      <c r="BT304" s="530"/>
      <c r="BU304" s="530"/>
      <c r="BV304" s="530"/>
      <c r="BW304" s="530"/>
      <c r="BX304" s="530"/>
      <c r="BY304" s="530"/>
      <c r="BZ304" s="530"/>
      <c r="CA304" s="530"/>
      <c r="CB304" s="530"/>
      <c r="CC304" s="530"/>
      <c r="CD304" s="530"/>
      <c r="CE304" s="530"/>
      <c r="CF304" s="530"/>
      <c r="CG304" s="530"/>
      <c r="CH304" s="530"/>
      <c r="CI304" s="530"/>
      <c r="CJ304" s="530"/>
      <c r="CK304" s="530"/>
      <c r="CL304" s="530"/>
      <c r="CM304" s="530"/>
      <c r="CN304" s="530"/>
      <c r="CO304" s="530"/>
      <c r="CP304" s="530"/>
      <c r="CQ304" s="530"/>
      <c r="CR304" s="530"/>
      <c r="CS304" s="530"/>
      <c r="CT304" s="530"/>
      <c r="CU304" s="530"/>
      <c r="CV304" s="530"/>
      <c r="CW304" s="530"/>
      <c r="CX304" s="530"/>
      <c r="CY304" s="530"/>
      <c r="CZ304" s="530"/>
      <c r="DA304" s="530"/>
      <c r="DB304" s="530"/>
      <c r="DC304" s="530"/>
      <c r="DD304" s="530"/>
      <c r="DE304" s="530"/>
      <c r="DF304" s="530"/>
      <c r="DG304" s="530"/>
      <c r="DH304" s="530"/>
      <c r="DI304" s="530"/>
      <c r="DJ304" s="530"/>
      <c r="DK304" s="530"/>
      <c r="DL304" s="530"/>
      <c r="DM304" s="530"/>
      <c r="DN304" s="530"/>
      <c r="DO304" s="530"/>
      <c r="DP304" s="530"/>
      <c r="DQ304" s="530"/>
      <c r="DR304" s="530"/>
      <c r="DS304" s="530"/>
      <c r="DT304" s="530"/>
      <c r="DU304" s="530"/>
      <c r="DV304" s="530"/>
      <c r="DW304" s="530"/>
      <c r="DX304" s="530"/>
      <c r="DY304" s="530"/>
      <c r="DZ304" s="530"/>
      <c r="EA304" s="530"/>
      <c r="EB304" s="530"/>
      <c r="EC304" s="530"/>
      <c r="ED304" s="530"/>
      <c r="EE304" s="530"/>
      <c r="EF304" s="530"/>
      <c r="EG304" s="530"/>
      <c r="EH304" s="530"/>
      <c r="EI304" s="530"/>
      <c r="EJ304" s="530"/>
      <c r="EK304" s="530"/>
      <c r="EL304" s="530"/>
      <c r="EM304" s="530"/>
      <c r="EN304" s="530"/>
      <c r="EO304" s="530"/>
      <c r="EP304" s="530"/>
      <c r="EQ304" s="530"/>
      <c r="ER304" s="530"/>
      <c r="ES304" s="530"/>
      <c r="ET304" s="530"/>
      <c r="EU304" s="530"/>
      <c r="EV304" s="530"/>
      <c r="EW304" s="530"/>
      <c r="EX304" s="530"/>
      <c r="EY304" s="530"/>
      <c r="EZ304" s="530"/>
      <c r="FA304" s="530"/>
      <c r="FB304" s="530"/>
      <c r="FC304" s="530"/>
      <c r="FD304" s="530"/>
      <c r="FE304" s="530"/>
      <c r="FF304" s="530"/>
      <c r="FG304" s="530"/>
      <c r="FH304" s="530"/>
      <c r="FI304" s="530"/>
      <c r="FJ304" s="530"/>
      <c r="FK304" s="530"/>
      <c r="FL304" s="530"/>
      <c r="FM304" s="530"/>
      <c r="FN304" s="530"/>
      <c r="FO304" s="530"/>
    </row>
    <row r="305" spans="1:171" s="1" customFormat="1" ht="13.5">
      <c r="A305" s="14" t="s">
        <v>225</v>
      </c>
      <c r="B305" s="530"/>
      <c r="C305" s="530"/>
      <c r="D305" s="530"/>
      <c r="E305" s="530"/>
      <c r="F305" s="530"/>
      <c r="G305" s="530"/>
      <c r="H305" s="530"/>
      <c r="I305" s="530"/>
      <c r="J305" s="530"/>
      <c r="K305" s="530"/>
      <c r="L305" s="530"/>
      <c r="M305" s="530"/>
      <c r="N305" s="530"/>
      <c r="O305" s="530"/>
      <c r="P305" s="530"/>
      <c r="Q305" s="530"/>
      <c r="R305" s="530"/>
      <c r="S305" s="530"/>
      <c r="T305" s="530"/>
      <c r="U305" s="530"/>
      <c r="V305" s="530"/>
      <c r="W305" s="530"/>
      <c r="X305" s="530"/>
      <c r="Y305" s="530"/>
      <c r="Z305" s="530"/>
      <c r="AA305" s="530"/>
      <c r="AB305" s="530"/>
      <c r="AC305" s="530"/>
      <c r="AD305" s="530"/>
      <c r="AE305" s="530"/>
      <c r="AF305" s="530"/>
      <c r="AG305" s="530"/>
      <c r="AH305" s="530"/>
      <c r="AI305" s="530"/>
      <c r="AJ305" s="530"/>
      <c r="AK305" s="530"/>
      <c r="AL305" s="530"/>
      <c r="AM305" s="530"/>
      <c r="AN305" s="530"/>
      <c r="AO305" s="530"/>
      <c r="AP305" s="530"/>
      <c r="AQ305" s="530"/>
      <c r="AR305" s="530"/>
      <c r="AS305" s="530"/>
      <c r="AT305" s="530"/>
      <c r="AU305" s="530"/>
      <c r="AV305" s="530"/>
      <c r="AW305" s="530"/>
      <c r="AX305" s="530"/>
      <c r="AY305" s="530"/>
      <c r="AZ305" s="530"/>
      <c r="BA305" s="530"/>
      <c r="BB305" s="530"/>
      <c r="BC305" s="530"/>
      <c r="BD305" s="530"/>
      <c r="BE305" s="530"/>
      <c r="BF305" s="530"/>
      <c r="BG305" s="530"/>
      <c r="BH305" s="530"/>
      <c r="BI305" s="530"/>
      <c r="BJ305" s="530"/>
      <c r="BK305" s="530"/>
      <c r="BL305" s="530"/>
      <c r="BM305" s="530"/>
      <c r="BN305" s="530"/>
      <c r="BO305" s="530"/>
      <c r="BP305" s="530"/>
      <c r="BQ305" s="530"/>
      <c r="BR305" s="530"/>
      <c r="BS305" s="530"/>
      <c r="BT305" s="530"/>
      <c r="BU305" s="530"/>
      <c r="BV305" s="530"/>
      <c r="BW305" s="530"/>
      <c r="BX305" s="530"/>
      <c r="BY305" s="530"/>
      <c r="BZ305" s="530"/>
      <c r="CA305" s="530"/>
      <c r="CB305" s="530"/>
      <c r="CC305" s="530"/>
      <c r="CD305" s="530"/>
      <c r="CE305" s="530"/>
      <c r="CF305" s="530"/>
      <c r="CG305" s="530"/>
      <c r="CH305" s="530"/>
      <c r="CI305" s="530"/>
      <c r="CJ305" s="530"/>
      <c r="CK305" s="530"/>
      <c r="CL305" s="530"/>
      <c r="CM305" s="530"/>
      <c r="CN305" s="530"/>
      <c r="CO305" s="530"/>
      <c r="CP305" s="530"/>
      <c r="CQ305" s="530"/>
      <c r="CR305" s="530"/>
      <c r="CS305" s="530"/>
      <c r="CT305" s="530"/>
      <c r="CU305" s="530"/>
      <c r="CV305" s="530"/>
      <c r="CW305" s="530"/>
      <c r="CX305" s="530"/>
      <c r="CY305" s="530"/>
      <c r="CZ305" s="530"/>
      <c r="DA305" s="530"/>
      <c r="DB305" s="530"/>
      <c r="DC305" s="530"/>
      <c r="DD305" s="530"/>
      <c r="DE305" s="530"/>
      <c r="DF305" s="530"/>
      <c r="DG305" s="530"/>
      <c r="DH305" s="530"/>
      <c r="DI305" s="530"/>
      <c r="DJ305" s="530"/>
      <c r="DK305" s="530"/>
      <c r="DL305" s="530"/>
      <c r="DM305" s="530"/>
      <c r="DN305" s="530"/>
      <c r="DO305" s="530"/>
      <c r="DP305" s="530"/>
      <c r="DQ305" s="530"/>
      <c r="DR305" s="530"/>
      <c r="DS305" s="530"/>
      <c r="DT305" s="530"/>
      <c r="DU305" s="530"/>
      <c r="DV305" s="530"/>
      <c r="DW305" s="530"/>
      <c r="DX305" s="530"/>
      <c r="DY305" s="530"/>
      <c r="DZ305" s="530"/>
      <c r="EA305" s="530"/>
      <c r="EB305" s="530"/>
      <c r="EC305" s="530"/>
      <c r="ED305" s="530"/>
      <c r="EE305" s="530"/>
      <c r="EF305" s="530"/>
      <c r="EG305" s="530"/>
      <c r="EH305" s="530"/>
      <c r="EI305" s="530"/>
      <c r="EJ305" s="530"/>
      <c r="EK305" s="530"/>
      <c r="EL305" s="530"/>
      <c r="EM305" s="530"/>
      <c r="EN305" s="530"/>
      <c r="EO305" s="530"/>
      <c r="EP305" s="530"/>
      <c r="EQ305" s="530"/>
      <c r="ER305" s="530"/>
      <c r="ES305" s="530"/>
      <c r="ET305" s="530"/>
      <c r="EU305" s="530"/>
      <c r="EV305" s="530"/>
      <c r="EW305" s="530"/>
      <c r="EX305" s="530"/>
      <c r="EY305" s="530"/>
      <c r="EZ305" s="530"/>
      <c r="FA305" s="530"/>
      <c r="FB305" s="530"/>
      <c r="FC305" s="530"/>
      <c r="FD305" s="530"/>
      <c r="FE305" s="530"/>
      <c r="FF305" s="530"/>
      <c r="FG305" s="530"/>
      <c r="FH305" s="530"/>
      <c r="FI305" s="530"/>
      <c r="FJ305" s="530"/>
      <c r="FK305" s="530"/>
      <c r="FL305" s="530"/>
      <c r="FM305" s="530"/>
      <c r="FN305" s="530"/>
      <c r="FO305" s="530"/>
    </row>
    <row r="306" spans="1:171" s="1" customFormat="1" ht="13.5">
      <c r="A306" s="6" t="s">
        <v>221</v>
      </c>
      <c r="B306" s="530"/>
      <c r="C306" s="530"/>
      <c r="D306" s="530"/>
      <c r="E306" s="530"/>
      <c r="F306" s="530"/>
      <c r="G306" s="530"/>
      <c r="H306" s="530"/>
      <c r="I306" s="530"/>
      <c r="J306" s="530"/>
      <c r="K306" s="530"/>
      <c r="L306" s="530"/>
      <c r="M306" s="530"/>
      <c r="N306" s="530"/>
      <c r="O306" s="530"/>
      <c r="P306" s="530"/>
      <c r="Q306" s="530"/>
      <c r="R306" s="530"/>
      <c r="S306" s="530"/>
      <c r="T306" s="530"/>
      <c r="U306" s="530"/>
      <c r="V306" s="530"/>
      <c r="W306" s="530"/>
      <c r="X306" s="530"/>
      <c r="Y306" s="530"/>
      <c r="Z306" s="530"/>
      <c r="AA306" s="530"/>
      <c r="AB306" s="530"/>
      <c r="AC306" s="530"/>
      <c r="AD306" s="530"/>
      <c r="AE306" s="530"/>
      <c r="AF306" s="530"/>
      <c r="AG306" s="530"/>
      <c r="AH306" s="530"/>
      <c r="AI306" s="530"/>
      <c r="AJ306" s="530"/>
      <c r="AK306" s="530"/>
      <c r="AL306" s="530"/>
      <c r="AM306" s="530"/>
      <c r="AN306" s="530"/>
      <c r="AO306" s="530"/>
      <c r="AP306" s="530"/>
      <c r="AQ306" s="530"/>
      <c r="AR306" s="530"/>
      <c r="AS306" s="530"/>
      <c r="AT306" s="530"/>
      <c r="AU306" s="530"/>
      <c r="AV306" s="530"/>
      <c r="AW306" s="530"/>
      <c r="AX306" s="530"/>
      <c r="AY306" s="530"/>
      <c r="AZ306" s="530"/>
      <c r="BA306" s="530"/>
      <c r="BB306" s="530"/>
      <c r="BC306" s="530"/>
      <c r="BD306" s="530"/>
      <c r="BE306" s="530"/>
      <c r="BF306" s="530"/>
      <c r="BG306" s="530"/>
      <c r="BH306" s="530"/>
      <c r="BI306" s="530"/>
      <c r="BJ306" s="530"/>
      <c r="BK306" s="530"/>
      <c r="BL306" s="530"/>
      <c r="BM306" s="530"/>
      <c r="BN306" s="530"/>
      <c r="BO306" s="530"/>
      <c r="BP306" s="530"/>
      <c r="BQ306" s="530"/>
      <c r="BR306" s="530"/>
      <c r="BS306" s="530"/>
      <c r="BT306" s="530"/>
      <c r="BU306" s="530"/>
      <c r="BV306" s="530"/>
      <c r="BW306" s="530"/>
      <c r="BX306" s="530"/>
      <c r="BY306" s="530"/>
      <c r="BZ306" s="530"/>
      <c r="CA306" s="530"/>
      <c r="CB306" s="530"/>
      <c r="CC306" s="530"/>
      <c r="CD306" s="530"/>
      <c r="CE306" s="530"/>
      <c r="CF306" s="530"/>
      <c r="CG306" s="530"/>
      <c r="CH306" s="530"/>
      <c r="CI306" s="530"/>
      <c r="CJ306" s="530"/>
      <c r="CK306" s="530"/>
      <c r="CL306" s="530"/>
      <c r="CM306" s="530"/>
      <c r="CN306" s="530"/>
      <c r="CO306" s="530"/>
      <c r="CP306" s="530"/>
      <c r="CQ306" s="530"/>
      <c r="CR306" s="530"/>
      <c r="CS306" s="530"/>
      <c r="CT306" s="530"/>
      <c r="CU306" s="530"/>
      <c r="CV306" s="530"/>
      <c r="CW306" s="530"/>
      <c r="CX306" s="530"/>
      <c r="CY306" s="530"/>
      <c r="CZ306" s="530"/>
      <c r="DA306" s="530"/>
      <c r="DB306" s="530"/>
      <c r="DC306" s="530"/>
      <c r="DD306" s="530"/>
      <c r="DE306" s="530"/>
      <c r="DF306" s="530"/>
      <c r="DG306" s="530"/>
      <c r="DH306" s="530"/>
      <c r="DI306" s="530"/>
      <c r="DJ306" s="530"/>
      <c r="DK306" s="530"/>
      <c r="DL306" s="530"/>
      <c r="DM306" s="530"/>
      <c r="DN306" s="530"/>
      <c r="DO306" s="530"/>
      <c r="DP306" s="530"/>
      <c r="DQ306" s="530"/>
      <c r="DR306" s="530"/>
      <c r="DS306" s="530"/>
      <c r="DT306" s="530"/>
      <c r="DU306" s="530"/>
      <c r="DV306" s="530"/>
      <c r="DW306" s="530"/>
      <c r="DX306" s="530"/>
      <c r="DY306" s="530"/>
      <c r="DZ306" s="530"/>
      <c r="EA306" s="530"/>
      <c r="EB306" s="530"/>
      <c r="EC306" s="530"/>
      <c r="ED306" s="530"/>
      <c r="EE306" s="530"/>
      <c r="EF306" s="530"/>
      <c r="EG306" s="530"/>
      <c r="EH306" s="530"/>
      <c r="EI306" s="530"/>
      <c r="EJ306" s="530"/>
      <c r="EK306" s="530"/>
      <c r="EL306" s="530"/>
      <c r="EM306" s="530"/>
      <c r="EN306" s="530"/>
      <c r="EO306" s="530"/>
      <c r="EP306" s="530"/>
      <c r="EQ306" s="530"/>
      <c r="ER306" s="530"/>
      <c r="ES306" s="530"/>
      <c r="ET306" s="530"/>
      <c r="EU306" s="530"/>
      <c r="EV306" s="530"/>
      <c r="EW306" s="530"/>
      <c r="EX306" s="530"/>
      <c r="EY306" s="530"/>
      <c r="EZ306" s="530"/>
      <c r="FA306" s="530"/>
      <c r="FB306" s="530"/>
      <c r="FC306" s="530"/>
      <c r="FD306" s="530"/>
      <c r="FE306" s="530"/>
      <c r="FF306" s="530"/>
      <c r="FG306" s="530"/>
      <c r="FH306" s="530"/>
      <c r="FI306" s="530"/>
      <c r="FJ306" s="530"/>
      <c r="FK306" s="530"/>
      <c r="FL306" s="530"/>
      <c r="FM306" s="530"/>
      <c r="FN306" s="530"/>
      <c r="FO306" s="530"/>
    </row>
    <row r="307" spans="1:171" s="1" customFormat="1" ht="13.5">
      <c r="A307" s="6" t="s">
        <v>455</v>
      </c>
      <c r="B307" s="530"/>
      <c r="C307" s="530"/>
      <c r="D307" s="530"/>
      <c r="E307" s="530"/>
      <c r="F307" s="530"/>
      <c r="G307" s="530"/>
      <c r="H307" s="530"/>
      <c r="I307" s="530"/>
      <c r="J307" s="530"/>
      <c r="K307" s="530"/>
      <c r="L307" s="530"/>
      <c r="M307" s="530"/>
      <c r="N307" s="530"/>
      <c r="O307" s="530"/>
      <c r="P307" s="530"/>
      <c r="Q307" s="530"/>
      <c r="R307" s="530"/>
      <c r="S307" s="530"/>
      <c r="T307" s="530"/>
      <c r="U307" s="530"/>
      <c r="V307" s="530"/>
      <c r="W307" s="530"/>
      <c r="X307" s="530"/>
      <c r="Y307" s="530"/>
      <c r="Z307" s="530"/>
      <c r="AA307" s="530"/>
      <c r="AB307" s="530"/>
      <c r="AC307" s="530"/>
      <c r="AD307" s="530"/>
      <c r="AE307" s="530"/>
      <c r="AF307" s="530"/>
      <c r="AG307" s="530"/>
      <c r="AH307" s="530"/>
      <c r="AI307" s="530"/>
      <c r="AJ307" s="530"/>
      <c r="AK307" s="530"/>
      <c r="AL307" s="530"/>
      <c r="AM307" s="530"/>
      <c r="AN307" s="530"/>
      <c r="AO307" s="530"/>
      <c r="AP307" s="530"/>
      <c r="AQ307" s="530"/>
      <c r="AR307" s="530"/>
      <c r="AS307" s="530"/>
      <c r="AT307" s="530"/>
      <c r="AU307" s="530"/>
      <c r="AV307" s="530"/>
      <c r="AW307" s="530"/>
      <c r="AX307" s="530"/>
      <c r="AY307" s="530"/>
      <c r="AZ307" s="530"/>
      <c r="BA307" s="530"/>
      <c r="BB307" s="530"/>
      <c r="BC307" s="530"/>
      <c r="BD307" s="530"/>
      <c r="BE307" s="530"/>
      <c r="BF307" s="530"/>
      <c r="BG307" s="530"/>
      <c r="BH307" s="530"/>
      <c r="BI307" s="530"/>
      <c r="BJ307" s="530"/>
      <c r="BK307" s="530"/>
      <c r="BL307" s="530"/>
      <c r="BM307" s="530"/>
      <c r="BN307" s="530"/>
      <c r="BO307" s="530"/>
      <c r="BP307" s="530"/>
      <c r="BQ307" s="530"/>
      <c r="BR307" s="530"/>
      <c r="BS307" s="530"/>
      <c r="BT307" s="530"/>
      <c r="BU307" s="530"/>
      <c r="BV307" s="530"/>
      <c r="BW307" s="530"/>
      <c r="BX307" s="530"/>
      <c r="BY307" s="530"/>
      <c r="BZ307" s="530"/>
      <c r="CA307" s="530"/>
      <c r="CB307" s="530"/>
      <c r="CC307" s="530"/>
      <c r="CD307" s="530"/>
      <c r="CE307" s="530"/>
      <c r="CF307" s="530"/>
      <c r="CG307" s="530"/>
      <c r="CH307" s="530"/>
      <c r="CI307" s="530"/>
      <c r="CJ307" s="530"/>
      <c r="CK307" s="530"/>
      <c r="CL307" s="530"/>
      <c r="CM307" s="530"/>
      <c r="CN307" s="530"/>
      <c r="CO307" s="530"/>
      <c r="CP307" s="530"/>
      <c r="CQ307" s="530"/>
      <c r="CR307" s="530"/>
      <c r="CS307" s="530"/>
      <c r="CT307" s="530"/>
      <c r="CU307" s="530"/>
      <c r="CV307" s="530"/>
      <c r="CW307" s="530"/>
      <c r="CX307" s="530"/>
      <c r="CY307" s="530"/>
      <c r="CZ307" s="530"/>
      <c r="DA307" s="530"/>
      <c r="DB307" s="530"/>
      <c r="DC307" s="530"/>
      <c r="DD307" s="530"/>
      <c r="DE307" s="530"/>
      <c r="DF307" s="530"/>
      <c r="DG307" s="530"/>
      <c r="DH307" s="530"/>
      <c r="DI307" s="530"/>
      <c r="DJ307" s="530"/>
      <c r="DK307" s="530"/>
      <c r="DL307" s="530"/>
      <c r="DM307" s="530"/>
      <c r="DN307" s="530"/>
      <c r="DO307" s="530"/>
      <c r="DP307" s="530"/>
      <c r="DQ307" s="530"/>
      <c r="DR307" s="530"/>
      <c r="DS307" s="530"/>
      <c r="DT307" s="530"/>
      <c r="DU307" s="530"/>
      <c r="DV307" s="530"/>
      <c r="DW307" s="530"/>
      <c r="DX307" s="530"/>
      <c r="DY307" s="530"/>
      <c r="DZ307" s="530"/>
      <c r="EA307" s="530"/>
      <c r="EB307" s="530"/>
      <c r="EC307" s="530"/>
      <c r="ED307" s="530"/>
      <c r="EE307" s="530"/>
      <c r="EF307" s="530"/>
      <c r="EG307" s="530"/>
      <c r="EH307" s="530"/>
      <c r="EI307" s="530"/>
      <c r="EJ307" s="530"/>
      <c r="EK307" s="530"/>
      <c r="EL307" s="530"/>
      <c r="EM307" s="530"/>
      <c r="EN307" s="530"/>
      <c r="EO307" s="530"/>
      <c r="EP307" s="530"/>
      <c r="EQ307" s="530"/>
      <c r="ER307" s="530"/>
      <c r="ES307" s="530"/>
      <c r="ET307" s="530"/>
      <c r="EU307" s="530"/>
      <c r="EV307" s="530"/>
      <c r="EW307" s="530"/>
      <c r="EX307" s="530"/>
      <c r="EY307" s="530"/>
      <c r="EZ307" s="530"/>
      <c r="FA307" s="530"/>
      <c r="FB307" s="530"/>
      <c r="FC307" s="530"/>
      <c r="FD307" s="530"/>
      <c r="FE307" s="530"/>
      <c r="FF307" s="530"/>
      <c r="FG307" s="530"/>
      <c r="FH307" s="530"/>
      <c r="FI307" s="530"/>
      <c r="FJ307" s="530"/>
      <c r="FK307" s="530"/>
      <c r="FL307" s="530"/>
      <c r="FM307" s="530"/>
      <c r="FN307" s="530"/>
      <c r="FO307" s="530"/>
    </row>
    <row r="308" spans="1:171" s="1" customFormat="1" ht="13.5">
      <c r="A308" s="6" t="s">
        <v>226</v>
      </c>
      <c r="B308" s="530"/>
      <c r="C308" s="530"/>
      <c r="D308" s="530"/>
      <c r="E308" s="530"/>
      <c r="F308" s="530"/>
      <c r="G308" s="530"/>
      <c r="H308" s="530"/>
      <c r="I308" s="530"/>
      <c r="J308" s="530"/>
      <c r="K308" s="530"/>
      <c r="L308" s="530"/>
      <c r="M308" s="530"/>
      <c r="N308" s="530"/>
      <c r="O308" s="530"/>
      <c r="P308" s="530"/>
      <c r="Q308" s="530"/>
      <c r="R308" s="530"/>
      <c r="S308" s="530"/>
      <c r="T308" s="530"/>
      <c r="U308" s="530"/>
      <c r="V308" s="530"/>
      <c r="W308" s="530"/>
      <c r="X308" s="530"/>
      <c r="Y308" s="530"/>
      <c r="Z308" s="530"/>
      <c r="AA308" s="530"/>
      <c r="AB308" s="530"/>
      <c r="AC308" s="530"/>
      <c r="AD308" s="530"/>
      <c r="AE308" s="530"/>
      <c r="AF308" s="530"/>
      <c r="AG308" s="530"/>
      <c r="AH308" s="530"/>
      <c r="AI308" s="530"/>
      <c r="AJ308" s="530"/>
      <c r="AK308" s="530"/>
      <c r="AL308" s="530"/>
      <c r="AM308" s="530"/>
      <c r="AN308" s="530"/>
      <c r="AO308" s="530"/>
      <c r="AP308" s="530"/>
      <c r="AQ308" s="530"/>
      <c r="AR308" s="530"/>
      <c r="AS308" s="530"/>
      <c r="AT308" s="530"/>
      <c r="AU308" s="530"/>
      <c r="AV308" s="530"/>
      <c r="AW308" s="530"/>
      <c r="AX308" s="530"/>
      <c r="AY308" s="530"/>
      <c r="AZ308" s="530"/>
      <c r="BA308" s="530"/>
      <c r="BB308" s="530"/>
      <c r="BC308" s="530"/>
      <c r="BD308" s="530"/>
      <c r="BE308" s="530"/>
      <c r="BF308" s="530"/>
      <c r="BG308" s="530"/>
      <c r="BH308" s="530"/>
      <c r="BI308" s="530"/>
      <c r="BJ308" s="530"/>
      <c r="BK308" s="530"/>
      <c r="BL308" s="530"/>
      <c r="BM308" s="530"/>
      <c r="BN308" s="530"/>
      <c r="BO308" s="530"/>
      <c r="BP308" s="530"/>
      <c r="BQ308" s="530"/>
      <c r="BR308" s="530"/>
      <c r="BS308" s="530"/>
      <c r="BT308" s="530"/>
      <c r="BU308" s="530"/>
      <c r="BV308" s="530"/>
      <c r="BW308" s="530"/>
      <c r="BX308" s="530"/>
      <c r="BY308" s="530"/>
      <c r="BZ308" s="530"/>
      <c r="CA308" s="530"/>
      <c r="CB308" s="530"/>
      <c r="CC308" s="530"/>
      <c r="CD308" s="530"/>
      <c r="CE308" s="530"/>
      <c r="CF308" s="530"/>
      <c r="CG308" s="530"/>
      <c r="CH308" s="530"/>
      <c r="CI308" s="530"/>
      <c r="CJ308" s="530"/>
      <c r="CK308" s="530"/>
      <c r="CL308" s="530"/>
      <c r="CM308" s="530"/>
      <c r="CN308" s="530"/>
      <c r="CO308" s="530"/>
      <c r="CP308" s="530"/>
      <c r="CQ308" s="530"/>
      <c r="CR308" s="530"/>
      <c r="CS308" s="530"/>
      <c r="CT308" s="530"/>
      <c r="CU308" s="530"/>
      <c r="CV308" s="530"/>
      <c r="CW308" s="530"/>
      <c r="CX308" s="530"/>
      <c r="CY308" s="530"/>
      <c r="CZ308" s="530"/>
      <c r="DA308" s="530"/>
      <c r="DB308" s="530"/>
      <c r="DC308" s="530"/>
      <c r="DD308" s="530"/>
      <c r="DE308" s="530"/>
      <c r="DF308" s="530"/>
      <c r="DG308" s="530"/>
      <c r="DH308" s="530"/>
      <c r="DI308" s="530"/>
      <c r="DJ308" s="530"/>
      <c r="DK308" s="530"/>
      <c r="DL308" s="530"/>
      <c r="DM308" s="530"/>
      <c r="DN308" s="530"/>
      <c r="DO308" s="530"/>
      <c r="DP308" s="530"/>
      <c r="DQ308" s="530"/>
      <c r="DR308" s="530"/>
      <c r="DS308" s="530"/>
      <c r="DT308" s="530"/>
      <c r="DU308" s="530"/>
      <c r="DV308" s="530"/>
      <c r="DW308" s="530"/>
      <c r="DX308" s="530"/>
      <c r="DY308" s="530"/>
      <c r="DZ308" s="530"/>
      <c r="EA308" s="530"/>
      <c r="EB308" s="530"/>
      <c r="EC308" s="530"/>
      <c r="ED308" s="530"/>
      <c r="EE308" s="530"/>
      <c r="EF308" s="530"/>
      <c r="EG308" s="530"/>
      <c r="EH308" s="530"/>
      <c r="EI308" s="530"/>
      <c r="EJ308" s="530"/>
      <c r="EK308" s="530"/>
      <c r="EL308" s="530"/>
      <c r="EM308" s="530"/>
      <c r="EN308" s="530"/>
      <c r="EO308" s="530"/>
      <c r="EP308" s="530"/>
      <c r="EQ308" s="530"/>
      <c r="ER308" s="530"/>
      <c r="ES308" s="530"/>
      <c r="ET308" s="530"/>
      <c r="EU308" s="530"/>
      <c r="EV308" s="530"/>
      <c r="EW308" s="530"/>
      <c r="EX308" s="530"/>
      <c r="EY308" s="530"/>
      <c r="EZ308" s="530"/>
      <c r="FA308" s="530"/>
      <c r="FB308" s="530"/>
      <c r="FC308" s="530"/>
      <c r="FD308" s="530"/>
      <c r="FE308" s="530"/>
      <c r="FF308" s="530"/>
      <c r="FG308" s="530"/>
      <c r="FH308" s="530"/>
      <c r="FI308" s="530"/>
      <c r="FJ308" s="530"/>
      <c r="FK308" s="530"/>
      <c r="FL308" s="530"/>
      <c r="FM308" s="530"/>
      <c r="FN308" s="530"/>
      <c r="FO308" s="530"/>
    </row>
    <row r="309" spans="1:171" s="1" customFormat="1" ht="13.5">
      <c r="A309" s="6"/>
      <c r="B309" s="530"/>
      <c r="C309" s="530"/>
      <c r="D309" s="530"/>
      <c r="E309" s="530"/>
      <c r="F309" s="530"/>
      <c r="G309" s="530"/>
      <c r="H309" s="530"/>
      <c r="I309" s="530"/>
      <c r="J309" s="530"/>
      <c r="K309" s="530"/>
      <c r="L309" s="530"/>
      <c r="M309" s="530"/>
      <c r="N309" s="530"/>
      <c r="O309" s="530"/>
      <c r="P309" s="530"/>
      <c r="Q309" s="530"/>
      <c r="R309" s="530"/>
      <c r="S309" s="530"/>
      <c r="T309" s="530"/>
      <c r="U309" s="530"/>
      <c r="V309" s="530"/>
      <c r="W309" s="530"/>
      <c r="X309" s="530"/>
      <c r="Y309" s="530"/>
      <c r="Z309" s="530"/>
      <c r="AA309" s="530"/>
      <c r="AB309" s="530"/>
      <c r="AC309" s="530"/>
      <c r="AD309" s="530"/>
      <c r="AE309" s="530"/>
      <c r="AF309" s="530"/>
      <c r="AG309" s="530"/>
      <c r="AH309" s="530"/>
      <c r="AI309" s="530"/>
      <c r="AJ309" s="530"/>
      <c r="AK309" s="530"/>
      <c r="AL309" s="530"/>
      <c r="AM309" s="530"/>
      <c r="AN309" s="530"/>
      <c r="AO309" s="530"/>
      <c r="AP309" s="530"/>
      <c r="AQ309" s="530"/>
      <c r="AR309" s="530"/>
      <c r="AS309" s="530"/>
      <c r="AT309" s="530"/>
      <c r="AU309" s="530"/>
      <c r="AV309" s="530"/>
      <c r="AW309" s="530"/>
      <c r="AX309" s="530"/>
      <c r="AY309" s="530"/>
      <c r="AZ309" s="530"/>
      <c r="BA309" s="530"/>
      <c r="BB309" s="530"/>
      <c r="BC309" s="530"/>
      <c r="BD309" s="530"/>
      <c r="BE309" s="530"/>
      <c r="BF309" s="530"/>
      <c r="BG309" s="530"/>
      <c r="BH309" s="530"/>
      <c r="BI309" s="530"/>
      <c r="BJ309" s="530"/>
      <c r="BK309" s="530"/>
      <c r="BL309" s="530"/>
      <c r="BM309" s="530"/>
      <c r="BN309" s="530"/>
      <c r="BO309" s="530"/>
      <c r="BP309" s="530"/>
      <c r="BQ309" s="530"/>
      <c r="BR309" s="530"/>
      <c r="BS309" s="530"/>
      <c r="BT309" s="530"/>
      <c r="BU309" s="530"/>
      <c r="BV309" s="530"/>
      <c r="BW309" s="530"/>
      <c r="BX309" s="530"/>
      <c r="BY309" s="530"/>
      <c r="BZ309" s="530"/>
      <c r="CA309" s="530"/>
      <c r="CB309" s="530"/>
      <c r="CC309" s="530"/>
      <c r="CD309" s="530"/>
      <c r="CE309" s="530"/>
      <c r="CF309" s="530"/>
      <c r="CG309" s="530"/>
      <c r="CH309" s="530"/>
      <c r="CI309" s="530"/>
      <c r="CJ309" s="530"/>
      <c r="CK309" s="530"/>
      <c r="CL309" s="530"/>
      <c r="CM309" s="530"/>
      <c r="CN309" s="530"/>
      <c r="CO309" s="530"/>
      <c r="CP309" s="530"/>
      <c r="CQ309" s="530"/>
      <c r="CR309" s="530"/>
      <c r="CS309" s="530"/>
      <c r="CT309" s="530"/>
      <c r="CU309" s="530"/>
      <c r="CV309" s="530"/>
      <c r="CW309" s="530"/>
      <c r="CX309" s="530"/>
      <c r="CY309" s="530"/>
      <c r="CZ309" s="530"/>
      <c r="DA309" s="530"/>
      <c r="DB309" s="530"/>
      <c r="DC309" s="530"/>
      <c r="DD309" s="530"/>
      <c r="DE309" s="530"/>
      <c r="DF309" s="530"/>
      <c r="DG309" s="530"/>
      <c r="DH309" s="530"/>
      <c r="DI309" s="530"/>
      <c r="DJ309" s="530"/>
      <c r="DK309" s="530"/>
      <c r="DL309" s="530"/>
      <c r="DM309" s="530"/>
      <c r="DN309" s="530"/>
      <c r="DO309" s="530"/>
      <c r="DP309" s="530"/>
      <c r="DQ309" s="530"/>
      <c r="DR309" s="530"/>
      <c r="DS309" s="530"/>
      <c r="DT309" s="530"/>
      <c r="DU309" s="530"/>
      <c r="DV309" s="530"/>
      <c r="DW309" s="530"/>
      <c r="DX309" s="530"/>
      <c r="DY309" s="530"/>
      <c r="DZ309" s="530"/>
      <c r="EA309" s="530"/>
      <c r="EB309" s="530"/>
      <c r="EC309" s="530"/>
      <c r="ED309" s="530"/>
      <c r="EE309" s="530"/>
      <c r="EF309" s="530"/>
      <c r="EG309" s="530"/>
      <c r="EH309" s="530"/>
      <c r="EI309" s="530"/>
      <c r="EJ309" s="530"/>
      <c r="EK309" s="530"/>
      <c r="EL309" s="530"/>
      <c r="EM309" s="530"/>
      <c r="EN309" s="530"/>
      <c r="EO309" s="530"/>
      <c r="EP309" s="530"/>
      <c r="EQ309" s="530"/>
      <c r="ER309" s="530"/>
      <c r="ES309" s="530"/>
      <c r="ET309" s="530"/>
      <c r="EU309" s="530"/>
      <c r="EV309" s="530"/>
      <c r="EW309" s="530"/>
      <c r="EX309" s="530"/>
      <c r="EY309" s="530"/>
      <c r="EZ309" s="530"/>
      <c r="FA309" s="530"/>
      <c r="FB309" s="530"/>
      <c r="FC309" s="530"/>
      <c r="FD309" s="530"/>
      <c r="FE309" s="530"/>
      <c r="FF309" s="530"/>
      <c r="FG309" s="530"/>
      <c r="FH309" s="530"/>
      <c r="FI309" s="530"/>
      <c r="FJ309" s="530"/>
      <c r="FK309" s="530"/>
      <c r="FL309" s="530"/>
      <c r="FM309" s="530"/>
      <c r="FN309" s="530"/>
      <c r="FO309" s="530"/>
    </row>
    <row r="310" spans="1:171" s="1" customFormat="1" ht="13.5" customHeight="1" thickBo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c r="AT310" s="45"/>
      <c r="AU310" s="45"/>
      <c r="AV310" s="45"/>
      <c r="AW310" s="45"/>
      <c r="AX310" s="45"/>
      <c r="AY310" s="45"/>
      <c r="AZ310" s="45"/>
      <c r="BA310" s="45"/>
      <c r="BB310" s="45"/>
      <c r="BC310" s="45"/>
      <c r="BK310" s="250"/>
      <c r="BL310" s="250"/>
      <c r="BM310" s="238"/>
      <c r="BN310" s="238"/>
      <c r="BO310" s="238"/>
      <c r="BP310" s="238"/>
      <c r="BQ310" s="238"/>
      <c r="BR310" s="238"/>
      <c r="BS310" s="250"/>
      <c r="BT310" s="250"/>
      <c r="BU310" s="250"/>
      <c r="BV310" s="250"/>
      <c r="BW310" s="250"/>
      <c r="BX310" s="250"/>
      <c r="BY310" s="250"/>
      <c r="BZ310" s="250"/>
      <c r="CA310" s="256"/>
      <c r="CB310" s="256"/>
    </row>
    <row r="311" spans="1:171" s="1" customFormat="1" ht="13.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K311" s="250"/>
      <c r="BL311" s="250"/>
      <c r="BM311" s="238"/>
      <c r="BN311" s="238"/>
      <c r="BO311" s="238"/>
      <c r="BP311" s="238"/>
      <c r="BQ311" s="238"/>
      <c r="BR311" s="238"/>
      <c r="BS311" s="250"/>
      <c r="BT311" s="250"/>
      <c r="BU311" s="250"/>
      <c r="BV311" s="250"/>
      <c r="BW311" s="250"/>
      <c r="BX311" s="250"/>
      <c r="BY311" s="250"/>
      <c r="BZ311" s="250"/>
      <c r="CA311" s="256"/>
      <c r="CB311" s="256"/>
    </row>
    <row r="312" spans="1:171" s="1" customFormat="1" ht="13.5">
      <c r="A312" s="16" t="s">
        <v>349</v>
      </c>
      <c r="B312" s="8" t="s">
        <v>481</v>
      </c>
      <c r="C312" s="15"/>
      <c r="D312" s="15"/>
      <c r="E312" s="15"/>
      <c r="F312" s="15"/>
      <c r="G312" s="41"/>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272"/>
      <c r="BN312" s="272"/>
      <c r="BO312" s="272"/>
      <c r="BP312" s="272"/>
      <c r="BQ312" s="272"/>
      <c r="BR312" s="272"/>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c r="CX312" s="9"/>
      <c r="CY312" s="9"/>
      <c r="CZ312" s="9"/>
      <c r="DA312" s="9"/>
      <c r="DB312" s="9"/>
      <c r="DC312" s="9"/>
      <c r="DD312" s="9"/>
      <c r="DE312" s="9"/>
      <c r="DF312" s="9"/>
      <c r="DG312" s="9"/>
      <c r="DH312" s="9"/>
      <c r="DI312" s="9"/>
      <c r="DJ312" s="9"/>
      <c r="DK312" s="9"/>
      <c r="DL312" s="9"/>
      <c r="DM312" s="9"/>
      <c r="DN312" s="9"/>
      <c r="DO312" s="9"/>
      <c r="DP312" s="9"/>
      <c r="DQ312" s="9"/>
      <c r="DR312" s="9"/>
      <c r="DS312" s="9"/>
      <c r="DT312" s="9"/>
      <c r="DU312" s="9"/>
      <c r="DV312" s="9"/>
      <c r="DW312" s="9"/>
      <c r="DX312" s="9"/>
    </row>
    <row r="313" spans="1:171" s="1" customFormat="1" ht="14.25" thickBot="1">
      <c r="A313" s="16"/>
      <c r="B313" s="16"/>
      <c r="C313" s="16"/>
      <c r="D313" s="16"/>
      <c r="E313" s="23"/>
      <c r="F313" s="16"/>
      <c r="G313" s="41"/>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c r="CK313" s="9"/>
      <c r="CL313" s="9"/>
      <c r="CM313" s="9"/>
      <c r="CN313" s="9"/>
      <c r="CO313" s="9"/>
      <c r="CP313" s="9"/>
      <c r="CQ313" s="9"/>
      <c r="CR313" s="9"/>
      <c r="CS313" s="9"/>
      <c r="CT313" s="9"/>
      <c r="CU313" s="9"/>
      <c r="CV313" s="9"/>
      <c r="CW313" s="9"/>
      <c r="CX313" s="9"/>
      <c r="CY313" s="9"/>
      <c r="CZ313" s="9"/>
      <c r="DA313" s="9"/>
      <c r="DB313" s="9"/>
      <c r="DC313" s="9"/>
      <c r="DD313" s="9"/>
      <c r="DE313" s="9"/>
      <c r="DF313" s="9"/>
      <c r="DG313" s="9"/>
      <c r="DH313" s="9"/>
      <c r="DI313" s="9"/>
      <c r="DJ313" s="9"/>
      <c r="DK313" s="9"/>
      <c r="DL313" s="9"/>
      <c r="DM313" s="9"/>
      <c r="DN313" s="9"/>
      <c r="DO313" s="9"/>
      <c r="DP313" s="9"/>
      <c r="DQ313" s="9"/>
      <c r="DR313" s="9"/>
      <c r="DS313" s="9"/>
      <c r="DT313" s="9"/>
      <c r="DU313" s="9"/>
      <c r="DV313" s="9"/>
      <c r="DW313" s="9"/>
      <c r="DX313" s="9"/>
    </row>
    <row r="314" spans="1:171" s="1" customFormat="1" ht="14.25" thickBot="1">
      <c r="A314" s="15"/>
      <c r="B314" s="408">
        <v>2000</v>
      </c>
      <c r="C314" s="409">
        <v>2001</v>
      </c>
      <c r="D314" s="409">
        <v>2002</v>
      </c>
      <c r="E314" s="409">
        <v>2003</v>
      </c>
      <c r="F314" s="409">
        <v>2004</v>
      </c>
      <c r="G314" s="409">
        <v>2005</v>
      </c>
      <c r="H314" s="409">
        <v>2006</v>
      </c>
      <c r="I314" s="409">
        <v>2007</v>
      </c>
      <c r="J314" s="409">
        <v>2008</v>
      </c>
      <c r="K314" s="409">
        <v>2009</v>
      </c>
      <c r="L314" s="409">
        <v>2010</v>
      </c>
      <c r="M314" s="409">
        <v>2011</v>
      </c>
      <c r="N314" s="409">
        <v>2012</v>
      </c>
      <c r="O314" s="409">
        <v>2013</v>
      </c>
      <c r="P314" s="411">
        <v>2014</v>
      </c>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c r="CK314" s="9"/>
      <c r="CL314" s="9"/>
      <c r="CM314" s="9"/>
      <c r="CN314" s="9"/>
      <c r="CO314" s="9"/>
      <c r="CP314" s="9"/>
      <c r="CQ314" s="9"/>
      <c r="CR314" s="9"/>
      <c r="CS314" s="9"/>
      <c r="CT314" s="9"/>
      <c r="CU314" s="9"/>
      <c r="CV314" s="9"/>
      <c r="CW314" s="9"/>
      <c r="CX314" s="9"/>
      <c r="CY314" s="9"/>
      <c r="CZ314" s="9"/>
      <c r="DA314" s="9"/>
      <c r="DB314" s="9"/>
      <c r="DC314" s="9"/>
      <c r="DD314" s="9"/>
      <c r="DE314" s="9"/>
      <c r="DF314" s="9"/>
      <c r="DG314" s="9"/>
      <c r="DH314" s="9"/>
      <c r="DI314" s="9"/>
      <c r="DJ314" s="9"/>
      <c r="DK314" s="9"/>
      <c r="DL314" s="9"/>
      <c r="DM314" s="9"/>
      <c r="DN314" s="9"/>
      <c r="DO314" s="9"/>
      <c r="DP314" s="9"/>
      <c r="DQ314" s="9"/>
      <c r="DR314" s="9"/>
      <c r="DS314" s="9"/>
      <c r="DT314" s="9"/>
      <c r="DU314" s="9"/>
      <c r="DV314" s="9"/>
      <c r="DW314" s="9"/>
      <c r="DX314" s="9"/>
    </row>
    <row r="315" spans="1:171" s="1" customFormat="1" ht="13.5">
      <c r="A315" s="484" t="s">
        <v>216</v>
      </c>
      <c r="B315" s="531">
        <v>119.33947990543736</v>
      </c>
      <c r="C315" s="532">
        <v>120.55534351145039</v>
      </c>
      <c r="D315" s="532">
        <v>120.8781990521327</v>
      </c>
      <c r="E315" s="532">
        <v>121.18532110091743</v>
      </c>
      <c r="F315" s="532">
        <v>120.89278264497288</v>
      </c>
      <c r="G315" s="532">
        <v>120.04224240031583</v>
      </c>
      <c r="H315" s="532">
        <v>120.86402157164869</v>
      </c>
      <c r="I315" s="532">
        <v>121.52869014641868</v>
      </c>
      <c r="J315" s="532">
        <v>123.05238757533611</v>
      </c>
      <c r="K315" s="532">
        <v>124.97817346352672</v>
      </c>
      <c r="L315" s="532">
        <v>113.05398832684826</v>
      </c>
      <c r="M315" s="532">
        <v>113.7333650190114</v>
      </c>
      <c r="N315" s="532">
        <v>115.22931937172775</v>
      </c>
      <c r="O315" s="532">
        <v>114.82160945413618</v>
      </c>
      <c r="P315" s="533">
        <v>113.55949895615866</v>
      </c>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9"/>
      <c r="BX315" s="9"/>
      <c r="BY315" s="9"/>
      <c r="BZ315" s="9"/>
      <c r="CA315" s="9"/>
      <c r="CB315" s="9"/>
      <c r="CC315" s="9"/>
      <c r="CD315" s="9"/>
      <c r="CE315" s="9"/>
      <c r="CF315" s="9"/>
      <c r="CG315" s="9"/>
      <c r="CH315" s="9"/>
      <c r="CI315" s="9"/>
      <c r="CJ315" s="9"/>
      <c r="CK315" s="9"/>
      <c r="CL315" s="9"/>
      <c r="CM315" s="9"/>
      <c r="CN315" s="9"/>
      <c r="CO315" s="9"/>
      <c r="CP315" s="9"/>
      <c r="CQ315" s="9"/>
      <c r="CR315" s="9"/>
      <c r="CS315" s="9"/>
      <c r="CT315" s="9"/>
      <c r="CU315" s="9"/>
      <c r="CV315" s="9"/>
      <c r="CW315" s="9"/>
      <c r="CX315" s="9"/>
      <c r="CY315" s="9"/>
      <c r="CZ315" s="9"/>
      <c r="DA315" s="9"/>
      <c r="DB315" s="9"/>
      <c r="DC315" s="9"/>
      <c r="DD315" s="9"/>
      <c r="DE315" s="9"/>
      <c r="DF315" s="9"/>
      <c r="DG315" s="9"/>
      <c r="DH315" s="9"/>
      <c r="DI315" s="9"/>
      <c r="DJ315" s="9"/>
      <c r="DK315" s="9"/>
      <c r="DL315" s="9"/>
      <c r="DM315" s="9"/>
      <c r="DN315" s="9"/>
      <c r="DO315" s="9"/>
      <c r="DP315" s="9"/>
      <c r="DQ315" s="9"/>
      <c r="DR315" s="9"/>
      <c r="DS315" s="9"/>
      <c r="DT315" s="9"/>
      <c r="DU315" s="9"/>
      <c r="DV315" s="9"/>
      <c r="DW315" s="9"/>
      <c r="DX315" s="9"/>
    </row>
    <row r="316" spans="1:171" s="1" customFormat="1" ht="13.5">
      <c r="A316" s="418" t="s">
        <v>217</v>
      </c>
      <c r="B316" s="534">
        <v>124.73559322033898</v>
      </c>
      <c r="C316" s="535">
        <v>126.03019744483159</v>
      </c>
      <c r="D316" s="535">
        <v>126.91294254207777</v>
      </c>
      <c r="E316" s="535">
        <v>127.42015855039638</v>
      </c>
      <c r="F316" s="535">
        <v>127.55089192025184</v>
      </c>
      <c r="G316" s="535">
        <v>127.6815415821501</v>
      </c>
      <c r="H316" s="535">
        <v>128.45891089108912</v>
      </c>
      <c r="I316" s="535">
        <v>129.13836796756209</v>
      </c>
      <c r="J316" s="535">
        <v>131.11698337292162</v>
      </c>
      <c r="K316" s="535">
        <v>135.61076443057723</v>
      </c>
      <c r="L316" s="535">
        <v>121.82188125416944</v>
      </c>
      <c r="M316" s="535">
        <v>122.52090032154341</v>
      </c>
      <c r="N316" s="535">
        <v>123.68555240793201</v>
      </c>
      <c r="O316" s="535">
        <v>123.54595015576324</v>
      </c>
      <c r="P316" s="536">
        <v>122.12631578947368</v>
      </c>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c r="CT316" s="9"/>
      <c r="CU316" s="9"/>
      <c r="CV316" s="9"/>
      <c r="CW316" s="9"/>
      <c r="CX316" s="9"/>
      <c r="CY316" s="9"/>
      <c r="CZ316" s="9"/>
      <c r="DA316" s="9"/>
      <c r="DB316" s="9"/>
      <c r="DC316" s="9"/>
      <c r="DD316" s="9"/>
      <c r="DE316" s="9"/>
      <c r="DF316" s="9"/>
      <c r="DG316" s="9"/>
      <c r="DH316" s="9"/>
      <c r="DI316" s="9"/>
      <c r="DJ316" s="9"/>
      <c r="DK316" s="9"/>
      <c r="DL316" s="9"/>
      <c r="DM316" s="9"/>
      <c r="DN316" s="9"/>
      <c r="DO316" s="9"/>
      <c r="DP316" s="9"/>
      <c r="DQ316" s="9"/>
      <c r="DR316" s="9"/>
      <c r="DS316" s="9"/>
      <c r="DT316" s="9"/>
      <c r="DU316" s="9"/>
      <c r="DV316" s="9"/>
      <c r="DW316" s="9"/>
      <c r="DX316" s="9"/>
    </row>
    <row r="317" spans="1:171" s="1" customFormat="1" ht="13.5">
      <c r="A317" s="418" t="s">
        <v>218</v>
      </c>
      <c r="B317" s="534">
        <v>91.655072463768121</v>
      </c>
      <c r="C317" s="535">
        <v>95.347593582887697</v>
      </c>
      <c r="D317" s="535">
        <v>94.010335917312659</v>
      </c>
      <c r="E317" s="535">
        <v>94.589371980676333</v>
      </c>
      <c r="F317" s="535">
        <v>95.046843177189416</v>
      </c>
      <c r="G317" s="535">
        <v>93.188948306595364</v>
      </c>
      <c r="H317" s="535">
        <v>94.229166666666671</v>
      </c>
      <c r="I317" s="535">
        <v>94.427797833935017</v>
      </c>
      <c r="J317" s="535">
        <v>94.340380549682877</v>
      </c>
      <c r="K317" s="535">
        <v>95.281045751633982</v>
      </c>
      <c r="L317" s="535">
        <v>89.457809694793539</v>
      </c>
      <c r="M317" s="535">
        <v>88.843351548269581</v>
      </c>
      <c r="N317" s="535">
        <v>91.253012048192772</v>
      </c>
      <c r="O317" s="535">
        <v>92.099391480730219</v>
      </c>
      <c r="P317" s="536">
        <v>90.72193877551021</v>
      </c>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c r="CK317" s="9"/>
      <c r="CL317" s="9"/>
      <c r="CM317" s="9"/>
      <c r="CN317" s="9"/>
      <c r="CO317" s="9"/>
      <c r="CP317" s="9"/>
      <c r="CQ317" s="9"/>
      <c r="CR317" s="9"/>
      <c r="CS317" s="9"/>
      <c r="CT317" s="9"/>
      <c r="CU317" s="9"/>
      <c r="CV317" s="9"/>
      <c r="CW317" s="9"/>
      <c r="CX317" s="9"/>
      <c r="CY317" s="9"/>
      <c r="CZ317" s="9"/>
      <c r="DA317" s="9"/>
      <c r="DB317" s="9"/>
      <c r="DC317" s="9"/>
      <c r="DD317" s="9"/>
      <c r="DE317" s="9"/>
      <c r="DF317" s="9"/>
      <c r="DG317" s="9"/>
      <c r="DH317" s="9"/>
      <c r="DI317" s="9"/>
      <c r="DJ317" s="9"/>
      <c r="DK317" s="9"/>
      <c r="DL317" s="9"/>
      <c r="DM317" s="9"/>
      <c r="DN317" s="9"/>
      <c r="DO317" s="9"/>
      <c r="DP317" s="9"/>
      <c r="DQ317" s="9"/>
      <c r="DR317" s="9"/>
      <c r="DS317" s="9"/>
      <c r="DT317" s="9"/>
      <c r="DU317" s="9"/>
      <c r="DV317" s="9"/>
      <c r="DW317" s="9"/>
      <c r="DX317" s="9"/>
    </row>
    <row r="318" spans="1:171" s="1" customFormat="1" ht="13.5">
      <c r="A318" s="418" t="s">
        <v>188</v>
      </c>
      <c r="B318" s="534">
        <v>68.258874458874459</v>
      </c>
      <c r="C318" s="535">
        <v>69.805484147386466</v>
      </c>
      <c r="D318" s="535">
        <v>70.027545909849749</v>
      </c>
      <c r="E318" s="535">
        <v>69.242424242424249</v>
      </c>
      <c r="F318" s="535">
        <v>68.126494650723728</v>
      </c>
      <c r="G318" s="535">
        <v>67.255874673629236</v>
      </c>
      <c r="H318" s="535">
        <v>66.805542508219816</v>
      </c>
      <c r="I318" s="535">
        <v>67.470753392606454</v>
      </c>
      <c r="J318" s="535">
        <v>67.93296770262036</v>
      </c>
      <c r="K318" s="535">
        <v>67.408496732026137</v>
      </c>
      <c r="L318" s="535">
        <v>66.572842221000556</v>
      </c>
      <c r="M318" s="535">
        <v>66.251875669882097</v>
      </c>
      <c r="N318" s="535">
        <v>66.614386154678201</v>
      </c>
      <c r="O318" s="535">
        <v>65.758602978941965</v>
      </c>
      <c r="P318" s="536">
        <v>64.808418780356178</v>
      </c>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c r="CX318" s="9"/>
      <c r="CY318" s="9"/>
      <c r="CZ318" s="9"/>
      <c r="DA318" s="9"/>
      <c r="DB318" s="9"/>
      <c r="DC318" s="9"/>
      <c r="DD318" s="9"/>
      <c r="DE318" s="9"/>
      <c r="DF318" s="9"/>
      <c r="DG318" s="9"/>
      <c r="DH318" s="9"/>
      <c r="DI318" s="9"/>
      <c r="DJ318" s="9"/>
      <c r="DK318" s="9"/>
      <c r="DL318" s="9"/>
      <c r="DM318" s="9"/>
      <c r="DN318" s="9"/>
      <c r="DO318" s="9"/>
      <c r="DP318" s="9"/>
      <c r="DQ318" s="9"/>
      <c r="DR318" s="9"/>
      <c r="DS318" s="9"/>
      <c r="DT318" s="9"/>
      <c r="DU318" s="9"/>
      <c r="DV318" s="9"/>
      <c r="DW318" s="9"/>
      <c r="DX318" s="9"/>
    </row>
    <row r="319" spans="1:171" s="1" customFormat="1" ht="14.25" thickBot="1">
      <c r="A319" s="429" t="s">
        <v>219</v>
      </c>
      <c r="B319" s="537">
        <v>45.878504672897193</v>
      </c>
      <c r="C319" s="538">
        <v>43.635514018691588</v>
      </c>
      <c r="D319" s="538">
        <v>48.782608695652172</v>
      </c>
      <c r="E319" s="538">
        <v>49.038095238095238</v>
      </c>
      <c r="F319" s="538">
        <v>45.291139240506332</v>
      </c>
      <c r="G319" s="538">
        <v>44.212871287128714</v>
      </c>
      <c r="H319" s="538">
        <v>43.817757009345797</v>
      </c>
      <c r="I319" s="538">
        <v>44.776785714285715</v>
      </c>
      <c r="J319" s="538">
        <v>48.125</v>
      </c>
      <c r="K319" s="538">
        <v>51.035532994923855</v>
      </c>
      <c r="L319" s="538">
        <v>48.154981549815496</v>
      </c>
      <c r="M319" s="538">
        <v>48.911999999999999</v>
      </c>
      <c r="N319" s="538">
        <v>49.103139013452918</v>
      </c>
      <c r="O319" s="538">
        <v>48.887387387387385</v>
      </c>
      <c r="P319" s="539">
        <v>46.972762645914393</v>
      </c>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c r="CA319" s="9"/>
      <c r="CB319" s="9"/>
      <c r="CC319" s="9"/>
      <c r="CD319" s="9"/>
      <c r="CE319" s="9"/>
      <c r="CF319" s="9"/>
      <c r="CG319" s="9"/>
      <c r="CH319" s="9"/>
      <c r="CI319" s="9"/>
      <c r="CJ319" s="9"/>
      <c r="CK319" s="9"/>
      <c r="CL319" s="9"/>
      <c r="CM319" s="9"/>
      <c r="CN319" s="9"/>
      <c r="CO319" s="9"/>
      <c r="CP319" s="9"/>
      <c r="CQ319" s="9"/>
      <c r="CR319" s="9"/>
      <c r="CS319" s="9"/>
      <c r="CT319" s="9"/>
      <c r="CU319" s="9"/>
      <c r="CV319" s="9"/>
      <c r="CW319" s="9"/>
      <c r="CX319" s="9"/>
      <c r="CY319" s="9"/>
      <c r="CZ319" s="9"/>
      <c r="DA319" s="9"/>
      <c r="DB319" s="9"/>
      <c r="DC319" s="9"/>
      <c r="DD319" s="9"/>
      <c r="DE319" s="9"/>
      <c r="DF319" s="9"/>
      <c r="DG319" s="9"/>
      <c r="DH319" s="9"/>
      <c r="DI319" s="9"/>
      <c r="DJ319" s="9"/>
      <c r="DK319" s="9"/>
      <c r="DL319" s="9"/>
      <c r="DM319" s="9"/>
      <c r="DN319" s="9"/>
      <c r="DO319" s="9"/>
      <c r="DP319" s="9"/>
      <c r="DQ319" s="9"/>
      <c r="DR319" s="9"/>
      <c r="DS319" s="9"/>
      <c r="DT319" s="9"/>
      <c r="DU319" s="9"/>
      <c r="DV319" s="9"/>
      <c r="DW319" s="9"/>
      <c r="DX319" s="9"/>
    </row>
    <row r="320" spans="1:171" s="1" customFormat="1" ht="13.5">
      <c r="A320" s="6" t="s">
        <v>215</v>
      </c>
      <c r="B320" s="273"/>
      <c r="C320" s="273"/>
      <c r="D320" s="273"/>
      <c r="E320" s="273"/>
      <c r="F320" s="274"/>
      <c r="G320" s="41"/>
      <c r="Q320" s="240"/>
      <c r="R320" s="540"/>
      <c r="S320" s="540"/>
      <c r="T320" s="540"/>
      <c r="U320" s="540"/>
      <c r="V320" s="540"/>
      <c r="W320" s="540"/>
      <c r="X320" s="540"/>
      <c r="Y320" s="540"/>
      <c r="Z320" s="540"/>
      <c r="AA320" s="540"/>
      <c r="AB320" s="540"/>
      <c r="AC320" s="540"/>
      <c r="AD320" s="540"/>
      <c r="AE320" s="540"/>
      <c r="AF320" s="540"/>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c r="CX320" s="9"/>
      <c r="CY320" s="9"/>
      <c r="CZ320" s="9"/>
      <c r="DA320" s="9"/>
      <c r="DB320" s="9"/>
      <c r="DC320" s="9"/>
      <c r="DD320" s="9"/>
      <c r="DE320" s="9"/>
      <c r="DF320" s="9"/>
      <c r="DG320" s="9"/>
      <c r="DH320" s="9"/>
      <c r="DI320" s="9"/>
      <c r="DJ320" s="9"/>
      <c r="DK320" s="9"/>
      <c r="DL320" s="9"/>
      <c r="DM320" s="9"/>
      <c r="DN320" s="9"/>
      <c r="DO320" s="9"/>
      <c r="DP320" s="9"/>
      <c r="DQ320" s="9"/>
      <c r="DR320" s="9"/>
      <c r="DS320" s="9"/>
      <c r="DT320" s="9"/>
      <c r="DU320" s="9"/>
      <c r="DV320" s="9"/>
      <c r="DW320" s="9"/>
      <c r="DX320" s="9"/>
    </row>
    <row r="321" spans="1:146" s="1" customFormat="1" ht="13.5">
      <c r="A321" s="6" t="s">
        <v>227</v>
      </c>
      <c r="B321" s="273"/>
      <c r="C321" s="273"/>
      <c r="D321" s="273"/>
      <c r="E321" s="273"/>
      <c r="F321" s="274"/>
      <c r="G321" s="41"/>
      <c r="Q321" s="237"/>
      <c r="R321" s="540"/>
      <c r="S321" s="540"/>
      <c r="T321" s="540"/>
      <c r="U321" s="540"/>
      <c r="V321" s="540"/>
      <c r="W321" s="540"/>
      <c r="X321" s="540"/>
      <c r="Y321" s="540"/>
      <c r="Z321" s="540"/>
      <c r="AA321" s="540"/>
      <c r="AB321" s="540"/>
      <c r="AC321" s="540"/>
      <c r="AD321" s="540"/>
      <c r="AE321" s="540"/>
      <c r="AF321" s="540"/>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c r="CK321" s="9"/>
      <c r="CL321" s="9"/>
      <c r="CM321" s="9"/>
      <c r="CN321" s="9"/>
      <c r="CO321" s="9"/>
      <c r="CP321" s="9"/>
      <c r="CQ321" s="9"/>
      <c r="CR321" s="9"/>
      <c r="CS321" s="9"/>
      <c r="CT321" s="9"/>
      <c r="CU321" s="9"/>
      <c r="CV321" s="9"/>
      <c r="CW321" s="9"/>
      <c r="CX321" s="9"/>
      <c r="CY321" s="9"/>
      <c r="CZ321" s="9"/>
      <c r="DA321" s="9"/>
      <c r="DB321" s="9"/>
      <c r="DC321" s="9"/>
      <c r="DD321" s="9"/>
      <c r="DE321" s="9"/>
      <c r="DF321" s="9"/>
      <c r="DG321" s="9"/>
      <c r="DH321" s="9"/>
      <c r="DI321" s="9"/>
      <c r="DJ321" s="9"/>
      <c r="DK321" s="9"/>
      <c r="DL321" s="9"/>
      <c r="DM321" s="9"/>
      <c r="DN321" s="9"/>
      <c r="DO321" s="9"/>
      <c r="DP321" s="9"/>
      <c r="DQ321" s="9"/>
      <c r="DR321" s="9"/>
      <c r="DS321" s="9"/>
      <c r="DT321" s="9"/>
      <c r="DU321" s="9"/>
      <c r="DV321" s="9"/>
      <c r="DW321" s="9"/>
      <c r="DX321" s="9"/>
    </row>
    <row r="322" spans="1:146" s="1" customFormat="1" ht="13.5">
      <c r="A322" s="6"/>
      <c r="B322" s="273"/>
      <c r="C322" s="273"/>
      <c r="D322" s="273"/>
      <c r="E322" s="273"/>
      <c r="F322" s="274"/>
      <c r="G322" s="41"/>
      <c r="Q322" s="237"/>
      <c r="R322" s="540"/>
      <c r="S322" s="540"/>
      <c r="T322" s="540"/>
      <c r="U322" s="540"/>
      <c r="V322" s="540"/>
      <c r="W322" s="540"/>
      <c r="X322" s="540"/>
      <c r="Y322" s="540"/>
      <c r="Z322" s="540"/>
      <c r="AA322" s="540"/>
      <c r="AB322" s="540"/>
      <c r="AC322" s="540"/>
      <c r="AD322" s="540"/>
      <c r="AE322" s="540"/>
      <c r="AF322" s="540"/>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c r="CY322" s="9"/>
      <c r="CZ322" s="9"/>
      <c r="DA322" s="9"/>
      <c r="DB322" s="9"/>
      <c r="DC322" s="9"/>
      <c r="DD322" s="9"/>
      <c r="DE322" s="9"/>
      <c r="DF322" s="9"/>
      <c r="DG322" s="9"/>
      <c r="DH322" s="9"/>
      <c r="DI322" s="9"/>
      <c r="DJ322" s="9"/>
      <c r="DK322" s="9"/>
      <c r="DL322" s="9"/>
      <c r="DM322" s="9"/>
      <c r="DN322" s="9"/>
      <c r="DO322" s="9"/>
      <c r="DP322" s="9"/>
      <c r="DQ322" s="9"/>
      <c r="DR322" s="9"/>
      <c r="DS322" s="9"/>
      <c r="DT322" s="9"/>
      <c r="DU322" s="9"/>
      <c r="DV322" s="9"/>
      <c r="DW322" s="9"/>
      <c r="DX322" s="9"/>
    </row>
    <row r="323" spans="1:146" s="41" customFormat="1" ht="13.5" customHeight="1">
      <c r="A323" s="268"/>
      <c r="B323" s="256"/>
      <c r="C323" s="276"/>
      <c r="D323" s="256"/>
      <c r="E323" s="256"/>
      <c r="F323" s="256"/>
      <c r="G323" s="256"/>
      <c r="H323" s="256"/>
      <c r="I323" s="256"/>
      <c r="J323" s="256"/>
      <c r="K323" s="256"/>
      <c r="L323" s="256"/>
      <c r="M323" s="256"/>
      <c r="N323" s="256"/>
      <c r="O323" s="256"/>
      <c r="P323" s="256"/>
      <c r="Q323" s="256"/>
      <c r="R323" s="256"/>
      <c r="S323" s="256"/>
      <c r="T323" s="256"/>
      <c r="U323" s="256"/>
      <c r="V323" s="256"/>
      <c r="W323" s="256"/>
      <c r="X323" s="256"/>
      <c r="Y323" s="256"/>
      <c r="Z323" s="256"/>
      <c r="AA323" s="250"/>
      <c r="AB323" s="256"/>
      <c r="AC323" s="256"/>
      <c r="AD323" s="256"/>
      <c r="AE323" s="256"/>
      <c r="AF323" s="256"/>
      <c r="AG323" s="256"/>
      <c r="AH323" s="256"/>
      <c r="AI323" s="256"/>
      <c r="AJ323" s="256"/>
      <c r="AK323" s="256"/>
      <c r="AL323" s="256"/>
      <c r="AM323" s="256"/>
      <c r="AN323" s="256"/>
      <c r="AO323" s="256"/>
      <c r="AP323" s="256"/>
      <c r="AQ323" s="256"/>
      <c r="AR323" s="256"/>
      <c r="AS323" s="256"/>
      <c r="AT323" s="256"/>
      <c r="AU323" s="256"/>
      <c r="AV323" s="256"/>
      <c r="AW323" s="256"/>
      <c r="AX323" s="250"/>
      <c r="AY323" s="256"/>
      <c r="AZ323" s="256"/>
      <c r="BA323" s="256"/>
      <c r="BB323" s="256"/>
      <c r="BC323" s="256"/>
      <c r="BD323" s="256"/>
      <c r="BE323" s="256"/>
      <c r="BF323" s="256"/>
      <c r="BG323" s="256"/>
      <c r="BH323" s="256"/>
      <c r="BI323" s="256"/>
      <c r="BJ323" s="250"/>
      <c r="BK323" s="256"/>
      <c r="BL323" s="256"/>
      <c r="BM323" s="256"/>
      <c r="BN323" s="256"/>
      <c r="BO323" s="256"/>
      <c r="BP323" s="256"/>
      <c r="BQ323" s="256"/>
      <c r="BR323" s="256"/>
      <c r="BZ323" s="256"/>
      <c r="CA323" s="256"/>
      <c r="CB323" s="256"/>
      <c r="CC323" s="256"/>
      <c r="CD323" s="256"/>
      <c r="CE323" s="256"/>
      <c r="CF323" s="256"/>
      <c r="CG323" s="256"/>
      <c r="CH323" s="256"/>
      <c r="CI323" s="256"/>
      <c r="CJ323" s="256"/>
      <c r="CK323" s="256"/>
      <c r="CL323" s="256"/>
      <c r="EC323" s="4"/>
      <c r="ED323" s="4"/>
      <c r="EE323" s="4"/>
      <c r="EF323" s="4"/>
      <c r="EG323" s="4"/>
      <c r="EH323" s="4"/>
      <c r="EJ323" s="541"/>
      <c r="EK323" s="541"/>
      <c r="EL323" s="541"/>
      <c r="EM323" s="541"/>
      <c r="EN323" s="541"/>
      <c r="EO323" s="541"/>
      <c r="EP323" s="541"/>
    </row>
    <row r="324" spans="1:146" ht="13.5" customHeight="1">
      <c r="A324" s="42" t="s">
        <v>456</v>
      </c>
      <c r="B324" s="43"/>
      <c r="C324" s="43"/>
      <c r="D324" s="43"/>
      <c r="E324" s="43"/>
      <c r="F324" s="43"/>
      <c r="G324" s="43"/>
      <c r="H324" s="43"/>
      <c r="I324" s="43"/>
      <c r="J324" s="43"/>
      <c r="K324" s="43"/>
      <c r="L324" s="43"/>
      <c r="M324" s="43"/>
      <c r="N324" s="43"/>
      <c r="O324" s="43"/>
      <c r="P324" s="43"/>
      <c r="Q324" s="43"/>
      <c r="R324" s="43"/>
      <c r="S324" s="43"/>
      <c r="T324" s="43"/>
      <c r="U324" s="43"/>
      <c r="V324" s="43"/>
      <c r="W324" s="43"/>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c r="AW324" s="44"/>
      <c r="AX324" s="44"/>
      <c r="AY324" s="44"/>
      <c r="AZ324" s="44"/>
      <c r="BA324" s="44"/>
      <c r="BB324" s="44"/>
      <c r="BC324" s="44"/>
      <c r="BD324" s="44"/>
      <c r="BE324" s="44"/>
      <c r="BF324" s="44"/>
      <c r="BG324" s="44"/>
      <c r="BH324" s="44"/>
      <c r="BI324" s="44"/>
      <c r="BJ324" s="44"/>
      <c r="BK324" s="44"/>
      <c r="BL324" s="44"/>
      <c r="BM324" s="44"/>
      <c r="BN324" s="44"/>
      <c r="BO324" s="44"/>
      <c r="BP324" s="44"/>
      <c r="BQ324" s="44"/>
      <c r="BR324" s="44"/>
      <c r="BS324" s="44"/>
      <c r="BT324" s="44"/>
      <c r="BU324" s="44"/>
      <c r="BV324" s="44"/>
      <c r="BW324" s="44"/>
      <c r="BX324" s="44"/>
      <c r="BY324" s="44"/>
      <c r="BZ324" s="44"/>
      <c r="CA324" s="44"/>
      <c r="CB324" s="44"/>
      <c r="CC324" s="44"/>
      <c r="CD324" s="44"/>
      <c r="CE324" s="44"/>
      <c r="CF324" s="44"/>
      <c r="CG324" s="44"/>
      <c r="CH324" s="44"/>
      <c r="CI324" s="44"/>
      <c r="CJ324" s="44"/>
      <c r="CK324" s="44"/>
      <c r="CL324" s="44"/>
      <c r="CM324" s="44"/>
      <c r="CN324" s="44"/>
      <c r="CO324" s="44"/>
      <c r="CP324" s="44"/>
      <c r="CQ324" s="44"/>
      <c r="CR324" s="44"/>
      <c r="CS324" s="44"/>
      <c r="CT324" s="44"/>
      <c r="CU324" s="44"/>
      <c r="CV324" s="44"/>
      <c r="CW324" s="44"/>
      <c r="CX324" s="44"/>
      <c r="CY324" s="44"/>
      <c r="CZ324" s="44"/>
      <c r="DA324" s="44"/>
      <c r="DB324" s="44"/>
      <c r="DC324" s="44"/>
      <c r="DD324" s="44"/>
      <c r="DE324" s="44"/>
      <c r="DF324" s="44"/>
      <c r="DG324" s="44"/>
      <c r="DH324" s="44"/>
      <c r="DI324" s="44"/>
      <c r="DJ324" s="44"/>
      <c r="DK324" s="44"/>
      <c r="DL324" s="44"/>
      <c r="DM324" s="44"/>
      <c r="DN324" s="44"/>
      <c r="DO324" s="44"/>
      <c r="DP324" s="44"/>
      <c r="DQ324" s="44"/>
      <c r="DR324" s="44"/>
      <c r="DS324" s="44"/>
      <c r="DT324" s="44"/>
      <c r="DU324" s="44"/>
      <c r="DV324" s="44"/>
      <c r="DW324" s="44"/>
      <c r="DX324" s="44"/>
    </row>
    <row r="325" spans="1:146" s="1" customFormat="1" ht="13.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AC325" s="277"/>
      <c r="AD325" s="41"/>
      <c r="AE325" s="41"/>
      <c r="AF325" s="41"/>
      <c r="AG325" s="41"/>
      <c r="AH325" s="41"/>
      <c r="AI325" s="41"/>
      <c r="AJ325" s="41"/>
      <c r="AK325" s="257"/>
      <c r="AL325" s="257"/>
      <c r="BZ325" s="256"/>
      <c r="CA325" s="256"/>
      <c r="CB325" s="256"/>
      <c r="CC325" s="256"/>
      <c r="CD325" s="256"/>
      <c r="CE325" s="256"/>
      <c r="CF325" s="256"/>
      <c r="CG325" s="256"/>
      <c r="CH325" s="256"/>
      <c r="CI325" s="256"/>
      <c r="CJ325" s="256"/>
      <c r="CK325" s="256"/>
      <c r="CL325" s="256"/>
      <c r="CM325" s="9"/>
      <c r="CN325" s="9"/>
      <c r="CO325" s="9"/>
      <c r="CP325" s="9"/>
      <c r="DF325" s="9"/>
      <c r="DG325" s="9"/>
      <c r="DH325" s="9"/>
      <c r="DI325" s="9"/>
      <c r="DJ325" s="9"/>
      <c r="DK325" s="9"/>
      <c r="DL325" s="9"/>
      <c r="EC325" s="4"/>
      <c r="ED325" s="4"/>
      <c r="EE325" s="4"/>
      <c r="EF325" s="4"/>
      <c r="EG325" s="4"/>
      <c r="EH325" s="4"/>
      <c r="EJ325" s="541"/>
      <c r="EK325" s="541"/>
      <c r="EL325" s="541"/>
      <c r="EM325" s="541"/>
      <c r="EN325" s="541"/>
      <c r="EO325" s="541"/>
      <c r="EP325" s="541"/>
    </row>
    <row r="326" spans="1:146" s="252" customFormat="1" ht="13.5" customHeight="1">
      <c r="A326" s="23" t="s">
        <v>350</v>
      </c>
      <c r="B326" s="8" t="s">
        <v>482</v>
      </c>
      <c r="C326" s="15"/>
      <c r="D326" s="15"/>
      <c r="E326" s="15"/>
      <c r="F326" s="15"/>
      <c r="G326" s="15"/>
      <c r="H326" s="19"/>
      <c r="I326" s="19"/>
      <c r="J326" s="19"/>
      <c r="K326" s="19"/>
      <c r="L326" s="19"/>
      <c r="M326" s="19"/>
      <c r="N326" s="19"/>
      <c r="O326" s="19"/>
      <c r="P326" s="280"/>
      <c r="Q326" s="19"/>
      <c r="R326" s="19"/>
      <c r="S326" s="19"/>
      <c r="AA326" s="277"/>
      <c r="AB326" s="277"/>
      <c r="AC326" s="1"/>
      <c r="AD326" s="1"/>
      <c r="AE326" s="1"/>
      <c r="AF326" s="1"/>
      <c r="AG326" s="1"/>
      <c r="AH326" s="1"/>
      <c r="AI326" s="1"/>
      <c r="AJ326" s="1"/>
      <c r="AK326" s="1"/>
      <c r="AL326" s="1"/>
      <c r="AQ326" s="257"/>
      <c r="AR326" s="257"/>
      <c r="AS326" s="257"/>
      <c r="AT326" s="257"/>
      <c r="AU326" s="257"/>
      <c r="AV326" s="257"/>
      <c r="AW326" s="257"/>
      <c r="AX326" s="257"/>
      <c r="AY326" s="257"/>
      <c r="AZ326" s="257"/>
      <c r="BA326" s="257"/>
    </row>
    <row r="327" spans="1:146" s="1" customFormat="1" ht="13.5" customHeight="1" thickBot="1">
      <c r="A327" s="19"/>
      <c r="B327" s="19"/>
      <c r="C327" s="19"/>
      <c r="D327" s="19"/>
      <c r="E327" s="19"/>
      <c r="F327" s="19"/>
      <c r="G327" s="19"/>
      <c r="H327" s="19"/>
      <c r="I327" s="19"/>
      <c r="J327" s="19"/>
      <c r="K327" s="19"/>
      <c r="L327" s="19"/>
      <c r="M327" s="17"/>
      <c r="N327" s="19"/>
      <c r="O327" s="19"/>
      <c r="P327" s="19"/>
      <c r="Q327" s="19"/>
      <c r="R327" s="19"/>
      <c r="S327" s="19"/>
      <c r="U327" s="251"/>
      <c r="V327" s="281"/>
      <c r="W327" s="277"/>
      <c r="X327" s="277"/>
      <c r="Y327" s="277"/>
      <c r="Z327" s="277"/>
      <c r="AA327" s="277"/>
      <c r="AB327" s="277"/>
      <c r="AC327" s="277"/>
      <c r="AD327" s="41"/>
      <c r="AE327" s="41"/>
      <c r="AF327" s="41"/>
      <c r="AG327" s="41"/>
      <c r="AH327" s="41"/>
      <c r="AI327" s="41"/>
      <c r="AJ327" s="41"/>
      <c r="AK327" s="257"/>
      <c r="AL327" s="257"/>
      <c r="AM327" s="257"/>
      <c r="AN327" s="257"/>
      <c r="AO327" s="257"/>
      <c r="AP327" s="257"/>
      <c r="AQ327" s="257"/>
      <c r="AR327" s="257"/>
      <c r="AS327" s="257"/>
      <c r="AT327" s="257"/>
      <c r="AU327" s="257"/>
      <c r="AV327" s="257"/>
      <c r="AW327" s="257"/>
      <c r="AX327" s="257"/>
      <c r="AY327" s="257"/>
      <c r="AZ327" s="257"/>
      <c r="BA327" s="257"/>
    </row>
    <row r="328" spans="1:146" s="1" customFormat="1" ht="13.5" customHeight="1" thickBot="1">
      <c r="A328" s="41"/>
      <c r="B328" s="542">
        <v>2000</v>
      </c>
      <c r="C328" s="543">
        <v>2001</v>
      </c>
      <c r="D328" s="543">
        <v>2002</v>
      </c>
      <c r="E328" s="543">
        <v>2003</v>
      </c>
      <c r="F328" s="543">
        <v>2004</v>
      </c>
      <c r="G328" s="543">
        <v>2005</v>
      </c>
      <c r="H328" s="543">
        <v>2006</v>
      </c>
      <c r="I328" s="543">
        <v>2007</v>
      </c>
      <c r="J328" s="543">
        <v>2008</v>
      </c>
      <c r="K328" s="543">
        <v>2009</v>
      </c>
      <c r="L328" s="543">
        <v>2010</v>
      </c>
      <c r="M328" s="543">
        <v>2011</v>
      </c>
      <c r="N328" s="543">
        <v>2012</v>
      </c>
      <c r="O328" s="543">
        <v>2013</v>
      </c>
      <c r="P328" s="544">
        <v>2014</v>
      </c>
      <c r="Q328" s="556"/>
      <c r="R328" s="556"/>
      <c r="S328" s="556"/>
      <c r="T328" s="556"/>
      <c r="U328" s="556"/>
      <c r="V328" s="281"/>
      <c r="W328" s="277"/>
      <c r="X328" s="277"/>
      <c r="Y328" s="277"/>
      <c r="Z328" s="277"/>
      <c r="AA328" s="277"/>
      <c r="AB328" s="277"/>
      <c r="AC328" s="277"/>
      <c r="AD328" s="41"/>
      <c r="AE328" s="41"/>
      <c r="AF328" s="41"/>
      <c r="AG328" s="41"/>
      <c r="AH328" s="41"/>
      <c r="AI328" s="41"/>
      <c r="AJ328" s="41"/>
      <c r="AK328" s="257"/>
      <c r="AL328" s="257"/>
      <c r="AM328" s="257"/>
      <c r="AN328" s="257"/>
      <c r="AO328" s="257"/>
      <c r="AP328" s="257"/>
      <c r="AQ328" s="257"/>
      <c r="AR328" s="257"/>
      <c r="AS328" s="257"/>
      <c r="AT328" s="257"/>
      <c r="AU328" s="257"/>
      <c r="AV328" s="257"/>
      <c r="AW328" s="257"/>
      <c r="AX328" s="257"/>
      <c r="AY328" s="257"/>
      <c r="AZ328" s="257"/>
      <c r="BA328" s="257"/>
    </row>
    <row r="329" spans="1:146" s="1" customFormat="1" ht="13.5" customHeight="1">
      <c r="A329" s="484" t="s">
        <v>249</v>
      </c>
      <c r="B329" s="557">
        <v>24060</v>
      </c>
      <c r="C329" s="558">
        <v>29670</v>
      </c>
      <c r="D329" s="558">
        <v>35050</v>
      </c>
      <c r="E329" s="558">
        <v>53820</v>
      </c>
      <c r="F329" s="558">
        <v>61710</v>
      </c>
      <c r="G329" s="558">
        <v>69200</v>
      </c>
      <c r="H329" s="558">
        <v>66780</v>
      </c>
      <c r="I329" s="558">
        <v>62230</v>
      </c>
      <c r="J329" s="558">
        <v>34540</v>
      </c>
      <c r="K329" s="558">
        <v>67710</v>
      </c>
      <c r="L329" s="558">
        <v>72640</v>
      </c>
      <c r="M329" s="558">
        <v>59846</v>
      </c>
      <c r="N329" s="558">
        <v>38000</v>
      </c>
      <c r="O329" s="559">
        <v>36140</v>
      </c>
      <c r="P329" s="560">
        <v>39830</v>
      </c>
      <c r="Q329" s="238"/>
      <c r="R329" s="238"/>
      <c r="S329" s="238"/>
      <c r="T329" s="238"/>
      <c r="U329" s="238"/>
      <c r="V329" s="281"/>
      <c r="W329" s="277"/>
      <c r="X329" s="277"/>
      <c r="Y329" s="277"/>
      <c r="Z329" s="277"/>
      <c r="AA329" s="277"/>
      <c r="AB329" s="277"/>
      <c r="AC329" s="277"/>
      <c r="AD329" s="41"/>
      <c r="AE329" s="41"/>
      <c r="AF329" s="41"/>
      <c r="AG329" s="41"/>
      <c r="AH329" s="41"/>
      <c r="AI329" s="41"/>
      <c r="AJ329" s="41"/>
      <c r="AK329" s="257"/>
      <c r="AL329" s="257"/>
      <c r="AM329" s="257"/>
      <c r="AN329" s="257"/>
      <c r="AO329" s="257"/>
      <c r="AP329" s="257"/>
      <c r="AQ329" s="257"/>
      <c r="AR329" s="257"/>
      <c r="AS329" s="257"/>
      <c r="AT329" s="257"/>
      <c r="AU329" s="257"/>
      <c r="AV329" s="257"/>
      <c r="AW329" s="257"/>
      <c r="AX329" s="257"/>
      <c r="AY329" s="257"/>
      <c r="AZ329" s="257"/>
      <c r="BA329" s="257"/>
    </row>
    <row r="330" spans="1:146" s="1" customFormat="1" ht="13.5" customHeight="1">
      <c r="A330" s="418" t="s">
        <v>250</v>
      </c>
      <c r="B330" s="547">
        <v>51140</v>
      </c>
      <c r="C330" s="13">
        <v>50350</v>
      </c>
      <c r="D330" s="13">
        <v>50450</v>
      </c>
      <c r="E330" s="13">
        <v>49680</v>
      </c>
      <c r="F330" s="13">
        <v>50490</v>
      </c>
      <c r="G330" s="13">
        <v>52200</v>
      </c>
      <c r="H330" s="13">
        <v>59220</v>
      </c>
      <c r="I330" s="13">
        <v>64770</v>
      </c>
      <c r="J330" s="13">
        <v>43960</v>
      </c>
      <c r="K330" s="13">
        <v>38090</v>
      </c>
      <c r="L330" s="13">
        <v>42660</v>
      </c>
      <c r="M330" s="13">
        <v>45154</v>
      </c>
      <c r="N330" s="13">
        <v>51250</v>
      </c>
      <c r="O330" s="238">
        <v>53160</v>
      </c>
      <c r="P330" s="420">
        <v>50970</v>
      </c>
      <c r="Q330" s="238"/>
      <c r="R330" s="238"/>
      <c r="S330" s="238"/>
      <c r="T330" s="238"/>
      <c r="U330" s="238"/>
      <c r="V330" s="252"/>
      <c r="W330" s="252"/>
      <c r="X330" s="252"/>
      <c r="Y330" s="252"/>
      <c r="Z330" s="252"/>
      <c r="AA330" s="252"/>
      <c r="AB330" s="252"/>
      <c r="AC330" s="252"/>
      <c r="AD330" s="252"/>
      <c r="AE330" s="252"/>
      <c r="AF330" s="252"/>
      <c r="AG330" s="252"/>
      <c r="AH330" s="252"/>
      <c r="AI330" s="252"/>
      <c r="AJ330" s="252"/>
      <c r="AK330" s="252"/>
      <c r="AL330" s="252"/>
      <c r="AM330" s="252"/>
      <c r="AN330" s="252"/>
      <c r="AO330" s="252"/>
      <c r="AP330" s="252"/>
      <c r="AQ330" s="252"/>
      <c r="AR330" s="252"/>
      <c r="AS330" s="252"/>
      <c r="AT330" s="251"/>
      <c r="AU330" s="251"/>
      <c r="AV330" s="251"/>
    </row>
    <row r="331" spans="1:146" s="1" customFormat="1" ht="13.5" customHeight="1" thickBot="1">
      <c r="A331" s="494" t="s">
        <v>18</v>
      </c>
      <c r="B331" s="561">
        <v>75200</v>
      </c>
      <c r="C331" s="562">
        <v>80020</v>
      </c>
      <c r="D331" s="562">
        <v>85500</v>
      </c>
      <c r="E331" s="562">
        <v>103500</v>
      </c>
      <c r="F331" s="562">
        <v>112200</v>
      </c>
      <c r="G331" s="562">
        <v>121400</v>
      </c>
      <c r="H331" s="562">
        <v>126000</v>
      </c>
      <c r="I331" s="562">
        <v>127000</v>
      </c>
      <c r="J331" s="562">
        <v>78500</v>
      </c>
      <c r="K331" s="562">
        <v>105800</v>
      </c>
      <c r="L331" s="562">
        <v>115300</v>
      </c>
      <c r="M331" s="562">
        <v>105000</v>
      </c>
      <c r="N331" s="562">
        <v>89250</v>
      </c>
      <c r="O331" s="562">
        <v>89300</v>
      </c>
      <c r="P331" s="563">
        <v>90800</v>
      </c>
      <c r="Q331" s="424"/>
      <c r="R331" s="424"/>
      <c r="S331" s="424"/>
      <c r="T331" s="424"/>
      <c r="U331" s="424"/>
      <c r="V331" s="252"/>
      <c r="W331" s="252"/>
      <c r="X331" s="252"/>
      <c r="Y331" s="252"/>
      <c r="Z331" s="252"/>
      <c r="AA331" s="252"/>
      <c r="AB331" s="252"/>
      <c r="AC331" s="252"/>
      <c r="AD331" s="252"/>
      <c r="AE331" s="252"/>
      <c r="AF331" s="252"/>
      <c r="AG331" s="252"/>
      <c r="AH331" s="252"/>
      <c r="AI331" s="252"/>
      <c r="AJ331" s="252"/>
      <c r="AK331" s="252"/>
      <c r="AL331" s="252"/>
      <c r="AM331" s="252"/>
      <c r="AN331" s="252"/>
      <c r="AO331" s="252"/>
      <c r="AP331" s="252"/>
      <c r="AQ331" s="252"/>
      <c r="AR331" s="252"/>
      <c r="AS331" s="252"/>
      <c r="AT331" s="251"/>
      <c r="AU331" s="251"/>
      <c r="AV331" s="251"/>
    </row>
    <row r="332" spans="1:146" s="1" customFormat="1" ht="13.5" customHeight="1">
      <c r="A332" s="275" t="s">
        <v>251</v>
      </c>
      <c r="B332" s="63"/>
      <c r="C332" s="18"/>
      <c r="D332" s="18"/>
      <c r="E332" s="18"/>
      <c r="F332" s="18"/>
      <c r="G332" s="18"/>
      <c r="H332" s="18"/>
      <c r="I332" s="19"/>
      <c r="J332" s="19"/>
      <c r="K332" s="19"/>
      <c r="L332" s="19"/>
      <c r="M332" s="238"/>
      <c r="N332" s="19"/>
      <c r="O332" s="19"/>
      <c r="P332" s="19"/>
      <c r="Q332" s="19"/>
      <c r="R332" s="19"/>
      <c r="S332" s="19"/>
      <c r="T332" s="265"/>
      <c r="U332" s="68"/>
      <c r="V332" s="252"/>
      <c r="W332" s="252"/>
      <c r="X332" s="252"/>
      <c r="Y332" s="252"/>
      <c r="Z332" s="252"/>
      <c r="AA332" s="252"/>
      <c r="AB332" s="252"/>
      <c r="AC332" s="252"/>
      <c r="AD332" s="252"/>
      <c r="AE332" s="252"/>
      <c r="AF332" s="252"/>
      <c r="AG332" s="252"/>
      <c r="AH332" s="252"/>
      <c r="AI332" s="252"/>
      <c r="AJ332" s="252"/>
      <c r="AK332" s="252"/>
      <c r="AL332" s="252"/>
      <c r="AM332" s="252"/>
      <c r="AN332" s="252"/>
      <c r="AO332" s="252"/>
      <c r="AP332" s="252"/>
      <c r="AQ332" s="252"/>
      <c r="AR332" s="252"/>
      <c r="AS332" s="252"/>
      <c r="AT332" s="251"/>
      <c r="AU332" s="251"/>
      <c r="AV332" s="251"/>
      <c r="CK332" s="282"/>
    </row>
    <row r="333" spans="1:146" s="1" customFormat="1" ht="13.5" customHeight="1">
      <c r="A333" s="275" t="s">
        <v>252</v>
      </c>
      <c r="B333" s="250"/>
      <c r="C333" s="250"/>
      <c r="D333" s="250"/>
      <c r="E333" s="250"/>
      <c r="F333" s="250"/>
      <c r="G333" s="250"/>
      <c r="H333" s="256"/>
      <c r="I333" s="70"/>
      <c r="J333" s="70"/>
      <c r="K333" s="19"/>
      <c r="L333" s="19"/>
      <c r="M333" s="238"/>
      <c r="N333" s="19"/>
      <c r="O333" s="19"/>
      <c r="P333" s="19"/>
      <c r="Q333" s="19"/>
      <c r="R333" s="19"/>
      <c r="S333" s="19"/>
      <c r="T333" s="19"/>
      <c r="CK333" s="282"/>
    </row>
    <row r="334" spans="1:146" s="1" customFormat="1" ht="13.5" customHeight="1">
      <c r="A334" s="275" t="s">
        <v>253</v>
      </c>
      <c r="B334" s="250"/>
      <c r="C334" s="250"/>
      <c r="D334" s="250"/>
      <c r="E334" s="250"/>
      <c r="F334" s="250"/>
      <c r="G334" s="250"/>
      <c r="H334" s="256"/>
      <c r="I334" s="70"/>
      <c r="J334" s="70"/>
      <c r="K334" s="19"/>
      <c r="L334" s="19"/>
      <c r="M334" s="238"/>
      <c r="N334" s="19"/>
      <c r="O334" s="19"/>
      <c r="P334" s="19"/>
      <c r="Q334" s="19"/>
      <c r="R334" s="19"/>
      <c r="S334" s="19"/>
      <c r="T334" s="19"/>
      <c r="CK334" s="282"/>
    </row>
    <row r="335" spans="1:146" s="252" customFormat="1" ht="13.5" customHeight="1">
      <c r="A335" s="6" t="s">
        <v>254</v>
      </c>
      <c r="B335" s="77"/>
      <c r="C335" s="77"/>
      <c r="D335" s="77"/>
      <c r="E335" s="77"/>
      <c r="F335" s="77"/>
      <c r="G335" s="77"/>
      <c r="H335" s="77"/>
      <c r="I335" s="77"/>
      <c r="J335" s="77"/>
      <c r="K335" s="77"/>
      <c r="L335" s="77"/>
      <c r="M335" s="77"/>
      <c r="N335" s="77"/>
      <c r="O335" s="77"/>
      <c r="P335" s="77"/>
      <c r="Q335" s="77"/>
      <c r="R335" s="77"/>
      <c r="S335" s="77"/>
      <c r="T335" s="77"/>
      <c r="CK335" s="282"/>
      <c r="EC335" s="1"/>
      <c r="ED335" s="1"/>
      <c r="EE335" s="1"/>
      <c r="EF335" s="1"/>
      <c r="EG335" s="1"/>
      <c r="EH335" s="1"/>
      <c r="EI335" s="1"/>
    </row>
    <row r="336" spans="1:146" s="1" customFormat="1" ht="13.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AC336" s="277"/>
      <c r="AD336" s="41"/>
      <c r="AE336" s="41"/>
      <c r="AF336" s="41"/>
      <c r="AG336" s="41"/>
      <c r="AH336" s="41"/>
      <c r="AI336" s="41"/>
      <c r="AJ336" s="41"/>
      <c r="AK336" s="257"/>
      <c r="AL336" s="257"/>
      <c r="BZ336" s="256"/>
      <c r="CA336" s="256"/>
      <c r="CB336" s="256"/>
      <c r="CC336" s="256"/>
      <c r="CD336" s="256"/>
      <c r="CE336" s="256"/>
      <c r="CF336" s="256"/>
      <c r="CG336" s="256"/>
      <c r="CH336" s="256"/>
      <c r="CI336" s="256"/>
      <c r="CJ336" s="256"/>
      <c r="CK336" s="256"/>
      <c r="CL336" s="256"/>
      <c r="CM336" s="9"/>
      <c r="CN336" s="9"/>
      <c r="CO336" s="9"/>
      <c r="CP336" s="9"/>
      <c r="DF336" s="9"/>
      <c r="DG336" s="9"/>
      <c r="DH336" s="9"/>
      <c r="DI336" s="9"/>
      <c r="DJ336" s="9"/>
      <c r="DK336" s="9"/>
      <c r="DL336" s="9"/>
      <c r="EC336" s="4"/>
      <c r="ED336" s="4"/>
      <c r="EE336" s="4"/>
      <c r="EF336" s="4"/>
      <c r="EG336" s="4"/>
      <c r="EH336" s="4"/>
      <c r="EJ336" s="541"/>
      <c r="EK336" s="541"/>
      <c r="EL336" s="541"/>
      <c r="EM336" s="541"/>
      <c r="EN336" s="541"/>
      <c r="EO336" s="541"/>
      <c r="EP336" s="541"/>
    </row>
    <row r="337" spans="1:146" s="1" customFormat="1" ht="13.5">
      <c r="A337" s="23" t="s">
        <v>354</v>
      </c>
      <c r="B337" s="8" t="s">
        <v>351</v>
      </c>
      <c r="C337" s="15"/>
      <c r="D337" s="15"/>
      <c r="E337" s="15"/>
      <c r="F337" s="15"/>
      <c r="G337" s="15"/>
      <c r="H337" s="19"/>
      <c r="I337" s="19"/>
      <c r="J337" s="19"/>
      <c r="K337" s="19"/>
      <c r="L337" s="19"/>
      <c r="M337" s="19"/>
      <c r="N337" s="19"/>
      <c r="O337" s="19"/>
      <c r="P337" s="277"/>
      <c r="Q337" s="277"/>
      <c r="W337" s="9"/>
      <c r="X337" s="9"/>
      <c r="Y337" s="277"/>
      <c r="Z337" s="277"/>
      <c r="AA337" s="277"/>
      <c r="AB337" s="278"/>
      <c r="AC337" s="277"/>
      <c r="AD337" s="41"/>
      <c r="AE337" s="41"/>
      <c r="AF337" s="41"/>
      <c r="AG337" s="41"/>
      <c r="AH337" s="41"/>
      <c r="AI337" s="41"/>
      <c r="AJ337" s="41"/>
      <c r="AK337" s="257"/>
      <c r="AL337" s="257"/>
      <c r="BZ337" s="256"/>
      <c r="CA337" s="256"/>
      <c r="CB337" s="256"/>
      <c r="CC337" s="256"/>
      <c r="CD337" s="256"/>
      <c r="CE337" s="256"/>
      <c r="CF337" s="256"/>
      <c r="CG337" s="256"/>
      <c r="CH337" s="256"/>
      <c r="CI337" s="256"/>
      <c r="CJ337" s="256"/>
      <c r="CK337" s="256"/>
      <c r="CL337" s="256"/>
      <c r="CM337" s="9"/>
      <c r="CN337" s="9"/>
      <c r="CO337" s="9"/>
      <c r="CP337" s="9"/>
      <c r="DF337" s="9"/>
      <c r="DG337" s="9"/>
      <c r="DH337" s="9"/>
      <c r="DI337" s="9"/>
      <c r="DJ337" s="9"/>
      <c r="DK337" s="9"/>
      <c r="DL337" s="9"/>
      <c r="EC337" s="4"/>
      <c r="ED337" s="4"/>
      <c r="EE337" s="4"/>
      <c r="EF337" s="4"/>
      <c r="EG337" s="4"/>
      <c r="EH337" s="4"/>
      <c r="EJ337" s="541"/>
      <c r="EK337" s="541"/>
      <c r="EL337" s="541"/>
      <c r="EM337" s="541"/>
      <c r="EN337" s="541"/>
      <c r="EO337" s="541"/>
      <c r="EP337" s="541"/>
    </row>
    <row r="338" spans="1:146" s="1" customFormat="1" ht="14.25" thickBot="1">
      <c r="A338" s="19"/>
      <c r="B338" s="19"/>
      <c r="C338" s="19"/>
      <c r="D338" s="19"/>
      <c r="E338" s="19"/>
      <c r="F338" s="19"/>
      <c r="G338" s="19"/>
      <c r="H338" s="19"/>
      <c r="I338" s="19"/>
      <c r="J338" s="19"/>
      <c r="K338" s="19"/>
      <c r="L338" s="19"/>
      <c r="M338" s="19"/>
      <c r="N338" s="19"/>
      <c r="O338" s="19"/>
      <c r="P338" s="23"/>
      <c r="Q338" s="23"/>
      <c r="W338" s="9"/>
      <c r="X338" s="9"/>
      <c r="Y338" s="277"/>
      <c r="Z338" s="41"/>
      <c r="AA338" s="41"/>
      <c r="AB338" s="41"/>
      <c r="AC338" s="41"/>
      <c r="AD338" s="41"/>
      <c r="AE338" s="41"/>
      <c r="AF338" s="41"/>
      <c r="AG338" s="41"/>
      <c r="AH338" s="41"/>
      <c r="AI338" s="41"/>
      <c r="AJ338" s="41"/>
      <c r="AK338" s="257"/>
      <c r="AL338" s="257"/>
      <c r="AM338" s="257"/>
      <c r="AN338" s="257"/>
      <c r="AO338" s="257"/>
      <c r="AP338" s="257"/>
      <c r="AQ338" s="257"/>
      <c r="AR338" s="257"/>
      <c r="AS338" s="257"/>
      <c r="AT338" s="257"/>
      <c r="AU338" s="257"/>
      <c r="AV338" s="257"/>
      <c r="AW338" s="257"/>
      <c r="AX338" s="257"/>
      <c r="AY338" s="257"/>
      <c r="AZ338" s="257"/>
      <c r="BA338" s="257"/>
      <c r="BB338" s="257"/>
      <c r="BC338" s="257"/>
      <c r="BD338" s="257"/>
      <c r="BE338" s="257"/>
      <c r="BF338" s="257"/>
      <c r="BG338" s="257"/>
      <c r="BH338" s="257"/>
      <c r="BI338" s="257"/>
      <c r="BJ338" s="257"/>
      <c r="BK338" s="257"/>
      <c r="BL338" s="257"/>
      <c r="BM338" s="257"/>
      <c r="BN338" s="257"/>
      <c r="BO338" s="257"/>
      <c r="BP338" s="257"/>
      <c r="BQ338" s="257"/>
      <c r="BZ338" s="256"/>
      <c r="CA338" s="256"/>
      <c r="CB338" s="256"/>
      <c r="CC338" s="256"/>
      <c r="CD338" s="256"/>
      <c r="CE338" s="256"/>
      <c r="CF338" s="256"/>
      <c r="CG338" s="256"/>
      <c r="CH338" s="256"/>
      <c r="CI338" s="256"/>
      <c r="CJ338" s="256"/>
      <c r="CK338" s="256"/>
      <c r="CL338" s="256"/>
      <c r="CM338" s="9"/>
      <c r="CN338" s="9"/>
      <c r="CO338" s="9"/>
      <c r="CP338" s="9"/>
      <c r="DF338" s="9"/>
      <c r="DG338" s="9"/>
      <c r="DH338" s="9"/>
      <c r="DI338" s="9"/>
      <c r="DJ338" s="9"/>
      <c r="DK338" s="9"/>
      <c r="DL338" s="9"/>
      <c r="EC338" s="4"/>
      <c r="ED338" s="4"/>
      <c r="EE338" s="4"/>
      <c r="EF338" s="4"/>
      <c r="EG338" s="4"/>
      <c r="EH338" s="4"/>
      <c r="EJ338" s="541"/>
      <c r="EK338" s="541"/>
      <c r="EL338" s="541"/>
      <c r="EM338" s="541"/>
      <c r="EN338" s="541"/>
      <c r="EO338" s="541"/>
      <c r="EP338" s="541"/>
    </row>
    <row r="339" spans="1:146" s="1" customFormat="1" ht="13.5" customHeight="1" thickBot="1">
      <c r="A339" s="41"/>
      <c r="B339" s="542">
        <v>2000</v>
      </c>
      <c r="C339" s="543">
        <v>2001</v>
      </c>
      <c r="D339" s="543">
        <v>2002</v>
      </c>
      <c r="E339" s="543">
        <v>2003</v>
      </c>
      <c r="F339" s="543">
        <v>2004</v>
      </c>
      <c r="G339" s="543">
        <v>2005</v>
      </c>
      <c r="H339" s="543">
        <v>2006</v>
      </c>
      <c r="I339" s="543">
        <v>2007</v>
      </c>
      <c r="J339" s="543">
        <v>2008</v>
      </c>
      <c r="K339" s="543">
        <v>2009</v>
      </c>
      <c r="L339" s="543">
        <v>2010</v>
      </c>
      <c r="M339" s="543">
        <v>2011</v>
      </c>
      <c r="N339" s="543">
        <v>2012</v>
      </c>
      <c r="O339" s="543">
        <v>2013</v>
      </c>
      <c r="P339" s="544">
        <v>2014</v>
      </c>
      <c r="Q339" s="23"/>
      <c r="W339" s="9"/>
      <c r="X339" s="9"/>
      <c r="Y339" s="277"/>
      <c r="Z339" s="41"/>
      <c r="AA339" s="41"/>
      <c r="AB339" s="41"/>
      <c r="AC339" s="41"/>
      <c r="AD339" s="41"/>
      <c r="AE339" s="41"/>
      <c r="AF339" s="41"/>
      <c r="AG339" s="41"/>
      <c r="AH339" s="41"/>
      <c r="AI339" s="41"/>
      <c r="AJ339" s="41"/>
      <c r="AK339" s="257"/>
      <c r="AL339" s="257"/>
      <c r="BZ339" s="256"/>
      <c r="CA339" s="256"/>
      <c r="CB339" s="256"/>
      <c r="CC339" s="256"/>
      <c r="CD339" s="256"/>
      <c r="CE339" s="256"/>
      <c r="CF339" s="256"/>
      <c r="CG339" s="256"/>
      <c r="CH339" s="256"/>
      <c r="CI339" s="256"/>
      <c r="CJ339" s="256"/>
      <c r="CK339" s="256"/>
      <c r="CL339" s="256"/>
      <c r="CM339" s="9"/>
      <c r="CN339" s="9"/>
      <c r="CO339" s="9"/>
      <c r="CP339" s="9"/>
      <c r="DF339" s="9"/>
      <c r="DG339" s="9"/>
      <c r="DH339" s="9"/>
      <c r="DI339" s="9"/>
      <c r="DJ339" s="9"/>
      <c r="DK339" s="9"/>
      <c r="DL339" s="9"/>
      <c r="EC339" s="4"/>
      <c r="ED339" s="4"/>
      <c r="EE339" s="4"/>
      <c r="EF339" s="4"/>
      <c r="EG339" s="4"/>
      <c r="EH339" s="4"/>
      <c r="EJ339" s="541"/>
      <c r="EK339" s="541"/>
      <c r="EL339" s="541"/>
      <c r="EM339" s="541"/>
      <c r="EN339" s="541"/>
      <c r="EO339" s="541"/>
      <c r="EP339" s="541"/>
    </row>
    <row r="340" spans="1:146" s="1" customFormat="1" ht="13.5" customHeight="1">
      <c r="A340" s="413" t="s">
        <v>244</v>
      </c>
      <c r="B340" s="545">
        <f t="shared" ref="B340:N340" si="26">B341+B342</f>
        <v>78400</v>
      </c>
      <c r="C340" s="279">
        <f t="shared" si="26"/>
        <v>79571</v>
      </c>
      <c r="D340" s="279">
        <f t="shared" si="26"/>
        <v>80243</v>
      </c>
      <c r="E340" s="279">
        <f t="shared" si="26"/>
        <v>92542</v>
      </c>
      <c r="F340" s="279">
        <f>F341+F342</f>
        <v>113185</v>
      </c>
      <c r="G340" s="279">
        <f t="shared" si="26"/>
        <v>131757</v>
      </c>
      <c r="H340" s="279">
        <f t="shared" si="26"/>
        <v>149514</v>
      </c>
      <c r="I340" s="279">
        <f t="shared" si="26"/>
        <v>147362</v>
      </c>
      <c r="J340" s="279">
        <f t="shared" si="26"/>
        <v>91626</v>
      </c>
      <c r="K340" s="279">
        <f t="shared" si="26"/>
        <v>77280</v>
      </c>
      <c r="L340" s="279">
        <f t="shared" si="26"/>
        <v>110269</v>
      </c>
      <c r="M340" s="279">
        <f t="shared" si="26"/>
        <v>123288</v>
      </c>
      <c r="N340" s="279">
        <f t="shared" si="26"/>
        <v>118711</v>
      </c>
      <c r="O340" s="279">
        <f>O341+O342</f>
        <v>103772</v>
      </c>
      <c r="P340" s="546">
        <f>P341+P342</f>
        <v>89928</v>
      </c>
      <c r="Q340" s="23"/>
      <c r="W340" s="9"/>
      <c r="X340" s="9"/>
      <c r="Y340" s="252"/>
      <c r="Z340" s="252"/>
      <c r="AA340" s="252"/>
      <c r="AB340" s="252"/>
      <c r="AC340" s="252"/>
      <c r="AD340" s="252"/>
      <c r="AE340" s="252"/>
      <c r="AF340" s="252"/>
      <c r="AG340" s="252"/>
      <c r="AH340" s="252"/>
      <c r="AI340" s="252"/>
      <c r="AJ340" s="252"/>
      <c r="AK340" s="252"/>
      <c r="AL340" s="252"/>
      <c r="BZ340" s="256"/>
      <c r="CA340" s="256"/>
      <c r="CB340" s="256"/>
      <c r="CC340" s="256"/>
      <c r="CD340" s="256"/>
      <c r="CE340" s="256"/>
      <c r="CF340" s="256"/>
      <c r="CG340" s="256"/>
      <c r="CH340" s="256"/>
      <c r="CI340" s="256"/>
      <c r="CJ340" s="256"/>
      <c r="CK340" s="256"/>
      <c r="CL340" s="256"/>
      <c r="CM340" s="9"/>
      <c r="CN340" s="9"/>
      <c r="CO340" s="9"/>
      <c r="CP340" s="9"/>
      <c r="DF340" s="9"/>
      <c r="DG340" s="9"/>
      <c r="DH340" s="9"/>
      <c r="DI340" s="9"/>
      <c r="DJ340" s="9"/>
      <c r="DK340" s="9"/>
      <c r="DL340" s="9"/>
      <c r="EC340" s="4"/>
      <c r="ED340" s="4"/>
      <c r="EE340" s="4"/>
      <c r="EF340" s="4"/>
      <c r="EG340" s="4"/>
      <c r="EH340" s="4"/>
      <c r="EJ340" s="541"/>
      <c r="EK340" s="541"/>
      <c r="EL340" s="541"/>
      <c r="EM340" s="541"/>
      <c r="EN340" s="541"/>
      <c r="EO340" s="541"/>
      <c r="EP340" s="541"/>
    </row>
    <row r="341" spans="1:146" s="1" customFormat="1" ht="13.5" customHeight="1">
      <c r="A341" s="418" t="s">
        <v>136</v>
      </c>
      <c r="B341" s="547">
        <v>65135</v>
      </c>
      <c r="C341" s="13">
        <v>64858</v>
      </c>
      <c r="D341" s="13">
        <v>66254</v>
      </c>
      <c r="E341" s="13">
        <v>78996</v>
      </c>
      <c r="F341" s="13">
        <v>94970</v>
      </c>
      <c r="G341" s="13">
        <v>113197</v>
      </c>
      <c r="H341" s="13">
        <v>129846</v>
      </c>
      <c r="I341" s="13">
        <v>127835</v>
      </c>
      <c r="J341" s="13">
        <v>77641</v>
      </c>
      <c r="K341" s="13">
        <v>66552</v>
      </c>
      <c r="L341" s="13">
        <v>97427</v>
      </c>
      <c r="M341" s="13">
        <v>111169</v>
      </c>
      <c r="N341" s="13">
        <v>106756</v>
      </c>
      <c r="O341" s="13">
        <v>92745</v>
      </c>
      <c r="P341" s="548">
        <v>81886</v>
      </c>
      <c r="Q341" s="23"/>
      <c r="W341" s="9"/>
      <c r="X341" s="9"/>
      <c r="Y341" s="252"/>
      <c r="Z341" s="252"/>
      <c r="AA341" s="252"/>
      <c r="AB341" s="252"/>
      <c r="AC341" s="252"/>
      <c r="AD341" s="252"/>
      <c r="AE341" s="252"/>
      <c r="AF341" s="252"/>
      <c r="AG341" s="252"/>
      <c r="AH341" s="252"/>
      <c r="AI341" s="252"/>
      <c r="AJ341" s="252"/>
      <c r="AK341" s="252"/>
      <c r="AL341" s="252"/>
      <c r="BZ341" s="256"/>
      <c r="CA341" s="256"/>
      <c r="CB341" s="256"/>
      <c r="CC341" s="256"/>
      <c r="CD341" s="256"/>
      <c r="CE341" s="256"/>
      <c r="CF341" s="256"/>
      <c r="CG341" s="256"/>
      <c r="CH341" s="256"/>
      <c r="CI341" s="256"/>
      <c r="CJ341" s="256"/>
      <c r="CK341" s="256"/>
      <c r="CL341" s="256"/>
      <c r="CM341" s="9"/>
      <c r="CN341" s="9"/>
      <c r="CO341" s="9"/>
      <c r="CP341" s="9"/>
      <c r="DF341" s="9"/>
      <c r="DG341" s="9"/>
      <c r="DH341" s="9"/>
      <c r="DI341" s="9"/>
      <c r="DJ341" s="9"/>
      <c r="DK341" s="9"/>
      <c r="DL341" s="9"/>
      <c r="EC341" s="4"/>
      <c r="ED341" s="4"/>
      <c r="EE341" s="4"/>
      <c r="EF341" s="4"/>
      <c r="EG341" s="4"/>
      <c r="EH341" s="4"/>
      <c r="EJ341" s="541"/>
      <c r="EK341" s="541"/>
      <c r="EL341" s="541"/>
      <c r="EM341" s="541"/>
      <c r="EN341" s="541"/>
      <c r="EO341" s="541"/>
      <c r="EP341" s="541"/>
    </row>
    <row r="342" spans="1:146" s="1" customFormat="1" ht="13.5" customHeight="1">
      <c r="A342" s="418" t="s">
        <v>218</v>
      </c>
      <c r="B342" s="547">
        <v>13265</v>
      </c>
      <c r="C342" s="13">
        <v>14713</v>
      </c>
      <c r="D342" s="13">
        <v>13989</v>
      </c>
      <c r="E342" s="13">
        <v>13546</v>
      </c>
      <c r="F342" s="13">
        <v>18215</v>
      </c>
      <c r="G342" s="13">
        <v>18560</v>
      </c>
      <c r="H342" s="13">
        <v>19668</v>
      </c>
      <c r="I342" s="13">
        <v>19527</v>
      </c>
      <c r="J342" s="13">
        <v>13985</v>
      </c>
      <c r="K342" s="13">
        <v>10728</v>
      </c>
      <c r="L342" s="13">
        <v>12842</v>
      </c>
      <c r="M342" s="13">
        <v>12119</v>
      </c>
      <c r="N342" s="13">
        <v>11955</v>
      </c>
      <c r="O342" s="13">
        <v>11027</v>
      </c>
      <c r="P342" s="548">
        <v>8042</v>
      </c>
      <c r="Q342" s="23"/>
      <c r="W342" s="9"/>
      <c r="X342" s="9"/>
      <c r="Y342" s="252"/>
      <c r="Z342" s="252"/>
      <c r="AA342" s="252"/>
      <c r="AB342" s="252"/>
      <c r="AC342" s="252"/>
      <c r="AD342" s="252"/>
      <c r="AE342" s="252"/>
      <c r="AF342" s="252"/>
      <c r="AG342" s="252"/>
      <c r="AH342" s="252"/>
      <c r="AI342" s="252"/>
      <c r="AJ342" s="252"/>
      <c r="AK342" s="252"/>
      <c r="AL342" s="252"/>
      <c r="BZ342" s="256"/>
      <c r="CA342" s="256"/>
      <c r="CB342" s="256"/>
      <c r="CC342" s="256"/>
      <c r="CD342" s="256"/>
      <c r="CE342" s="256"/>
      <c r="CF342" s="256"/>
      <c r="CG342" s="256"/>
      <c r="CH342" s="256"/>
      <c r="CI342" s="256"/>
      <c r="CJ342" s="256"/>
      <c r="CK342" s="256"/>
      <c r="CL342" s="256"/>
      <c r="CM342" s="9"/>
      <c r="CN342" s="9"/>
      <c r="CO342" s="9"/>
      <c r="CP342" s="9"/>
      <c r="DF342" s="9"/>
      <c r="DG342" s="9"/>
      <c r="DH342" s="9"/>
      <c r="DI342" s="9"/>
      <c r="DJ342" s="9"/>
      <c r="DK342" s="9"/>
      <c r="DL342" s="9"/>
      <c r="EC342" s="4"/>
      <c r="ED342" s="4"/>
      <c r="EE342" s="4"/>
      <c r="EF342" s="4"/>
      <c r="EG342" s="4"/>
      <c r="EH342" s="4"/>
      <c r="EJ342" s="541"/>
      <c r="EK342" s="541"/>
      <c r="EL342" s="541"/>
      <c r="EM342" s="541"/>
      <c r="EN342" s="541"/>
      <c r="EO342" s="541"/>
      <c r="EP342" s="541"/>
    </row>
    <row r="343" spans="1:146" s="1" customFormat="1" ht="13.5" customHeight="1">
      <c r="A343" s="422" t="s">
        <v>245</v>
      </c>
      <c r="B343" s="549">
        <f t="shared" ref="B343:P343" si="27">B344+B345</f>
        <v>75243</v>
      </c>
      <c r="C343" s="550">
        <f t="shared" si="27"/>
        <v>80195</v>
      </c>
      <c r="D343" s="550">
        <f t="shared" si="27"/>
        <v>85488</v>
      </c>
      <c r="E343" s="550">
        <f t="shared" si="27"/>
        <v>103462</v>
      </c>
      <c r="F343" s="550">
        <f>F344+F345</f>
        <v>112191</v>
      </c>
      <c r="G343" s="550">
        <f t="shared" si="27"/>
        <v>121423</v>
      </c>
      <c r="H343" s="550">
        <f t="shared" si="27"/>
        <v>125964</v>
      </c>
      <c r="I343" s="550">
        <f>I344+I345</f>
        <v>127017</v>
      </c>
      <c r="J343" s="550">
        <f t="shared" si="27"/>
        <v>78507</v>
      </c>
      <c r="K343" s="550">
        <f t="shared" si="27"/>
        <v>105802</v>
      </c>
      <c r="L343" s="550">
        <f t="shared" si="27"/>
        <v>115285</v>
      </c>
      <c r="M343" s="550">
        <f t="shared" si="27"/>
        <v>105000</v>
      </c>
      <c r="N343" s="550">
        <f t="shared" si="27"/>
        <v>88904</v>
      </c>
      <c r="O343" s="550">
        <f t="shared" si="27"/>
        <v>89313</v>
      </c>
      <c r="P343" s="551">
        <f t="shared" si="27"/>
        <v>85821</v>
      </c>
      <c r="Q343" s="23"/>
      <c r="W343" s="9"/>
      <c r="X343" s="9"/>
      <c r="Y343" s="252"/>
      <c r="Z343" s="252"/>
      <c r="AA343" s="252"/>
      <c r="AB343" s="252"/>
      <c r="AC343" s="252"/>
      <c r="AD343" s="252"/>
      <c r="AE343" s="252"/>
      <c r="AF343" s="252"/>
      <c r="AG343" s="252"/>
      <c r="AH343" s="252"/>
      <c r="AI343" s="252"/>
      <c r="AJ343" s="252"/>
      <c r="AK343" s="252"/>
      <c r="AL343" s="252"/>
      <c r="BZ343" s="256"/>
      <c r="CA343" s="256"/>
      <c r="CB343" s="256"/>
      <c r="CC343" s="256"/>
      <c r="CD343" s="256"/>
      <c r="CE343" s="256"/>
      <c r="CF343" s="256"/>
      <c r="CG343" s="256"/>
      <c r="CH343" s="256"/>
      <c r="CI343" s="256"/>
      <c r="CJ343" s="256"/>
      <c r="CK343" s="256"/>
      <c r="CL343" s="256"/>
      <c r="CM343" s="9"/>
      <c r="CN343" s="9"/>
      <c r="CO343" s="9"/>
      <c r="CP343" s="9"/>
      <c r="DF343" s="9"/>
      <c r="DG343" s="9"/>
      <c r="DH343" s="9"/>
      <c r="DI343" s="9"/>
      <c r="DJ343" s="9"/>
      <c r="DK343" s="9"/>
      <c r="DL343" s="9"/>
      <c r="EC343" s="4"/>
      <c r="ED343" s="4"/>
      <c r="EE343" s="4"/>
      <c r="EF343" s="4"/>
      <c r="EG343" s="4"/>
      <c r="EH343" s="4"/>
      <c r="EJ343" s="541"/>
      <c r="EK343" s="541"/>
      <c r="EL343" s="541"/>
      <c r="EM343" s="541"/>
      <c r="EN343" s="541"/>
      <c r="EO343" s="541"/>
      <c r="EP343" s="541"/>
    </row>
    <row r="344" spans="1:146" s="1" customFormat="1" ht="13.5" customHeight="1">
      <c r="A344" s="418" t="s">
        <v>136</v>
      </c>
      <c r="B344" s="547">
        <v>62658</v>
      </c>
      <c r="C344" s="13">
        <v>66561</v>
      </c>
      <c r="D344" s="13">
        <v>71209</v>
      </c>
      <c r="E344" s="13">
        <v>87733</v>
      </c>
      <c r="F344" s="13">
        <v>95667</v>
      </c>
      <c r="G344" s="13">
        <v>102991</v>
      </c>
      <c r="H344" s="13">
        <v>109429</v>
      </c>
      <c r="I344" s="13">
        <v>110539</v>
      </c>
      <c r="J344" s="13">
        <v>67780</v>
      </c>
      <c r="K344" s="13">
        <v>93041</v>
      </c>
      <c r="L344" s="13">
        <v>102533</v>
      </c>
      <c r="M344" s="13">
        <v>94728</v>
      </c>
      <c r="N344" s="13">
        <v>80373</v>
      </c>
      <c r="O344" s="13">
        <v>80498</v>
      </c>
      <c r="P344" s="548">
        <v>78558</v>
      </c>
      <c r="Q344" s="254"/>
      <c r="W344" s="9"/>
      <c r="X344" s="9"/>
      <c r="AB344" s="252"/>
      <c r="AC344" s="252"/>
      <c r="AD344" s="252"/>
      <c r="AE344" s="252"/>
      <c r="AF344" s="252"/>
      <c r="AG344" s="252"/>
      <c r="AH344" s="252"/>
      <c r="AI344" s="252"/>
      <c r="AJ344" s="252"/>
      <c r="AK344" s="252"/>
      <c r="AL344" s="252"/>
      <c r="BZ344" s="256"/>
      <c r="CA344" s="256"/>
      <c r="CB344" s="256"/>
      <c r="CC344" s="256"/>
      <c r="CD344" s="256"/>
      <c r="CE344" s="256"/>
      <c r="CF344" s="256"/>
      <c r="CG344" s="256"/>
      <c r="CH344" s="256"/>
      <c r="CI344" s="256"/>
      <c r="CJ344" s="256"/>
      <c r="CK344" s="256"/>
      <c r="CL344" s="256"/>
      <c r="CM344" s="256"/>
      <c r="CN344" s="256"/>
      <c r="CO344" s="256"/>
      <c r="CP344" s="256"/>
      <c r="DF344" s="9"/>
      <c r="DG344" s="9"/>
      <c r="DH344" s="9"/>
      <c r="DI344" s="9"/>
      <c r="DJ344" s="9"/>
      <c r="DK344" s="9"/>
      <c r="DL344" s="9"/>
      <c r="EC344" s="4"/>
      <c r="ED344" s="4"/>
      <c r="EE344" s="4"/>
      <c r="EF344" s="4"/>
      <c r="EG344" s="4"/>
      <c r="EH344" s="4"/>
      <c r="EJ344" s="541"/>
      <c r="EK344" s="541"/>
      <c r="EL344" s="541"/>
      <c r="EM344" s="541"/>
      <c r="EN344" s="541"/>
      <c r="EO344" s="541"/>
      <c r="EP344" s="541"/>
    </row>
    <row r="345" spans="1:146" s="1" customFormat="1" ht="13.5" customHeight="1">
      <c r="A345" s="418" t="s">
        <v>218</v>
      </c>
      <c r="B345" s="547">
        <v>12585</v>
      </c>
      <c r="C345" s="13">
        <v>13634</v>
      </c>
      <c r="D345" s="13">
        <v>14279</v>
      </c>
      <c r="E345" s="13">
        <v>15729</v>
      </c>
      <c r="F345" s="13">
        <v>16524</v>
      </c>
      <c r="G345" s="13">
        <v>18432</v>
      </c>
      <c r="H345" s="13">
        <v>16535</v>
      </c>
      <c r="I345" s="13">
        <v>16478</v>
      </c>
      <c r="J345" s="13">
        <v>10727</v>
      </c>
      <c r="K345" s="13">
        <v>12761</v>
      </c>
      <c r="L345" s="13">
        <v>12752</v>
      </c>
      <c r="M345" s="13">
        <v>10272</v>
      </c>
      <c r="N345" s="13">
        <v>8531</v>
      </c>
      <c r="O345" s="13">
        <v>8815</v>
      </c>
      <c r="P345" s="548">
        <v>7263</v>
      </c>
      <c r="Q345" s="552"/>
      <c r="W345" s="9"/>
      <c r="X345" s="9"/>
      <c r="Y345" s="252"/>
      <c r="Z345" s="252"/>
      <c r="AA345" s="252"/>
      <c r="AB345" s="252"/>
      <c r="AC345" s="252"/>
      <c r="AD345" s="252"/>
      <c r="AE345" s="252"/>
      <c r="AF345" s="252"/>
      <c r="AG345" s="252"/>
      <c r="AH345" s="252"/>
      <c r="AI345" s="252"/>
      <c r="AJ345" s="252"/>
      <c r="AK345" s="252"/>
      <c r="AL345" s="252"/>
      <c r="AQ345" s="257"/>
      <c r="AR345" s="257"/>
      <c r="AS345" s="257"/>
      <c r="AT345" s="257"/>
      <c r="AU345" s="257"/>
      <c r="AV345" s="257"/>
      <c r="AW345" s="257"/>
      <c r="AX345" s="257"/>
      <c r="AY345" s="257"/>
      <c r="AZ345" s="257"/>
      <c r="BA345" s="257"/>
    </row>
    <row r="346" spans="1:146" s="1" customFormat="1" ht="13.5" customHeight="1">
      <c r="A346" s="422" t="s">
        <v>246</v>
      </c>
      <c r="B346" s="549">
        <f t="shared" ref="B346:P346" si="28">B347+B348</f>
        <v>52332</v>
      </c>
      <c r="C346" s="550">
        <f t="shared" si="28"/>
        <v>52044</v>
      </c>
      <c r="D346" s="550">
        <f t="shared" si="28"/>
        <v>48121</v>
      </c>
      <c r="E346" s="550">
        <f t="shared" si="28"/>
        <v>37504</v>
      </c>
      <c r="F346" s="550">
        <f>F347+F348</f>
        <v>39862</v>
      </c>
      <c r="G346" s="550">
        <f t="shared" si="28"/>
        <v>52771</v>
      </c>
      <c r="H346" s="550">
        <f t="shared" si="28"/>
        <v>78640</v>
      </c>
      <c r="I346" s="550">
        <f t="shared" si="28"/>
        <v>102067</v>
      </c>
      <c r="J346" s="550">
        <f t="shared" si="28"/>
        <v>109787</v>
      </c>
      <c r="K346" s="550">
        <f t="shared" si="28"/>
        <v>69221</v>
      </c>
      <c r="L346" s="550">
        <f t="shared" si="28"/>
        <v>59330</v>
      </c>
      <c r="M346" s="550">
        <f t="shared" si="28"/>
        <v>72824</v>
      </c>
      <c r="N346" s="550">
        <f t="shared" si="28"/>
        <v>96062</v>
      </c>
      <c r="O346" s="550">
        <f t="shared" si="28"/>
        <v>104102</v>
      </c>
      <c r="P346" s="551">
        <f t="shared" si="28"/>
        <v>103303</v>
      </c>
      <c r="Q346" s="424"/>
      <c r="W346" s="9"/>
      <c r="X346" s="9"/>
      <c r="Y346" s="252"/>
      <c r="Z346" s="252"/>
      <c r="AA346" s="252"/>
      <c r="AB346" s="252"/>
      <c r="AC346" s="252"/>
      <c r="AD346" s="252"/>
      <c r="AE346" s="252"/>
      <c r="AF346" s="252"/>
      <c r="AG346" s="252"/>
      <c r="AH346" s="252"/>
      <c r="AI346" s="252"/>
      <c r="AJ346" s="252"/>
      <c r="AK346" s="252"/>
      <c r="AL346" s="252"/>
      <c r="AQ346" s="257"/>
      <c r="AR346" s="257"/>
      <c r="AS346" s="257"/>
      <c r="AT346" s="257"/>
      <c r="AU346" s="257"/>
      <c r="AV346" s="257"/>
      <c r="AW346" s="257"/>
      <c r="AX346" s="257"/>
      <c r="AY346" s="257"/>
      <c r="AZ346" s="257"/>
      <c r="BA346" s="257"/>
    </row>
    <row r="347" spans="1:146" s="1" customFormat="1" ht="13.5" customHeight="1">
      <c r="A347" s="418" t="s">
        <v>136</v>
      </c>
      <c r="B347" s="547">
        <v>44171</v>
      </c>
      <c r="C347" s="13">
        <v>43107</v>
      </c>
      <c r="D347" s="13">
        <v>39539</v>
      </c>
      <c r="E347" s="13">
        <v>31101</v>
      </c>
      <c r="F347" s="13">
        <v>31943</v>
      </c>
      <c r="G347" s="13">
        <v>44590</v>
      </c>
      <c r="H347" s="13">
        <v>67506</v>
      </c>
      <c r="I347" s="13">
        <v>87866</v>
      </c>
      <c r="J347" s="13">
        <v>94425</v>
      </c>
      <c r="K347" s="13">
        <v>58880</v>
      </c>
      <c r="L347" s="13">
        <v>50560</v>
      </c>
      <c r="M347" s="13">
        <v>64173</v>
      </c>
      <c r="N347" s="13">
        <v>85512</v>
      </c>
      <c r="O347" s="13">
        <v>93119</v>
      </c>
      <c r="P347" s="548">
        <v>93042</v>
      </c>
      <c r="Q347" s="238"/>
      <c r="W347" s="9"/>
      <c r="X347" s="9"/>
      <c r="Y347" s="252"/>
      <c r="Z347" s="252"/>
      <c r="AA347" s="252"/>
      <c r="AB347" s="252"/>
      <c r="AC347" s="252"/>
      <c r="AD347" s="252"/>
      <c r="AE347" s="252"/>
      <c r="AF347" s="252"/>
      <c r="AG347" s="252"/>
      <c r="AH347" s="252"/>
      <c r="AI347" s="252"/>
      <c r="AJ347" s="252"/>
      <c r="AK347" s="252"/>
      <c r="AL347" s="252"/>
      <c r="AQ347" s="257"/>
      <c r="AR347" s="257"/>
      <c r="AS347" s="257"/>
      <c r="AT347" s="257"/>
      <c r="AU347" s="257"/>
      <c r="AV347" s="257"/>
      <c r="AW347" s="257"/>
      <c r="AX347" s="257"/>
      <c r="AY347" s="257"/>
      <c r="AZ347" s="257"/>
      <c r="BA347" s="257"/>
    </row>
    <row r="348" spans="1:146" s="1" customFormat="1" ht="13.5" customHeight="1" thickBot="1">
      <c r="A348" s="429" t="s">
        <v>218</v>
      </c>
      <c r="B348" s="553">
        <v>8161</v>
      </c>
      <c r="C348" s="554">
        <v>8937</v>
      </c>
      <c r="D348" s="554">
        <v>8582</v>
      </c>
      <c r="E348" s="554">
        <v>6403</v>
      </c>
      <c r="F348" s="554">
        <v>7919</v>
      </c>
      <c r="G348" s="554">
        <v>8181</v>
      </c>
      <c r="H348" s="554">
        <v>11134</v>
      </c>
      <c r="I348" s="554">
        <v>14201</v>
      </c>
      <c r="J348" s="554">
        <v>15362</v>
      </c>
      <c r="K348" s="554">
        <v>10341</v>
      </c>
      <c r="L348" s="554">
        <v>8770</v>
      </c>
      <c r="M348" s="554">
        <v>8651</v>
      </c>
      <c r="N348" s="554">
        <v>10550</v>
      </c>
      <c r="O348" s="554">
        <v>10983</v>
      </c>
      <c r="P348" s="555">
        <v>10261</v>
      </c>
      <c r="Q348" s="238"/>
      <c r="W348" s="9"/>
      <c r="X348" s="9"/>
      <c r="Y348" s="252"/>
      <c r="Z348" s="252"/>
      <c r="AA348" s="252"/>
      <c r="AB348" s="252"/>
      <c r="AC348" s="252"/>
      <c r="AD348" s="252"/>
      <c r="AE348" s="252"/>
      <c r="AF348" s="252"/>
      <c r="AG348" s="252"/>
      <c r="AH348" s="252"/>
      <c r="AI348" s="252"/>
      <c r="AJ348" s="252"/>
      <c r="AK348" s="252"/>
      <c r="AL348" s="252"/>
      <c r="AQ348" s="257"/>
      <c r="AR348" s="257"/>
      <c r="AS348" s="257"/>
      <c r="AT348" s="257"/>
      <c r="AU348" s="257"/>
      <c r="AV348" s="257"/>
      <c r="AW348" s="257"/>
      <c r="AX348" s="257"/>
      <c r="AY348" s="257"/>
      <c r="AZ348" s="257"/>
      <c r="BA348" s="257"/>
    </row>
    <row r="349" spans="1:146" s="1" customFormat="1" ht="13.5" customHeight="1">
      <c r="A349" s="275" t="s">
        <v>247</v>
      </c>
      <c r="B349" s="63"/>
      <c r="C349" s="63"/>
      <c r="D349" s="63"/>
      <c r="E349" s="63"/>
      <c r="F349" s="63"/>
      <c r="G349" s="63"/>
      <c r="H349" s="63"/>
      <c r="I349" s="63"/>
      <c r="J349" s="63"/>
      <c r="K349" s="63"/>
      <c r="L349" s="19"/>
      <c r="M349" s="19"/>
      <c r="N349" s="279"/>
      <c r="O349" s="279"/>
      <c r="P349" s="59"/>
      <c r="Q349" s="59"/>
      <c r="W349" s="9"/>
      <c r="X349" s="9"/>
      <c r="Y349" s="252"/>
      <c r="Z349" s="252"/>
      <c r="AA349" s="252"/>
      <c r="AB349" s="252"/>
      <c r="AC349" s="252"/>
      <c r="AD349" s="252"/>
      <c r="AE349" s="252"/>
      <c r="AF349" s="252"/>
      <c r="AG349" s="252"/>
      <c r="AH349" s="252"/>
      <c r="AI349" s="252"/>
      <c r="AJ349" s="252"/>
      <c r="AK349" s="252"/>
      <c r="AL349" s="252"/>
      <c r="AQ349" s="257"/>
      <c r="AR349" s="257"/>
      <c r="AS349" s="257"/>
      <c r="AT349" s="257"/>
      <c r="AU349" s="257"/>
      <c r="AV349" s="257"/>
      <c r="AW349" s="257"/>
      <c r="AX349" s="257"/>
      <c r="AY349" s="257"/>
      <c r="AZ349" s="257"/>
      <c r="BA349" s="257"/>
    </row>
    <row r="350" spans="1:146" s="1" customFormat="1" ht="13.5" customHeight="1">
      <c r="A350" s="275" t="s">
        <v>352</v>
      </c>
      <c r="B350" s="63"/>
      <c r="C350" s="63"/>
      <c r="D350" s="63"/>
      <c r="E350" s="63"/>
      <c r="F350" s="63"/>
      <c r="G350" s="63"/>
      <c r="H350" s="255"/>
      <c r="I350" s="19"/>
      <c r="J350" s="19"/>
      <c r="K350" s="19"/>
      <c r="L350" s="19"/>
      <c r="M350" s="19"/>
      <c r="N350" s="19"/>
      <c r="O350" s="19"/>
      <c r="P350" s="59"/>
      <c r="Q350" s="59"/>
      <c r="W350" s="9"/>
      <c r="X350" s="9"/>
      <c r="Y350" s="252"/>
      <c r="Z350" s="252"/>
      <c r="AA350" s="252"/>
      <c r="AB350" s="252"/>
      <c r="AC350" s="252"/>
      <c r="AD350" s="252"/>
      <c r="AE350" s="252"/>
      <c r="AF350" s="252"/>
      <c r="AG350" s="252"/>
      <c r="AH350" s="252"/>
      <c r="AI350" s="252"/>
      <c r="AJ350" s="252"/>
      <c r="AK350" s="252"/>
      <c r="AL350" s="252"/>
      <c r="AQ350" s="257"/>
      <c r="AR350" s="257"/>
      <c r="AS350" s="257"/>
      <c r="AT350" s="257"/>
      <c r="AU350" s="257"/>
      <c r="AV350" s="257"/>
      <c r="AW350" s="257"/>
      <c r="AX350" s="257"/>
      <c r="AY350" s="257"/>
      <c r="AZ350" s="257"/>
      <c r="BA350" s="257"/>
    </row>
    <row r="351" spans="1:146" s="1" customFormat="1" ht="13.5" customHeight="1">
      <c r="A351" s="275" t="s">
        <v>353</v>
      </c>
      <c r="B351" s="63"/>
      <c r="C351" s="63"/>
      <c r="D351" s="63"/>
      <c r="E351" s="63"/>
      <c r="F351" s="63"/>
      <c r="G351" s="63"/>
      <c r="H351" s="255"/>
      <c r="I351" s="19"/>
      <c r="J351" s="19"/>
      <c r="K351" s="19"/>
      <c r="L351" s="19"/>
      <c r="M351" s="19"/>
      <c r="N351" s="19"/>
      <c r="O351" s="19"/>
      <c r="P351" s="59"/>
      <c r="Q351" s="59"/>
      <c r="W351" s="9"/>
      <c r="X351" s="9"/>
      <c r="Y351" s="252"/>
      <c r="Z351" s="252"/>
      <c r="AA351" s="252"/>
      <c r="AB351" s="252"/>
      <c r="AC351" s="252"/>
      <c r="AD351" s="252"/>
      <c r="AE351" s="252"/>
      <c r="AF351" s="252"/>
      <c r="AG351" s="252"/>
      <c r="AH351" s="252"/>
      <c r="AI351" s="252"/>
      <c r="AJ351" s="252"/>
      <c r="AK351" s="252"/>
      <c r="AL351" s="252"/>
      <c r="AQ351" s="257"/>
      <c r="AR351" s="257"/>
      <c r="AS351" s="257"/>
      <c r="AT351" s="257"/>
      <c r="AU351" s="257"/>
      <c r="AV351" s="257"/>
      <c r="AW351" s="257"/>
      <c r="AX351" s="257"/>
      <c r="AY351" s="257"/>
      <c r="AZ351" s="257"/>
      <c r="BA351" s="257"/>
    </row>
    <row r="352" spans="1:146" s="252" customFormat="1" ht="13.5" customHeight="1">
      <c r="A352" s="6" t="s">
        <v>248</v>
      </c>
      <c r="B352" s="70"/>
      <c r="C352" s="70"/>
      <c r="D352" s="70"/>
      <c r="E352" s="70"/>
      <c r="F352" s="21"/>
      <c r="G352" s="21"/>
      <c r="H352" s="21"/>
      <c r="I352" s="21"/>
      <c r="J352" s="21"/>
      <c r="K352" s="21"/>
      <c r="L352" s="21"/>
      <c r="M352" s="21"/>
      <c r="N352" s="21"/>
      <c r="O352" s="21"/>
      <c r="P352" s="21"/>
      <c r="Q352" s="19"/>
      <c r="Y352" s="1"/>
      <c r="Z352" s="1"/>
      <c r="AA352" s="1"/>
      <c r="AB352" s="1"/>
      <c r="AC352" s="1"/>
      <c r="AD352" s="1"/>
      <c r="AE352" s="1"/>
      <c r="AF352" s="1"/>
      <c r="AG352" s="1"/>
      <c r="AH352" s="1"/>
      <c r="AI352" s="1"/>
      <c r="AJ352" s="1"/>
      <c r="AK352" s="1"/>
      <c r="AL352" s="1"/>
      <c r="AQ352" s="257"/>
      <c r="AR352" s="257"/>
      <c r="AS352" s="257"/>
      <c r="AT352" s="257"/>
      <c r="AU352" s="257"/>
      <c r="AV352" s="257"/>
      <c r="AW352" s="257"/>
      <c r="AX352" s="257"/>
      <c r="AY352" s="257"/>
      <c r="AZ352" s="257"/>
      <c r="BA352" s="257"/>
    </row>
    <row r="353" spans="1:139" s="252" customFormat="1" ht="13.5" customHeight="1">
      <c r="A353" s="6"/>
      <c r="B353" s="70"/>
      <c r="C353" s="70"/>
      <c r="D353" s="70"/>
      <c r="E353" s="70"/>
      <c r="F353" s="70"/>
      <c r="G353" s="70"/>
      <c r="H353" s="70"/>
      <c r="I353" s="70"/>
      <c r="J353" s="70"/>
      <c r="K353" s="70"/>
      <c r="L353" s="70"/>
      <c r="M353" s="70"/>
      <c r="N353" s="70"/>
      <c r="O353" s="70"/>
      <c r="P353" s="70"/>
      <c r="Q353" s="19"/>
      <c r="Y353" s="1"/>
      <c r="Z353" s="1"/>
      <c r="AA353" s="1"/>
      <c r="AB353" s="1"/>
      <c r="AC353" s="1"/>
      <c r="AD353" s="1"/>
      <c r="AE353" s="1"/>
      <c r="AF353" s="1"/>
      <c r="AG353" s="1"/>
      <c r="AH353" s="1"/>
      <c r="AI353" s="1"/>
      <c r="AJ353" s="1"/>
      <c r="AK353" s="1"/>
      <c r="AL353" s="1"/>
      <c r="AQ353" s="257"/>
      <c r="AR353" s="257"/>
      <c r="AS353" s="257"/>
      <c r="AT353" s="257"/>
      <c r="AU353" s="257"/>
      <c r="AV353" s="257"/>
      <c r="AW353" s="257"/>
      <c r="AX353" s="257"/>
      <c r="AY353" s="257"/>
      <c r="AZ353" s="257"/>
      <c r="BA353" s="257"/>
    </row>
    <row r="354" spans="1:139" s="1" customFormat="1" ht="13.5" customHeight="1" thickBo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c r="AT354" s="45"/>
      <c r="AU354" s="45"/>
      <c r="AV354" s="45"/>
      <c r="AW354" s="45"/>
      <c r="AX354" s="45"/>
      <c r="AY354" s="45"/>
      <c r="AZ354" s="45"/>
      <c r="BA354" s="45"/>
      <c r="BB354" s="45"/>
      <c r="BC354" s="45"/>
      <c r="BK354" s="250"/>
      <c r="BL354" s="250"/>
      <c r="BM354" s="250"/>
      <c r="BN354" s="250"/>
      <c r="BO354" s="250"/>
      <c r="BP354" s="250"/>
      <c r="BQ354" s="250"/>
      <c r="BR354" s="250"/>
      <c r="BS354" s="250"/>
      <c r="BT354" s="250"/>
      <c r="BU354" s="250"/>
      <c r="BV354" s="250"/>
      <c r="BW354" s="250"/>
      <c r="BX354" s="250"/>
      <c r="BY354" s="250"/>
      <c r="BZ354" s="250"/>
      <c r="CA354" s="256"/>
      <c r="CB354" s="256"/>
    </row>
    <row r="355" spans="1:139" s="1" customFormat="1" ht="13.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K355" s="250"/>
      <c r="BL355" s="250"/>
      <c r="BM355" s="250"/>
      <c r="BN355" s="250"/>
      <c r="BO355" s="250"/>
      <c r="BP355" s="250"/>
      <c r="BQ355" s="250"/>
      <c r="BR355" s="250"/>
      <c r="BS355" s="250"/>
      <c r="BT355" s="250"/>
      <c r="BU355" s="250"/>
      <c r="BV355" s="250"/>
      <c r="BW355" s="250"/>
      <c r="BX355" s="250"/>
      <c r="BY355" s="250"/>
      <c r="BZ355" s="250"/>
      <c r="CA355" s="256"/>
      <c r="CB355" s="256"/>
    </row>
    <row r="356" spans="1:139" s="284" customFormat="1" ht="13.5">
      <c r="A356" s="23" t="s">
        <v>356</v>
      </c>
      <c r="B356" s="283" t="s">
        <v>483</v>
      </c>
      <c r="EC356" s="1"/>
      <c r="ED356" s="1"/>
      <c r="EE356" s="1"/>
      <c r="EF356" s="1"/>
      <c r="EG356" s="1"/>
      <c r="EH356" s="1"/>
      <c r="EI356" s="1"/>
    </row>
    <row r="357" spans="1:139" s="284" customFormat="1" ht="14.25" thickBot="1">
      <c r="A357" s="285"/>
      <c r="B357" s="286"/>
      <c r="EC357" s="1"/>
      <c r="ED357" s="1"/>
      <c r="EE357" s="1"/>
      <c r="EF357" s="1"/>
      <c r="EG357" s="1"/>
      <c r="EH357" s="1"/>
      <c r="EI357" s="1"/>
    </row>
    <row r="358" spans="1:139" s="218" customFormat="1" ht="14.25" thickBot="1">
      <c r="A358" s="108"/>
      <c r="B358" s="343">
        <v>40179</v>
      </c>
      <c r="C358" s="345">
        <v>40210</v>
      </c>
      <c r="D358" s="344">
        <v>40238</v>
      </c>
      <c r="E358" s="345">
        <v>40269</v>
      </c>
      <c r="F358" s="344">
        <v>40299</v>
      </c>
      <c r="G358" s="345">
        <v>40330</v>
      </c>
      <c r="H358" s="344">
        <v>40360</v>
      </c>
      <c r="I358" s="345">
        <v>40391</v>
      </c>
      <c r="J358" s="344">
        <v>40422</v>
      </c>
      <c r="K358" s="345">
        <v>40452</v>
      </c>
      <c r="L358" s="344">
        <v>40483</v>
      </c>
      <c r="M358" s="351">
        <v>40513</v>
      </c>
      <c r="N358" s="108"/>
      <c r="O358" s="108"/>
      <c r="P358" s="108"/>
      <c r="Q358" s="108"/>
      <c r="R358" s="108"/>
      <c r="S358" s="108"/>
      <c r="T358" s="108"/>
      <c r="U358" s="108"/>
      <c r="V358" s="108"/>
      <c r="W358" s="108"/>
      <c r="X358" s="108"/>
      <c r="Y358" s="108"/>
      <c r="Z358" s="108"/>
      <c r="AA358" s="108"/>
      <c r="AB358" s="108"/>
      <c r="AC358" s="108"/>
      <c r="AD358" s="108"/>
      <c r="AE358" s="108"/>
      <c r="AF358" s="108"/>
      <c r="AG358" s="108"/>
      <c r="AH358" s="108"/>
      <c r="AI358" s="108"/>
      <c r="AJ358" s="108"/>
      <c r="AK358" s="108"/>
      <c r="AL358" s="108"/>
      <c r="AM358" s="108"/>
      <c r="AN358" s="108"/>
      <c r="AO358" s="108"/>
      <c r="AP358" s="108"/>
      <c r="AQ358" s="108"/>
      <c r="AR358" s="108"/>
      <c r="AS358" s="108"/>
      <c r="AT358" s="108"/>
      <c r="AU358" s="108"/>
      <c r="AV358" s="108"/>
      <c r="AW358" s="108"/>
      <c r="AX358" s="108"/>
      <c r="AY358" s="108"/>
      <c r="AZ358" s="108"/>
      <c r="BA358" s="108"/>
      <c r="BB358" s="108"/>
      <c r="BC358" s="108"/>
      <c r="BK358" s="107"/>
      <c r="BL358" s="107"/>
      <c r="BM358" s="107"/>
      <c r="BN358" s="107"/>
      <c r="BO358" s="107"/>
      <c r="BP358" s="107"/>
      <c r="BQ358" s="107"/>
      <c r="BR358" s="107"/>
      <c r="BS358" s="107"/>
      <c r="BT358" s="107"/>
      <c r="BU358" s="107"/>
      <c r="BV358" s="107"/>
      <c r="BW358" s="107"/>
      <c r="BX358" s="107"/>
      <c r="BY358" s="107"/>
      <c r="BZ358" s="107"/>
      <c r="CA358" s="51"/>
      <c r="CB358" s="51"/>
    </row>
    <row r="359" spans="1:139" s="218" customFormat="1" ht="13.5" customHeight="1">
      <c r="A359" s="347" t="s">
        <v>255</v>
      </c>
      <c r="B359" s="376" t="s">
        <v>20</v>
      </c>
      <c r="C359" s="377" t="s">
        <v>20</v>
      </c>
      <c r="D359" s="377" t="s">
        <v>20</v>
      </c>
      <c r="E359" s="377" t="s">
        <v>20</v>
      </c>
      <c r="F359" s="377" t="s">
        <v>20</v>
      </c>
      <c r="G359" s="377" t="s">
        <v>20</v>
      </c>
      <c r="H359" s="377" t="s">
        <v>20</v>
      </c>
      <c r="I359" s="377" t="s">
        <v>20</v>
      </c>
      <c r="J359" s="377" t="s">
        <v>20</v>
      </c>
      <c r="K359" s="377" t="s">
        <v>20</v>
      </c>
      <c r="L359" s="377" t="s">
        <v>20</v>
      </c>
      <c r="M359" s="378" t="s">
        <v>20</v>
      </c>
      <c r="N359" s="108"/>
      <c r="O359" s="108"/>
      <c r="P359" s="108"/>
      <c r="Q359" s="108"/>
      <c r="R359" s="108"/>
      <c r="S359" s="108"/>
      <c r="T359" s="108"/>
      <c r="U359" s="108"/>
      <c r="V359" s="108"/>
      <c r="W359" s="108"/>
      <c r="X359" s="108"/>
      <c r="Y359" s="108"/>
      <c r="Z359" s="108"/>
      <c r="AA359" s="108"/>
      <c r="AB359" s="108"/>
      <c r="AC359" s="108"/>
      <c r="AD359" s="108"/>
      <c r="AE359" s="108"/>
      <c r="AF359" s="108"/>
      <c r="AG359" s="108"/>
      <c r="AH359" s="108"/>
      <c r="AI359" s="108"/>
      <c r="AJ359" s="108"/>
      <c r="AK359" s="108"/>
      <c r="AL359" s="108"/>
      <c r="AM359" s="108"/>
      <c r="AN359" s="108"/>
      <c r="AO359" s="108"/>
      <c r="AP359" s="108"/>
      <c r="AQ359" s="108"/>
      <c r="AR359" s="108"/>
      <c r="AS359" s="108"/>
      <c r="AT359" s="108"/>
      <c r="AU359" s="108"/>
      <c r="AV359" s="108"/>
      <c r="AW359" s="108"/>
      <c r="AX359" s="108"/>
      <c r="AY359" s="108"/>
      <c r="AZ359" s="108"/>
      <c r="BA359" s="108"/>
      <c r="BB359" s="108"/>
      <c r="BC359" s="108"/>
      <c r="BK359" s="107"/>
      <c r="BL359" s="107"/>
      <c r="BM359" s="107"/>
      <c r="BN359" s="107"/>
      <c r="BO359" s="107"/>
      <c r="BP359" s="107"/>
      <c r="BQ359" s="107"/>
      <c r="BR359" s="107"/>
      <c r="BS359" s="107"/>
      <c r="BT359" s="107"/>
      <c r="BU359" s="107"/>
      <c r="BV359" s="107"/>
      <c r="BW359" s="107"/>
      <c r="BX359" s="107"/>
      <c r="BY359" s="107"/>
      <c r="BZ359" s="107"/>
      <c r="CA359" s="51"/>
      <c r="CB359" s="51"/>
    </row>
    <row r="360" spans="1:139" s="218" customFormat="1" ht="13.5" customHeight="1">
      <c r="A360" s="348" t="s">
        <v>256</v>
      </c>
      <c r="B360" s="379" t="s">
        <v>20</v>
      </c>
      <c r="C360" s="380" t="s">
        <v>20</v>
      </c>
      <c r="D360" s="380" t="s">
        <v>20</v>
      </c>
      <c r="E360" s="380" t="s">
        <v>20</v>
      </c>
      <c r="F360" s="380" t="s">
        <v>20</v>
      </c>
      <c r="G360" s="380" t="s">
        <v>20</v>
      </c>
      <c r="H360" s="380" t="s">
        <v>20</v>
      </c>
      <c r="I360" s="380" t="s">
        <v>20</v>
      </c>
      <c r="J360" s="380" t="s">
        <v>20</v>
      </c>
      <c r="K360" s="380" t="s">
        <v>20</v>
      </c>
      <c r="L360" s="380" t="s">
        <v>20</v>
      </c>
      <c r="M360" s="381" t="s">
        <v>20</v>
      </c>
      <c r="N360" s="108"/>
      <c r="O360" s="108"/>
      <c r="P360" s="108"/>
      <c r="Q360" s="108"/>
      <c r="R360" s="108"/>
      <c r="S360" s="108"/>
      <c r="T360" s="108"/>
      <c r="U360" s="108"/>
      <c r="V360" s="108"/>
      <c r="W360" s="108"/>
      <c r="X360" s="108"/>
      <c r="Y360" s="108"/>
      <c r="Z360" s="108"/>
      <c r="AA360" s="108"/>
      <c r="AB360" s="108"/>
      <c r="AC360" s="108"/>
      <c r="AD360" s="108"/>
      <c r="AE360" s="108"/>
      <c r="AF360" s="108"/>
      <c r="AG360" s="108"/>
      <c r="AH360" s="108"/>
      <c r="AI360" s="108"/>
      <c r="AJ360" s="108"/>
      <c r="AK360" s="108"/>
      <c r="AL360" s="108"/>
      <c r="AM360" s="108"/>
      <c r="AN360" s="108"/>
      <c r="AO360" s="108"/>
      <c r="AP360" s="108"/>
      <c r="AQ360" s="108"/>
      <c r="AR360" s="108"/>
      <c r="AS360" s="108"/>
      <c r="AT360" s="108"/>
      <c r="AU360" s="108"/>
      <c r="AV360" s="108"/>
      <c r="AW360" s="108"/>
      <c r="AX360" s="108"/>
      <c r="AY360" s="108"/>
      <c r="AZ360" s="108"/>
      <c r="BA360" s="108"/>
      <c r="BB360" s="108"/>
      <c r="BC360" s="108"/>
      <c r="BK360" s="107"/>
      <c r="BL360" s="107"/>
      <c r="BM360" s="107"/>
      <c r="BN360" s="107"/>
      <c r="BO360" s="107"/>
      <c r="BP360" s="107"/>
      <c r="BQ360" s="107"/>
      <c r="BR360" s="107"/>
      <c r="BS360" s="107"/>
      <c r="BT360" s="107"/>
      <c r="BU360" s="107"/>
      <c r="BV360" s="107"/>
      <c r="BW360" s="107"/>
      <c r="BX360" s="107"/>
      <c r="BY360" s="107"/>
      <c r="BZ360" s="107"/>
      <c r="CA360" s="51"/>
      <c r="CB360" s="51"/>
    </row>
    <row r="361" spans="1:139" s="218" customFormat="1" ht="13.5" customHeight="1" thickBot="1">
      <c r="A361" s="382" t="s">
        <v>357</v>
      </c>
      <c r="B361" s="383">
        <v>0.13</v>
      </c>
      <c r="C361" s="384">
        <v>0.18</v>
      </c>
      <c r="D361" s="384">
        <v>0.21</v>
      </c>
      <c r="E361" s="384">
        <v>0.25</v>
      </c>
      <c r="F361" s="384">
        <v>0.27</v>
      </c>
      <c r="G361" s="384">
        <v>0.27</v>
      </c>
      <c r="H361" s="384">
        <v>0.28000000000000003</v>
      </c>
      <c r="I361" s="384">
        <v>0.27</v>
      </c>
      <c r="J361" s="384">
        <v>0.25</v>
      </c>
      <c r="K361" s="384">
        <v>0.22</v>
      </c>
      <c r="L361" s="384">
        <v>0.17</v>
      </c>
      <c r="M361" s="385">
        <v>0.15</v>
      </c>
      <c r="N361" s="108"/>
      <c r="O361" s="108"/>
      <c r="P361" s="108"/>
      <c r="Q361" s="108"/>
      <c r="R361" s="108"/>
      <c r="S361" s="108"/>
      <c r="T361" s="108"/>
      <c r="U361" s="108"/>
      <c r="V361" s="108"/>
      <c r="W361" s="108"/>
      <c r="X361" s="108"/>
      <c r="Y361" s="108"/>
      <c r="Z361" s="108"/>
      <c r="AA361" s="108"/>
      <c r="AB361" s="108"/>
      <c r="AC361" s="108"/>
      <c r="AD361" s="108"/>
      <c r="AE361" s="108"/>
      <c r="AF361" s="108"/>
      <c r="AG361" s="108"/>
      <c r="AH361" s="108"/>
      <c r="AI361" s="108"/>
      <c r="AJ361" s="108"/>
      <c r="AK361" s="108"/>
      <c r="AL361" s="108"/>
      <c r="AM361" s="108"/>
      <c r="AN361" s="108"/>
      <c r="AO361" s="108"/>
      <c r="AP361" s="108"/>
      <c r="AQ361" s="108"/>
      <c r="AR361" s="108"/>
      <c r="AS361" s="108"/>
      <c r="AT361" s="108"/>
      <c r="AU361" s="108"/>
      <c r="AV361" s="108"/>
      <c r="AW361" s="108"/>
      <c r="AX361" s="108"/>
      <c r="AY361" s="108"/>
      <c r="AZ361" s="108"/>
      <c r="BA361" s="108"/>
      <c r="BB361" s="108"/>
      <c r="BC361" s="108"/>
      <c r="BK361" s="107"/>
      <c r="BL361" s="107"/>
      <c r="BM361" s="107"/>
      <c r="BN361" s="107"/>
      <c r="BO361" s="107"/>
      <c r="BP361" s="107"/>
      <c r="BQ361" s="107"/>
      <c r="BR361" s="107"/>
      <c r="BS361" s="107"/>
      <c r="BT361" s="107"/>
      <c r="BU361" s="107"/>
      <c r="BV361" s="107"/>
      <c r="BW361" s="107"/>
      <c r="BX361" s="107"/>
      <c r="BY361" s="107"/>
      <c r="BZ361" s="107"/>
      <c r="CA361" s="51"/>
      <c r="CB361" s="51"/>
    </row>
    <row r="362" spans="1:139" s="218" customFormat="1" ht="13.5" customHeight="1" thickBo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c r="AB362" s="108"/>
      <c r="AC362" s="108"/>
      <c r="AD362" s="108"/>
      <c r="AE362" s="108"/>
      <c r="AF362" s="108"/>
      <c r="AG362" s="108"/>
      <c r="AH362" s="108"/>
      <c r="AI362" s="108"/>
      <c r="AJ362" s="108"/>
      <c r="AK362" s="108"/>
      <c r="AL362" s="108"/>
      <c r="AM362" s="108"/>
      <c r="AN362" s="108"/>
      <c r="AO362" s="108"/>
      <c r="AP362" s="108"/>
      <c r="AQ362" s="108"/>
      <c r="AR362" s="108"/>
      <c r="AS362" s="108"/>
      <c r="AT362" s="108"/>
      <c r="AU362" s="108"/>
      <c r="AV362" s="108"/>
      <c r="AW362" s="108"/>
      <c r="AX362" s="108"/>
      <c r="AY362" s="108"/>
      <c r="AZ362" s="108"/>
      <c r="BA362" s="108"/>
      <c r="BB362" s="108"/>
      <c r="BC362" s="108"/>
      <c r="BK362" s="107"/>
      <c r="BL362" s="107"/>
      <c r="BM362" s="107"/>
      <c r="BN362" s="107"/>
      <c r="BO362" s="107"/>
      <c r="BP362" s="107"/>
      <c r="BQ362" s="107"/>
      <c r="BR362" s="107"/>
      <c r="BS362" s="107"/>
      <c r="BT362" s="107"/>
      <c r="BU362" s="107"/>
      <c r="BV362" s="107"/>
      <c r="BW362" s="107"/>
      <c r="BX362" s="107"/>
      <c r="BY362" s="107"/>
      <c r="BZ362" s="107"/>
      <c r="CA362" s="51"/>
      <c r="CB362" s="51"/>
    </row>
    <row r="363" spans="1:139" s="218" customFormat="1" ht="13.5" customHeight="1" thickBot="1">
      <c r="A363" s="108"/>
      <c r="B363" s="343">
        <v>40544</v>
      </c>
      <c r="C363" s="345">
        <v>40575</v>
      </c>
      <c r="D363" s="344">
        <v>40603</v>
      </c>
      <c r="E363" s="344">
        <v>40634</v>
      </c>
      <c r="F363" s="345">
        <v>40664</v>
      </c>
      <c r="G363" s="344">
        <v>40695</v>
      </c>
      <c r="H363" s="344">
        <v>40725</v>
      </c>
      <c r="I363" s="345">
        <v>40756</v>
      </c>
      <c r="J363" s="345">
        <v>40787</v>
      </c>
      <c r="K363" s="345">
        <v>40817</v>
      </c>
      <c r="L363" s="345">
        <v>40848</v>
      </c>
      <c r="M363" s="346">
        <v>40878</v>
      </c>
      <c r="N363" s="108"/>
      <c r="O363" s="108"/>
      <c r="P363" s="108"/>
      <c r="Q363" s="108"/>
      <c r="R363" s="108"/>
      <c r="S363" s="108"/>
      <c r="T363" s="108"/>
      <c r="U363" s="108"/>
      <c r="V363" s="108"/>
      <c r="W363" s="108"/>
      <c r="X363" s="108"/>
      <c r="Y363" s="108"/>
      <c r="Z363" s="108"/>
      <c r="AA363" s="108"/>
      <c r="AB363" s="108"/>
      <c r="AC363" s="108"/>
      <c r="AD363" s="108"/>
      <c r="AE363" s="108"/>
      <c r="AF363" s="108"/>
      <c r="AG363" s="108"/>
      <c r="AH363" s="108"/>
      <c r="AI363" s="108"/>
      <c r="AJ363" s="108"/>
      <c r="AK363" s="108"/>
      <c r="AL363" s="108"/>
      <c r="AM363" s="108"/>
      <c r="AN363" s="108"/>
      <c r="AO363" s="108"/>
      <c r="AP363" s="108"/>
      <c r="AQ363" s="108"/>
      <c r="AR363" s="108"/>
      <c r="AS363" s="108"/>
      <c r="AT363" s="108"/>
      <c r="AU363" s="108"/>
      <c r="AV363" s="108"/>
      <c r="AW363" s="108"/>
      <c r="AX363" s="108"/>
      <c r="AY363" s="108"/>
      <c r="AZ363" s="108"/>
      <c r="BA363" s="108"/>
      <c r="BB363" s="108"/>
      <c r="BC363" s="108"/>
      <c r="BK363" s="107"/>
      <c r="BL363" s="107"/>
      <c r="BM363" s="107"/>
      <c r="BN363" s="107"/>
      <c r="BO363" s="107"/>
      <c r="BP363" s="107"/>
      <c r="BQ363" s="107"/>
      <c r="BR363" s="107"/>
      <c r="BS363" s="107"/>
      <c r="BT363" s="107"/>
      <c r="BU363" s="107"/>
      <c r="BV363" s="107"/>
      <c r="BW363" s="107"/>
      <c r="BX363" s="107"/>
      <c r="BY363" s="107"/>
      <c r="BZ363" s="107"/>
      <c r="CA363" s="51"/>
      <c r="CB363" s="51"/>
    </row>
    <row r="364" spans="1:139" s="218" customFormat="1" ht="13.5" customHeight="1">
      <c r="A364" s="352" t="s">
        <v>255</v>
      </c>
      <c r="B364" s="376" t="s">
        <v>20</v>
      </c>
      <c r="C364" s="377" t="s">
        <v>20</v>
      </c>
      <c r="D364" s="377" t="s">
        <v>20</v>
      </c>
      <c r="E364" s="377" t="s">
        <v>20</v>
      </c>
      <c r="F364" s="377" t="s">
        <v>20</v>
      </c>
      <c r="G364" s="377" t="s">
        <v>20</v>
      </c>
      <c r="H364" s="377" t="s">
        <v>20</v>
      </c>
      <c r="I364" s="377" t="s">
        <v>20</v>
      </c>
      <c r="J364" s="377" t="s">
        <v>20</v>
      </c>
      <c r="K364" s="377" t="s">
        <v>20</v>
      </c>
      <c r="L364" s="377" t="s">
        <v>20</v>
      </c>
      <c r="M364" s="378" t="s">
        <v>20</v>
      </c>
      <c r="N364" s="108"/>
      <c r="O364" s="108"/>
      <c r="P364" s="108"/>
      <c r="Q364" s="108"/>
      <c r="R364" s="108"/>
      <c r="S364" s="108"/>
      <c r="T364" s="108"/>
      <c r="U364" s="108"/>
      <c r="V364" s="108"/>
      <c r="W364" s="108"/>
      <c r="X364" s="108"/>
      <c r="Y364" s="108"/>
      <c r="Z364" s="108"/>
      <c r="AA364" s="108"/>
      <c r="AB364" s="108"/>
      <c r="AC364" s="108"/>
      <c r="AD364" s="108"/>
      <c r="AE364" s="108"/>
      <c r="AF364" s="108"/>
      <c r="AG364" s="108"/>
      <c r="AH364" s="108"/>
      <c r="AI364" s="108"/>
      <c r="AJ364" s="108"/>
      <c r="AK364" s="108"/>
      <c r="AL364" s="108"/>
      <c r="AM364" s="108"/>
      <c r="AN364" s="108"/>
      <c r="AO364" s="108"/>
      <c r="AP364" s="108"/>
      <c r="AQ364" s="108"/>
      <c r="AR364" s="108"/>
      <c r="AS364" s="108"/>
      <c r="AT364" s="108"/>
      <c r="AU364" s="108"/>
      <c r="AV364" s="108"/>
      <c r="AW364" s="108"/>
      <c r="AX364" s="108"/>
      <c r="AY364" s="108"/>
      <c r="AZ364" s="108"/>
      <c r="BA364" s="108"/>
      <c r="BB364" s="108"/>
      <c r="BC364" s="108"/>
      <c r="BK364" s="107"/>
      <c r="BL364" s="107"/>
      <c r="BM364" s="107"/>
      <c r="BN364" s="107"/>
      <c r="BO364" s="107"/>
      <c r="BP364" s="107"/>
      <c r="BQ364" s="107"/>
      <c r="BR364" s="107"/>
      <c r="BS364" s="107"/>
      <c r="BT364" s="107"/>
      <c r="BU364" s="107"/>
      <c r="BV364" s="107"/>
      <c r="BW364" s="107"/>
      <c r="BX364" s="107"/>
      <c r="BY364" s="107"/>
      <c r="BZ364" s="107"/>
      <c r="CA364" s="51"/>
      <c r="CB364" s="51"/>
    </row>
    <row r="365" spans="1:139" s="218" customFormat="1" ht="13.5" customHeight="1">
      <c r="A365" s="353" t="s">
        <v>256</v>
      </c>
      <c r="B365" s="379" t="s">
        <v>20</v>
      </c>
      <c r="C365" s="380" t="s">
        <v>20</v>
      </c>
      <c r="D365" s="380" t="s">
        <v>20</v>
      </c>
      <c r="E365" s="380" t="s">
        <v>20</v>
      </c>
      <c r="F365" s="380" t="s">
        <v>20</v>
      </c>
      <c r="G365" s="380" t="s">
        <v>20</v>
      </c>
      <c r="H365" s="380" t="s">
        <v>20</v>
      </c>
      <c r="I365" s="380" t="s">
        <v>20</v>
      </c>
      <c r="J365" s="380" t="s">
        <v>20</v>
      </c>
      <c r="K365" s="380" t="s">
        <v>20</v>
      </c>
      <c r="L365" s="380" t="s">
        <v>20</v>
      </c>
      <c r="M365" s="381" t="s">
        <v>20</v>
      </c>
      <c r="N365" s="108"/>
      <c r="O365" s="108"/>
      <c r="P365" s="108"/>
      <c r="Q365" s="108"/>
      <c r="R365" s="108"/>
      <c r="S365" s="108"/>
      <c r="T365" s="108"/>
      <c r="U365" s="108"/>
      <c r="V365" s="108"/>
      <c r="W365" s="108"/>
      <c r="X365" s="108"/>
      <c r="Y365" s="108"/>
      <c r="Z365" s="108"/>
      <c r="AA365" s="108"/>
      <c r="AB365" s="108"/>
      <c r="AC365" s="108"/>
      <c r="AD365" s="108"/>
      <c r="AE365" s="108"/>
      <c r="AF365" s="108"/>
      <c r="AG365" s="108"/>
      <c r="AH365" s="108"/>
      <c r="AI365" s="108"/>
      <c r="AJ365" s="108"/>
      <c r="AK365" s="108"/>
      <c r="AL365" s="108"/>
      <c r="AM365" s="108"/>
      <c r="AN365" s="108"/>
      <c r="AO365" s="108"/>
      <c r="AP365" s="108"/>
      <c r="AQ365" s="108"/>
      <c r="AR365" s="108"/>
      <c r="AS365" s="108"/>
      <c r="AT365" s="108"/>
      <c r="AU365" s="108"/>
      <c r="AV365" s="108"/>
      <c r="AW365" s="108"/>
      <c r="AX365" s="108"/>
      <c r="AY365" s="108"/>
      <c r="AZ365" s="108"/>
      <c r="BA365" s="108"/>
      <c r="BB365" s="108"/>
      <c r="BC365" s="108"/>
      <c r="BK365" s="107"/>
      <c r="BL365" s="107"/>
      <c r="BM365" s="107"/>
      <c r="BN365" s="107"/>
      <c r="BO365" s="107"/>
      <c r="BP365" s="107"/>
      <c r="BQ365" s="107"/>
      <c r="BR365" s="107"/>
      <c r="BS365" s="107"/>
      <c r="BT365" s="107"/>
      <c r="BU365" s="107"/>
      <c r="BV365" s="107"/>
      <c r="BW365" s="107"/>
      <c r="BX365" s="107"/>
      <c r="BY365" s="107"/>
      <c r="BZ365" s="107"/>
      <c r="CA365" s="51"/>
      <c r="CB365" s="51"/>
    </row>
    <row r="366" spans="1:139" s="218" customFormat="1" ht="13.5" customHeight="1" thickBot="1">
      <c r="A366" s="386" t="s">
        <v>357</v>
      </c>
      <c r="B366" s="387">
        <v>0.11</v>
      </c>
      <c r="C366" s="388">
        <v>0.08</v>
      </c>
      <c r="D366" s="388">
        <v>0.06</v>
      </c>
      <c r="E366" s="388">
        <v>0.03</v>
      </c>
      <c r="F366" s="388">
        <v>0</v>
      </c>
      <c r="G366" s="388">
        <v>-0.02</v>
      </c>
      <c r="H366" s="388">
        <v>-0.04</v>
      </c>
      <c r="I366" s="388">
        <v>-5.5E-2</v>
      </c>
      <c r="J366" s="388">
        <v>-7.0000000000000007E-2</v>
      </c>
      <c r="K366" s="388">
        <v>-0.09</v>
      </c>
      <c r="L366" s="388">
        <v>-0.1</v>
      </c>
      <c r="M366" s="196">
        <v>-0.1</v>
      </c>
      <c r="N366" s="108"/>
      <c r="O366" s="108"/>
      <c r="P366" s="108"/>
      <c r="Q366" s="108"/>
      <c r="R366" s="108"/>
      <c r="S366" s="108"/>
      <c r="T366" s="108"/>
      <c r="U366" s="108"/>
      <c r="V366" s="108"/>
      <c r="W366" s="108"/>
      <c r="X366" s="108"/>
      <c r="Y366" s="108"/>
      <c r="Z366" s="108"/>
      <c r="AA366" s="108"/>
      <c r="AB366" s="108"/>
      <c r="AC366" s="108"/>
      <c r="AD366" s="108"/>
      <c r="AE366" s="108"/>
      <c r="AF366" s="108"/>
      <c r="AG366" s="108"/>
      <c r="AH366" s="108"/>
      <c r="AI366" s="108"/>
      <c r="AJ366" s="108"/>
      <c r="AK366" s="108"/>
      <c r="AL366" s="108"/>
      <c r="AM366" s="108"/>
      <c r="AN366" s="108"/>
      <c r="AO366" s="108"/>
      <c r="AP366" s="108"/>
      <c r="AQ366" s="108"/>
      <c r="AR366" s="108"/>
      <c r="AS366" s="108"/>
      <c r="AT366" s="108"/>
      <c r="AU366" s="108"/>
      <c r="AV366" s="108"/>
      <c r="AW366" s="108"/>
      <c r="AX366" s="108"/>
      <c r="AY366" s="108"/>
      <c r="AZ366" s="108"/>
      <c r="BA366" s="108"/>
      <c r="BB366" s="108"/>
      <c r="BC366" s="108"/>
      <c r="BK366" s="107"/>
      <c r="BL366" s="107"/>
      <c r="BM366" s="107"/>
      <c r="BN366" s="107"/>
      <c r="BO366" s="107"/>
      <c r="BP366" s="107"/>
      <c r="BQ366" s="107"/>
      <c r="BR366" s="107"/>
      <c r="BS366" s="107"/>
      <c r="BT366" s="107"/>
      <c r="BU366" s="107"/>
      <c r="BV366" s="107"/>
      <c r="BW366" s="107"/>
      <c r="BX366" s="107"/>
      <c r="BY366" s="107"/>
      <c r="BZ366" s="107"/>
      <c r="CA366" s="51"/>
      <c r="CB366" s="51"/>
    </row>
    <row r="367" spans="1:139" s="218" customFormat="1" ht="13.5" customHeight="1" thickBot="1">
      <c r="A367" s="108"/>
      <c r="B367" s="389"/>
      <c r="C367" s="389"/>
      <c r="D367" s="389"/>
      <c r="E367" s="389"/>
      <c r="F367" s="389"/>
      <c r="G367" s="389"/>
      <c r="H367" s="389"/>
      <c r="I367" s="389"/>
      <c r="J367" s="389"/>
      <c r="K367" s="389"/>
      <c r="L367" s="389"/>
      <c r="M367" s="389"/>
      <c r="N367" s="108"/>
      <c r="O367" s="108"/>
      <c r="P367" s="108"/>
      <c r="Q367" s="108"/>
      <c r="R367" s="108"/>
      <c r="S367" s="108"/>
      <c r="T367" s="108"/>
      <c r="U367" s="108"/>
      <c r="V367" s="108"/>
      <c r="W367" s="108"/>
      <c r="X367" s="108"/>
      <c r="Y367" s="108"/>
      <c r="Z367" s="108"/>
      <c r="AA367" s="108"/>
      <c r="AB367" s="108"/>
      <c r="AC367" s="108"/>
      <c r="AD367" s="108"/>
      <c r="AE367" s="108"/>
      <c r="AF367" s="108"/>
      <c r="AG367" s="108"/>
      <c r="AH367" s="108"/>
      <c r="AI367" s="108"/>
      <c r="AJ367" s="108"/>
      <c r="AK367" s="108"/>
      <c r="AL367" s="108"/>
      <c r="AM367" s="108"/>
      <c r="AN367" s="108"/>
      <c r="AO367" s="108"/>
      <c r="AP367" s="108"/>
      <c r="AQ367" s="108"/>
      <c r="AR367" s="108"/>
      <c r="AS367" s="108"/>
      <c r="AT367" s="108"/>
      <c r="AU367" s="108"/>
      <c r="AV367" s="108"/>
      <c r="AW367" s="108"/>
      <c r="AX367" s="108"/>
      <c r="AY367" s="108"/>
      <c r="AZ367" s="108"/>
      <c r="BA367" s="108"/>
      <c r="BB367" s="108"/>
      <c r="BC367" s="108"/>
      <c r="BK367" s="107"/>
      <c r="BL367" s="107"/>
      <c r="BM367" s="107"/>
      <c r="BN367" s="107"/>
      <c r="BO367" s="107"/>
      <c r="BP367" s="107"/>
      <c r="BQ367" s="107"/>
      <c r="BR367" s="107"/>
      <c r="BS367" s="107"/>
      <c r="BT367" s="107"/>
      <c r="BU367" s="107"/>
      <c r="BV367" s="107"/>
      <c r="BW367" s="107"/>
      <c r="BX367" s="107"/>
      <c r="BY367" s="107"/>
      <c r="BZ367" s="107"/>
      <c r="CA367" s="51"/>
      <c r="CB367" s="51"/>
    </row>
    <row r="368" spans="1:139" s="218" customFormat="1" ht="13.5" customHeight="1" thickBot="1">
      <c r="A368" s="108"/>
      <c r="B368" s="390">
        <v>40909</v>
      </c>
      <c r="C368" s="391">
        <v>40940</v>
      </c>
      <c r="D368" s="391">
        <v>40969</v>
      </c>
      <c r="E368" s="391">
        <v>41000</v>
      </c>
      <c r="F368" s="391">
        <v>41030</v>
      </c>
      <c r="G368" s="391">
        <v>41061</v>
      </c>
      <c r="H368" s="391">
        <v>41091</v>
      </c>
      <c r="I368" s="391">
        <v>41122</v>
      </c>
      <c r="J368" s="391">
        <v>41153</v>
      </c>
      <c r="K368" s="391">
        <v>41183</v>
      </c>
      <c r="L368" s="391">
        <v>41214</v>
      </c>
      <c r="M368" s="392">
        <v>41244</v>
      </c>
      <c r="N368" s="564"/>
      <c r="O368" s="564"/>
      <c r="P368" s="564"/>
      <c r="Q368" s="564"/>
      <c r="R368" s="564"/>
      <c r="S368" s="564"/>
      <c r="T368" s="564"/>
      <c r="U368" s="564"/>
      <c r="V368" s="564"/>
      <c r="W368" s="564"/>
      <c r="X368" s="564"/>
      <c r="Y368" s="564"/>
      <c r="Z368" s="564"/>
      <c r="AA368" s="564"/>
      <c r="AB368" s="564"/>
      <c r="AC368" s="564"/>
      <c r="AD368" s="564"/>
      <c r="AE368" s="564"/>
      <c r="AF368" s="564"/>
      <c r="AG368" s="564"/>
      <c r="AH368" s="564"/>
      <c r="AI368" s="564"/>
      <c r="AJ368" s="564"/>
      <c r="AK368" s="564"/>
      <c r="AL368" s="564"/>
      <c r="AM368" s="564"/>
      <c r="AN368" s="564"/>
      <c r="AO368" s="564"/>
      <c r="AP368" s="564"/>
      <c r="AQ368" s="564"/>
      <c r="AR368" s="564"/>
      <c r="AS368" s="564"/>
      <c r="AT368" s="564"/>
      <c r="AU368" s="564"/>
      <c r="AV368" s="564"/>
      <c r="AW368" s="564"/>
      <c r="AX368" s="564"/>
      <c r="AY368" s="564"/>
      <c r="AZ368" s="108"/>
      <c r="BA368" s="108"/>
      <c r="BB368" s="108"/>
      <c r="BC368" s="108"/>
      <c r="BK368" s="107"/>
      <c r="BL368" s="107"/>
      <c r="BM368" s="107"/>
      <c r="BN368" s="107"/>
      <c r="BO368" s="107"/>
      <c r="BP368" s="107"/>
      <c r="BQ368" s="107"/>
      <c r="BR368" s="107"/>
      <c r="BS368" s="107"/>
      <c r="BT368" s="107"/>
      <c r="BU368" s="107"/>
      <c r="BV368" s="107"/>
      <c r="BW368" s="107"/>
      <c r="BX368" s="107"/>
      <c r="BY368" s="107"/>
      <c r="BZ368" s="107"/>
      <c r="CA368" s="51"/>
      <c r="CB368" s="51"/>
    </row>
    <row r="369" spans="1:80" s="218" customFormat="1" ht="13.5" customHeight="1">
      <c r="A369" s="352" t="s">
        <v>255</v>
      </c>
      <c r="B369" s="111">
        <v>9237</v>
      </c>
      <c r="C369" s="112">
        <v>10438</v>
      </c>
      <c r="D369" s="112">
        <v>12159</v>
      </c>
      <c r="E369" s="112">
        <v>10838</v>
      </c>
      <c r="F369" s="112">
        <v>10716</v>
      </c>
      <c r="G369" s="112">
        <v>11498</v>
      </c>
      <c r="H369" s="112">
        <v>10703</v>
      </c>
      <c r="I369" s="112">
        <v>5407</v>
      </c>
      <c r="J369" s="112">
        <v>10202</v>
      </c>
      <c r="K369" s="112">
        <v>12767</v>
      </c>
      <c r="L369" s="112">
        <v>13348</v>
      </c>
      <c r="M369" s="197">
        <v>9859</v>
      </c>
      <c r="N369" s="241"/>
      <c r="O369" s="241"/>
      <c r="P369" s="241"/>
      <c r="Q369" s="241"/>
      <c r="R369" s="241"/>
      <c r="S369" s="241"/>
      <c r="T369" s="241"/>
      <c r="U369" s="241"/>
      <c r="V369" s="241"/>
      <c r="W369" s="241"/>
      <c r="X369" s="241"/>
      <c r="Y369" s="241"/>
      <c r="Z369" s="241"/>
      <c r="AA369" s="241"/>
      <c r="AB369" s="241"/>
      <c r="AC369" s="241"/>
      <c r="AD369" s="241"/>
      <c r="AE369" s="241"/>
      <c r="AF369" s="241"/>
      <c r="AG369" s="241"/>
      <c r="AH369" s="241"/>
      <c r="AI369" s="241"/>
      <c r="AJ369" s="241"/>
      <c r="AK369" s="241"/>
      <c r="AL369" s="241"/>
      <c r="AM369" s="241"/>
      <c r="AN369" s="241"/>
      <c r="AO369" s="241"/>
      <c r="AP369" s="241"/>
      <c r="AQ369" s="241"/>
      <c r="AR369" s="241"/>
      <c r="AS369" s="241"/>
      <c r="AT369" s="241"/>
      <c r="AU369" s="241"/>
      <c r="AV369" s="241"/>
      <c r="AW369" s="241"/>
      <c r="AX369" s="241"/>
      <c r="AY369" s="241"/>
      <c r="AZ369" s="108"/>
      <c r="BA369" s="108"/>
      <c r="BB369" s="108"/>
      <c r="BC369" s="108"/>
      <c r="BK369" s="107"/>
      <c r="BL369" s="107"/>
      <c r="BM369" s="107"/>
      <c r="BN369" s="107"/>
      <c r="BO369" s="107"/>
      <c r="BP369" s="107"/>
      <c r="BQ369" s="107"/>
      <c r="BR369" s="107"/>
      <c r="BS369" s="107"/>
      <c r="BT369" s="107"/>
      <c r="BU369" s="107"/>
      <c r="BV369" s="107"/>
      <c r="BW369" s="107"/>
      <c r="BX369" s="107"/>
      <c r="BY369" s="107"/>
      <c r="BZ369" s="107"/>
      <c r="CA369" s="51"/>
      <c r="CB369" s="51"/>
    </row>
    <row r="370" spans="1:80" s="218" customFormat="1" ht="13.5" customHeight="1">
      <c r="A370" s="353" t="s">
        <v>256</v>
      </c>
      <c r="B370" s="379" t="s">
        <v>20</v>
      </c>
      <c r="C370" s="380" t="s">
        <v>20</v>
      </c>
      <c r="D370" s="380" t="s">
        <v>20</v>
      </c>
      <c r="E370" s="380" t="s">
        <v>20</v>
      </c>
      <c r="F370" s="380" t="s">
        <v>20</v>
      </c>
      <c r="G370" s="380" t="s">
        <v>20</v>
      </c>
      <c r="H370" s="380" t="s">
        <v>20</v>
      </c>
      <c r="I370" s="380" t="s">
        <v>20</v>
      </c>
      <c r="J370" s="380" t="s">
        <v>20</v>
      </c>
      <c r="K370" s="380" t="s">
        <v>20</v>
      </c>
      <c r="L370" s="380" t="s">
        <v>20</v>
      </c>
      <c r="M370" s="97">
        <f>SUM(B369:M369)</f>
        <v>127172</v>
      </c>
      <c r="N370" s="565"/>
      <c r="O370" s="565"/>
      <c r="P370" s="565"/>
      <c r="Q370" s="565"/>
      <c r="R370" s="565"/>
      <c r="S370" s="565"/>
      <c r="T370" s="565"/>
      <c r="U370" s="565"/>
      <c r="V370" s="565"/>
      <c r="W370" s="565"/>
      <c r="X370" s="565"/>
      <c r="Y370" s="241"/>
      <c r="Z370" s="241"/>
      <c r="AA370" s="241"/>
      <c r="AB370" s="241"/>
      <c r="AC370" s="241"/>
      <c r="AD370" s="241"/>
      <c r="AE370" s="241"/>
      <c r="AF370" s="241"/>
      <c r="AG370" s="241"/>
      <c r="AH370" s="241"/>
      <c r="AI370" s="241"/>
      <c r="AJ370" s="241"/>
      <c r="AK370" s="241"/>
      <c r="AL370" s="241"/>
      <c r="AM370" s="241"/>
      <c r="AN370" s="241"/>
      <c r="AO370" s="241"/>
      <c r="AP370" s="241"/>
      <c r="AQ370" s="241"/>
      <c r="AR370" s="241"/>
      <c r="AS370" s="241"/>
      <c r="AT370" s="241"/>
      <c r="AU370" s="241"/>
      <c r="AV370" s="241"/>
      <c r="AW370" s="241"/>
      <c r="AX370" s="241"/>
      <c r="AY370" s="241"/>
      <c r="AZ370" s="108"/>
      <c r="BA370" s="108"/>
      <c r="BB370" s="108"/>
      <c r="BC370" s="108"/>
      <c r="BK370" s="107"/>
      <c r="BL370" s="107"/>
      <c r="BM370" s="107"/>
      <c r="BN370" s="107"/>
      <c r="BO370" s="107"/>
      <c r="BP370" s="107"/>
      <c r="BQ370" s="107"/>
      <c r="BR370" s="107"/>
      <c r="BS370" s="107"/>
      <c r="BT370" s="107"/>
      <c r="BU370" s="107"/>
      <c r="BV370" s="107"/>
      <c r="BW370" s="107"/>
      <c r="BX370" s="107"/>
      <c r="BY370" s="107"/>
      <c r="BZ370" s="107"/>
      <c r="CA370" s="51"/>
      <c r="CB370" s="51"/>
    </row>
    <row r="371" spans="1:80" s="218" customFormat="1" ht="13.5" customHeight="1" thickBot="1">
      <c r="A371" s="386" t="s">
        <v>357</v>
      </c>
      <c r="B371" s="387">
        <v>-0.11</v>
      </c>
      <c r="C371" s="388">
        <v>-0.12</v>
      </c>
      <c r="D371" s="388">
        <v>-0.14000000000000001</v>
      </c>
      <c r="E371" s="388">
        <v>-0.17</v>
      </c>
      <c r="F371" s="388">
        <v>-0.19</v>
      </c>
      <c r="G371" s="388">
        <v>-0.19</v>
      </c>
      <c r="H371" s="388">
        <v>-0.18</v>
      </c>
      <c r="I371" s="388">
        <v>-0.18</v>
      </c>
      <c r="J371" s="388">
        <v>-0.18</v>
      </c>
      <c r="K371" s="388">
        <v>-0.17</v>
      </c>
      <c r="L371" s="138">
        <v>-0.155</v>
      </c>
      <c r="M371" s="196">
        <v>-0.16</v>
      </c>
      <c r="N371" s="254"/>
      <c r="O371" s="254"/>
      <c r="P371" s="254"/>
      <c r="Q371" s="254"/>
      <c r="R371" s="254"/>
      <c r="S371" s="254"/>
      <c r="T371" s="254"/>
      <c r="U371" s="254"/>
      <c r="V371" s="254"/>
      <c r="W371" s="254"/>
      <c r="X371" s="255"/>
      <c r="Y371" s="254"/>
      <c r="Z371" s="254"/>
      <c r="AA371" s="255"/>
      <c r="AB371" s="254"/>
      <c r="AC371" s="254"/>
      <c r="AD371" s="254"/>
      <c r="AE371" s="254"/>
      <c r="AF371" s="254"/>
      <c r="AG371" s="254"/>
      <c r="AH371" s="254"/>
      <c r="AI371" s="254"/>
      <c r="AJ371" s="254"/>
      <c r="AK371" s="254"/>
      <c r="AL371" s="254"/>
      <c r="AM371" s="254"/>
      <c r="AN371" s="254"/>
      <c r="AO371" s="254"/>
      <c r="AP371" s="254"/>
      <c r="AQ371" s="254"/>
      <c r="AR371" s="254"/>
      <c r="AS371" s="254"/>
      <c r="AT371" s="254"/>
      <c r="AU371" s="254"/>
      <c r="AV371" s="254"/>
      <c r="AW371" s="254"/>
      <c r="AX371" s="254"/>
      <c r="AY371" s="254"/>
      <c r="AZ371" s="108"/>
      <c r="BA371" s="108"/>
      <c r="BB371" s="108"/>
      <c r="BC371" s="108"/>
      <c r="BK371" s="107"/>
      <c r="BL371" s="107"/>
      <c r="BM371" s="107"/>
      <c r="BN371" s="107"/>
      <c r="BO371" s="107"/>
      <c r="BP371" s="107"/>
      <c r="BQ371" s="107"/>
      <c r="BR371" s="107"/>
      <c r="BS371" s="107"/>
      <c r="BT371" s="107"/>
      <c r="BU371" s="107"/>
      <c r="BV371" s="107"/>
      <c r="BW371" s="107"/>
      <c r="BX371" s="107"/>
      <c r="BY371" s="107"/>
      <c r="BZ371" s="107"/>
      <c r="CA371" s="51"/>
      <c r="CB371" s="51"/>
    </row>
    <row r="372" spans="1:80" s="218" customFormat="1" ht="13.5" customHeight="1" thickBot="1">
      <c r="A372" s="108"/>
      <c r="B372" s="389"/>
      <c r="C372" s="389"/>
      <c r="D372" s="389"/>
      <c r="E372" s="389"/>
      <c r="F372" s="389"/>
      <c r="G372" s="389"/>
      <c r="H372" s="389"/>
      <c r="I372" s="389"/>
      <c r="J372" s="389"/>
      <c r="K372" s="389"/>
      <c r="L372" s="389"/>
      <c r="M372" s="389"/>
      <c r="N372" s="108"/>
      <c r="O372" s="108"/>
      <c r="P372" s="108"/>
      <c r="Q372" s="108"/>
      <c r="R372" s="108"/>
      <c r="S372" s="108"/>
      <c r="T372" s="108"/>
      <c r="U372" s="108"/>
      <c r="V372" s="108"/>
      <c r="W372" s="108"/>
      <c r="X372" s="108"/>
      <c r="Y372" s="108"/>
      <c r="Z372" s="108"/>
      <c r="AA372" s="108"/>
      <c r="AB372" s="108"/>
      <c r="AC372" s="108"/>
      <c r="AD372" s="108"/>
      <c r="AE372" s="108"/>
      <c r="AF372" s="108"/>
      <c r="AG372" s="108"/>
      <c r="AH372" s="108"/>
      <c r="AI372" s="108"/>
      <c r="AJ372" s="108"/>
      <c r="AK372" s="108"/>
      <c r="AL372" s="108"/>
      <c r="AM372" s="108"/>
      <c r="AN372" s="108"/>
      <c r="AO372" s="108"/>
      <c r="AP372" s="108"/>
      <c r="AQ372" s="108"/>
      <c r="AR372" s="108"/>
      <c r="AS372" s="108"/>
      <c r="AT372" s="108"/>
      <c r="AU372" s="108"/>
      <c r="AV372" s="108"/>
      <c r="AW372" s="108"/>
      <c r="AX372" s="108"/>
      <c r="AY372" s="108"/>
      <c r="AZ372" s="108"/>
      <c r="BA372" s="108"/>
      <c r="BB372" s="108"/>
      <c r="BC372" s="108"/>
      <c r="BK372" s="107"/>
      <c r="BL372" s="107"/>
      <c r="BM372" s="107"/>
      <c r="BN372" s="107"/>
      <c r="BO372" s="107"/>
      <c r="BP372" s="107"/>
      <c r="BQ372" s="107"/>
      <c r="BR372" s="107"/>
      <c r="BS372" s="107"/>
      <c r="BT372" s="107"/>
      <c r="BU372" s="107"/>
      <c r="BV372" s="107"/>
      <c r="BW372" s="107"/>
      <c r="BX372" s="107"/>
      <c r="BY372" s="107"/>
      <c r="BZ372" s="107"/>
      <c r="CA372" s="51"/>
      <c r="CB372" s="51"/>
    </row>
    <row r="373" spans="1:80" s="218" customFormat="1" ht="13.5" customHeight="1" thickBot="1">
      <c r="A373" s="108"/>
      <c r="B373" s="390">
        <v>41275</v>
      </c>
      <c r="C373" s="391">
        <v>41306</v>
      </c>
      <c r="D373" s="391">
        <v>41334</v>
      </c>
      <c r="E373" s="391">
        <v>41365</v>
      </c>
      <c r="F373" s="391">
        <v>41395</v>
      </c>
      <c r="G373" s="391">
        <v>41426</v>
      </c>
      <c r="H373" s="391">
        <v>41456</v>
      </c>
      <c r="I373" s="391">
        <v>41487</v>
      </c>
      <c r="J373" s="391">
        <v>41518</v>
      </c>
      <c r="K373" s="391">
        <v>41548</v>
      </c>
      <c r="L373" s="391">
        <v>41579</v>
      </c>
      <c r="M373" s="392">
        <v>41609</v>
      </c>
      <c r="N373" s="108"/>
      <c r="O373" s="108"/>
      <c r="P373" s="108"/>
      <c r="Q373" s="108"/>
      <c r="R373" s="108"/>
      <c r="S373" s="108"/>
      <c r="T373" s="108"/>
      <c r="U373" s="108"/>
      <c r="V373" s="108"/>
      <c r="W373" s="108"/>
      <c r="X373" s="108"/>
      <c r="Y373" s="108"/>
      <c r="Z373" s="108"/>
      <c r="AA373" s="108"/>
      <c r="AB373" s="108"/>
      <c r="AC373" s="108"/>
      <c r="AD373" s="108"/>
      <c r="AE373" s="108"/>
      <c r="AF373" s="108"/>
      <c r="AG373" s="108"/>
      <c r="AH373" s="108"/>
      <c r="AI373" s="108"/>
      <c r="AJ373" s="108"/>
      <c r="AK373" s="108"/>
      <c r="AL373" s="108"/>
      <c r="AM373" s="108"/>
      <c r="AN373" s="108"/>
      <c r="AO373" s="108"/>
      <c r="AP373" s="108"/>
      <c r="AQ373" s="108"/>
      <c r="AR373" s="108"/>
      <c r="AS373" s="108"/>
      <c r="AT373" s="108"/>
      <c r="AU373" s="108"/>
      <c r="AV373" s="108"/>
      <c r="AW373" s="108"/>
      <c r="AX373" s="108"/>
      <c r="AY373" s="108"/>
      <c r="AZ373" s="108"/>
      <c r="BA373" s="108"/>
      <c r="BB373" s="108"/>
      <c r="BC373" s="108"/>
      <c r="BK373" s="107"/>
      <c r="BL373" s="107"/>
      <c r="BM373" s="107"/>
      <c r="BN373" s="107"/>
      <c r="BO373" s="107"/>
      <c r="BP373" s="107"/>
      <c r="BQ373" s="107"/>
      <c r="BR373" s="107"/>
      <c r="BS373" s="107"/>
      <c r="BT373" s="107"/>
      <c r="BU373" s="107"/>
      <c r="BV373" s="107"/>
      <c r="BW373" s="107"/>
      <c r="BX373" s="107"/>
      <c r="BY373" s="107"/>
      <c r="BZ373" s="107"/>
      <c r="CA373" s="51"/>
      <c r="CB373" s="51"/>
    </row>
    <row r="374" spans="1:80" s="218" customFormat="1" ht="13.5" customHeight="1">
      <c r="A374" s="352" t="s">
        <v>255</v>
      </c>
      <c r="B374" s="102">
        <v>5422</v>
      </c>
      <c r="C374" s="52">
        <v>7981</v>
      </c>
      <c r="D374" s="52">
        <v>9544</v>
      </c>
      <c r="E374" s="52">
        <v>9929</v>
      </c>
      <c r="F374" s="52">
        <v>9292</v>
      </c>
      <c r="G374" s="290">
        <v>10898</v>
      </c>
      <c r="H374" s="52">
        <v>10237</v>
      </c>
      <c r="I374" s="52">
        <v>4655</v>
      </c>
      <c r="J374" s="52">
        <v>9230</v>
      </c>
      <c r="K374" s="52">
        <v>10912</v>
      </c>
      <c r="L374" s="52">
        <v>9488</v>
      </c>
      <c r="M374" s="93">
        <v>9162</v>
      </c>
      <c r="N374" s="108"/>
      <c r="O374" s="108"/>
      <c r="P374" s="108"/>
      <c r="Q374" s="108"/>
      <c r="R374" s="108"/>
      <c r="S374" s="108"/>
      <c r="T374" s="108"/>
      <c r="U374" s="108"/>
      <c r="V374" s="108"/>
      <c r="W374" s="108"/>
      <c r="X374" s="108"/>
      <c r="Y374" s="108"/>
      <c r="Z374" s="108"/>
      <c r="AA374" s="108"/>
      <c r="AB374" s="108"/>
      <c r="AC374" s="108"/>
      <c r="AD374" s="108"/>
      <c r="AE374" s="108"/>
      <c r="AF374" s="108"/>
      <c r="AG374" s="108"/>
      <c r="AH374" s="108"/>
      <c r="AI374" s="108"/>
      <c r="AJ374" s="108"/>
      <c r="AK374" s="108"/>
      <c r="AL374" s="108"/>
      <c r="AM374" s="108"/>
      <c r="AN374" s="108"/>
      <c r="AO374" s="108"/>
      <c r="AP374" s="108"/>
      <c r="AQ374" s="108"/>
      <c r="AR374" s="108"/>
      <c r="AS374" s="108"/>
      <c r="AT374" s="108"/>
      <c r="AU374" s="108"/>
      <c r="AV374" s="108"/>
      <c r="AW374" s="108"/>
      <c r="AX374" s="108"/>
      <c r="AY374" s="108"/>
      <c r="AZ374" s="108"/>
      <c r="BA374" s="108"/>
      <c r="BB374" s="108"/>
      <c r="BC374" s="108"/>
      <c r="BK374" s="107"/>
      <c r="BL374" s="107"/>
      <c r="BM374" s="107"/>
      <c r="BN374" s="107"/>
      <c r="BO374" s="107"/>
      <c r="BP374" s="107"/>
      <c r="BQ374" s="107"/>
      <c r="BR374" s="107"/>
      <c r="BS374" s="107"/>
      <c r="BT374" s="107"/>
      <c r="BU374" s="107"/>
      <c r="BV374" s="107"/>
      <c r="BW374" s="107"/>
      <c r="BX374" s="107"/>
      <c r="BY374" s="107"/>
      <c r="BZ374" s="107"/>
      <c r="CA374" s="51"/>
      <c r="CB374" s="51"/>
    </row>
    <row r="375" spans="1:80" s="218" customFormat="1" ht="13.5" customHeight="1">
      <c r="A375" s="353" t="s">
        <v>256</v>
      </c>
      <c r="B375" s="102">
        <v>123357</v>
      </c>
      <c r="C375" s="92">
        <v>120900</v>
      </c>
      <c r="D375" s="52">
        <v>118285</v>
      </c>
      <c r="E375" s="52">
        <v>117376</v>
      </c>
      <c r="F375" s="52">
        <v>115952</v>
      </c>
      <c r="G375" s="52">
        <v>115352</v>
      </c>
      <c r="H375" s="52">
        <v>114886</v>
      </c>
      <c r="I375" s="52">
        <v>114134</v>
      </c>
      <c r="J375" s="52">
        <v>113162</v>
      </c>
      <c r="K375" s="52">
        <v>111307</v>
      </c>
      <c r="L375" s="52">
        <v>107447</v>
      </c>
      <c r="M375" s="93">
        <v>106750</v>
      </c>
      <c r="N375" s="108"/>
      <c r="O375" s="108"/>
      <c r="P375" s="108"/>
      <c r="Q375" s="108"/>
      <c r="R375" s="108"/>
      <c r="S375" s="108"/>
      <c r="T375" s="108"/>
      <c r="U375" s="108"/>
      <c r="V375" s="108"/>
      <c r="W375" s="108"/>
      <c r="X375" s="108"/>
      <c r="Y375" s="108"/>
      <c r="Z375" s="108"/>
      <c r="AA375" s="108"/>
      <c r="AB375" s="108"/>
      <c r="AC375" s="108"/>
      <c r="AD375" s="108"/>
      <c r="AE375" s="108"/>
      <c r="AF375" s="108"/>
      <c r="AG375" s="108"/>
      <c r="AH375" s="108"/>
      <c r="AI375" s="108"/>
      <c r="AJ375" s="108"/>
      <c r="AK375" s="108"/>
      <c r="AL375" s="108"/>
      <c r="AM375" s="108"/>
      <c r="AN375" s="108"/>
      <c r="AO375" s="108"/>
      <c r="AP375" s="108"/>
      <c r="AQ375" s="108"/>
      <c r="AR375" s="108"/>
      <c r="AS375" s="108"/>
      <c r="AT375" s="108"/>
      <c r="AU375" s="108"/>
      <c r="AV375" s="108"/>
      <c r="AW375" s="108"/>
      <c r="AX375" s="108"/>
      <c r="AY375" s="108"/>
      <c r="AZ375" s="108"/>
      <c r="BA375" s="108"/>
      <c r="BB375" s="108"/>
      <c r="BC375" s="108"/>
      <c r="BK375" s="107"/>
      <c r="BL375" s="107"/>
      <c r="BM375" s="107"/>
      <c r="BN375" s="107"/>
      <c r="BO375" s="107"/>
      <c r="BP375" s="107"/>
      <c r="BQ375" s="107"/>
      <c r="BR375" s="107"/>
      <c r="BS375" s="107"/>
      <c r="BT375" s="107"/>
      <c r="BU375" s="107"/>
      <c r="BV375" s="107"/>
      <c r="BW375" s="107"/>
      <c r="BX375" s="107"/>
      <c r="BY375" s="107"/>
      <c r="BZ375" s="107"/>
      <c r="CA375" s="51"/>
      <c r="CB375" s="51"/>
    </row>
    <row r="376" spans="1:80" s="218" customFormat="1" ht="13.5" customHeight="1" thickBot="1">
      <c r="A376" s="386" t="s">
        <v>357</v>
      </c>
      <c r="B376" s="387">
        <v>-0.18</v>
      </c>
      <c r="C376" s="138">
        <v>-0.185</v>
      </c>
      <c r="D376" s="388">
        <v>-0.19</v>
      </c>
      <c r="E376" s="388">
        <v>-0.17</v>
      </c>
      <c r="F376" s="388">
        <v>-0.16</v>
      </c>
      <c r="G376" s="388">
        <v>-0.15</v>
      </c>
      <c r="H376" s="388">
        <v>-0.16</v>
      </c>
      <c r="I376" s="388">
        <v>-0.16</v>
      </c>
      <c r="J376" s="388">
        <v>-0.16</v>
      </c>
      <c r="K376" s="388">
        <v>-0.17</v>
      </c>
      <c r="L376" s="388">
        <v>-0.19</v>
      </c>
      <c r="M376" s="196">
        <v>-0.19</v>
      </c>
      <c r="N376" s="108"/>
      <c r="O376" s="108"/>
      <c r="P376" s="108"/>
      <c r="Q376" s="108"/>
      <c r="R376" s="108"/>
      <c r="S376" s="108"/>
      <c r="T376" s="108"/>
      <c r="U376" s="108"/>
      <c r="V376" s="108"/>
      <c r="W376" s="108"/>
      <c r="X376" s="108"/>
      <c r="Y376" s="108"/>
      <c r="Z376" s="108"/>
      <c r="AA376" s="108"/>
      <c r="AB376" s="108"/>
      <c r="AC376" s="108"/>
      <c r="AD376" s="108"/>
      <c r="AE376" s="108"/>
      <c r="AF376" s="108"/>
      <c r="AG376" s="108"/>
      <c r="AH376" s="108"/>
      <c r="AI376" s="108"/>
      <c r="AJ376" s="108"/>
      <c r="AK376" s="108"/>
      <c r="AL376" s="108"/>
      <c r="AM376" s="108"/>
      <c r="AN376" s="108"/>
      <c r="AO376" s="108"/>
      <c r="AP376" s="108"/>
      <c r="AQ376" s="108"/>
      <c r="AR376" s="108"/>
      <c r="AS376" s="108"/>
      <c r="AT376" s="108"/>
      <c r="AU376" s="108"/>
      <c r="AV376" s="108"/>
      <c r="AW376" s="108"/>
      <c r="AX376" s="108"/>
      <c r="AY376" s="108"/>
      <c r="AZ376" s="108"/>
      <c r="BA376" s="108"/>
      <c r="BB376" s="108"/>
      <c r="BC376" s="108"/>
      <c r="BK376" s="107"/>
      <c r="BL376" s="107"/>
      <c r="BM376" s="107"/>
      <c r="BN376" s="107"/>
      <c r="BO376" s="107"/>
      <c r="BP376" s="107"/>
      <c r="BQ376" s="107"/>
      <c r="BR376" s="107"/>
      <c r="BS376" s="107"/>
      <c r="BT376" s="107"/>
      <c r="BU376" s="107"/>
      <c r="BV376" s="107"/>
      <c r="BW376" s="107"/>
      <c r="BX376" s="107"/>
      <c r="BY376" s="107"/>
      <c r="BZ376" s="107"/>
      <c r="CA376" s="51"/>
      <c r="CB376" s="51"/>
    </row>
    <row r="377" spans="1:80" s="218" customFormat="1" ht="13.5" customHeight="1" thickBot="1">
      <c r="A377" s="108"/>
      <c r="B377" s="389"/>
      <c r="C377" s="389"/>
      <c r="D377" s="389"/>
      <c r="E377" s="389"/>
      <c r="F377" s="389"/>
      <c r="G377" s="389"/>
      <c r="H377" s="389"/>
      <c r="I377" s="389"/>
      <c r="J377" s="389"/>
      <c r="K377" s="389"/>
      <c r="L377" s="389"/>
      <c r="M377" s="389"/>
      <c r="N377" s="108"/>
      <c r="O377" s="108"/>
      <c r="P377" s="108"/>
      <c r="Q377" s="108"/>
      <c r="R377" s="108"/>
      <c r="S377" s="108"/>
      <c r="T377" s="108"/>
      <c r="U377" s="108"/>
      <c r="V377" s="108"/>
      <c r="W377" s="108"/>
      <c r="X377" s="108"/>
      <c r="Y377" s="108"/>
      <c r="Z377" s="108"/>
      <c r="AA377" s="108"/>
      <c r="AB377" s="108"/>
      <c r="AC377" s="108"/>
      <c r="AD377" s="108"/>
      <c r="AE377" s="108"/>
      <c r="AF377" s="108"/>
      <c r="AG377" s="108"/>
      <c r="AH377" s="108"/>
      <c r="AI377" s="108"/>
      <c r="AJ377" s="108"/>
      <c r="AK377" s="108"/>
      <c r="AL377" s="108"/>
      <c r="AM377" s="108"/>
      <c r="AN377" s="108"/>
      <c r="AO377" s="108"/>
      <c r="AP377" s="108"/>
      <c r="AQ377" s="108"/>
      <c r="AR377" s="108"/>
      <c r="AS377" s="108"/>
      <c r="AT377" s="108"/>
      <c r="AU377" s="108"/>
      <c r="AV377" s="108"/>
      <c r="AW377" s="108"/>
      <c r="AX377" s="108"/>
      <c r="AY377" s="108"/>
      <c r="AZ377" s="108"/>
      <c r="BA377" s="108"/>
      <c r="BB377" s="108"/>
      <c r="BC377" s="108"/>
      <c r="BK377" s="107"/>
      <c r="BL377" s="107"/>
      <c r="BM377" s="107"/>
      <c r="BN377" s="107"/>
      <c r="BO377" s="107"/>
      <c r="BP377" s="107"/>
      <c r="BQ377" s="107"/>
      <c r="BR377" s="107"/>
      <c r="BS377" s="107"/>
      <c r="BT377" s="107"/>
      <c r="BU377" s="107"/>
      <c r="BV377" s="107"/>
      <c r="BW377" s="107"/>
      <c r="BX377" s="107"/>
      <c r="BY377" s="107"/>
      <c r="BZ377" s="107"/>
      <c r="CA377" s="51"/>
      <c r="CB377" s="51"/>
    </row>
    <row r="378" spans="1:80" s="218" customFormat="1" ht="13.5" customHeight="1" thickBot="1">
      <c r="A378" s="108"/>
      <c r="B378" s="390">
        <v>41640</v>
      </c>
      <c r="C378" s="391">
        <v>41671</v>
      </c>
      <c r="D378" s="391">
        <v>41699</v>
      </c>
      <c r="E378" s="391">
        <v>41730</v>
      </c>
      <c r="F378" s="391">
        <v>41760</v>
      </c>
      <c r="G378" s="391">
        <v>41791</v>
      </c>
      <c r="H378" s="391">
        <v>41821</v>
      </c>
      <c r="I378" s="391">
        <v>41852</v>
      </c>
      <c r="J378" s="391">
        <v>41883</v>
      </c>
      <c r="K378" s="391">
        <v>41913</v>
      </c>
      <c r="L378" s="391">
        <v>41944</v>
      </c>
      <c r="M378" s="392">
        <v>41974</v>
      </c>
      <c r="N378" s="108"/>
      <c r="O378" s="108"/>
      <c r="P378" s="108"/>
      <c r="Q378" s="108"/>
      <c r="R378" s="108"/>
      <c r="S378" s="108"/>
      <c r="T378" s="108"/>
      <c r="U378" s="108"/>
      <c r="V378" s="108"/>
      <c r="W378" s="108"/>
      <c r="X378" s="108"/>
      <c r="Y378" s="108"/>
      <c r="Z378" s="108"/>
      <c r="AA378" s="108"/>
      <c r="AB378" s="108"/>
      <c r="AC378" s="108"/>
      <c r="AD378" s="108"/>
      <c r="AE378" s="108"/>
      <c r="AF378" s="108"/>
      <c r="AG378" s="108"/>
      <c r="AH378" s="108"/>
      <c r="AI378" s="108"/>
      <c r="AJ378" s="108"/>
      <c r="AK378" s="108"/>
      <c r="AL378" s="108"/>
      <c r="AM378" s="108"/>
      <c r="AN378" s="108"/>
      <c r="AO378" s="108"/>
      <c r="AP378" s="108"/>
      <c r="AQ378" s="108"/>
      <c r="AR378" s="108"/>
      <c r="AS378" s="108"/>
      <c r="AT378" s="108"/>
      <c r="AU378" s="108"/>
      <c r="AV378" s="108"/>
      <c r="AW378" s="108"/>
      <c r="AX378" s="108"/>
      <c r="AY378" s="108"/>
      <c r="AZ378" s="108"/>
      <c r="BA378" s="108"/>
      <c r="BB378" s="108"/>
      <c r="BC378" s="108"/>
      <c r="BK378" s="107"/>
      <c r="BL378" s="107"/>
      <c r="BM378" s="107"/>
      <c r="BN378" s="107"/>
      <c r="BO378" s="107"/>
      <c r="BP378" s="107"/>
      <c r="BQ378" s="107"/>
      <c r="BR378" s="107"/>
      <c r="BS378" s="107"/>
      <c r="BT378" s="107"/>
      <c r="BU378" s="107"/>
      <c r="BV378" s="107"/>
      <c r="BW378" s="107"/>
      <c r="BX378" s="107"/>
      <c r="BY378" s="107"/>
      <c r="BZ378" s="107"/>
      <c r="CA378" s="51"/>
      <c r="CB378" s="51"/>
    </row>
    <row r="379" spans="1:80" s="218" customFormat="1" ht="13.5" customHeight="1">
      <c r="A379" s="352" t="s">
        <v>255</v>
      </c>
      <c r="B379" s="91">
        <v>6801</v>
      </c>
      <c r="C379" s="52">
        <v>8348</v>
      </c>
      <c r="D379" s="52">
        <v>9592</v>
      </c>
      <c r="E379" s="52">
        <v>11188</v>
      </c>
      <c r="F379" s="52">
        <v>9019</v>
      </c>
      <c r="G379" s="52">
        <v>9926</v>
      </c>
      <c r="H379" s="52">
        <v>9001</v>
      </c>
      <c r="I379" s="52">
        <v>3974</v>
      </c>
      <c r="J379" s="52">
        <v>8588</v>
      </c>
      <c r="K379" s="52">
        <v>10226</v>
      </c>
      <c r="L379" s="52">
        <v>9351</v>
      </c>
      <c r="M379" s="93">
        <v>8851</v>
      </c>
      <c r="N379" s="108"/>
      <c r="O379" s="108"/>
      <c r="P379" s="108"/>
      <c r="Q379" s="108"/>
      <c r="R379" s="108"/>
      <c r="S379" s="108"/>
      <c r="T379" s="108"/>
      <c r="U379" s="108"/>
      <c r="V379" s="108"/>
      <c r="W379" s="108"/>
      <c r="X379" s="108"/>
      <c r="Y379" s="108"/>
      <c r="Z379" s="108"/>
      <c r="AA379" s="108"/>
      <c r="AB379" s="108"/>
      <c r="AC379" s="108"/>
      <c r="AD379" s="108"/>
      <c r="AE379" s="108"/>
      <c r="AF379" s="108"/>
      <c r="AG379" s="108"/>
      <c r="AH379" s="108"/>
      <c r="AI379" s="108"/>
      <c r="AJ379" s="108"/>
      <c r="AK379" s="108"/>
      <c r="AL379" s="108"/>
      <c r="AM379" s="108"/>
      <c r="AN379" s="108"/>
      <c r="AO379" s="108"/>
      <c r="AP379" s="108"/>
      <c r="AQ379" s="108"/>
      <c r="AR379" s="108"/>
      <c r="AS379" s="108"/>
      <c r="AT379" s="108"/>
      <c r="AU379" s="108"/>
      <c r="AV379" s="108"/>
      <c r="AW379" s="108"/>
      <c r="AX379" s="108"/>
      <c r="AY379" s="108"/>
      <c r="AZ379" s="108"/>
      <c r="BA379" s="108"/>
      <c r="BB379" s="108"/>
      <c r="BC379" s="108"/>
      <c r="BK379" s="107"/>
      <c r="BL379" s="107"/>
      <c r="BM379" s="107"/>
      <c r="BN379" s="107"/>
      <c r="BO379" s="107"/>
      <c r="BP379" s="107"/>
      <c r="BQ379" s="107"/>
      <c r="BR379" s="107"/>
      <c r="BS379" s="107"/>
      <c r="BT379" s="107"/>
      <c r="BU379" s="107"/>
      <c r="BV379" s="107"/>
      <c r="BW379" s="107"/>
      <c r="BX379" s="107"/>
      <c r="BY379" s="107"/>
      <c r="BZ379" s="107"/>
      <c r="CA379" s="51"/>
      <c r="CB379" s="51"/>
    </row>
    <row r="380" spans="1:80" s="218" customFormat="1" ht="13.5" customHeight="1">
      <c r="A380" s="353" t="s">
        <v>256</v>
      </c>
      <c r="B380" s="91">
        <v>108129</v>
      </c>
      <c r="C380" s="52">
        <v>108496</v>
      </c>
      <c r="D380" s="52">
        <v>108544</v>
      </c>
      <c r="E380" s="52">
        <v>109803</v>
      </c>
      <c r="F380" s="52">
        <v>109530</v>
      </c>
      <c r="G380" s="52">
        <v>108558</v>
      </c>
      <c r="H380" s="52">
        <v>107322</v>
      </c>
      <c r="I380" s="52">
        <v>106641</v>
      </c>
      <c r="J380" s="52">
        <v>105999</v>
      </c>
      <c r="K380" s="52">
        <v>105313</v>
      </c>
      <c r="L380" s="52">
        <v>105176</v>
      </c>
      <c r="M380" s="93">
        <v>104865</v>
      </c>
      <c r="N380" s="108"/>
      <c r="O380" s="108"/>
      <c r="P380" s="108"/>
      <c r="Q380" s="108"/>
      <c r="R380" s="108"/>
      <c r="S380" s="108"/>
      <c r="T380" s="108"/>
      <c r="U380" s="108"/>
      <c r="V380" s="108"/>
      <c r="W380" s="108"/>
      <c r="X380" s="108"/>
      <c r="Y380" s="108"/>
      <c r="Z380" s="108"/>
      <c r="AA380" s="108"/>
      <c r="AB380" s="108"/>
      <c r="AC380" s="108"/>
      <c r="AD380" s="108"/>
      <c r="AE380" s="108"/>
      <c r="AF380" s="108"/>
      <c r="AG380" s="108"/>
      <c r="AH380" s="108"/>
      <c r="AI380" s="108"/>
      <c r="AJ380" s="108"/>
      <c r="AK380" s="108"/>
      <c r="AL380" s="108"/>
      <c r="AM380" s="108"/>
      <c r="AN380" s="108"/>
      <c r="AO380" s="108"/>
      <c r="AP380" s="108"/>
      <c r="AQ380" s="108"/>
      <c r="AR380" s="108"/>
      <c r="AS380" s="108"/>
      <c r="AT380" s="108"/>
      <c r="AU380" s="108"/>
      <c r="AV380" s="108"/>
      <c r="AW380" s="108"/>
      <c r="AX380" s="108"/>
      <c r="AY380" s="108"/>
      <c r="AZ380" s="108"/>
      <c r="BA380" s="108"/>
      <c r="BB380" s="108"/>
      <c r="BC380" s="108"/>
      <c r="BK380" s="107"/>
      <c r="BL380" s="107"/>
      <c r="BM380" s="107"/>
      <c r="BN380" s="107"/>
      <c r="BO380" s="107"/>
      <c r="BP380" s="107"/>
      <c r="BQ380" s="107"/>
      <c r="BR380" s="107"/>
      <c r="BS380" s="107"/>
      <c r="BT380" s="107"/>
      <c r="BU380" s="107"/>
      <c r="BV380" s="107"/>
      <c r="BW380" s="107"/>
      <c r="BX380" s="107"/>
      <c r="BY380" s="107"/>
      <c r="BZ380" s="107"/>
      <c r="CA380" s="51"/>
      <c r="CB380" s="51"/>
    </row>
    <row r="381" spans="1:80" s="218" customFormat="1" ht="13.5" customHeight="1" thickBot="1">
      <c r="A381" s="386" t="s">
        <v>357</v>
      </c>
      <c r="B381" s="383">
        <v>-0.14000000000000001</v>
      </c>
      <c r="C381" s="384">
        <v>-0.11</v>
      </c>
      <c r="D381" s="384">
        <v>-0.09</v>
      </c>
      <c r="E381" s="384">
        <v>-0.09</v>
      </c>
      <c r="F381" s="384">
        <v>-0.08</v>
      </c>
      <c r="G381" s="384">
        <v>-0.08</v>
      </c>
      <c r="H381" s="384">
        <v>-0.08</v>
      </c>
      <c r="I381" s="384">
        <v>-0.08</v>
      </c>
      <c r="J381" s="384">
        <v>-7.0000000000000007E-2</v>
      </c>
      <c r="K381" s="384">
        <v>-0.06</v>
      </c>
      <c r="L381" s="384">
        <v>-0.04</v>
      </c>
      <c r="M381" s="385">
        <v>-0.04</v>
      </c>
      <c r="N381" s="108"/>
      <c r="O381" s="108"/>
      <c r="P381" s="108"/>
      <c r="Q381" s="108"/>
      <c r="R381" s="108"/>
      <c r="S381" s="108"/>
      <c r="T381" s="108"/>
      <c r="U381" s="108"/>
      <c r="V381" s="108"/>
      <c r="W381" s="108"/>
      <c r="X381" s="108"/>
      <c r="Y381" s="108"/>
      <c r="Z381" s="108"/>
      <c r="AA381" s="108"/>
      <c r="AB381" s="108"/>
      <c r="AC381" s="108"/>
      <c r="AD381" s="108"/>
      <c r="AE381" s="108"/>
      <c r="AF381" s="108"/>
      <c r="AG381" s="108"/>
      <c r="AH381" s="108"/>
      <c r="AI381" s="108"/>
      <c r="AJ381" s="108"/>
      <c r="AK381" s="108"/>
      <c r="AL381" s="108"/>
      <c r="AM381" s="108"/>
      <c r="AN381" s="108"/>
      <c r="AO381" s="108"/>
      <c r="AP381" s="108"/>
      <c r="AQ381" s="108"/>
      <c r="AR381" s="108"/>
      <c r="AS381" s="108"/>
      <c r="AT381" s="108"/>
      <c r="AU381" s="108"/>
      <c r="AV381" s="108"/>
      <c r="AW381" s="108"/>
      <c r="AX381" s="108"/>
      <c r="AY381" s="108"/>
      <c r="AZ381" s="108"/>
      <c r="BA381" s="108"/>
      <c r="BB381" s="108"/>
      <c r="BC381" s="108"/>
      <c r="BK381" s="107"/>
      <c r="BL381" s="107"/>
      <c r="BM381" s="107"/>
      <c r="BN381" s="107"/>
      <c r="BO381" s="107"/>
      <c r="BP381" s="107"/>
      <c r="BQ381" s="107"/>
      <c r="BR381" s="107"/>
      <c r="BS381" s="107"/>
      <c r="BT381" s="107"/>
      <c r="BU381" s="107"/>
      <c r="BV381" s="107"/>
      <c r="BW381" s="107"/>
      <c r="BX381" s="107"/>
      <c r="BY381" s="107"/>
      <c r="BZ381" s="107"/>
      <c r="CA381" s="51"/>
      <c r="CB381" s="51"/>
    </row>
    <row r="382" spans="1:80" s="218" customFormat="1" ht="13.5" customHeight="1" thickBot="1">
      <c r="A382" s="358"/>
      <c r="B382" s="107"/>
      <c r="C382" s="107"/>
      <c r="D382" s="107"/>
      <c r="E382" s="107"/>
      <c r="F382" s="107"/>
      <c r="G382" s="107"/>
      <c r="H382" s="107"/>
      <c r="I382" s="107"/>
      <c r="J382" s="107"/>
      <c r="K382" s="107"/>
      <c r="L382" s="107"/>
      <c r="M382" s="107"/>
      <c r="N382" s="108"/>
      <c r="O382" s="108"/>
      <c r="P382" s="108"/>
      <c r="Q382" s="108"/>
      <c r="R382" s="108"/>
      <c r="S382" s="108"/>
      <c r="T382" s="108"/>
      <c r="U382" s="108"/>
      <c r="V382" s="108"/>
      <c r="W382" s="108"/>
      <c r="X382" s="108"/>
      <c r="Y382" s="108"/>
      <c r="Z382" s="108"/>
      <c r="AA382" s="108"/>
      <c r="AB382" s="108"/>
      <c r="AC382" s="108"/>
      <c r="AD382" s="108"/>
      <c r="AE382" s="108"/>
      <c r="AF382" s="108"/>
      <c r="AG382" s="108"/>
      <c r="AH382" s="108"/>
      <c r="AI382" s="108"/>
      <c r="AJ382" s="108"/>
      <c r="AK382" s="108"/>
      <c r="AL382" s="108"/>
      <c r="AM382" s="108"/>
      <c r="AN382" s="108"/>
      <c r="AO382" s="108"/>
      <c r="AP382" s="108"/>
      <c r="AQ382" s="108"/>
      <c r="AR382" s="108"/>
      <c r="AS382" s="108"/>
      <c r="AT382" s="108"/>
      <c r="AU382" s="108"/>
      <c r="AV382" s="108"/>
      <c r="AW382" s="108"/>
      <c r="AX382" s="108"/>
      <c r="AY382" s="108"/>
      <c r="AZ382" s="108"/>
      <c r="BA382" s="108"/>
      <c r="BB382" s="108"/>
      <c r="BC382" s="108"/>
      <c r="BK382" s="107"/>
      <c r="BL382" s="107"/>
      <c r="BM382" s="107"/>
      <c r="BN382" s="107"/>
      <c r="BO382" s="107"/>
      <c r="BP382" s="107"/>
      <c r="BQ382" s="107"/>
      <c r="BR382" s="107"/>
      <c r="BS382" s="107"/>
      <c r="BT382" s="107"/>
      <c r="BU382" s="107"/>
      <c r="BV382" s="107"/>
      <c r="BW382" s="107"/>
      <c r="BX382" s="107"/>
      <c r="BY382" s="107"/>
      <c r="BZ382" s="107"/>
      <c r="CA382" s="51"/>
      <c r="CB382" s="51"/>
    </row>
    <row r="383" spans="1:80" s="218" customFormat="1" ht="13.5" customHeight="1" thickBot="1">
      <c r="A383" s="108"/>
      <c r="B383" s="359">
        <v>42005</v>
      </c>
      <c r="C383" s="346">
        <v>42036</v>
      </c>
      <c r="D383" s="107"/>
      <c r="E383" s="107"/>
      <c r="F383" s="107"/>
      <c r="G383" s="107"/>
      <c r="H383" s="107"/>
      <c r="I383" s="107"/>
      <c r="J383" s="107"/>
      <c r="K383" s="107"/>
      <c r="L383" s="107"/>
      <c r="M383" s="107"/>
      <c r="N383" s="108"/>
      <c r="O383" s="108"/>
      <c r="P383" s="108"/>
      <c r="Q383" s="108"/>
      <c r="R383" s="108"/>
      <c r="S383" s="108"/>
      <c r="T383" s="108"/>
      <c r="U383" s="108"/>
      <c r="V383" s="108"/>
      <c r="W383" s="108"/>
      <c r="X383" s="108"/>
      <c r="Y383" s="108"/>
      <c r="Z383" s="108"/>
      <c r="AA383" s="108"/>
      <c r="AB383" s="108"/>
      <c r="AC383" s="108"/>
      <c r="AD383" s="108"/>
      <c r="AE383" s="108"/>
      <c r="AF383" s="108"/>
      <c r="AG383" s="108"/>
      <c r="AH383" s="108"/>
      <c r="AI383" s="108"/>
      <c r="AJ383" s="108"/>
      <c r="AK383" s="108"/>
      <c r="AL383" s="108"/>
      <c r="AM383" s="108"/>
      <c r="AN383" s="108"/>
      <c r="AO383" s="108"/>
      <c r="AP383" s="108"/>
      <c r="AQ383" s="108"/>
      <c r="AR383" s="108"/>
      <c r="AS383" s="108"/>
      <c r="AT383" s="108"/>
      <c r="AU383" s="108"/>
      <c r="AV383" s="108"/>
      <c r="AW383" s="108"/>
      <c r="AX383" s="108"/>
      <c r="AY383" s="108"/>
      <c r="AZ383" s="108"/>
      <c r="BA383" s="108"/>
      <c r="BB383" s="108"/>
      <c r="BC383" s="108"/>
      <c r="BK383" s="107"/>
      <c r="BL383" s="107"/>
      <c r="BM383" s="107"/>
      <c r="BN383" s="107"/>
      <c r="BO383" s="107"/>
      <c r="BP383" s="107"/>
      <c r="BQ383" s="107"/>
      <c r="BR383" s="107"/>
      <c r="BS383" s="107"/>
      <c r="BT383" s="107"/>
      <c r="BU383" s="107"/>
      <c r="BV383" s="107"/>
      <c r="BW383" s="107"/>
      <c r="BX383" s="107"/>
      <c r="BY383" s="107"/>
      <c r="BZ383" s="107"/>
      <c r="CA383" s="51"/>
      <c r="CB383" s="51"/>
    </row>
    <row r="384" spans="1:80" s="218" customFormat="1" ht="13.5" customHeight="1">
      <c r="A384" s="347" t="s">
        <v>255</v>
      </c>
      <c r="B384" s="49">
        <v>7528</v>
      </c>
      <c r="C384" s="50">
        <v>8388</v>
      </c>
      <c r="D384" s="107"/>
      <c r="E384" s="107"/>
      <c r="F384" s="107"/>
      <c r="G384" s="107"/>
      <c r="H384" s="107"/>
      <c r="I384" s="107"/>
      <c r="J384" s="107"/>
      <c r="K384" s="107"/>
      <c r="L384" s="107"/>
      <c r="M384" s="107"/>
      <c r="N384" s="108"/>
      <c r="O384" s="108"/>
      <c r="P384" s="108"/>
      <c r="Q384" s="108"/>
      <c r="R384" s="108"/>
      <c r="S384" s="108"/>
      <c r="T384" s="108"/>
      <c r="U384" s="108"/>
      <c r="V384" s="108"/>
      <c r="W384" s="108"/>
      <c r="X384" s="108"/>
      <c r="Y384" s="108"/>
      <c r="Z384" s="108"/>
      <c r="AA384" s="108"/>
      <c r="AB384" s="108"/>
      <c r="AC384" s="108"/>
      <c r="AD384" s="108"/>
      <c r="AE384" s="108"/>
      <c r="AF384" s="108"/>
      <c r="AG384" s="108"/>
      <c r="AH384" s="108"/>
      <c r="AI384" s="108"/>
      <c r="AJ384" s="108"/>
      <c r="AK384" s="108"/>
      <c r="AL384" s="108"/>
      <c r="AM384" s="108"/>
      <c r="AN384" s="108"/>
      <c r="AO384" s="108"/>
      <c r="AP384" s="108"/>
      <c r="AQ384" s="108"/>
      <c r="AR384" s="108"/>
      <c r="AS384" s="108"/>
      <c r="AT384" s="108"/>
      <c r="AU384" s="108"/>
      <c r="AV384" s="108"/>
      <c r="AW384" s="108"/>
      <c r="AX384" s="108"/>
      <c r="AY384" s="108"/>
      <c r="AZ384" s="108"/>
      <c r="BA384" s="108"/>
      <c r="BB384" s="108"/>
      <c r="BC384" s="108"/>
      <c r="BK384" s="107"/>
      <c r="BL384" s="107"/>
      <c r="BM384" s="107"/>
      <c r="BN384" s="107"/>
      <c r="BO384" s="107"/>
      <c r="BP384" s="107"/>
      <c r="BQ384" s="107"/>
      <c r="BR384" s="107"/>
      <c r="BS384" s="107"/>
      <c r="BT384" s="107"/>
      <c r="BU384" s="107"/>
      <c r="BV384" s="107"/>
      <c r="BW384" s="107"/>
      <c r="BX384" s="107"/>
      <c r="BY384" s="107"/>
      <c r="BZ384" s="107"/>
      <c r="CA384" s="51"/>
      <c r="CB384" s="51"/>
    </row>
    <row r="385" spans="1:139" s="218" customFormat="1" ht="13.5" customHeight="1">
      <c r="A385" s="348" t="s">
        <v>256</v>
      </c>
      <c r="B385" s="51">
        <v>105592</v>
      </c>
      <c r="C385" s="53">
        <v>105632</v>
      </c>
      <c r="D385" s="107"/>
      <c r="E385" s="107"/>
      <c r="F385" s="107"/>
      <c r="G385" s="107"/>
      <c r="H385" s="107"/>
      <c r="I385" s="107"/>
      <c r="J385" s="107"/>
      <c r="K385" s="107"/>
      <c r="L385" s="107"/>
      <c r="M385" s="107"/>
      <c r="N385" s="108"/>
      <c r="O385" s="108"/>
      <c r="P385" s="108"/>
      <c r="Q385" s="108"/>
      <c r="R385" s="108"/>
      <c r="S385" s="108"/>
      <c r="T385" s="108"/>
      <c r="U385" s="108"/>
      <c r="V385" s="108"/>
      <c r="W385" s="108"/>
      <c r="X385" s="108"/>
      <c r="Y385" s="108"/>
      <c r="Z385" s="108"/>
      <c r="AA385" s="108"/>
      <c r="AB385" s="108"/>
      <c r="AC385" s="108"/>
      <c r="AD385" s="108"/>
      <c r="AE385" s="108"/>
      <c r="AF385" s="108"/>
      <c r="AG385" s="108"/>
      <c r="AH385" s="108"/>
      <c r="AI385" s="108"/>
      <c r="AJ385" s="108"/>
      <c r="AK385" s="108"/>
      <c r="AL385" s="108"/>
      <c r="AM385" s="108"/>
      <c r="AN385" s="108"/>
      <c r="AO385" s="108"/>
      <c r="AP385" s="108"/>
      <c r="AQ385" s="108"/>
      <c r="AR385" s="108"/>
      <c r="AS385" s="108"/>
      <c r="AT385" s="108"/>
      <c r="AU385" s="108"/>
      <c r="AV385" s="108"/>
      <c r="AW385" s="108"/>
      <c r="AX385" s="108"/>
      <c r="AY385" s="108"/>
      <c r="AZ385" s="108"/>
      <c r="BA385" s="108"/>
      <c r="BB385" s="108"/>
      <c r="BC385" s="108"/>
      <c r="BK385" s="107"/>
      <c r="BL385" s="107"/>
      <c r="BM385" s="107"/>
      <c r="BN385" s="107"/>
      <c r="BO385" s="107"/>
      <c r="BP385" s="107"/>
      <c r="BQ385" s="107"/>
      <c r="BR385" s="107"/>
      <c r="BS385" s="107"/>
      <c r="BT385" s="107"/>
      <c r="BU385" s="107"/>
      <c r="BV385" s="107"/>
      <c r="BW385" s="107"/>
      <c r="BX385" s="107"/>
      <c r="BY385" s="107"/>
      <c r="BZ385" s="107"/>
      <c r="CA385" s="51"/>
      <c r="CB385" s="51"/>
    </row>
    <row r="386" spans="1:139" s="218" customFormat="1" ht="13.5" customHeight="1" thickBot="1">
      <c r="A386" s="382" t="s">
        <v>357</v>
      </c>
      <c r="B386" s="384">
        <v>-0.05</v>
      </c>
      <c r="C386" s="385">
        <v>-0.05</v>
      </c>
      <c r="D386" s="107"/>
      <c r="E386" s="107"/>
      <c r="F386" s="107"/>
      <c r="G386" s="107"/>
      <c r="H386" s="107"/>
      <c r="I386" s="107"/>
      <c r="J386" s="107"/>
      <c r="K386" s="107"/>
      <c r="L386" s="107"/>
      <c r="M386" s="107"/>
      <c r="N386" s="108"/>
      <c r="O386" s="108"/>
      <c r="P386" s="108"/>
      <c r="Q386" s="108"/>
      <c r="R386" s="108"/>
      <c r="S386" s="108"/>
      <c r="T386" s="108"/>
      <c r="U386" s="108"/>
      <c r="V386" s="108"/>
      <c r="W386" s="108"/>
      <c r="X386" s="108"/>
      <c r="Y386" s="108"/>
      <c r="Z386" s="108"/>
      <c r="AA386" s="108"/>
      <c r="AB386" s="108"/>
      <c r="AC386" s="108"/>
      <c r="AD386" s="108"/>
      <c r="AE386" s="108"/>
      <c r="AF386" s="108"/>
      <c r="AG386" s="108"/>
      <c r="AH386" s="108"/>
      <c r="AI386" s="108"/>
      <c r="AJ386" s="108"/>
      <c r="AK386" s="108"/>
      <c r="AL386" s="108"/>
      <c r="AM386" s="108"/>
      <c r="AN386" s="108"/>
      <c r="AO386" s="108"/>
      <c r="AP386" s="108"/>
      <c r="AQ386" s="108"/>
      <c r="AR386" s="108"/>
      <c r="AS386" s="108"/>
      <c r="AT386" s="108"/>
      <c r="AU386" s="108"/>
      <c r="AV386" s="108"/>
      <c r="AW386" s="108"/>
      <c r="AX386" s="108"/>
      <c r="AY386" s="108"/>
      <c r="AZ386" s="108"/>
      <c r="BA386" s="108"/>
      <c r="BB386" s="108"/>
      <c r="BC386" s="108"/>
      <c r="BK386" s="107"/>
      <c r="BL386" s="107"/>
      <c r="BM386" s="107"/>
      <c r="BN386" s="107"/>
      <c r="BO386" s="107"/>
      <c r="BP386" s="107"/>
      <c r="BQ386" s="107"/>
      <c r="BR386" s="107"/>
      <c r="BS386" s="107"/>
      <c r="BT386" s="107"/>
      <c r="BU386" s="107"/>
      <c r="BV386" s="107"/>
      <c r="BW386" s="107"/>
      <c r="BX386" s="107"/>
      <c r="BY386" s="107"/>
      <c r="BZ386" s="107"/>
      <c r="CA386" s="51"/>
      <c r="CB386" s="51"/>
    </row>
    <row r="387" spans="1:139" ht="13.5">
      <c r="A387" s="287" t="s">
        <v>257</v>
      </c>
      <c r="B387" s="250"/>
      <c r="C387" s="250"/>
      <c r="D387" s="250"/>
      <c r="E387" s="250"/>
      <c r="F387" s="250"/>
      <c r="G387" s="250"/>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1"/>
      <c r="BE387" s="1"/>
      <c r="BF387" s="1"/>
      <c r="BG387" s="1"/>
      <c r="BH387" s="1"/>
      <c r="BI387" s="1"/>
      <c r="BJ387" s="1"/>
      <c r="BK387" s="250"/>
      <c r="BL387" s="250"/>
      <c r="BM387" s="250"/>
      <c r="BN387" s="250"/>
      <c r="BO387" s="250"/>
      <c r="BP387" s="250"/>
      <c r="BQ387" s="250"/>
      <c r="BR387" s="250"/>
      <c r="BS387" s="250"/>
      <c r="BT387" s="250"/>
      <c r="BU387" s="250"/>
      <c r="BV387" s="250"/>
      <c r="BW387" s="250"/>
      <c r="BX387" s="250"/>
      <c r="BY387" s="250"/>
      <c r="BZ387" s="250"/>
      <c r="CA387" s="256"/>
      <c r="CB387" s="256"/>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row>
    <row r="388" spans="1:139" ht="13.5">
      <c r="A388" s="287" t="s">
        <v>258</v>
      </c>
      <c r="B388" s="250"/>
      <c r="C388" s="250"/>
      <c r="D388" s="250"/>
      <c r="E388" s="250"/>
      <c r="F388" s="250"/>
      <c r="G388" s="250"/>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1"/>
      <c r="BE388" s="1"/>
      <c r="BF388" s="1"/>
      <c r="BG388" s="1"/>
      <c r="BH388" s="1"/>
      <c r="BI388" s="1"/>
      <c r="BJ388" s="1"/>
      <c r="BK388" s="250"/>
      <c r="BL388" s="250"/>
      <c r="BM388" s="250"/>
      <c r="BN388" s="250"/>
      <c r="BO388" s="250"/>
      <c r="BP388" s="250"/>
      <c r="BQ388" s="250"/>
      <c r="BR388" s="250"/>
      <c r="BS388" s="250"/>
      <c r="BT388" s="250"/>
      <c r="BU388" s="250"/>
      <c r="BV388" s="250"/>
      <c r="BW388" s="250"/>
      <c r="BX388" s="250"/>
      <c r="BY388" s="250"/>
      <c r="BZ388" s="250"/>
      <c r="CA388" s="256"/>
      <c r="CB388" s="256"/>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row>
    <row r="389" spans="1:139" ht="13.5">
      <c r="A389" s="287" t="s">
        <v>259</v>
      </c>
      <c r="B389" s="250"/>
      <c r="C389" s="250"/>
      <c r="D389" s="250"/>
      <c r="E389" s="250"/>
      <c r="F389" s="250"/>
      <c r="G389" s="250"/>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1"/>
      <c r="BE389" s="1"/>
      <c r="BF389" s="1"/>
      <c r="BG389" s="1"/>
      <c r="BH389" s="1"/>
      <c r="BI389" s="1"/>
      <c r="BJ389" s="1"/>
      <c r="BK389" s="250"/>
      <c r="BL389" s="250"/>
      <c r="BM389" s="250"/>
      <c r="BN389" s="250"/>
      <c r="BO389" s="250"/>
      <c r="BP389" s="250"/>
      <c r="BQ389" s="250"/>
      <c r="BR389" s="250"/>
      <c r="BS389" s="250"/>
      <c r="BT389" s="250"/>
      <c r="BU389" s="250"/>
      <c r="BV389" s="250"/>
      <c r="BW389" s="250"/>
      <c r="BX389" s="250"/>
      <c r="BY389" s="250"/>
      <c r="BZ389" s="250"/>
      <c r="CA389" s="256"/>
      <c r="CB389" s="256"/>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row>
    <row r="390" spans="1:139" s="284" customFormat="1" ht="13.5">
      <c r="A390" s="287"/>
      <c r="E390" s="30"/>
      <c r="F390" s="30"/>
      <c r="H390" s="30"/>
      <c r="K390" s="566"/>
      <c r="L390" s="566"/>
      <c r="M390" s="566"/>
      <c r="N390" s="566"/>
      <c r="O390" s="566"/>
      <c r="P390" s="566"/>
      <c r="Q390" s="566"/>
      <c r="R390" s="566"/>
      <c r="DS390" s="4"/>
      <c r="DT390" s="4"/>
      <c r="DU390" s="4"/>
      <c r="DV390" s="4"/>
      <c r="DW390" s="4"/>
      <c r="DX390" s="4"/>
      <c r="DY390" s="4"/>
      <c r="DZ390" s="4"/>
      <c r="EA390" s="4"/>
      <c r="EB390" s="4"/>
      <c r="EC390" s="1"/>
      <c r="ED390" s="1"/>
      <c r="EE390" s="1"/>
      <c r="EF390" s="1"/>
      <c r="EG390" s="1"/>
      <c r="EH390" s="1"/>
      <c r="EI390" s="1"/>
    </row>
    <row r="391" spans="1:139" s="1" customFormat="1" ht="13.5" customHeight="1" thickBo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c r="AT391" s="45"/>
      <c r="AU391" s="45"/>
      <c r="AV391" s="45"/>
      <c r="AW391" s="45"/>
      <c r="AX391" s="45"/>
      <c r="AY391" s="45"/>
      <c r="AZ391" s="45"/>
      <c r="BA391" s="45"/>
      <c r="BB391" s="45"/>
      <c r="BC391" s="45"/>
      <c r="BK391" s="250"/>
      <c r="BL391" s="250"/>
      <c r="BM391" s="250"/>
      <c r="BN391" s="250"/>
      <c r="BO391" s="250"/>
      <c r="BP391" s="250"/>
      <c r="BQ391" s="250"/>
      <c r="BR391" s="250"/>
      <c r="BS391" s="250"/>
      <c r="BT391" s="250"/>
      <c r="BU391" s="250"/>
      <c r="BV391" s="250"/>
      <c r="BW391" s="250"/>
      <c r="BX391" s="250"/>
      <c r="BY391" s="250"/>
      <c r="BZ391" s="250"/>
      <c r="CA391" s="256"/>
      <c r="CB391" s="256"/>
      <c r="DS391" s="4"/>
      <c r="DT391" s="4"/>
      <c r="DU391" s="4"/>
      <c r="DV391" s="4"/>
      <c r="DW391" s="4"/>
      <c r="DX391" s="4"/>
      <c r="DY391" s="4"/>
      <c r="DZ391" s="4"/>
      <c r="EA391" s="4"/>
      <c r="EB391" s="4"/>
    </row>
    <row r="392" spans="1:139" s="1" customFormat="1" ht="13.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K392" s="250"/>
      <c r="BL392" s="250"/>
      <c r="BM392" s="250"/>
      <c r="BN392" s="250"/>
      <c r="BO392" s="250"/>
      <c r="BP392" s="250"/>
      <c r="BQ392" s="250"/>
      <c r="BR392" s="250"/>
      <c r="BS392" s="250"/>
      <c r="BT392" s="250"/>
      <c r="BU392" s="250"/>
      <c r="BV392" s="250"/>
      <c r="BW392" s="250"/>
      <c r="BX392" s="250"/>
      <c r="BY392" s="250"/>
      <c r="BZ392" s="250"/>
      <c r="CA392" s="256"/>
      <c r="CB392" s="256"/>
      <c r="DS392" s="41"/>
      <c r="DT392" s="41"/>
      <c r="DU392" s="41"/>
      <c r="DV392" s="41"/>
      <c r="DW392" s="41"/>
      <c r="DX392" s="41"/>
      <c r="DY392" s="41"/>
      <c r="DZ392" s="41"/>
      <c r="EA392" s="41"/>
      <c r="EB392" s="41"/>
    </row>
    <row r="393" spans="1:139" s="1" customFormat="1" ht="13.5" customHeight="1">
      <c r="A393" s="23" t="s">
        <v>359</v>
      </c>
      <c r="B393" s="288" t="s">
        <v>355</v>
      </c>
      <c r="C393" s="41"/>
      <c r="D393" s="41"/>
      <c r="E393" s="41"/>
      <c r="F393" s="41"/>
      <c r="G393" s="41"/>
      <c r="H393" s="41"/>
      <c r="I393" s="41"/>
      <c r="J393" s="41"/>
      <c r="K393" s="41"/>
      <c r="L393" s="41"/>
      <c r="M393" s="41"/>
      <c r="N393" s="41"/>
      <c r="O393" s="41"/>
      <c r="P393" s="41"/>
      <c r="Q393" s="41"/>
      <c r="R393" s="41"/>
      <c r="S393" s="41"/>
      <c r="T393" s="41"/>
      <c r="U393" s="41"/>
      <c r="V393" s="41"/>
      <c r="W393" s="41"/>
      <c r="DS393" s="41"/>
      <c r="DT393" s="41"/>
      <c r="DU393" s="41"/>
      <c r="DV393" s="41"/>
      <c r="DW393" s="41"/>
      <c r="DX393" s="41"/>
      <c r="DY393" s="41"/>
      <c r="DZ393" s="41"/>
      <c r="EA393" s="41"/>
      <c r="EB393" s="41"/>
    </row>
    <row r="394" spans="1:139" s="1" customFormat="1" ht="13.5" customHeight="1" thickBot="1">
      <c r="A394" s="23"/>
      <c r="B394" s="23"/>
      <c r="C394" s="41"/>
      <c r="D394" s="41"/>
      <c r="E394" s="41"/>
      <c r="F394" s="41"/>
      <c r="G394" s="41"/>
      <c r="H394" s="41"/>
      <c r="I394" s="41"/>
      <c r="J394" s="41"/>
      <c r="K394" s="41"/>
      <c r="L394" s="41"/>
      <c r="M394" s="41"/>
      <c r="N394" s="41"/>
      <c r="O394" s="41"/>
      <c r="P394" s="41"/>
      <c r="Q394" s="41"/>
      <c r="R394" s="41"/>
      <c r="S394" s="41"/>
      <c r="T394" s="41"/>
      <c r="U394" s="41"/>
      <c r="V394" s="41"/>
      <c r="W394" s="41"/>
    </row>
    <row r="395" spans="1:139" s="218" customFormat="1" ht="13.5" customHeight="1" thickBot="1">
      <c r="A395" s="358"/>
      <c r="B395" s="359">
        <v>37987</v>
      </c>
      <c r="C395" s="345">
        <v>38018</v>
      </c>
      <c r="D395" s="345">
        <v>38047</v>
      </c>
      <c r="E395" s="345">
        <v>38078</v>
      </c>
      <c r="F395" s="345">
        <v>38108</v>
      </c>
      <c r="G395" s="345">
        <v>38139</v>
      </c>
      <c r="H395" s="345">
        <v>38169</v>
      </c>
      <c r="I395" s="345">
        <v>38200</v>
      </c>
      <c r="J395" s="345">
        <v>38231</v>
      </c>
      <c r="K395" s="345">
        <v>38261</v>
      </c>
      <c r="L395" s="345">
        <v>38292</v>
      </c>
      <c r="M395" s="346">
        <v>38322</v>
      </c>
      <c r="N395" s="360"/>
      <c r="O395" s="360"/>
      <c r="P395" s="360"/>
      <c r="Q395" s="360"/>
      <c r="R395" s="360"/>
      <c r="S395" s="360"/>
      <c r="T395" s="360"/>
      <c r="U395" s="360"/>
      <c r="V395" s="360"/>
      <c r="W395" s="360"/>
      <c r="X395" s="360"/>
      <c r="Y395" s="360"/>
      <c r="Z395" s="360"/>
      <c r="AA395" s="360"/>
      <c r="AB395" s="360"/>
      <c r="AC395" s="360"/>
      <c r="AD395" s="360"/>
      <c r="AE395" s="360"/>
      <c r="AF395" s="360"/>
      <c r="AG395" s="360"/>
      <c r="AH395" s="360"/>
      <c r="AI395" s="360"/>
      <c r="AJ395" s="360"/>
      <c r="AK395" s="360"/>
      <c r="AL395" s="360"/>
      <c r="AM395" s="360"/>
      <c r="AN395" s="360"/>
      <c r="AO395" s="360"/>
      <c r="AP395" s="360"/>
      <c r="AQ395" s="360"/>
      <c r="AR395" s="360"/>
      <c r="AS395" s="360"/>
      <c r="AT395" s="360"/>
      <c r="AU395" s="360"/>
      <c r="AV395" s="360"/>
      <c r="AW395" s="360"/>
      <c r="AX395" s="360"/>
      <c r="AY395" s="360"/>
      <c r="AZ395" s="360"/>
      <c r="BA395" s="360"/>
      <c r="BB395" s="360"/>
      <c r="BC395" s="360"/>
      <c r="BD395" s="360"/>
      <c r="BE395" s="360"/>
      <c r="BF395" s="360"/>
      <c r="BG395" s="360"/>
      <c r="BH395" s="360"/>
      <c r="BI395" s="360"/>
      <c r="BJ395" s="360"/>
      <c r="BK395" s="360"/>
      <c r="BL395" s="360"/>
      <c r="BM395" s="360"/>
      <c r="BN395" s="360"/>
      <c r="BO395" s="360"/>
      <c r="BP395" s="360"/>
      <c r="BQ395" s="360"/>
      <c r="BR395" s="360"/>
      <c r="BS395" s="360"/>
      <c r="BT395" s="360"/>
      <c r="BU395" s="360"/>
      <c r="BV395" s="360"/>
      <c r="BW395" s="360"/>
      <c r="BX395" s="360"/>
      <c r="BY395" s="360"/>
      <c r="BZ395" s="360"/>
      <c r="CA395" s="360"/>
      <c r="CB395" s="360"/>
      <c r="CC395" s="360"/>
      <c r="CD395" s="360"/>
      <c r="CE395" s="360"/>
      <c r="CF395" s="360"/>
      <c r="CG395" s="360"/>
      <c r="CH395" s="360"/>
      <c r="CI395" s="360"/>
      <c r="CJ395" s="360"/>
      <c r="CK395" s="360"/>
      <c r="CL395" s="360"/>
      <c r="CM395" s="360"/>
      <c r="CN395" s="360"/>
      <c r="CO395" s="360"/>
      <c r="CP395" s="360"/>
      <c r="CQ395" s="360"/>
      <c r="CR395" s="360"/>
      <c r="CS395" s="360"/>
      <c r="CT395" s="360"/>
      <c r="CU395" s="360"/>
      <c r="CV395" s="360"/>
      <c r="CW395" s="360"/>
      <c r="CX395" s="360"/>
      <c r="CY395" s="360"/>
      <c r="CZ395" s="360"/>
      <c r="DA395" s="360"/>
      <c r="DB395" s="360"/>
      <c r="DC395" s="360"/>
      <c r="DD395" s="360"/>
      <c r="DE395" s="360"/>
      <c r="DF395" s="360"/>
      <c r="DG395" s="360"/>
      <c r="DH395" s="360"/>
      <c r="DI395" s="360"/>
      <c r="DJ395" s="360"/>
    </row>
    <row r="396" spans="1:139" s="218" customFormat="1" ht="13.5" customHeight="1" thickBot="1">
      <c r="A396" s="361" t="s">
        <v>260</v>
      </c>
      <c r="B396" s="362">
        <v>820000</v>
      </c>
      <c r="C396" s="363">
        <v>819000</v>
      </c>
      <c r="D396" s="363">
        <v>824000</v>
      </c>
      <c r="E396" s="363">
        <v>830000</v>
      </c>
      <c r="F396" s="363">
        <v>828000</v>
      </c>
      <c r="G396" s="363">
        <v>836000</v>
      </c>
      <c r="H396" s="363">
        <v>834000</v>
      </c>
      <c r="I396" s="363">
        <v>827000</v>
      </c>
      <c r="J396" s="363">
        <v>827000</v>
      </c>
      <c r="K396" s="363">
        <v>826000</v>
      </c>
      <c r="L396" s="363">
        <v>824000</v>
      </c>
      <c r="M396" s="364">
        <v>823000</v>
      </c>
      <c r="N396" s="365"/>
      <c r="O396" s="365"/>
      <c r="P396" s="365"/>
      <c r="Q396" s="365"/>
      <c r="R396" s="365"/>
      <c r="S396" s="365"/>
      <c r="T396" s="365"/>
      <c r="U396" s="365"/>
      <c r="V396" s="365"/>
      <c r="W396" s="365"/>
      <c r="X396" s="365"/>
      <c r="Y396" s="365"/>
      <c r="Z396" s="365"/>
      <c r="AA396" s="365"/>
      <c r="AB396" s="365"/>
      <c r="AC396" s="365"/>
      <c r="AD396" s="365"/>
      <c r="AE396" s="365"/>
      <c r="AF396" s="365"/>
      <c r="AG396" s="365"/>
      <c r="AH396" s="365"/>
      <c r="AI396" s="365"/>
      <c r="AJ396" s="365"/>
      <c r="AK396" s="365"/>
      <c r="AL396" s="365"/>
      <c r="AM396" s="365"/>
      <c r="AN396" s="365"/>
      <c r="AO396" s="365"/>
      <c r="AP396" s="365"/>
      <c r="AQ396" s="365"/>
      <c r="AR396" s="365"/>
      <c r="AS396" s="365"/>
      <c r="AT396" s="365"/>
      <c r="AU396" s="365"/>
      <c r="AV396" s="365"/>
      <c r="AW396" s="365"/>
      <c r="AX396" s="350"/>
      <c r="AY396" s="350"/>
      <c r="AZ396" s="350"/>
      <c r="BA396" s="350"/>
      <c r="BB396" s="350"/>
      <c r="BC396" s="350"/>
      <c r="BD396" s="350"/>
      <c r="BE396" s="350"/>
      <c r="BF396" s="350"/>
      <c r="BG396" s="350"/>
      <c r="BH396" s="350"/>
      <c r="BI396" s="350"/>
      <c r="BJ396" s="350"/>
      <c r="BK396" s="350"/>
      <c r="BL396" s="350"/>
      <c r="BM396" s="350"/>
      <c r="BN396" s="350"/>
      <c r="BO396" s="350"/>
      <c r="BP396" s="366"/>
      <c r="BQ396" s="366"/>
      <c r="BR396" s="366"/>
      <c r="BS396" s="366"/>
      <c r="BT396" s="366"/>
      <c r="BU396" s="366"/>
      <c r="BV396" s="366"/>
      <c r="BW396" s="366"/>
      <c r="BX396" s="366"/>
      <c r="BY396" s="366"/>
      <c r="BZ396" s="366"/>
      <c r="CA396" s="366"/>
      <c r="CB396" s="366"/>
      <c r="CC396" s="366"/>
      <c r="CD396" s="366"/>
      <c r="CE396" s="366"/>
      <c r="CF396" s="366"/>
      <c r="CG396" s="366"/>
      <c r="CH396" s="350"/>
      <c r="CI396" s="350"/>
      <c r="CJ396" s="350"/>
      <c r="CK396" s="350"/>
      <c r="CL396" s="350"/>
      <c r="CM396" s="350"/>
      <c r="CN396" s="350"/>
      <c r="CO396" s="350"/>
      <c r="CP396" s="350"/>
      <c r="CQ396" s="350"/>
      <c r="CR396" s="350"/>
      <c r="CS396" s="350"/>
      <c r="CT396" s="350"/>
      <c r="CU396" s="350"/>
      <c r="CV396" s="350"/>
      <c r="CW396" s="350"/>
      <c r="CX396" s="350"/>
      <c r="CY396" s="350"/>
      <c r="CZ396" s="350"/>
      <c r="DA396" s="350"/>
      <c r="DB396" s="350"/>
      <c r="DC396" s="350"/>
      <c r="DD396" s="350"/>
      <c r="DE396" s="350"/>
      <c r="DF396" s="350"/>
      <c r="DG396" s="350"/>
      <c r="DH396" s="350"/>
      <c r="DI396" s="350"/>
      <c r="DJ396" s="350"/>
    </row>
    <row r="397" spans="1:139" s="218" customFormat="1" ht="13.5" customHeight="1" thickBot="1">
      <c r="A397" s="358"/>
      <c r="B397" s="367"/>
      <c r="C397" s="367"/>
      <c r="D397" s="367"/>
      <c r="E397" s="367"/>
      <c r="F397" s="367"/>
      <c r="G397" s="367"/>
      <c r="H397" s="367"/>
      <c r="I397" s="367"/>
      <c r="J397" s="367"/>
      <c r="K397" s="367"/>
      <c r="L397" s="367"/>
      <c r="M397" s="367"/>
      <c r="N397" s="107"/>
      <c r="O397" s="107"/>
      <c r="P397" s="107"/>
      <c r="Q397" s="107"/>
      <c r="R397" s="107"/>
      <c r="S397" s="107"/>
      <c r="T397" s="107"/>
      <c r="U397" s="107"/>
      <c r="V397" s="107"/>
      <c r="W397" s="107"/>
      <c r="X397" s="107"/>
      <c r="Y397" s="107"/>
      <c r="Z397" s="107"/>
      <c r="AA397" s="107"/>
      <c r="AB397" s="107"/>
      <c r="AC397" s="107"/>
      <c r="AD397" s="107"/>
      <c r="AE397" s="107"/>
      <c r="AF397" s="107"/>
      <c r="AG397" s="107"/>
      <c r="AH397" s="107"/>
      <c r="AI397" s="107"/>
      <c r="AJ397" s="107"/>
      <c r="AK397" s="107"/>
      <c r="AL397" s="107"/>
      <c r="AM397" s="107"/>
      <c r="AN397" s="107"/>
      <c r="AO397" s="107"/>
      <c r="AP397" s="107"/>
      <c r="AQ397" s="107"/>
      <c r="AR397" s="107"/>
      <c r="AS397" s="107"/>
      <c r="AT397" s="107"/>
      <c r="AU397" s="107"/>
      <c r="AV397" s="107"/>
      <c r="AW397" s="107"/>
      <c r="AX397" s="107"/>
      <c r="AY397" s="107"/>
      <c r="AZ397" s="107"/>
      <c r="BA397" s="107"/>
      <c r="BB397" s="107"/>
      <c r="BC397" s="107"/>
      <c r="BD397" s="107"/>
      <c r="BE397" s="107"/>
      <c r="BF397" s="107"/>
      <c r="BG397" s="107"/>
      <c r="BH397" s="107"/>
      <c r="BI397" s="107"/>
      <c r="BJ397" s="107"/>
      <c r="BK397" s="107"/>
      <c r="BL397" s="107"/>
      <c r="BM397" s="107"/>
      <c r="BN397" s="107"/>
      <c r="BO397" s="107"/>
      <c r="BP397" s="107"/>
      <c r="BQ397" s="107"/>
      <c r="BR397" s="107"/>
      <c r="BS397" s="107"/>
      <c r="BT397" s="107"/>
      <c r="BU397" s="107"/>
      <c r="BV397" s="107"/>
      <c r="BW397" s="107"/>
      <c r="BX397" s="107"/>
      <c r="BY397" s="107"/>
      <c r="BZ397" s="107"/>
      <c r="CA397" s="107"/>
      <c r="CB397" s="107"/>
      <c r="CC397" s="107"/>
      <c r="CD397" s="107"/>
      <c r="CE397" s="107"/>
      <c r="CF397" s="107"/>
      <c r="CG397" s="107"/>
      <c r="CH397" s="107"/>
      <c r="CI397" s="107"/>
      <c r="CJ397" s="107"/>
      <c r="CK397" s="107"/>
      <c r="CL397" s="107"/>
      <c r="CM397" s="107"/>
      <c r="CN397" s="107"/>
      <c r="CO397" s="107"/>
      <c r="CP397" s="107"/>
      <c r="CQ397" s="107"/>
      <c r="CR397" s="107"/>
      <c r="CS397" s="107"/>
      <c r="CT397" s="107"/>
      <c r="CU397" s="107"/>
      <c r="CV397" s="107"/>
      <c r="CW397" s="107"/>
      <c r="CX397" s="107"/>
      <c r="CY397" s="107"/>
      <c r="CZ397" s="107"/>
      <c r="DA397" s="107"/>
      <c r="DB397" s="107"/>
      <c r="DC397" s="107"/>
      <c r="DD397" s="107"/>
      <c r="DE397" s="107"/>
      <c r="DF397" s="107"/>
      <c r="DG397" s="107"/>
      <c r="DH397" s="107"/>
      <c r="DI397" s="107"/>
      <c r="DJ397" s="107"/>
    </row>
    <row r="398" spans="1:139" s="218" customFormat="1" ht="13.5" customHeight="1" thickBot="1">
      <c r="A398" s="358"/>
      <c r="B398" s="359">
        <v>38353</v>
      </c>
      <c r="C398" s="345">
        <v>38384</v>
      </c>
      <c r="D398" s="345">
        <v>38412</v>
      </c>
      <c r="E398" s="345">
        <v>38443</v>
      </c>
      <c r="F398" s="345">
        <v>38473</v>
      </c>
      <c r="G398" s="345">
        <v>38504</v>
      </c>
      <c r="H398" s="345">
        <v>38534</v>
      </c>
      <c r="I398" s="345">
        <v>38565</v>
      </c>
      <c r="J398" s="345">
        <v>38596</v>
      </c>
      <c r="K398" s="345">
        <v>38626</v>
      </c>
      <c r="L398" s="345">
        <v>38657</v>
      </c>
      <c r="M398" s="346">
        <v>38687</v>
      </c>
      <c r="N398" s="107"/>
      <c r="O398" s="107"/>
      <c r="P398" s="107"/>
      <c r="Q398" s="107"/>
      <c r="R398" s="107"/>
      <c r="S398" s="107"/>
      <c r="T398" s="107"/>
      <c r="U398" s="107"/>
      <c r="V398" s="107"/>
      <c r="W398" s="107"/>
      <c r="X398" s="107"/>
      <c r="Y398" s="107"/>
      <c r="Z398" s="107"/>
      <c r="AA398" s="107"/>
      <c r="AB398" s="107"/>
      <c r="AC398" s="107"/>
      <c r="AD398" s="107"/>
      <c r="AE398" s="107"/>
      <c r="AF398" s="107"/>
      <c r="AG398" s="107"/>
      <c r="AH398" s="107"/>
      <c r="AI398" s="107"/>
      <c r="AJ398" s="107"/>
      <c r="AK398" s="107"/>
      <c r="AL398" s="107"/>
      <c r="AM398" s="107"/>
      <c r="AN398" s="107"/>
      <c r="AO398" s="107"/>
      <c r="AP398" s="107"/>
      <c r="AQ398" s="107"/>
      <c r="AR398" s="107"/>
      <c r="AS398" s="107"/>
      <c r="AT398" s="107"/>
      <c r="AU398" s="107"/>
      <c r="AV398" s="107"/>
      <c r="AW398" s="107"/>
      <c r="AX398" s="107"/>
      <c r="AY398" s="107"/>
      <c r="AZ398" s="107"/>
      <c r="BA398" s="107"/>
      <c r="BB398" s="107"/>
      <c r="BC398" s="107"/>
      <c r="BD398" s="107"/>
      <c r="BE398" s="107"/>
      <c r="BF398" s="107"/>
      <c r="BG398" s="107"/>
      <c r="BH398" s="107"/>
      <c r="BI398" s="107"/>
      <c r="BJ398" s="107"/>
      <c r="BK398" s="107"/>
      <c r="BL398" s="107"/>
      <c r="BM398" s="107"/>
      <c r="BN398" s="107"/>
      <c r="BO398" s="107"/>
      <c r="BP398" s="107"/>
      <c r="BQ398" s="107"/>
      <c r="BR398" s="107"/>
      <c r="BS398" s="107"/>
      <c r="BT398" s="107"/>
      <c r="BU398" s="107"/>
      <c r="BV398" s="107"/>
      <c r="BW398" s="107"/>
      <c r="BX398" s="107"/>
      <c r="BY398" s="107"/>
      <c r="BZ398" s="107"/>
      <c r="CA398" s="107"/>
      <c r="CB398" s="107"/>
      <c r="CC398" s="107"/>
      <c r="CD398" s="107"/>
      <c r="CE398" s="107"/>
      <c r="CF398" s="107"/>
      <c r="CG398" s="107"/>
      <c r="CH398" s="107"/>
      <c r="CI398" s="107"/>
      <c r="CJ398" s="107"/>
      <c r="CK398" s="107"/>
      <c r="CL398" s="107"/>
      <c r="CM398" s="107"/>
      <c r="CN398" s="107"/>
      <c r="CO398" s="107"/>
      <c r="CP398" s="107"/>
      <c r="CQ398" s="107"/>
      <c r="CR398" s="107"/>
      <c r="CS398" s="107"/>
      <c r="CT398" s="107"/>
      <c r="CU398" s="107"/>
      <c r="CV398" s="107"/>
      <c r="CW398" s="107"/>
      <c r="CX398" s="107"/>
      <c r="CY398" s="107"/>
      <c r="CZ398" s="107"/>
      <c r="DA398" s="107"/>
      <c r="DB398" s="107"/>
      <c r="DC398" s="107"/>
      <c r="DD398" s="107"/>
      <c r="DE398" s="107"/>
      <c r="DF398" s="107"/>
      <c r="DG398" s="107"/>
      <c r="DH398" s="107"/>
      <c r="DI398" s="107"/>
      <c r="DJ398" s="107"/>
    </row>
    <row r="399" spans="1:139" s="218" customFormat="1" ht="13.5" customHeight="1" thickBot="1">
      <c r="A399" s="361" t="s">
        <v>260</v>
      </c>
      <c r="B399" s="362">
        <v>823000</v>
      </c>
      <c r="C399" s="363">
        <v>825000</v>
      </c>
      <c r="D399" s="363">
        <v>826000</v>
      </c>
      <c r="E399" s="363">
        <v>822000</v>
      </c>
      <c r="F399" s="363">
        <v>815000</v>
      </c>
      <c r="G399" s="363">
        <v>816000</v>
      </c>
      <c r="H399" s="363">
        <v>820000</v>
      </c>
      <c r="I399" s="363">
        <v>818000</v>
      </c>
      <c r="J399" s="363">
        <v>821000</v>
      </c>
      <c r="K399" s="363">
        <v>823000</v>
      </c>
      <c r="L399" s="363">
        <v>828000</v>
      </c>
      <c r="M399" s="364">
        <v>829000</v>
      </c>
      <c r="N399" s="107"/>
      <c r="O399" s="107"/>
      <c r="P399" s="107"/>
      <c r="Q399" s="107"/>
      <c r="R399" s="107"/>
      <c r="S399" s="107"/>
      <c r="T399" s="107"/>
      <c r="U399" s="107"/>
      <c r="V399" s="107"/>
      <c r="W399" s="107"/>
      <c r="X399" s="107"/>
      <c r="Y399" s="107"/>
      <c r="Z399" s="107"/>
      <c r="AA399" s="107"/>
      <c r="AB399" s="107"/>
      <c r="AC399" s="107"/>
      <c r="AD399" s="107"/>
      <c r="AE399" s="107"/>
      <c r="AF399" s="107"/>
      <c r="AG399" s="107"/>
      <c r="AH399" s="107"/>
      <c r="AI399" s="107"/>
      <c r="AJ399" s="107"/>
      <c r="AK399" s="107"/>
      <c r="AL399" s="107"/>
      <c r="AM399" s="107"/>
      <c r="AN399" s="107"/>
      <c r="AO399" s="107"/>
      <c r="AP399" s="107"/>
      <c r="AQ399" s="107"/>
      <c r="AR399" s="107"/>
      <c r="AS399" s="107"/>
      <c r="AT399" s="107"/>
      <c r="AU399" s="107"/>
      <c r="AV399" s="107"/>
      <c r="AW399" s="107"/>
      <c r="AX399" s="107"/>
      <c r="AY399" s="107"/>
      <c r="AZ399" s="107"/>
      <c r="BA399" s="107"/>
      <c r="BB399" s="107"/>
      <c r="BC399" s="107"/>
      <c r="BD399" s="107"/>
      <c r="BE399" s="107"/>
      <c r="BF399" s="107"/>
      <c r="BG399" s="107"/>
      <c r="BH399" s="107"/>
      <c r="BI399" s="107"/>
      <c r="BJ399" s="107"/>
      <c r="BK399" s="107"/>
      <c r="BL399" s="107"/>
      <c r="BM399" s="107"/>
      <c r="BN399" s="107"/>
      <c r="BO399" s="107"/>
      <c r="BP399" s="107"/>
      <c r="BQ399" s="107"/>
      <c r="BR399" s="107"/>
      <c r="BS399" s="107"/>
      <c r="BT399" s="107"/>
      <c r="BU399" s="107"/>
      <c r="BV399" s="107"/>
      <c r="BW399" s="107"/>
      <c r="BX399" s="107"/>
      <c r="BY399" s="107"/>
      <c r="BZ399" s="107"/>
      <c r="CA399" s="107"/>
      <c r="CB399" s="107"/>
      <c r="CC399" s="107"/>
      <c r="CD399" s="107"/>
      <c r="CE399" s="107"/>
      <c r="CF399" s="107"/>
      <c r="CG399" s="107"/>
      <c r="CH399" s="107"/>
      <c r="CI399" s="107"/>
      <c r="CJ399" s="107"/>
      <c r="CK399" s="107"/>
      <c r="CL399" s="107"/>
      <c r="CM399" s="107"/>
      <c r="CN399" s="107"/>
      <c r="CO399" s="107"/>
      <c r="CP399" s="107"/>
      <c r="CQ399" s="107"/>
      <c r="CR399" s="107"/>
      <c r="CS399" s="107"/>
      <c r="CT399" s="107"/>
      <c r="CU399" s="107"/>
      <c r="CV399" s="107"/>
      <c r="CW399" s="107"/>
      <c r="CX399" s="107"/>
      <c r="CY399" s="107"/>
      <c r="CZ399" s="107"/>
      <c r="DA399" s="107"/>
      <c r="DB399" s="107"/>
      <c r="DC399" s="107"/>
      <c r="DD399" s="107"/>
      <c r="DE399" s="107"/>
      <c r="DF399" s="107"/>
      <c r="DG399" s="107"/>
      <c r="DH399" s="107"/>
      <c r="DI399" s="107"/>
      <c r="DJ399" s="107"/>
    </row>
    <row r="400" spans="1:139" s="218" customFormat="1" ht="13.5" customHeight="1" thickBot="1">
      <c r="A400" s="358"/>
      <c r="B400" s="367"/>
      <c r="C400" s="367"/>
      <c r="D400" s="367"/>
      <c r="E400" s="367"/>
      <c r="F400" s="367"/>
      <c r="G400" s="367"/>
      <c r="H400" s="367"/>
      <c r="I400" s="367"/>
      <c r="J400" s="367"/>
      <c r="K400" s="367"/>
      <c r="L400" s="367"/>
      <c r="M400" s="367"/>
      <c r="N400" s="107"/>
      <c r="O400" s="107"/>
      <c r="P400" s="107"/>
      <c r="Q400" s="107"/>
      <c r="R400" s="107"/>
      <c r="S400" s="107"/>
      <c r="T400" s="107"/>
      <c r="U400" s="107"/>
      <c r="V400" s="107"/>
      <c r="W400" s="107"/>
      <c r="X400" s="107"/>
      <c r="Y400" s="107"/>
      <c r="Z400" s="107"/>
      <c r="AA400" s="107"/>
      <c r="AB400" s="107"/>
      <c r="AC400" s="107"/>
      <c r="AD400" s="107"/>
      <c r="AE400" s="107"/>
      <c r="AF400" s="107"/>
      <c r="AG400" s="107"/>
      <c r="AH400" s="107"/>
      <c r="AI400" s="107"/>
      <c r="AJ400" s="107"/>
      <c r="AK400" s="107"/>
      <c r="AL400" s="107"/>
      <c r="AM400" s="107"/>
      <c r="AN400" s="107"/>
      <c r="AO400" s="107"/>
      <c r="AP400" s="107"/>
      <c r="AQ400" s="107"/>
      <c r="AR400" s="107"/>
      <c r="AS400" s="107"/>
      <c r="AT400" s="107"/>
      <c r="AU400" s="107"/>
      <c r="AV400" s="107"/>
      <c r="AW400" s="107"/>
      <c r="AX400" s="107"/>
      <c r="AY400" s="107"/>
      <c r="AZ400" s="107"/>
      <c r="BA400" s="107"/>
      <c r="BB400" s="107"/>
      <c r="BC400" s="107"/>
      <c r="BD400" s="107"/>
      <c r="BE400" s="107"/>
      <c r="BF400" s="107"/>
      <c r="BG400" s="107"/>
      <c r="BH400" s="107"/>
      <c r="BI400" s="107"/>
      <c r="BJ400" s="107"/>
      <c r="BK400" s="107"/>
      <c r="BL400" s="107"/>
      <c r="BM400" s="107"/>
      <c r="BN400" s="107"/>
      <c r="BO400" s="107"/>
      <c r="BP400" s="107"/>
      <c r="BQ400" s="107"/>
      <c r="BR400" s="107"/>
      <c r="BS400" s="107"/>
      <c r="BT400" s="107"/>
      <c r="BU400" s="107"/>
      <c r="BV400" s="107"/>
      <c r="BW400" s="107"/>
      <c r="BX400" s="107"/>
      <c r="BY400" s="107"/>
      <c r="BZ400" s="107"/>
      <c r="CA400" s="107"/>
      <c r="CB400" s="107"/>
      <c r="CC400" s="107"/>
      <c r="CD400" s="107"/>
      <c r="CE400" s="107"/>
      <c r="CF400" s="107"/>
      <c r="CG400" s="107"/>
      <c r="CH400" s="107"/>
      <c r="CI400" s="107"/>
      <c r="CJ400" s="107"/>
      <c r="CK400" s="107"/>
      <c r="CL400" s="107"/>
      <c r="CM400" s="107"/>
      <c r="CN400" s="107"/>
      <c r="CO400" s="107"/>
      <c r="CP400" s="107"/>
      <c r="CQ400" s="107"/>
      <c r="CR400" s="107"/>
      <c r="CS400" s="107"/>
      <c r="CT400" s="107"/>
      <c r="CU400" s="107"/>
      <c r="CV400" s="107"/>
      <c r="CW400" s="107"/>
      <c r="CX400" s="107"/>
      <c r="CY400" s="107"/>
      <c r="CZ400" s="107"/>
      <c r="DA400" s="107"/>
      <c r="DB400" s="107"/>
      <c r="DC400" s="107"/>
      <c r="DD400" s="107"/>
      <c r="DE400" s="107"/>
      <c r="DF400" s="107"/>
      <c r="DG400" s="107"/>
      <c r="DH400" s="107"/>
      <c r="DI400" s="107"/>
      <c r="DJ400" s="107"/>
    </row>
    <row r="401" spans="1:123" s="218" customFormat="1" ht="13.5" customHeight="1" thickBot="1">
      <c r="A401" s="358"/>
      <c r="B401" s="359">
        <v>38718</v>
      </c>
      <c r="C401" s="345">
        <v>38749</v>
      </c>
      <c r="D401" s="345">
        <v>38777</v>
      </c>
      <c r="E401" s="345">
        <v>38808</v>
      </c>
      <c r="F401" s="345">
        <v>38838</v>
      </c>
      <c r="G401" s="345">
        <v>38869</v>
      </c>
      <c r="H401" s="345">
        <v>38899</v>
      </c>
      <c r="I401" s="345">
        <v>38930</v>
      </c>
      <c r="J401" s="345">
        <v>38961</v>
      </c>
      <c r="K401" s="345">
        <v>38991</v>
      </c>
      <c r="L401" s="345">
        <v>39022</v>
      </c>
      <c r="M401" s="346">
        <v>39052</v>
      </c>
      <c r="N401" s="107"/>
      <c r="O401" s="107"/>
      <c r="P401" s="107"/>
      <c r="Q401" s="107"/>
      <c r="R401" s="107"/>
      <c r="S401" s="107"/>
      <c r="T401" s="107"/>
      <c r="U401" s="107"/>
      <c r="V401" s="107"/>
      <c r="W401" s="107"/>
      <c r="X401" s="107"/>
      <c r="Y401" s="107"/>
      <c r="Z401" s="107"/>
      <c r="AA401" s="107"/>
      <c r="AB401" s="107"/>
      <c r="AC401" s="107"/>
      <c r="AD401" s="107"/>
      <c r="AE401" s="107"/>
      <c r="AF401" s="107"/>
      <c r="AG401" s="107"/>
      <c r="AH401" s="107"/>
      <c r="AI401" s="107"/>
      <c r="AJ401" s="107"/>
      <c r="AK401" s="107"/>
      <c r="AL401" s="107"/>
      <c r="AM401" s="107"/>
      <c r="AN401" s="107"/>
      <c r="AO401" s="107"/>
      <c r="AP401" s="107"/>
      <c r="AQ401" s="107"/>
      <c r="AR401" s="107"/>
      <c r="AS401" s="107"/>
      <c r="AT401" s="107"/>
      <c r="AU401" s="107"/>
      <c r="AV401" s="107"/>
      <c r="AW401" s="107"/>
      <c r="AX401" s="107"/>
      <c r="AY401" s="107"/>
      <c r="AZ401" s="107"/>
      <c r="BA401" s="107"/>
      <c r="BB401" s="107"/>
      <c r="BC401" s="107"/>
      <c r="BD401" s="107"/>
      <c r="BE401" s="107"/>
      <c r="BF401" s="107"/>
      <c r="BG401" s="107"/>
      <c r="BH401" s="107"/>
      <c r="BI401" s="107"/>
      <c r="BJ401" s="107"/>
      <c r="BK401" s="107"/>
      <c r="BL401" s="107"/>
      <c r="BM401" s="107"/>
      <c r="BN401" s="107"/>
      <c r="BO401" s="107"/>
      <c r="BP401" s="107"/>
      <c r="BQ401" s="107"/>
      <c r="BR401" s="107"/>
      <c r="BS401" s="107"/>
      <c r="BT401" s="107"/>
      <c r="BU401" s="107"/>
      <c r="BV401" s="107"/>
      <c r="BW401" s="107"/>
      <c r="BX401" s="107"/>
      <c r="BY401" s="107"/>
      <c r="BZ401" s="107"/>
      <c r="CA401" s="107"/>
      <c r="CB401" s="107"/>
      <c r="CC401" s="107"/>
      <c r="CD401" s="107"/>
      <c r="CE401" s="107"/>
      <c r="CF401" s="107"/>
      <c r="CG401" s="107"/>
      <c r="CH401" s="107"/>
      <c r="CI401" s="107"/>
      <c r="CJ401" s="107"/>
      <c r="CK401" s="107"/>
      <c r="CL401" s="107"/>
      <c r="CM401" s="107"/>
      <c r="CN401" s="107"/>
      <c r="CO401" s="107"/>
      <c r="CP401" s="107"/>
      <c r="CQ401" s="107"/>
      <c r="CR401" s="107"/>
      <c r="CS401" s="107"/>
      <c r="CT401" s="107"/>
      <c r="CU401" s="107"/>
      <c r="CV401" s="107"/>
      <c r="CW401" s="107"/>
      <c r="CX401" s="107"/>
      <c r="CY401" s="107"/>
      <c r="CZ401" s="107"/>
      <c r="DA401" s="107"/>
      <c r="DB401" s="107"/>
      <c r="DC401" s="107"/>
      <c r="DD401" s="107"/>
      <c r="DE401" s="107"/>
      <c r="DF401" s="107"/>
      <c r="DG401" s="107"/>
      <c r="DH401" s="107"/>
      <c r="DI401" s="107"/>
      <c r="DJ401" s="107"/>
    </row>
    <row r="402" spans="1:123" s="218" customFormat="1" ht="13.5" customHeight="1" thickBot="1">
      <c r="A402" s="361" t="s">
        <v>260</v>
      </c>
      <c r="B402" s="362">
        <v>832000</v>
      </c>
      <c r="C402" s="363">
        <v>832000</v>
      </c>
      <c r="D402" s="363">
        <v>834000</v>
      </c>
      <c r="E402" s="363">
        <v>835000</v>
      </c>
      <c r="F402" s="363">
        <v>837000</v>
      </c>
      <c r="G402" s="363">
        <v>836000</v>
      </c>
      <c r="H402" s="363">
        <v>829000</v>
      </c>
      <c r="I402" s="363">
        <v>834000</v>
      </c>
      <c r="J402" s="363">
        <v>832000</v>
      </c>
      <c r="K402" s="363">
        <v>825000</v>
      </c>
      <c r="L402" s="363">
        <v>823000</v>
      </c>
      <c r="M402" s="364">
        <v>821000</v>
      </c>
      <c r="N402" s="107"/>
      <c r="O402" s="107"/>
      <c r="P402" s="107"/>
      <c r="Q402" s="107"/>
      <c r="R402" s="107"/>
      <c r="S402" s="107"/>
      <c r="T402" s="107"/>
      <c r="U402" s="107"/>
      <c r="V402" s="107"/>
      <c r="W402" s="107"/>
      <c r="X402" s="107"/>
      <c r="Y402" s="107"/>
      <c r="Z402" s="107"/>
      <c r="AA402" s="107"/>
      <c r="AB402" s="107"/>
      <c r="AC402" s="107"/>
      <c r="AD402" s="107"/>
      <c r="AE402" s="107"/>
      <c r="AF402" s="107"/>
      <c r="AG402" s="107"/>
      <c r="AH402" s="107"/>
      <c r="AI402" s="107"/>
      <c r="AJ402" s="107"/>
      <c r="AK402" s="107"/>
      <c r="AL402" s="107"/>
      <c r="AM402" s="107"/>
      <c r="AN402" s="107"/>
      <c r="AO402" s="107"/>
      <c r="AP402" s="107"/>
      <c r="AQ402" s="107"/>
      <c r="AR402" s="107"/>
      <c r="AS402" s="107"/>
      <c r="AT402" s="107"/>
      <c r="AU402" s="107"/>
      <c r="AV402" s="107"/>
      <c r="AW402" s="107"/>
      <c r="AX402" s="107"/>
      <c r="AY402" s="107"/>
      <c r="AZ402" s="107"/>
      <c r="BA402" s="107"/>
      <c r="BB402" s="107"/>
      <c r="BC402" s="107"/>
      <c r="BD402" s="107"/>
      <c r="BE402" s="107"/>
      <c r="BF402" s="107"/>
      <c r="BG402" s="107"/>
      <c r="BH402" s="107"/>
      <c r="BI402" s="107"/>
      <c r="BJ402" s="107"/>
      <c r="BK402" s="107"/>
      <c r="BL402" s="107"/>
      <c r="BM402" s="107"/>
      <c r="BN402" s="107"/>
      <c r="BO402" s="107"/>
      <c r="BP402" s="107"/>
      <c r="BQ402" s="107"/>
      <c r="BR402" s="107"/>
      <c r="BS402" s="107"/>
      <c r="BT402" s="107"/>
      <c r="BU402" s="107"/>
      <c r="BV402" s="107"/>
      <c r="BW402" s="107"/>
      <c r="BX402" s="107"/>
      <c r="BY402" s="107"/>
      <c r="BZ402" s="107"/>
      <c r="CA402" s="107"/>
      <c r="CB402" s="107"/>
      <c r="CC402" s="107"/>
      <c r="CD402" s="107"/>
      <c r="CE402" s="107"/>
      <c r="CF402" s="107"/>
      <c r="CG402" s="107"/>
      <c r="CH402" s="107"/>
      <c r="CI402" s="107"/>
      <c r="CJ402" s="107"/>
      <c r="CK402" s="107"/>
      <c r="CL402" s="107"/>
      <c r="CM402" s="107"/>
      <c r="CN402" s="107"/>
      <c r="CO402" s="107"/>
      <c r="CP402" s="107"/>
      <c r="CQ402" s="107"/>
      <c r="CR402" s="107"/>
      <c r="CS402" s="107"/>
      <c r="CT402" s="107"/>
      <c r="CU402" s="107"/>
      <c r="CV402" s="107"/>
      <c r="CW402" s="107"/>
      <c r="CX402" s="107"/>
      <c r="CY402" s="107"/>
      <c r="CZ402" s="107"/>
      <c r="DA402" s="107"/>
      <c r="DB402" s="107"/>
      <c r="DC402" s="107"/>
      <c r="DD402" s="107"/>
      <c r="DE402" s="107"/>
      <c r="DF402" s="107"/>
      <c r="DG402" s="107"/>
      <c r="DH402" s="107"/>
      <c r="DI402" s="107"/>
      <c r="DJ402" s="107"/>
    </row>
    <row r="403" spans="1:123" s="218" customFormat="1" ht="13.5" customHeight="1" thickBot="1">
      <c r="A403" s="358"/>
      <c r="B403" s="367"/>
      <c r="C403" s="367"/>
      <c r="D403" s="367"/>
      <c r="E403" s="367"/>
      <c r="F403" s="367"/>
      <c r="G403" s="367"/>
      <c r="H403" s="367"/>
      <c r="I403" s="367"/>
      <c r="J403" s="367"/>
      <c r="K403" s="367"/>
      <c r="L403" s="367"/>
      <c r="M403" s="367"/>
      <c r="N403" s="107"/>
      <c r="O403" s="107"/>
      <c r="P403" s="107"/>
      <c r="Q403" s="107"/>
      <c r="R403" s="107"/>
      <c r="S403" s="107"/>
      <c r="T403" s="107"/>
      <c r="U403" s="107"/>
      <c r="V403" s="107"/>
      <c r="W403" s="107"/>
      <c r="X403" s="107"/>
      <c r="Y403" s="107"/>
      <c r="Z403" s="107"/>
      <c r="AA403" s="107"/>
      <c r="AB403" s="107"/>
      <c r="AC403" s="107"/>
      <c r="AD403" s="107"/>
      <c r="AE403" s="107"/>
      <c r="AF403" s="107"/>
      <c r="AG403" s="107"/>
      <c r="AH403" s="107"/>
      <c r="AI403" s="107"/>
      <c r="AJ403" s="107"/>
      <c r="AK403" s="107"/>
      <c r="AL403" s="107"/>
      <c r="AM403" s="107"/>
      <c r="AN403" s="107"/>
      <c r="AO403" s="107"/>
      <c r="AP403" s="107"/>
      <c r="AQ403" s="107"/>
      <c r="AR403" s="107"/>
      <c r="AS403" s="107"/>
      <c r="AT403" s="107"/>
      <c r="AU403" s="107"/>
      <c r="AV403" s="107"/>
      <c r="AW403" s="107"/>
      <c r="AX403" s="107"/>
      <c r="AY403" s="107"/>
      <c r="AZ403" s="107"/>
      <c r="BA403" s="107"/>
      <c r="BB403" s="107"/>
      <c r="BC403" s="107"/>
      <c r="BD403" s="107"/>
      <c r="BE403" s="107"/>
      <c r="BF403" s="107"/>
      <c r="BG403" s="107"/>
      <c r="BH403" s="107"/>
      <c r="BI403" s="107"/>
      <c r="BJ403" s="107"/>
      <c r="BK403" s="107"/>
      <c r="BL403" s="107"/>
      <c r="BM403" s="107"/>
      <c r="BN403" s="107"/>
      <c r="BO403" s="107"/>
      <c r="BP403" s="107"/>
      <c r="BQ403" s="107"/>
      <c r="BR403" s="107"/>
      <c r="BS403" s="107"/>
      <c r="BT403" s="107"/>
      <c r="BU403" s="107"/>
      <c r="BV403" s="107"/>
      <c r="BW403" s="107"/>
      <c r="BX403" s="107"/>
      <c r="BY403" s="107"/>
      <c r="BZ403" s="107"/>
      <c r="CA403" s="107"/>
      <c r="CB403" s="107"/>
      <c r="CC403" s="107"/>
      <c r="CD403" s="107"/>
      <c r="CE403" s="107"/>
      <c r="CF403" s="107"/>
      <c r="CG403" s="107"/>
      <c r="CH403" s="107"/>
      <c r="CI403" s="107"/>
      <c r="CJ403" s="107"/>
      <c r="CK403" s="107"/>
      <c r="CL403" s="107"/>
      <c r="CM403" s="107"/>
      <c r="CN403" s="107"/>
      <c r="CO403" s="107"/>
      <c r="CP403" s="107"/>
      <c r="CQ403" s="107"/>
      <c r="CR403" s="107"/>
      <c r="CS403" s="107"/>
      <c r="CT403" s="107"/>
      <c r="CU403" s="107"/>
      <c r="CV403" s="107"/>
      <c r="CW403" s="107"/>
      <c r="CX403" s="107"/>
      <c r="CY403" s="107"/>
      <c r="CZ403" s="107"/>
      <c r="DA403" s="107"/>
      <c r="DB403" s="107"/>
      <c r="DC403" s="107"/>
      <c r="DD403" s="107"/>
      <c r="DE403" s="107"/>
      <c r="DF403" s="107"/>
      <c r="DG403" s="107"/>
      <c r="DH403" s="107"/>
      <c r="DI403" s="107"/>
      <c r="DJ403" s="107"/>
    </row>
    <row r="404" spans="1:123" s="218" customFormat="1" ht="13.5" customHeight="1" thickBot="1">
      <c r="A404" s="358"/>
      <c r="B404" s="359">
        <v>39083</v>
      </c>
      <c r="C404" s="345">
        <v>39114</v>
      </c>
      <c r="D404" s="345">
        <v>39142</v>
      </c>
      <c r="E404" s="345">
        <v>39173</v>
      </c>
      <c r="F404" s="345">
        <v>39203</v>
      </c>
      <c r="G404" s="345">
        <v>39234</v>
      </c>
      <c r="H404" s="345">
        <v>39264</v>
      </c>
      <c r="I404" s="345">
        <v>39295</v>
      </c>
      <c r="J404" s="345">
        <v>39326</v>
      </c>
      <c r="K404" s="345">
        <v>39356</v>
      </c>
      <c r="L404" s="345">
        <v>39387</v>
      </c>
      <c r="M404" s="346">
        <v>39417</v>
      </c>
      <c r="N404" s="107"/>
      <c r="O404" s="107"/>
      <c r="P404" s="107"/>
      <c r="Q404" s="107"/>
      <c r="R404" s="107"/>
      <c r="S404" s="107"/>
      <c r="T404" s="107"/>
      <c r="U404" s="107"/>
      <c r="V404" s="107"/>
      <c r="W404" s="107"/>
      <c r="X404" s="107"/>
      <c r="Y404" s="107"/>
      <c r="Z404" s="107"/>
      <c r="AA404" s="107"/>
      <c r="AB404" s="107"/>
      <c r="AC404" s="107"/>
      <c r="AD404" s="107"/>
      <c r="AE404" s="107"/>
      <c r="AF404" s="107"/>
      <c r="AG404" s="107"/>
      <c r="AH404" s="107"/>
      <c r="AI404" s="107"/>
      <c r="AJ404" s="107"/>
      <c r="AK404" s="107"/>
      <c r="AL404" s="107"/>
      <c r="AM404" s="107"/>
      <c r="AN404" s="107"/>
      <c r="AO404" s="107"/>
      <c r="AP404" s="107"/>
      <c r="AQ404" s="107"/>
      <c r="AR404" s="107"/>
      <c r="AS404" s="107"/>
      <c r="AT404" s="107"/>
      <c r="AU404" s="107"/>
      <c r="AV404" s="107"/>
      <c r="AW404" s="107"/>
      <c r="AX404" s="107"/>
      <c r="AY404" s="107"/>
      <c r="AZ404" s="107"/>
      <c r="BA404" s="107"/>
      <c r="BB404" s="107"/>
      <c r="BC404" s="107"/>
      <c r="BD404" s="107"/>
      <c r="BE404" s="107"/>
      <c r="BF404" s="107"/>
      <c r="BG404" s="107"/>
      <c r="BH404" s="107"/>
      <c r="BI404" s="107"/>
      <c r="BJ404" s="107"/>
      <c r="BK404" s="107"/>
      <c r="BL404" s="107"/>
      <c r="BM404" s="107"/>
      <c r="BN404" s="107"/>
      <c r="BO404" s="107"/>
      <c r="BP404" s="107"/>
      <c r="BQ404" s="107"/>
      <c r="BR404" s="107"/>
      <c r="BS404" s="107"/>
      <c r="BT404" s="107"/>
      <c r="BU404" s="107"/>
      <c r="BV404" s="107"/>
      <c r="BW404" s="107"/>
      <c r="BX404" s="107"/>
      <c r="BY404" s="107"/>
      <c r="BZ404" s="107"/>
      <c r="CA404" s="107"/>
      <c r="CB404" s="107"/>
      <c r="CC404" s="107"/>
      <c r="CD404" s="107"/>
      <c r="CE404" s="107"/>
      <c r="CF404" s="107"/>
      <c r="CG404" s="107"/>
      <c r="CH404" s="107"/>
      <c r="CI404" s="107"/>
      <c r="CJ404" s="107"/>
      <c r="CK404" s="107"/>
      <c r="CL404" s="107"/>
      <c r="CM404" s="107"/>
      <c r="CN404" s="107"/>
      <c r="CO404" s="107"/>
      <c r="CP404" s="107"/>
      <c r="CQ404" s="107"/>
      <c r="CR404" s="107"/>
      <c r="CS404" s="107"/>
      <c r="CT404" s="107"/>
      <c r="CU404" s="107"/>
      <c r="CV404" s="107"/>
      <c r="CW404" s="107"/>
      <c r="CX404" s="107"/>
      <c r="CY404" s="107"/>
      <c r="CZ404" s="107"/>
      <c r="DA404" s="107"/>
      <c r="DB404" s="107"/>
      <c r="DC404" s="107"/>
      <c r="DD404" s="107"/>
      <c r="DE404" s="107"/>
      <c r="DF404" s="107"/>
      <c r="DG404" s="107"/>
      <c r="DH404" s="107"/>
      <c r="DI404" s="107"/>
      <c r="DJ404" s="107"/>
    </row>
    <row r="405" spans="1:123" s="218" customFormat="1" ht="13.5" customHeight="1" thickBot="1">
      <c r="A405" s="361" t="s">
        <v>260</v>
      </c>
      <c r="B405" s="362">
        <v>816000</v>
      </c>
      <c r="C405" s="363">
        <v>815000</v>
      </c>
      <c r="D405" s="363">
        <v>813000</v>
      </c>
      <c r="E405" s="363">
        <v>814000</v>
      </c>
      <c r="F405" s="363">
        <v>821000</v>
      </c>
      <c r="G405" s="363">
        <v>822000</v>
      </c>
      <c r="H405" s="363">
        <v>817000</v>
      </c>
      <c r="I405" s="363">
        <v>823000</v>
      </c>
      <c r="J405" s="363">
        <v>821000</v>
      </c>
      <c r="K405" s="363">
        <v>814000</v>
      </c>
      <c r="L405" s="363">
        <v>812000</v>
      </c>
      <c r="M405" s="364">
        <v>810000</v>
      </c>
      <c r="N405" s="107"/>
      <c r="O405" s="107"/>
      <c r="P405" s="107"/>
      <c r="Q405" s="107"/>
      <c r="R405" s="107"/>
      <c r="S405" s="107"/>
      <c r="T405" s="107"/>
      <c r="U405" s="107"/>
      <c r="V405" s="107"/>
      <c r="W405" s="107"/>
      <c r="X405" s="107"/>
      <c r="Y405" s="107"/>
      <c r="Z405" s="107"/>
      <c r="AA405" s="107"/>
      <c r="AB405" s="107"/>
      <c r="AC405" s="107"/>
      <c r="AD405" s="107"/>
      <c r="AE405" s="107"/>
      <c r="AF405" s="107"/>
      <c r="AG405" s="107"/>
      <c r="AH405" s="107"/>
      <c r="AI405" s="107"/>
      <c r="AJ405" s="107"/>
      <c r="AK405" s="107"/>
      <c r="AL405" s="107"/>
      <c r="AM405" s="107"/>
      <c r="AN405" s="107"/>
      <c r="AO405" s="107"/>
      <c r="AP405" s="107"/>
      <c r="AQ405" s="107"/>
      <c r="AR405" s="107"/>
      <c r="AS405" s="107"/>
      <c r="AT405" s="107"/>
      <c r="AU405" s="107"/>
      <c r="AV405" s="107"/>
      <c r="AW405" s="107"/>
      <c r="AX405" s="107"/>
      <c r="AY405" s="107"/>
      <c r="AZ405" s="107"/>
      <c r="BA405" s="107"/>
      <c r="BB405" s="107"/>
      <c r="BC405" s="107"/>
      <c r="BD405" s="107"/>
      <c r="BE405" s="107"/>
      <c r="BF405" s="107"/>
      <c r="BG405" s="107"/>
      <c r="BH405" s="107"/>
      <c r="BI405" s="107"/>
      <c r="BJ405" s="107"/>
      <c r="BK405" s="107"/>
      <c r="BL405" s="107"/>
      <c r="BM405" s="107"/>
      <c r="BN405" s="107"/>
      <c r="BO405" s="107"/>
      <c r="BP405" s="107"/>
      <c r="BQ405" s="107"/>
      <c r="BR405" s="107"/>
      <c r="BS405" s="107"/>
      <c r="BT405" s="107"/>
      <c r="BU405" s="107"/>
      <c r="BV405" s="107"/>
      <c r="BW405" s="107"/>
      <c r="BX405" s="107"/>
      <c r="BY405" s="107"/>
      <c r="BZ405" s="107"/>
      <c r="CA405" s="107"/>
      <c r="CB405" s="107"/>
      <c r="CC405" s="107"/>
      <c r="CD405" s="107"/>
      <c r="CE405" s="107"/>
      <c r="CF405" s="107"/>
      <c r="CG405" s="107"/>
      <c r="CH405" s="107"/>
      <c r="CI405" s="107"/>
      <c r="CJ405" s="107"/>
      <c r="CK405" s="107"/>
      <c r="CL405" s="107"/>
      <c r="CM405" s="107"/>
      <c r="CN405" s="107"/>
      <c r="CO405" s="107"/>
      <c r="CP405" s="107"/>
      <c r="CQ405" s="107"/>
      <c r="CR405" s="107"/>
      <c r="CS405" s="107"/>
      <c r="CT405" s="107"/>
      <c r="CU405" s="107"/>
      <c r="CV405" s="107"/>
      <c r="CW405" s="107"/>
      <c r="CX405" s="107"/>
      <c r="CY405" s="107"/>
      <c r="CZ405" s="107"/>
      <c r="DA405" s="107"/>
      <c r="DB405" s="107"/>
      <c r="DC405" s="107"/>
      <c r="DD405" s="107"/>
      <c r="DE405" s="107"/>
      <c r="DF405" s="107"/>
      <c r="DG405" s="107"/>
      <c r="DH405" s="107"/>
      <c r="DI405" s="107"/>
      <c r="DJ405" s="107"/>
    </row>
    <row r="406" spans="1:123" s="218" customFormat="1" ht="13.5" customHeight="1" thickBot="1">
      <c r="A406" s="358"/>
      <c r="B406" s="367"/>
      <c r="C406" s="367"/>
      <c r="D406" s="367"/>
      <c r="E406" s="367"/>
      <c r="F406" s="367"/>
      <c r="G406" s="367"/>
      <c r="H406" s="367"/>
      <c r="I406" s="367"/>
      <c r="J406" s="367"/>
      <c r="K406" s="367"/>
      <c r="L406" s="367"/>
      <c r="M406" s="367"/>
      <c r="N406" s="107"/>
      <c r="O406" s="107"/>
      <c r="P406" s="107"/>
      <c r="Q406" s="107"/>
      <c r="R406" s="107"/>
      <c r="S406" s="107"/>
      <c r="T406" s="107"/>
      <c r="U406" s="107"/>
      <c r="V406" s="107"/>
      <c r="W406" s="107"/>
      <c r="X406" s="107"/>
      <c r="Y406" s="107"/>
      <c r="Z406" s="107"/>
      <c r="AA406" s="107"/>
      <c r="AB406" s="107"/>
      <c r="AC406" s="107"/>
      <c r="AD406" s="107"/>
      <c r="AE406" s="107"/>
      <c r="AF406" s="107"/>
      <c r="AG406" s="107"/>
      <c r="AH406" s="107"/>
      <c r="AI406" s="107"/>
      <c r="AJ406" s="107"/>
      <c r="AK406" s="107"/>
      <c r="AL406" s="107"/>
      <c r="AM406" s="107"/>
      <c r="AN406" s="107"/>
      <c r="AO406" s="107"/>
      <c r="AP406" s="107"/>
      <c r="AQ406" s="107"/>
      <c r="AR406" s="107"/>
      <c r="AS406" s="107"/>
      <c r="AT406" s="107"/>
      <c r="AU406" s="107"/>
      <c r="AV406" s="107"/>
      <c r="AW406" s="107"/>
      <c r="AX406" s="107"/>
      <c r="AY406" s="107"/>
      <c r="AZ406" s="107"/>
      <c r="BA406" s="107"/>
      <c r="BB406" s="107"/>
      <c r="BC406" s="107"/>
      <c r="BD406" s="107"/>
      <c r="BE406" s="107"/>
      <c r="BF406" s="107"/>
      <c r="BG406" s="107"/>
      <c r="BH406" s="107"/>
      <c r="BI406" s="107"/>
      <c r="BJ406" s="107"/>
      <c r="BK406" s="107"/>
      <c r="BL406" s="107"/>
      <c r="BM406" s="107"/>
      <c r="BN406" s="107"/>
      <c r="BO406" s="107"/>
      <c r="BP406" s="107"/>
      <c r="BQ406" s="107"/>
      <c r="BR406" s="107"/>
      <c r="BS406" s="107"/>
      <c r="BT406" s="107"/>
      <c r="BU406" s="107"/>
      <c r="BV406" s="107"/>
      <c r="BW406" s="107"/>
      <c r="BX406" s="107"/>
      <c r="BY406" s="107"/>
      <c r="BZ406" s="107"/>
      <c r="CA406" s="107"/>
      <c r="CB406" s="107"/>
      <c r="CC406" s="107"/>
      <c r="CD406" s="107"/>
      <c r="CE406" s="107"/>
      <c r="CF406" s="107"/>
      <c r="CG406" s="107"/>
      <c r="CH406" s="107"/>
      <c r="CI406" s="107"/>
      <c r="CJ406" s="107"/>
      <c r="CK406" s="107"/>
      <c r="CL406" s="107"/>
      <c r="CM406" s="107"/>
      <c r="CN406" s="107"/>
      <c r="CO406" s="107"/>
      <c r="CP406" s="107"/>
      <c r="CQ406" s="107"/>
      <c r="CR406" s="107"/>
      <c r="CS406" s="107"/>
      <c r="CT406" s="107"/>
      <c r="CU406" s="107"/>
      <c r="CV406" s="107"/>
      <c r="CW406" s="107"/>
      <c r="CX406" s="107"/>
      <c r="CY406" s="107"/>
      <c r="CZ406" s="107"/>
      <c r="DA406" s="107"/>
      <c r="DB406" s="107"/>
      <c r="DC406" s="107"/>
      <c r="DD406" s="107"/>
      <c r="DE406" s="107"/>
      <c r="DF406" s="107"/>
      <c r="DG406" s="107"/>
      <c r="DH406" s="107"/>
      <c r="DI406" s="107"/>
      <c r="DJ406" s="107"/>
    </row>
    <row r="407" spans="1:123" s="218" customFormat="1" ht="13.5" customHeight="1" thickBot="1">
      <c r="A407" s="358"/>
      <c r="B407" s="359">
        <v>39448</v>
      </c>
      <c r="C407" s="345">
        <v>39479</v>
      </c>
      <c r="D407" s="345">
        <v>39508</v>
      </c>
      <c r="E407" s="345">
        <v>39539</v>
      </c>
      <c r="F407" s="345">
        <v>39569</v>
      </c>
      <c r="G407" s="345">
        <v>39600</v>
      </c>
      <c r="H407" s="345">
        <v>39630</v>
      </c>
      <c r="I407" s="345">
        <v>39661</v>
      </c>
      <c r="J407" s="345">
        <v>39692</v>
      </c>
      <c r="K407" s="345">
        <v>39722</v>
      </c>
      <c r="L407" s="345">
        <v>39753</v>
      </c>
      <c r="M407" s="346">
        <v>39783</v>
      </c>
      <c r="N407" s="107"/>
      <c r="O407" s="107"/>
      <c r="P407" s="107"/>
      <c r="Q407" s="107"/>
      <c r="R407" s="107"/>
      <c r="S407" s="107"/>
      <c r="T407" s="107"/>
      <c r="U407" s="107"/>
      <c r="V407" s="107"/>
      <c r="W407" s="107"/>
      <c r="X407" s="107"/>
      <c r="Y407" s="107"/>
      <c r="Z407" s="107"/>
      <c r="AA407" s="107"/>
      <c r="AB407" s="107"/>
      <c r="AC407" s="107"/>
      <c r="AD407" s="107"/>
      <c r="AE407" s="107"/>
      <c r="AF407" s="107"/>
      <c r="AG407" s="107"/>
      <c r="AH407" s="107"/>
      <c r="AI407" s="107"/>
      <c r="AJ407" s="107"/>
      <c r="AK407" s="107"/>
      <c r="AL407" s="107"/>
      <c r="AM407" s="107"/>
      <c r="AN407" s="107"/>
      <c r="AO407" s="107"/>
      <c r="AP407" s="107"/>
      <c r="AQ407" s="107"/>
      <c r="AR407" s="107"/>
      <c r="AS407" s="107"/>
      <c r="AT407" s="107"/>
      <c r="AU407" s="107"/>
      <c r="AV407" s="107"/>
      <c r="AW407" s="107"/>
      <c r="AX407" s="107"/>
      <c r="AY407" s="107"/>
      <c r="AZ407" s="107"/>
      <c r="BA407" s="107"/>
      <c r="BB407" s="107"/>
      <c r="BC407" s="107"/>
      <c r="BD407" s="107"/>
      <c r="BE407" s="107"/>
      <c r="BF407" s="107"/>
      <c r="BG407" s="107"/>
      <c r="BH407" s="107"/>
      <c r="BI407" s="107"/>
      <c r="BJ407" s="107"/>
      <c r="BK407" s="107"/>
      <c r="BL407" s="107"/>
      <c r="BM407" s="107"/>
      <c r="BN407" s="107"/>
      <c r="BO407" s="107"/>
      <c r="BP407" s="107"/>
      <c r="BQ407" s="107"/>
      <c r="BR407" s="107"/>
      <c r="BS407" s="107"/>
      <c r="BT407" s="107"/>
      <c r="BU407" s="107"/>
      <c r="BV407" s="107"/>
      <c r="BW407" s="107"/>
      <c r="BX407" s="107"/>
      <c r="BY407" s="107"/>
      <c r="BZ407" s="107"/>
      <c r="CA407" s="107"/>
      <c r="CB407" s="107"/>
      <c r="CC407" s="107"/>
      <c r="CD407" s="107"/>
      <c r="CE407" s="107"/>
      <c r="CF407" s="107"/>
      <c r="CG407" s="107"/>
      <c r="CH407" s="107"/>
      <c r="CI407" s="107"/>
      <c r="CJ407" s="107"/>
      <c r="CK407" s="107"/>
      <c r="CL407" s="107"/>
      <c r="CM407" s="107"/>
      <c r="CN407" s="107"/>
      <c r="CO407" s="107"/>
      <c r="CP407" s="107"/>
      <c r="CQ407" s="107"/>
      <c r="CR407" s="107"/>
      <c r="CS407" s="107"/>
      <c r="CT407" s="107"/>
      <c r="CU407" s="107"/>
      <c r="CV407" s="107"/>
      <c r="CW407" s="107"/>
      <c r="CX407" s="107"/>
      <c r="CY407" s="107"/>
      <c r="CZ407" s="107"/>
      <c r="DA407" s="107"/>
      <c r="DB407" s="107"/>
      <c r="DC407" s="107"/>
      <c r="DD407" s="107"/>
      <c r="DE407" s="107"/>
      <c r="DF407" s="107"/>
      <c r="DG407" s="107"/>
      <c r="DH407" s="107"/>
      <c r="DI407" s="107"/>
      <c r="DJ407" s="107"/>
    </row>
    <row r="408" spans="1:123" s="218" customFormat="1" ht="13.5" customHeight="1" thickBot="1">
      <c r="A408" s="361" t="s">
        <v>260</v>
      </c>
      <c r="B408" s="368">
        <v>799000</v>
      </c>
      <c r="C408" s="369">
        <v>802000</v>
      </c>
      <c r="D408" s="369">
        <v>796000</v>
      </c>
      <c r="E408" s="369">
        <v>786000</v>
      </c>
      <c r="F408" s="369">
        <v>776000</v>
      </c>
      <c r="G408" s="369">
        <v>758000</v>
      </c>
      <c r="H408" s="369">
        <v>752000</v>
      </c>
      <c r="I408" s="369">
        <v>737000</v>
      </c>
      <c r="J408" s="369">
        <v>717000</v>
      </c>
      <c r="K408" s="369">
        <v>709000</v>
      </c>
      <c r="L408" s="369">
        <v>691000</v>
      </c>
      <c r="M408" s="370">
        <v>674000</v>
      </c>
      <c r="N408" s="107"/>
      <c r="O408" s="107"/>
      <c r="P408" s="107"/>
      <c r="Q408" s="107"/>
      <c r="R408" s="107"/>
      <c r="S408" s="107"/>
      <c r="T408" s="107"/>
      <c r="U408" s="107"/>
      <c r="V408" s="107"/>
      <c r="W408" s="107"/>
      <c r="X408" s="107"/>
      <c r="Y408" s="107"/>
      <c r="Z408" s="107"/>
      <c r="AA408" s="107"/>
      <c r="AB408" s="107"/>
      <c r="AC408" s="107"/>
      <c r="AD408" s="107"/>
      <c r="AE408" s="107"/>
      <c r="AF408" s="107"/>
      <c r="AG408" s="107"/>
      <c r="AH408" s="107"/>
      <c r="AI408" s="107"/>
      <c r="AJ408" s="107"/>
      <c r="AK408" s="107"/>
      <c r="AL408" s="107"/>
      <c r="AM408" s="107"/>
      <c r="AN408" s="107"/>
      <c r="AO408" s="107"/>
      <c r="AP408" s="107"/>
      <c r="AQ408" s="107"/>
      <c r="AR408" s="107"/>
      <c r="AS408" s="107"/>
      <c r="AT408" s="107"/>
      <c r="AU408" s="107"/>
      <c r="AV408" s="107"/>
      <c r="AW408" s="107"/>
      <c r="AX408" s="107"/>
      <c r="AY408" s="107"/>
      <c r="AZ408" s="107"/>
      <c r="BA408" s="107"/>
      <c r="BB408" s="107"/>
      <c r="BC408" s="107"/>
      <c r="BD408" s="107"/>
      <c r="BE408" s="107"/>
      <c r="BF408" s="107"/>
      <c r="BG408" s="107"/>
      <c r="BH408" s="107"/>
      <c r="BI408" s="107"/>
      <c r="BJ408" s="107"/>
      <c r="BK408" s="107"/>
      <c r="BL408" s="107"/>
      <c r="BM408" s="107"/>
      <c r="BN408" s="107"/>
      <c r="BO408" s="107"/>
      <c r="BP408" s="107"/>
      <c r="BQ408" s="107"/>
      <c r="BR408" s="107"/>
      <c r="BS408" s="107"/>
      <c r="BT408" s="107"/>
      <c r="BU408" s="107"/>
      <c r="BV408" s="107"/>
      <c r="BW408" s="107"/>
      <c r="BX408" s="107"/>
      <c r="BY408" s="107"/>
      <c r="BZ408" s="107"/>
      <c r="CA408" s="107"/>
      <c r="CB408" s="107"/>
      <c r="CC408" s="107"/>
      <c r="CD408" s="107"/>
      <c r="CE408" s="107"/>
      <c r="CF408" s="107"/>
      <c r="CG408" s="107"/>
      <c r="CH408" s="107"/>
      <c r="CI408" s="107"/>
      <c r="CJ408" s="107"/>
      <c r="CK408" s="107"/>
      <c r="CL408" s="107"/>
      <c r="CM408" s="107"/>
      <c r="CN408" s="107"/>
      <c r="CO408" s="107"/>
      <c r="CP408" s="107"/>
      <c r="CQ408" s="107"/>
      <c r="CR408" s="107"/>
      <c r="CS408" s="107"/>
      <c r="CT408" s="107"/>
      <c r="CU408" s="107"/>
      <c r="CV408" s="107"/>
      <c r="CW408" s="107"/>
      <c r="CX408" s="107"/>
      <c r="CY408" s="107"/>
      <c r="CZ408" s="107"/>
      <c r="DA408" s="107"/>
      <c r="DB408" s="107"/>
      <c r="DC408" s="107"/>
      <c r="DD408" s="107"/>
      <c r="DE408" s="107"/>
      <c r="DF408" s="107"/>
      <c r="DG408" s="107"/>
      <c r="DH408" s="107"/>
      <c r="DI408" s="107"/>
      <c r="DJ408" s="107"/>
    </row>
    <row r="409" spans="1:123" s="218" customFormat="1" ht="13.5" customHeight="1" thickBot="1">
      <c r="A409" s="358"/>
      <c r="B409" s="367"/>
      <c r="C409" s="367"/>
      <c r="D409" s="367"/>
      <c r="E409" s="367"/>
      <c r="F409" s="367"/>
      <c r="G409" s="367"/>
      <c r="H409" s="367"/>
      <c r="I409" s="367"/>
      <c r="J409" s="367"/>
      <c r="K409" s="367"/>
      <c r="L409" s="367"/>
      <c r="M409" s="367"/>
      <c r="N409" s="107"/>
      <c r="O409" s="107"/>
      <c r="P409" s="107"/>
      <c r="Q409" s="107"/>
      <c r="R409" s="107"/>
      <c r="S409" s="107"/>
      <c r="T409" s="107"/>
      <c r="U409" s="107"/>
      <c r="V409" s="107"/>
      <c r="W409" s="107"/>
      <c r="X409" s="107"/>
      <c r="Y409" s="107"/>
      <c r="Z409" s="107"/>
      <c r="AA409" s="107"/>
      <c r="AB409" s="107"/>
      <c r="AC409" s="107"/>
      <c r="AD409" s="107"/>
      <c r="AE409" s="107"/>
      <c r="AF409" s="107"/>
      <c r="AG409" s="107"/>
      <c r="AH409" s="107"/>
      <c r="AI409" s="107"/>
      <c r="AJ409" s="107"/>
      <c r="AK409" s="107"/>
      <c r="AL409" s="107"/>
      <c r="AM409" s="107"/>
      <c r="AN409" s="107"/>
      <c r="AO409" s="107"/>
      <c r="AP409" s="107"/>
      <c r="AQ409" s="107"/>
      <c r="AR409" s="107"/>
      <c r="AS409" s="107"/>
      <c r="AT409" s="107"/>
      <c r="AU409" s="107"/>
      <c r="AV409" s="107"/>
      <c r="AW409" s="107"/>
      <c r="AX409" s="107"/>
      <c r="AY409" s="107"/>
      <c r="AZ409" s="107"/>
      <c r="BA409" s="107"/>
      <c r="BB409" s="107"/>
      <c r="BC409" s="107"/>
      <c r="BD409" s="107"/>
      <c r="BE409" s="107"/>
      <c r="BF409" s="107"/>
      <c r="BG409" s="107"/>
      <c r="BH409" s="107"/>
      <c r="BI409" s="107"/>
      <c r="BJ409" s="107"/>
      <c r="BK409" s="107"/>
      <c r="BL409" s="107"/>
      <c r="BM409" s="107"/>
      <c r="BN409" s="107"/>
      <c r="BO409" s="107"/>
      <c r="BP409" s="107"/>
      <c r="BQ409" s="107"/>
      <c r="BR409" s="107"/>
      <c r="BS409" s="107"/>
      <c r="BT409" s="107"/>
      <c r="BU409" s="107"/>
      <c r="BV409" s="107"/>
      <c r="BW409" s="107"/>
      <c r="BX409" s="107"/>
      <c r="BY409" s="107"/>
      <c r="BZ409" s="107"/>
      <c r="CA409" s="107"/>
      <c r="CB409" s="107"/>
      <c r="CC409" s="107"/>
      <c r="CD409" s="107"/>
      <c r="CE409" s="107"/>
      <c r="CF409" s="107"/>
      <c r="CG409" s="107"/>
      <c r="CH409" s="107"/>
      <c r="CI409" s="107"/>
      <c r="CJ409" s="107"/>
      <c r="CK409" s="107"/>
      <c r="CL409" s="107"/>
      <c r="CM409" s="107"/>
      <c r="CN409" s="107"/>
      <c r="CO409" s="107"/>
      <c r="CP409" s="107"/>
      <c r="CQ409" s="107"/>
      <c r="CR409" s="107"/>
      <c r="CS409" s="107"/>
      <c r="CT409" s="107"/>
      <c r="CU409" s="107"/>
      <c r="CV409" s="107"/>
      <c r="CW409" s="107"/>
      <c r="CX409" s="107"/>
      <c r="CY409" s="107"/>
      <c r="CZ409" s="107"/>
      <c r="DA409" s="107"/>
      <c r="DB409" s="107"/>
      <c r="DC409" s="107"/>
      <c r="DD409" s="107"/>
      <c r="DE409" s="107"/>
      <c r="DF409" s="107"/>
      <c r="DG409" s="107"/>
      <c r="DH409" s="107"/>
      <c r="DI409" s="107"/>
      <c r="DJ409" s="107"/>
    </row>
    <row r="410" spans="1:123" s="218" customFormat="1" ht="13.5" customHeight="1" thickBot="1">
      <c r="A410" s="358"/>
      <c r="B410" s="359">
        <v>39814</v>
      </c>
      <c r="C410" s="345">
        <v>39845</v>
      </c>
      <c r="D410" s="345">
        <v>39873</v>
      </c>
      <c r="E410" s="345">
        <v>39904</v>
      </c>
      <c r="F410" s="345">
        <v>39934</v>
      </c>
      <c r="G410" s="345">
        <v>39965</v>
      </c>
      <c r="H410" s="345">
        <v>39995</v>
      </c>
      <c r="I410" s="345">
        <v>40026</v>
      </c>
      <c r="J410" s="345">
        <v>40057</v>
      </c>
      <c r="K410" s="345">
        <v>40087</v>
      </c>
      <c r="L410" s="345">
        <v>40118</v>
      </c>
      <c r="M410" s="346">
        <v>40148</v>
      </c>
      <c r="N410" s="107"/>
      <c r="O410" s="107"/>
      <c r="P410" s="107"/>
      <c r="Q410" s="107"/>
      <c r="R410" s="107"/>
      <c r="S410" s="107"/>
      <c r="T410" s="107"/>
      <c r="U410" s="107"/>
      <c r="V410" s="107"/>
      <c r="W410" s="107"/>
      <c r="X410" s="107"/>
      <c r="Y410" s="107"/>
      <c r="Z410" s="107"/>
      <c r="AA410" s="107"/>
      <c r="AB410" s="107"/>
      <c r="AC410" s="107"/>
      <c r="AD410" s="107"/>
      <c r="AE410" s="107"/>
      <c r="AF410" s="107"/>
      <c r="AG410" s="107"/>
      <c r="AH410" s="107"/>
      <c r="AI410" s="107"/>
      <c r="AJ410" s="107"/>
      <c r="AK410" s="107"/>
      <c r="AL410" s="107"/>
      <c r="AM410" s="107"/>
      <c r="AN410" s="107"/>
      <c r="AO410" s="107"/>
      <c r="AP410" s="107"/>
      <c r="AQ410" s="107"/>
      <c r="AR410" s="107"/>
      <c r="AS410" s="107"/>
      <c r="AT410" s="107"/>
      <c r="AU410" s="107"/>
      <c r="AV410" s="107"/>
      <c r="AW410" s="107"/>
      <c r="AX410" s="107"/>
      <c r="AY410" s="107"/>
      <c r="AZ410" s="107"/>
      <c r="BA410" s="107"/>
      <c r="BB410" s="107"/>
      <c r="BC410" s="107"/>
      <c r="BD410" s="107"/>
      <c r="BE410" s="107"/>
      <c r="BF410" s="107"/>
      <c r="BG410" s="107"/>
      <c r="BH410" s="107"/>
      <c r="BI410" s="107"/>
      <c r="BJ410" s="107"/>
      <c r="BK410" s="107"/>
      <c r="BL410" s="107"/>
      <c r="BM410" s="107"/>
      <c r="BN410" s="107"/>
      <c r="BO410" s="107"/>
      <c r="BP410" s="107"/>
      <c r="BQ410" s="107"/>
      <c r="BR410" s="107"/>
      <c r="BS410" s="107"/>
      <c r="BT410" s="107"/>
      <c r="BU410" s="107"/>
      <c r="BV410" s="107"/>
      <c r="BW410" s="107"/>
      <c r="BX410" s="107"/>
      <c r="BY410" s="107"/>
      <c r="BZ410" s="107"/>
      <c r="CA410" s="107"/>
      <c r="CB410" s="107"/>
      <c r="CC410" s="107"/>
      <c r="CD410" s="107"/>
      <c r="CE410" s="107"/>
      <c r="CF410" s="107"/>
      <c r="CG410" s="107"/>
      <c r="CH410" s="107"/>
      <c r="CI410" s="107"/>
      <c r="CJ410" s="107"/>
      <c r="CK410" s="107"/>
      <c r="CL410" s="107"/>
      <c r="CM410" s="107"/>
      <c r="CN410" s="107"/>
      <c r="CO410" s="107"/>
      <c r="CP410" s="107"/>
      <c r="CQ410" s="107"/>
      <c r="CR410" s="107"/>
      <c r="CS410" s="107"/>
      <c r="CT410" s="107"/>
      <c r="CU410" s="107"/>
      <c r="CV410" s="107"/>
      <c r="CW410" s="107"/>
      <c r="CX410" s="107"/>
      <c r="CY410" s="107"/>
      <c r="CZ410" s="107"/>
      <c r="DA410" s="107"/>
      <c r="DB410" s="107"/>
      <c r="DC410" s="107"/>
      <c r="DD410" s="107"/>
      <c r="DE410" s="107"/>
      <c r="DF410" s="107"/>
      <c r="DG410" s="107"/>
      <c r="DH410" s="107"/>
      <c r="DI410" s="107"/>
      <c r="DJ410" s="107"/>
    </row>
    <row r="411" spans="1:123" s="218" customFormat="1" ht="13.5" customHeight="1" thickBot="1">
      <c r="A411" s="361" t="s">
        <v>260</v>
      </c>
      <c r="B411" s="368">
        <v>656000</v>
      </c>
      <c r="C411" s="369">
        <v>629000</v>
      </c>
      <c r="D411" s="369">
        <v>610000</v>
      </c>
      <c r="E411" s="369">
        <v>600000</v>
      </c>
      <c r="F411" s="369">
        <v>585000</v>
      </c>
      <c r="G411" s="369">
        <v>578000</v>
      </c>
      <c r="H411" s="369">
        <v>571000</v>
      </c>
      <c r="I411" s="369">
        <v>564000</v>
      </c>
      <c r="J411" s="369">
        <v>568000</v>
      </c>
      <c r="K411" s="369">
        <v>575000</v>
      </c>
      <c r="L411" s="369">
        <v>585000</v>
      </c>
      <c r="M411" s="370">
        <v>594000</v>
      </c>
      <c r="N411" s="107"/>
      <c r="O411" s="107"/>
      <c r="P411" s="107"/>
      <c r="Q411" s="107"/>
      <c r="R411" s="107"/>
      <c r="S411" s="107"/>
      <c r="T411" s="107"/>
      <c r="U411" s="107"/>
      <c r="V411" s="107"/>
      <c r="W411" s="107"/>
      <c r="X411" s="107"/>
      <c r="Y411" s="107"/>
      <c r="Z411" s="107"/>
      <c r="AA411" s="107"/>
      <c r="AB411" s="107"/>
      <c r="AC411" s="107"/>
      <c r="AD411" s="107"/>
      <c r="AE411" s="107"/>
      <c r="AF411" s="107"/>
      <c r="AG411" s="107"/>
      <c r="AH411" s="107"/>
      <c r="AI411" s="107"/>
      <c r="AJ411" s="107"/>
      <c r="AK411" s="107"/>
      <c r="AL411" s="107"/>
      <c r="AM411" s="107"/>
      <c r="AN411" s="107"/>
      <c r="AO411" s="107"/>
      <c r="AP411" s="107"/>
      <c r="AQ411" s="107"/>
      <c r="AR411" s="107"/>
      <c r="AS411" s="107"/>
      <c r="AT411" s="107"/>
      <c r="AU411" s="107"/>
      <c r="AV411" s="107"/>
      <c r="AW411" s="107"/>
      <c r="AX411" s="107"/>
      <c r="AY411" s="107"/>
      <c r="AZ411" s="107"/>
      <c r="BA411" s="107"/>
      <c r="BB411" s="107"/>
      <c r="BC411" s="107"/>
      <c r="BD411" s="107"/>
      <c r="BE411" s="107"/>
      <c r="BF411" s="107"/>
      <c r="BG411" s="107"/>
      <c r="BH411" s="107"/>
      <c r="BI411" s="107"/>
      <c r="BJ411" s="107"/>
      <c r="BK411" s="107"/>
      <c r="BL411" s="107"/>
      <c r="BM411" s="107"/>
      <c r="BN411" s="107"/>
      <c r="BO411" s="107"/>
      <c r="BP411" s="107"/>
      <c r="BQ411" s="107"/>
      <c r="BR411" s="107"/>
      <c r="BS411" s="107"/>
      <c r="BT411" s="107"/>
      <c r="BU411" s="107"/>
      <c r="BV411" s="107"/>
      <c r="BW411" s="107"/>
      <c r="BX411" s="107"/>
      <c r="BY411" s="107"/>
      <c r="BZ411" s="107"/>
      <c r="CA411" s="107"/>
      <c r="CB411" s="107"/>
      <c r="CC411" s="107"/>
      <c r="CD411" s="107"/>
      <c r="CE411" s="107"/>
      <c r="CF411" s="107"/>
      <c r="CG411" s="107"/>
      <c r="CH411" s="107"/>
      <c r="CI411" s="107"/>
      <c r="CJ411" s="107"/>
      <c r="CK411" s="107"/>
      <c r="CL411" s="107"/>
      <c r="CM411" s="107"/>
      <c r="CN411" s="107"/>
      <c r="CO411" s="107"/>
      <c r="CP411" s="107"/>
      <c r="CQ411" s="107"/>
      <c r="CR411" s="107"/>
      <c r="CS411" s="107"/>
      <c r="CT411" s="107"/>
      <c r="CU411" s="107"/>
      <c r="CV411" s="107"/>
      <c r="CW411" s="107"/>
      <c r="CX411" s="107"/>
      <c r="CY411" s="107"/>
      <c r="CZ411" s="107"/>
      <c r="DA411" s="107"/>
      <c r="DB411" s="107"/>
      <c r="DC411" s="107"/>
      <c r="DD411" s="107"/>
      <c r="DE411" s="107"/>
      <c r="DF411" s="107"/>
      <c r="DG411" s="107"/>
      <c r="DH411" s="107"/>
      <c r="DI411" s="107"/>
      <c r="DJ411" s="107"/>
    </row>
    <row r="412" spans="1:123" s="218" customFormat="1" ht="13.5" customHeight="1" thickBot="1">
      <c r="A412" s="358"/>
      <c r="B412" s="367"/>
      <c r="C412" s="367"/>
      <c r="D412" s="367"/>
      <c r="E412" s="367"/>
      <c r="F412" s="367"/>
      <c r="G412" s="367"/>
      <c r="H412" s="367"/>
      <c r="I412" s="367"/>
      <c r="J412" s="367"/>
      <c r="K412" s="367"/>
      <c r="L412" s="367"/>
      <c r="M412" s="367"/>
      <c r="N412" s="107"/>
      <c r="O412" s="107"/>
      <c r="P412" s="107"/>
      <c r="Q412" s="107"/>
      <c r="R412" s="107"/>
      <c r="S412" s="107"/>
      <c r="T412" s="107"/>
      <c r="U412" s="107"/>
      <c r="V412" s="107"/>
      <c r="W412" s="107"/>
      <c r="X412" s="107"/>
      <c r="Y412" s="107"/>
      <c r="Z412" s="107"/>
      <c r="AA412" s="107"/>
      <c r="AB412" s="107"/>
      <c r="AC412" s="107"/>
      <c r="AD412" s="107"/>
      <c r="AE412" s="107"/>
      <c r="AF412" s="107"/>
      <c r="AG412" s="107"/>
      <c r="AH412" s="107"/>
      <c r="AI412" s="107"/>
      <c r="AJ412" s="107"/>
      <c r="AK412" s="107"/>
      <c r="AL412" s="107"/>
      <c r="AM412" s="107"/>
      <c r="AN412" s="107"/>
      <c r="AO412" s="107"/>
      <c r="AP412" s="107"/>
      <c r="AQ412" s="107"/>
      <c r="AR412" s="107"/>
      <c r="AS412" s="107"/>
      <c r="AT412" s="107"/>
      <c r="AU412" s="107"/>
      <c r="AV412" s="107"/>
      <c r="AW412" s="107"/>
      <c r="AX412" s="107"/>
      <c r="AY412" s="107"/>
      <c r="AZ412" s="107"/>
      <c r="BA412" s="107"/>
      <c r="BB412" s="107"/>
      <c r="BC412" s="107"/>
      <c r="BD412" s="107"/>
      <c r="BE412" s="107"/>
      <c r="BF412" s="107"/>
      <c r="BG412" s="107"/>
      <c r="BH412" s="107"/>
      <c r="BI412" s="107"/>
      <c r="BJ412" s="107"/>
      <c r="BK412" s="107"/>
      <c r="BL412" s="107"/>
      <c r="BM412" s="107"/>
      <c r="BN412" s="107"/>
      <c r="BO412" s="107"/>
      <c r="BP412" s="107"/>
      <c r="BQ412" s="107"/>
      <c r="BR412" s="107"/>
      <c r="BS412" s="107"/>
      <c r="BT412" s="107"/>
      <c r="BU412" s="107"/>
      <c r="BV412" s="107"/>
      <c r="BW412" s="107"/>
      <c r="BX412" s="107"/>
      <c r="BY412" s="107"/>
      <c r="BZ412" s="107"/>
      <c r="CA412" s="107"/>
      <c r="CB412" s="107"/>
      <c r="CC412" s="107"/>
      <c r="CD412" s="107"/>
      <c r="CE412" s="107"/>
      <c r="CF412" s="107"/>
      <c r="CG412" s="107"/>
      <c r="CH412" s="107"/>
      <c r="CI412" s="107"/>
      <c r="CJ412" s="107"/>
      <c r="CK412" s="107"/>
      <c r="CL412" s="107"/>
      <c r="CM412" s="107"/>
      <c r="CN412" s="107"/>
      <c r="CO412" s="107"/>
      <c r="CP412" s="107"/>
      <c r="CQ412" s="107"/>
      <c r="CR412" s="107"/>
      <c r="CS412" s="107"/>
      <c r="CT412" s="107"/>
      <c r="CU412" s="107"/>
      <c r="CV412" s="107"/>
      <c r="CW412" s="107"/>
      <c r="CX412" s="107"/>
      <c r="CY412" s="107"/>
      <c r="CZ412" s="107"/>
      <c r="DA412" s="107"/>
      <c r="DB412" s="107"/>
      <c r="DC412" s="107"/>
      <c r="DD412" s="107"/>
      <c r="DE412" s="107"/>
      <c r="DF412" s="107"/>
      <c r="DG412" s="107"/>
      <c r="DH412" s="107"/>
      <c r="DI412" s="107"/>
      <c r="DJ412" s="107"/>
      <c r="DK412" s="342"/>
      <c r="DL412" s="342"/>
      <c r="DM412" s="342"/>
      <c r="DN412" s="342"/>
      <c r="DO412" s="342"/>
      <c r="DP412" s="342"/>
      <c r="DQ412" s="342"/>
      <c r="DR412" s="342"/>
      <c r="DS412" s="342"/>
    </row>
    <row r="413" spans="1:123" s="218" customFormat="1" ht="13.5" customHeight="1" thickBot="1">
      <c r="A413" s="358"/>
      <c r="B413" s="359">
        <v>40179</v>
      </c>
      <c r="C413" s="345">
        <v>40210</v>
      </c>
      <c r="D413" s="345">
        <v>40238</v>
      </c>
      <c r="E413" s="345">
        <v>40269</v>
      </c>
      <c r="F413" s="345">
        <v>40299</v>
      </c>
      <c r="G413" s="345">
        <v>40330</v>
      </c>
      <c r="H413" s="345">
        <v>40360</v>
      </c>
      <c r="I413" s="345">
        <v>40391</v>
      </c>
      <c r="J413" s="345">
        <v>40422</v>
      </c>
      <c r="K413" s="345">
        <v>40452</v>
      </c>
      <c r="L413" s="345">
        <v>40483</v>
      </c>
      <c r="M413" s="346">
        <v>40513</v>
      </c>
      <c r="N413" s="107"/>
      <c r="O413" s="107"/>
      <c r="P413" s="107"/>
      <c r="Q413" s="107"/>
      <c r="R413" s="107"/>
      <c r="S413" s="107"/>
      <c r="T413" s="107"/>
      <c r="U413" s="107"/>
      <c r="V413" s="107"/>
      <c r="W413" s="107"/>
      <c r="X413" s="107"/>
      <c r="Y413" s="107"/>
      <c r="Z413" s="107"/>
      <c r="AA413" s="107"/>
      <c r="AB413" s="107"/>
      <c r="AC413" s="107"/>
      <c r="AD413" s="107"/>
      <c r="AE413" s="107"/>
      <c r="AF413" s="107"/>
      <c r="AG413" s="107"/>
      <c r="AH413" s="107"/>
      <c r="AI413" s="107"/>
      <c r="AJ413" s="107"/>
      <c r="AK413" s="107"/>
      <c r="AL413" s="107"/>
      <c r="AM413" s="107"/>
      <c r="AN413" s="107"/>
      <c r="AO413" s="107"/>
      <c r="AP413" s="107"/>
      <c r="AQ413" s="107"/>
      <c r="AR413" s="107"/>
      <c r="AS413" s="107"/>
      <c r="AT413" s="107"/>
      <c r="AU413" s="107"/>
      <c r="AV413" s="107"/>
      <c r="AW413" s="107"/>
      <c r="AX413" s="107"/>
      <c r="AY413" s="107"/>
      <c r="AZ413" s="107"/>
      <c r="BA413" s="107"/>
      <c r="BB413" s="107"/>
      <c r="BC413" s="107"/>
      <c r="BD413" s="107"/>
      <c r="BE413" s="107"/>
      <c r="BF413" s="107"/>
      <c r="BG413" s="107"/>
      <c r="BH413" s="107"/>
      <c r="BI413" s="107"/>
      <c r="BJ413" s="107"/>
      <c r="BK413" s="107"/>
      <c r="BL413" s="107"/>
      <c r="BM413" s="107"/>
      <c r="BN413" s="107"/>
      <c r="BO413" s="107"/>
      <c r="BP413" s="107"/>
      <c r="BQ413" s="107"/>
      <c r="BR413" s="107"/>
      <c r="BS413" s="107"/>
      <c r="BT413" s="107"/>
      <c r="BU413" s="107"/>
      <c r="BV413" s="107"/>
      <c r="BW413" s="107"/>
      <c r="BX413" s="107"/>
      <c r="BY413" s="107"/>
      <c r="BZ413" s="107"/>
      <c r="CA413" s="107"/>
      <c r="CB413" s="107"/>
      <c r="CC413" s="107"/>
      <c r="CD413" s="107"/>
      <c r="CE413" s="107"/>
      <c r="CF413" s="107"/>
      <c r="CG413" s="107"/>
      <c r="CH413" s="107"/>
      <c r="CI413" s="107"/>
      <c r="CJ413" s="107"/>
      <c r="CK413" s="107"/>
      <c r="CL413" s="107"/>
      <c r="CM413" s="107"/>
      <c r="CN413" s="107"/>
      <c r="CO413" s="107"/>
      <c r="CP413" s="107"/>
      <c r="CQ413" s="107"/>
      <c r="CR413" s="107"/>
      <c r="CS413" s="107"/>
      <c r="CT413" s="107"/>
      <c r="CU413" s="107"/>
      <c r="CV413" s="107"/>
      <c r="CW413" s="107"/>
      <c r="CX413" s="107"/>
      <c r="CY413" s="107"/>
      <c r="CZ413" s="107"/>
      <c r="DA413" s="107"/>
      <c r="DB413" s="107"/>
      <c r="DC413" s="107"/>
      <c r="DD413" s="107"/>
      <c r="DE413" s="107"/>
      <c r="DF413" s="107"/>
      <c r="DG413" s="107"/>
      <c r="DH413" s="107"/>
      <c r="DI413" s="107"/>
      <c r="DJ413" s="107"/>
      <c r="DK413" s="342"/>
      <c r="DL413" s="342"/>
      <c r="DM413" s="342"/>
      <c r="DN413" s="342"/>
      <c r="DO413" s="342"/>
      <c r="DP413" s="342"/>
      <c r="DQ413" s="342"/>
      <c r="DR413" s="342"/>
      <c r="DS413" s="342"/>
    </row>
    <row r="414" spans="1:123" s="218" customFormat="1" ht="13.5" customHeight="1" thickBot="1">
      <c r="A414" s="361" t="s">
        <v>260</v>
      </c>
      <c r="B414" s="368">
        <v>621000</v>
      </c>
      <c r="C414" s="369">
        <v>638000</v>
      </c>
      <c r="D414" s="369">
        <v>656000</v>
      </c>
      <c r="E414" s="369">
        <v>665000</v>
      </c>
      <c r="F414" s="369">
        <v>683000</v>
      </c>
      <c r="G414" s="369">
        <v>699000</v>
      </c>
      <c r="H414" s="369">
        <v>715000</v>
      </c>
      <c r="I414" s="369">
        <v>724000</v>
      </c>
      <c r="J414" s="369">
        <v>737000</v>
      </c>
      <c r="K414" s="369">
        <v>747000</v>
      </c>
      <c r="L414" s="369">
        <v>760000</v>
      </c>
      <c r="M414" s="370">
        <v>776000</v>
      </c>
      <c r="N414" s="107"/>
      <c r="O414" s="107"/>
      <c r="P414" s="107"/>
      <c r="Q414" s="107"/>
      <c r="R414" s="107"/>
      <c r="S414" s="107"/>
      <c r="T414" s="107"/>
      <c r="U414" s="107"/>
      <c r="V414" s="107"/>
      <c r="W414" s="107"/>
      <c r="X414" s="107"/>
      <c r="Y414" s="107"/>
      <c r="Z414" s="107"/>
      <c r="AA414" s="107"/>
      <c r="AB414" s="107"/>
      <c r="AC414" s="107"/>
      <c r="AD414" s="107"/>
      <c r="AE414" s="107"/>
      <c r="AF414" s="107"/>
      <c r="AG414" s="107"/>
      <c r="AH414" s="107"/>
      <c r="AI414" s="107"/>
      <c r="AJ414" s="107"/>
      <c r="AK414" s="107"/>
      <c r="AL414" s="107"/>
      <c r="AM414" s="107"/>
      <c r="AN414" s="107"/>
      <c r="AO414" s="107"/>
      <c r="AP414" s="107"/>
      <c r="AQ414" s="107"/>
      <c r="AR414" s="107"/>
      <c r="AS414" s="107"/>
      <c r="AT414" s="107"/>
      <c r="AU414" s="107"/>
      <c r="AV414" s="107"/>
      <c r="AW414" s="107"/>
      <c r="AX414" s="107"/>
      <c r="AY414" s="107"/>
      <c r="AZ414" s="107"/>
      <c r="BA414" s="107"/>
      <c r="BB414" s="107"/>
      <c r="BC414" s="107"/>
      <c r="BD414" s="107"/>
      <c r="BE414" s="107"/>
      <c r="BF414" s="107"/>
      <c r="BG414" s="107"/>
      <c r="BH414" s="107"/>
      <c r="BI414" s="107"/>
      <c r="BJ414" s="107"/>
      <c r="BK414" s="107"/>
      <c r="BL414" s="107"/>
      <c r="BM414" s="107"/>
      <c r="BN414" s="107"/>
      <c r="BO414" s="107"/>
      <c r="BP414" s="107"/>
      <c r="BQ414" s="107"/>
      <c r="BR414" s="107"/>
      <c r="BS414" s="107"/>
      <c r="BT414" s="107"/>
      <c r="BU414" s="107"/>
      <c r="BV414" s="107"/>
      <c r="BW414" s="107"/>
      <c r="BX414" s="107"/>
      <c r="BY414" s="107"/>
      <c r="BZ414" s="107"/>
      <c r="CA414" s="107"/>
      <c r="CB414" s="107"/>
      <c r="CC414" s="107"/>
      <c r="CD414" s="107"/>
      <c r="CE414" s="107"/>
      <c r="CF414" s="107"/>
      <c r="CG414" s="107"/>
      <c r="CH414" s="107"/>
      <c r="CI414" s="107"/>
      <c r="CJ414" s="107"/>
      <c r="CK414" s="107"/>
      <c r="CL414" s="107"/>
      <c r="CM414" s="107"/>
      <c r="CN414" s="107"/>
      <c r="CO414" s="107"/>
      <c r="CP414" s="107"/>
      <c r="CQ414" s="107"/>
      <c r="CR414" s="107"/>
      <c r="CS414" s="107"/>
      <c r="CT414" s="107"/>
      <c r="CU414" s="107"/>
      <c r="CV414" s="107"/>
      <c r="CW414" s="107"/>
      <c r="CX414" s="107"/>
      <c r="CY414" s="107"/>
      <c r="CZ414" s="107"/>
      <c r="DA414" s="107"/>
      <c r="DB414" s="107"/>
      <c r="DC414" s="107"/>
      <c r="DD414" s="107"/>
      <c r="DE414" s="107"/>
      <c r="DF414" s="107"/>
      <c r="DG414" s="107"/>
      <c r="DH414" s="107"/>
      <c r="DI414" s="107"/>
      <c r="DJ414" s="107"/>
      <c r="DK414" s="342"/>
      <c r="DL414" s="342"/>
      <c r="DM414" s="342"/>
      <c r="DN414" s="342"/>
      <c r="DO414" s="342"/>
      <c r="DP414" s="342"/>
      <c r="DQ414" s="342"/>
      <c r="DR414" s="342"/>
      <c r="DS414" s="342"/>
    </row>
    <row r="415" spans="1:123" s="218" customFormat="1" ht="13.5" customHeight="1" thickBot="1">
      <c r="A415" s="358"/>
      <c r="B415" s="49"/>
      <c r="C415" s="49"/>
      <c r="D415" s="49"/>
      <c r="E415" s="49"/>
      <c r="F415" s="49"/>
      <c r="G415" s="49"/>
      <c r="H415" s="49"/>
      <c r="I415" s="49"/>
      <c r="J415" s="49"/>
      <c r="K415" s="49"/>
      <c r="L415" s="49"/>
      <c r="M415" s="49"/>
      <c r="N415" s="107"/>
      <c r="O415" s="107"/>
      <c r="P415" s="107"/>
      <c r="Q415" s="107"/>
      <c r="R415" s="107"/>
      <c r="S415" s="107"/>
      <c r="T415" s="107"/>
      <c r="U415" s="107"/>
      <c r="V415" s="107"/>
      <c r="W415" s="107"/>
      <c r="X415" s="107"/>
      <c r="Y415" s="107"/>
      <c r="Z415" s="107"/>
      <c r="AA415" s="107"/>
      <c r="AB415" s="107"/>
      <c r="AC415" s="107"/>
      <c r="AD415" s="107"/>
      <c r="AE415" s="107"/>
      <c r="AF415" s="107"/>
      <c r="AG415" s="107"/>
      <c r="AH415" s="107"/>
      <c r="AI415" s="107"/>
      <c r="AJ415" s="107"/>
      <c r="AK415" s="107"/>
      <c r="AL415" s="107"/>
      <c r="AM415" s="107"/>
      <c r="AN415" s="107"/>
      <c r="AO415" s="107"/>
      <c r="AP415" s="107"/>
      <c r="AQ415" s="107"/>
      <c r="AR415" s="107"/>
      <c r="AS415" s="107"/>
      <c r="AT415" s="107"/>
      <c r="AU415" s="107"/>
      <c r="AV415" s="107"/>
      <c r="AW415" s="107"/>
      <c r="AX415" s="107"/>
      <c r="AY415" s="107"/>
      <c r="AZ415" s="107"/>
      <c r="BA415" s="107"/>
      <c r="BB415" s="107"/>
      <c r="BC415" s="107"/>
      <c r="BD415" s="107"/>
      <c r="BE415" s="107"/>
      <c r="BF415" s="107"/>
      <c r="BG415" s="107"/>
      <c r="BH415" s="107"/>
      <c r="BI415" s="107"/>
      <c r="BJ415" s="107"/>
      <c r="BK415" s="107"/>
      <c r="BL415" s="107"/>
      <c r="BM415" s="107"/>
      <c r="BN415" s="107"/>
      <c r="BO415" s="107"/>
      <c r="BP415" s="107"/>
      <c r="BQ415" s="107"/>
      <c r="BR415" s="107"/>
      <c r="BS415" s="107"/>
      <c r="BT415" s="107"/>
      <c r="BU415" s="107"/>
      <c r="BV415" s="107"/>
      <c r="BW415" s="107"/>
      <c r="BX415" s="107"/>
      <c r="BY415" s="107"/>
      <c r="BZ415" s="107"/>
      <c r="CA415" s="107"/>
      <c r="CB415" s="107"/>
      <c r="CC415" s="107"/>
      <c r="CD415" s="107"/>
      <c r="CE415" s="107"/>
      <c r="CF415" s="107"/>
      <c r="CG415" s="107"/>
      <c r="CH415" s="107"/>
      <c r="CI415" s="107"/>
      <c r="CJ415" s="107"/>
      <c r="CK415" s="107"/>
      <c r="CL415" s="107"/>
      <c r="CM415" s="107"/>
      <c r="CN415" s="107"/>
      <c r="CO415" s="107"/>
      <c r="CP415" s="107"/>
      <c r="CQ415" s="107"/>
      <c r="CR415" s="107"/>
      <c r="CS415" s="107"/>
      <c r="CT415" s="107"/>
      <c r="CU415" s="107"/>
      <c r="CV415" s="107"/>
      <c r="CW415" s="107"/>
      <c r="CX415" s="107"/>
      <c r="CY415" s="107"/>
      <c r="CZ415" s="107"/>
      <c r="DA415" s="107"/>
      <c r="DB415" s="107"/>
      <c r="DC415" s="107"/>
      <c r="DD415" s="107"/>
      <c r="DE415" s="107"/>
      <c r="DF415" s="107"/>
      <c r="DG415" s="107"/>
      <c r="DH415" s="107"/>
      <c r="DI415" s="107"/>
      <c r="DJ415" s="107"/>
      <c r="DK415" s="342"/>
      <c r="DL415" s="342"/>
      <c r="DM415" s="342"/>
      <c r="DN415" s="342"/>
      <c r="DO415" s="342"/>
      <c r="DP415" s="342"/>
      <c r="DQ415" s="342"/>
      <c r="DR415" s="342"/>
      <c r="DS415" s="342"/>
    </row>
    <row r="416" spans="1:123" s="218" customFormat="1" ht="13.5" customHeight="1" thickBot="1">
      <c r="A416" s="358"/>
      <c r="B416" s="359">
        <v>40544</v>
      </c>
      <c r="C416" s="345">
        <v>40575</v>
      </c>
      <c r="D416" s="345">
        <v>40603</v>
      </c>
      <c r="E416" s="345">
        <v>40634</v>
      </c>
      <c r="F416" s="345">
        <v>40664</v>
      </c>
      <c r="G416" s="345">
        <v>40695</v>
      </c>
      <c r="H416" s="345">
        <v>40725</v>
      </c>
      <c r="I416" s="345">
        <v>40756</v>
      </c>
      <c r="J416" s="345">
        <v>40787</v>
      </c>
      <c r="K416" s="345">
        <v>40817</v>
      </c>
      <c r="L416" s="345">
        <v>40848</v>
      </c>
      <c r="M416" s="346">
        <v>40878</v>
      </c>
      <c r="N416" s="107"/>
      <c r="O416" s="107"/>
      <c r="P416" s="107"/>
      <c r="Q416" s="107"/>
      <c r="R416" s="107"/>
      <c r="S416" s="107"/>
      <c r="T416" s="107"/>
      <c r="U416" s="107"/>
      <c r="V416" s="107"/>
      <c r="W416" s="107"/>
      <c r="X416" s="107"/>
      <c r="Y416" s="107"/>
      <c r="Z416" s="107"/>
      <c r="AA416" s="107"/>
      <c r="AB416" s="107"/>
      <c r="AC416" s="107"/>
      <c r="AD416" s="107"/>
      <c r="AE416" s="107"/>
      <c r="AF416" s="107"/>
      <c r="AG416" s="107"/>
      <c r="AH416" s="107"/>
      <c r="AI416" s="107"/>
      <c r="AJ416" s="107"/>
      <c r="AK416" s="107"/>
      <c r="AL416" s="107"/>
      <c r="AM416" s="107"/>
      <c r="AN416" s="107"/>
      <c r="AO416" s="107"/>
      <c r="AP416" s="107"/>
      <c r="AQ416" s="107"/>
      <c r="AR416" s="107"/>
      <c r="AS416" s="107"/>
      <c r="AT416" s="107"/>
      <c r="AU416" s="107"/>
      <c r="AV416" s="107"/>
      <c r="AW416" s="107"/>
      <c r="AX416" s="107"/>
      <c r="AY416" s="107"/>
      <c r="AZ416" s="107"/>
      <c r="BA416" s="107"/>
      <c r="BB416" s="107"/>
      <c r="BC416" s="107"/>
      <c r="BD416" s="107"/>
      <c r="BE416" s="107"/>
      <c r="BF416" s="107"/>
      <c r="BG416" s="107"/>
      <c r="BH416" s="107"/>
      <c r="BI416" s="107"/>
      <c r="BJ416" s="107"/>
      <c r="BK416" s="107"/>
      <c r="BL416" s="107"/>
      <c r="BM416" s="107"/>
      <c r="BN416" s="107"/>
      <c r="BO416" s="107"/>
      <c r="BP416" s="107"/>
      <c r="BQ416" s="107"/>
      <c r="BR416" s="107"/>
      <c r="BS416" s="107"/>
      <c r="BT416" s="107"/>
      <c r="BU416" s="107"/>
      <c r="BV416" s="107"/>
      <c r="BW416" s="107"/>
      <c r="BX416" s="107"/>
      <c r="BY416" s="107"/>
      <c r="BZ416" s="107"/>
      <c r="CA416" s="107"/>
      <c r="CB416" s="107"/>
      <c r="CC416" s="107"/>
      <c r="CD416" s="107"/>
      <c r="CE416" s="107"/>
      <c r="CF416" s="107"/>
      <c r="CG416" s="107"/>
      <c r="CH416" s="107"/>
      <c r="CI416" s="107"/>
      <c r="CJ416" s="107"/>
      <c r="CK416" s="107"/>
      <c r="CL416" s="107"/>
      <c r="CM416" s="107"/>
      <c r="CN416" s="107"/>
      <c r="CO416" s="107"/>
      <c r="CP416" s="107"/>
      <c r="CQ416" s="107"/>
      <c r="CR416" s="107"/>
      <c r="CS416" s="107"/>
      <c r="CT416" s="107"/>
      <c r="CU416" s="107"/>
      <c r="CV416" s="107"/>
      <c r="CW416" s="107"/>
      <c r="CX416" s="107"/>
      <c r="CY416" s="107"/>
      <c r="CZ416" s="107"/>
      <c r="DA416" s="107"/>
      <c r="DB416" s="107"/>
      <c r="DC416" s="107"/>
      <c r="DD416" s="107"/>
      <c r="DE416" s="107"/>
      <c r="DF416" s="107"/>
      <c r="DG416" s="107"/>
      <c r="DH416" s="107"/>
      <c r="DI416" s="107"/>
      <c r="DJ416" s="107"/>
      <c r="DK416" s="342"/>
      <c r="DL416" s="342"/>
      <c r="DM416" s="342"/>
      <c r="DN416" s="342"/>
      <c r="DO416" s="342"/>
      <c r="DP416" s="342"/>
      <c r="DQ416" s="342"/>
      <c r="DR416" s="342"/>
      <c r="DS416" s="342"/>
    </row>
    <row r="417" spans="1:128" s="218" customFormat="1" ht="13.5" customHeight="1" thickBot="1">
      <c r="A417" s="371" t="s">
        <v>260</v>
      </c>
      <c r="B417" s="368">
        <v>779000</v>
      </c>
      <c r="C417" s="369">
        <v>784000</v>
      </c>
      <c r="D417" s="369">
        <v>796000</v>
      </c>
      <c r="E417" s="369">
        <v>799000</v>
      </c>
      <c r="F417" s="369">
        <v>798000</v>
      </c>
      <c r="G417" s="369">
        <v>806000</v>
      </c>
      <c r="H417" s="369">
        <v>813000</v>
      </c>
      <c r="I417" s="369">
        <v>817000</v>
      </c>
      <c r="J417" s="369">
        <v>820000</v>
      </c>
      <c r="K417" s="369">
        <v>809000</v>
      </c>
      <c r="L417" s="369">
        <v>802000</v>
      </c>
      <c r="M417" s="370">
        <v>799000</v>
      </c>
      <c r="N417" s="107"/>
      <c r="O417" s="107"/>
      <c r="P417" s="107"/>
      <c r="Q417" s="107"/>
      <c r="R417" s="107"/>
      <c r="S417" s="107"/>
      <c r="T417" s="107"/>
      <c r="U417" s="107"/>
      <c r="V417" s="107"/>
      <c r="W417" s="107"/>
      <c r="X417" s="107"/>
      <c r="Y417" s="107"/>
      <c r="Z417" s="107"/>
      <c r="AA417" s="107"/>
      <c r="AB417" s="107"/>
      <c r="AC417" s="107"/>
      <c r="AD417" s="107"/>
      <c r="AE417" s="107"/>
      <c r="AF417" s="107"/>
      <c r="AG417" s="107"/>
      <c r="AH417" s="107"/>
      <c r="AI417" s="107"/>
      <c r="AJ417" s="107"/>
      <c r="AK417" s="107"/>
      <c r="AL417" s="107"/>
      <c r="AM417" s="107"/>
      <c r="AN417" s="107"/>
      <c r="AO417" s="107"/>
      <c r="AP417" s="107"/>
      <c r="AQ417" s="107"/>
      <c r="AR417" s="107"/>
      <c r="AS417" s="107"/>
      <c r="AT417" s="107"/>
      <c r="AU417" s="107"/>
      <c r="AV417" s="107"/>
      <c r="AW417" s="107"/>
      <c r="AX417" s="107"/>
      <c r="AY417" s="107"/>
      <c r="AZ417" s="107"/>
      <c r="BA417" s="107"/>
      <c r="BB417" s="107"/>
      <c r="BC417" s="107"/>
      <c r="BD417" s="107"/>
      <c r="BE417" s="107"/>
      <c r="BF417" s="107"/>
      <c r="BG417" s="107"/>
      <c r="BH417" s="107"/>
      <c r="BI417" s="107"/>
      <c r="BJ417" s="107"/>
      <c r="BK417" s="107"/>
      <c r="BL417" s="107"/>
      <c r="BM417" s="107"/>
      <c r="BN417" s="107"/>
      <c r="BO417" s="107"/>
      <c r="BP417" s="107"/>
      <c r="BQ417" s="107"/>
      <c r="BR417" s="107"/>
      <c r="BS417" s="107"/>
      <c r="BT417" s="107"/>
      <c r="BU417" s="107"/>
      <c r="BV417" s="107"/>
      <c r="BW417" s="107"/>
      <c r="BX417" s="107"/>
      <c r="BY417" s="107"/>
      <c r="BZ417" s="107"/>
      <c r="CA417" s="107"/>
      <c r="CB417" s="107"/>
      <c r="CC417" s="107"/>
      <c r="CD417" s="107"/>
      <c r="CE417" s="107"/>
      <c r="CF417" s="107"/>
      <c r="CG417" s="107"/>
      <c r="CH417" s="107"/>
      <c r="CI417" s="107"/>
      <c r="CJ417" s="107"/>
      <c r="CK417" s="107"/>
      <c r="CL417" s="107"/>
      <c r="CM417" s="107"/>
      <c r="CN417" s="107"/>
      <c r="CO417" s="107"/>
      <c r="CP417" s="107"/>
      <c r="CQ417" s="107"/>
      <c r="CR417" s="107"/>
      <c r="CS417" s="107"/>
      <c r="CT417" s="107"/>
      <c r="CU417" s="107"/>
      <c r="CV417" s="107"/>
      <c r="CW417" s="107"/>
      <c r="CX417" s="107"/>
      <c r="CY417" s="107"/>
      <c r="CZ417" s="107"/>
      <c r="DA417" s="107"/>
      <c r="DB417" s="107"/>
      <c r="DC417" s="107"/>
      <c r="DD417" s="107"/>
      <c r="DE417" s="107"/>
      <c r="DF417" s="107"/>
      <c r="DG417" s="107"/>
      <c r="DH417" s="107"/>
      <c r="DI417" s="107"/>
      <c r="DJ417" s="107"/>
      <c r="DK417" s="342"/>
      <c r="DL417" s="342"/>
      <c r="DM417" s="342"/>
      <c r="DN417" s="342"/>
      <c r="DO417" s="342"/>
      <c r="DP417" s="342"/>
      <c r="DQ417" s="342"/>
      <c r="DR417" s="342"/>
      <c r="DS417" s="342"/>
    </row>
    <row r="418" spans="1:128" s="218" customFormat="1" ht="13.5" customHeight="1" thickBot="1">
      <c r="A418" s="358"/>
      <c r="B418" s="49"/>
      <c r="C418" s="49"/>
      <c r="D418" s="49"/>
      <c r="E418" s="49"/>
      <c r="F418" s="49"/>
      <c r="G418" s="49"/>
      <c r="H418" s="49"/>
      <c r="I418" s="49"/>
      <c r="J418" s="49"/>
      <c r="K418" s="49"/>
      <c r="L418" s="49"/>
      <c r="M418" s="49"/>
      <c r="N418" s="107"/>
      <c r="O418" s="107"/>
      <c r="P418" s="107"/>
      <c r="Q418" s="107"/>
      <c r="R418" s="107"/>
      <c r="S418" s="107"/>
      <c r="T418" s="107"/>
      <c r="U418" s="107"/>
      <c r="V418" s="107"/>
      <c r="W418" s="107"/>
      <c r="X418" s="107"/>
      <c r="Y418" s="107"/>
      <c r="Z418" s="107"/>
      <c r="AA418" s="107"/>
      <c r="AB418" s="107"/>
      <c r="AC418" s="107"/>
      <c r="AD418" s="107"/>
      <c r="AE418" s="107"/>
      <c r="AF418" s="107"/>
      <c r="AG418" s="107"/>
      <c r="AH418" s="107"/>
      <c r="AI418" s="107"/>
      <c r="AJ418" s="107"/>
      <c r="AK418" s="107"/>
      <c r="AL418" s="107"/>
      <c r="AM418" s="107"/>
      <c r="AN418" s="107"/>
      <c r="AO418" s="107"/>
      <c r="AP418" s="107"/>
      <c r="AQ418" s="107"/>
      <c r="AR418" s="107"/>
      <c r="AS418" s="107"/>
      <c r="AT418" s="107"/>
      <c r="AU418" s="107"/>
      <c r="AV418" s="107"/>
      <c r="AW418" s="107"/>
      <c r="AX418" s="107"/>
      <c r="AY418" s="107"/>
      <c r="AZ418" s="107"/>
      <c r="BA418" s="107"/>
      <c r="BB418" s="107"/>
      <c r="BC418" s="107"/>
      <c r="BD418" s="107"/>
      <c r="BE418" s="107"/>
      <c r="BF418" s="107"/>
      <c r="BG418" s="107"/>
      <c r="BH418" s="107"/>
      <c r="BI418" s="107"/>
      <c r="BJ418" s="107"/>
      <c r="BK418" s="107"/>
      <c r="BL418" s="107"/>
      <c r="BM418" s="107"/>
      <c r="BN418" s="107"/>
      <c r="BO418" s="107"/>
      <c r="BP418" s="107"/>
      <c r="BQ418" s="107"/>
      <c r="BR418" s="107"/>
      <c r="BS418" s="107"/>
      <c r="BT418" s="107"/>
      <c r="BU418" s="107"/>
      <c r="BV418" s="107"/>
      <c r="BW418" s="107"/>
      <c r="BX418" s="107"/>
      <c r="BY418" s="107"/>
      <c r="BZ418" s="107"/>
      <c r="CA418" s="107"/>
      <c r="CB418" s="107"/>
      <c r="CC418" s="107"/>
      <c r="CD418" s="107"/>
      <c r="CE418" s="107"/>
      <c r="CF418" s="107"/>
      <c r="CG418" s="107"/>
      <c r="CH418" s="107"/>
      <c r="CI418" s="107"/>
      <c r="CJ418" s="107"/>
      <c r="CK418" s="107"/>
      <c r="CL418" s="107"/>
      <c r="CM418" s="107"/>
      <c r="CN418" s="107"/>
      <c r="CO418" s="107"/>
      <c r="CP418" s="107"/>
      <c r="CQ418" s="107"/>
      <c r="CR418" s="107"/>
      <c r="CS418" s="107"/>
      <c r="CT418" s="107"/>
      <c r="CU418" s="107"/>
      <c r="CV418" s="107"/>
      <c r="CW418" s="107"/>
      <c r="CX418" s="107"/>
      <c r="CY418" s="107"/>
      <c r="CZ418" s="107"/>
      <c r="DA418" s="107"/>
      <c r="DB418" s="107"/>
      <c r="DC418" s="107"/>
      <c r="DD418" s="107"/>
      <c r="DE418" s="107"/>
      <c r="DF418" s="107"/>
      <c r="DG418" s="107"/>
      <c r="DH418" s="107"/>
      <c r="DI418" s="107"/>
      <c r="DJ418" s="107"/>
      <c r="DK418" s="342"/>
      <c r="DL418" s="342"/>
      <c r="DM418" s="342"/>
      <c r="DN418" s="342"/>
      <c r="DO418" s="342"/>
      <c r="DP418" s="342"/>
      <c r="DQ418" s="342"/>
      <c r="DR418" s="342"/>
      <c r="DS418" s="342"/>
    </row>
    <row r="419" spans="1:128" s="218" customFormat="1" ht="13.5" customHeight="1" thickBot="1">
      <c r="A419" s="358"/>
      <c r="B419" s="359">
        <v>40909</v>
      </c>
      <c r="C419" s="345">
        <v>40940</v>
      </c>
      <c r="D419" s="345">
        <v>40969</v>
      </c>
      <c r="E419" s="345">
        <v>41000</v>
      </c>
      <c r="F419" s="345">
        <v>41030</v>
      </c>
      <c r="G419" s="345">
        <v>41061</v>
      </c>
      <c r="H419" s="345">
        <v>41091</v>
      </c>
      <c r="I419" s="345">
        <v>41122</v>
      </c>
      <c r="J419" s="345">
        <v>41153</v>
      </c>
      <c r="K419" s="345">
        <v>41183</v>
      </c>
      <c r="L419" s="345">
        <v>41214</v>
      </c>
      <c r="M419" s="346">
        <v>41244</v>
      </c>
      <c r="N419" s="107"/>
      <c r="O419" s="107"/>
      <c r="P419" s="107"/>
      <c r="Q419" s="107"/>
      <c r="R419" s="107"/>
      <c r="S419" s="107"/>
      <c r="T419" s="107"/>
      <c r="U419" s="107"/>
      <c r="V419" s="107"/>
      <c r="W419" s="107"/>
      <c r="X419" s="107"/>
      <c r="Y419" s="107"/>
      <c r="Z419" s="107"/>
      <c r="AA419" s="107"/>
      <c r="AB419" s="107"/>
      <c r="AC419" s="107"/>
      <c r="AD419" s="107"/>
      <c r="AE419" s="107"/>
      <c r="AF419" s="107"/>
      <c r="AG419" s="107"/>
      <c r="AH419" s="107"/>
      <c r="AI419" s="107"/>
      <c r="AJ419" s="107"/>
      <c r="AK419" s="107"/>
      <c r="AL419" s="107"/>
      <c r="AM419" s="107"/>
      <c r="AN419" s="107"/>
      <c r="AO419" s="107"/>
      <c r="AP419" s="107"/>
      <c r="AQ419" s="107"/>
      <c r="AR419" s="107"/>
      <c r="AS419" s="107"/>
      <c r="AT419" s="107"/>
      <c r="AU419" s="107"/>
      <c r="AV419" s="107"/>
      <c r="AW419" s="107"/>
      <c r="AX419" s="107"/>
      <c r="AY419" s="107"/>
      <c r="AZ419" s="107"/>
      <c r="BA419" s="107"/>
      <c r="BB419" s="107"/>
      <c r="BC419" s="107"/>
      <c r="BD419" s="107"/>
      <c r="BE419" s="107"/>
      <c r="BF419" s="107"/>
      <c r="BG419" s="107"/>
      <c r="BH419" s="107"/>
      <c r="BI419" s="107"/>
      <c r="BJ419" s="107"/>
      <c r="BK419" s="107"/>
      <c r="BL419" s="107"/>
      <c r="BM419" s="107"/>
      <c r="BN419" s="107"/>
      <c r="BO419" s="107"/>
      <c r="BP419" s="107"/>
      <c r="BQ419" s="107"/>
      <c r="BR419" s="107"/>
      <c r="BS419" s="107"/>
      <c r="BT419" s="107"/>
      <c r="BU419" s="107"/>
      <c r="BV419" s="107"/>
      <c r="BW419" s="107"/>
      <c r="BX419" s="107"/>
      <c r="BY419" s="107"/>
      <c r="BZ419" s="107"/>
      <c r="CA419" s="107"/>
      <c r="CB419" s="107"/>
      <c r="CC419" s="107"/>
      <c r="CD419" s="107"/>
      <c r="CE419" s="107"/>
      <c r="CF419" s="107"/>
      <c r="CG419" s="107"/>
      <c r="CH419" s="107"/>
      <c r="CI419" s="107"/>
      <c r="CJ419" s="107"/>
      <c r="CK419" s="107"/>
      <c r="CL419" s="107"/>
      <c r="CM419" s="107"/>
      <c r="CN419" s="107"/>
      <c r="CO419" s="107"/>
      <c r="CP419" s="107"/>
      <c r="CQ419" s="107"/>
      <c r="CR419" s="107"/>
      <c r="CS419" s="107"/>
      <c r="CT419" s="107"/>
      <c r="CU419" s="107"/>
      <c r="CV419" s="107"/>
      <c r="CW419" s="107"/>
      <c r="CX419" s="107"/>
      <c r="CY419" s="107"/>
      <c r="CZ419" s="107"/>
      <c r="DA419" s="107"/>
      <c r="DB419" s="107"/>
      <c r="DC419" s="107"/>
      <c r="DD419" s="107"/>
      <c r="DE419" s="107"/>
      <c r="DF419" s="107"/>
      <c r="DG419" s="107"/>
      <c r="DH419" s="107"/>
      <c r="DI419" s="107"/>
      <c r="DJ419" s="107"/>
      <c r="DK419" s="342"/>
      <c r="DL419" s="342"/>
      <c r="DM419" s="342"/>
      <c r="DN419" s="342"/>
      <c r="DO419" s="342"/>
      <c r="DP419" s="342"/>
      <c r="DQ419" s="342"/>
      <c r="DR419" s="342"/>
      <c r="DS419" s="342"/>
    </row>
    <row r="420" spans="1:128" s="218" customFormat="1" ht="13.5" customHeight="1" thickBot="1">
      <c r="A420" s="371" t="s">
        <v>260</v>
      </c>
      <c r="B420" s="368">
        <v>830000</v>
      </c>
      <c r="C420" s="369">
        <v>832000</v>
      </c>
      <c r="D420" s="369">
        <v>813000</v>
      </c>
      <c r="E420" s="369">
        <v>799000</v>
      </c>
      <c r="F420" s="369">
        <v>780000</v>
      </c>
      <c r="G420" s="369">
        <v>778000</v>
      </c>
      <c r="H420" s="369">
        <v>754000</v>
      </c>
      <c r="I420" s="369">
        <v>734000</v>
      </c>
      <c r="J420" s="369">
        <v>730000</v>
      </c>
      <c r="K420" s="369">
        <v>724000</v>
      </c>
      <c r="L420" s="369">
        <v>714000</v>
      </c>
      <c r="M420" s="370">
        <v>704000</v>
      </c>
      <c r="N420" s="107"/>
      <c r="O420" s="107"/>
      <c r="P420" s="107"/>
      <c r="Q420" s="107"/>
      <c r="R420" s="107"/>
      <c r="S420" s="107"/>
      <c r="T420" s="107"/>
      <c r="U420" s="107"/>
      <c r="V420" s="107"/>
      <c r="W420" s="107"/>
      <c r="X420" s="107"/>
      <c r="Y420" s="107"/>
      <c r="Z420" s="107"/>
      <c r="AA420" s="107"/>
      <c r="AB420" s="107"/>
      <c r="AC420" s="107"/>
      <c r="AD420" s="107"/>
      <c r="AE420" s="107"/>
      <c r="AF420" s="107"/>
      <c r="AG420" s="107"/>
      <c r="AH420" s="107"/>
      <c r="AI420" s="107"/>
      <c r="AJ420" s="107"/>
      <c r="AK420" s="107"/>
      <c r="AL420" s="107"/>
      <c r="AM420" s="107"/>
      <c r="AN420" s="107"/>
      <c r="AO420" s="107"/>
      <c r="AP420" s="107"/>
      <c r="AQ420" s="107"/>
      <c r="AR420" s="107"/>
      <c r="AS420" s="107"/>
      <c r="AT420" s="107"/>
      <c r="AU420" s="107"/>
      <c r="AV420" s="107"/>
      <c r="AW420" s="107"/>
      <c r="AX420" s="107"/>
      <c r="AY420" s="107"/>
      <c r="AZ420" s="107"/>
      <c r="BA420" s="107"/>
      <c r="BB420" s="107"/>
      <c r="BC420" s="107"/>
      <c r="BD420" s="107"/>
      <c r="BE420" s="107"/>
      <c r="BF420" s="107"/>
      <c r="BG420" s="107"/>
      <c r="BH420" s="107"/>
      <c r="BI420" s="107"/>
      <c r="BJ420" s="107"/>
      <c r="BK420" s="107"/>
      <c r="BL420" s="107"/>
      <c r="BM420" s="107"/>
      <c r="BN420" s="107"/>
      <c r="BO420" s="107"/>
      <c r="BP420" s="107"/>
      <c r="BQ420" s="107"/>
      <c r="BR420" s="107"/>
      <c r="BS420" s="107"/>
      <c r="BT420" s="107"/>
      <c r="BU420" s="107"/>
      <c r="BV420" s="107"/>
      <c r="BW420" s="107"/>
      <c r="BX420" s="107"/>
      <c r="BY420" s="107"/>
      <c r="BZ420" s="107"/>
      <c r="CA420" s="107"/>
      <c r="CB420" s="107"/>
      <c r="CC420" s="107"/>
      <c r="CD420" s="107"/>
      <c r="CE420" s="107"/>
      <c r="CF420" s="107"/>
      <c r="CG420" s="107"/>
      <c r="CH420" s="107"/>
      <c r="CI420" s="107"/>
      <c r="CJ420" s="107"/>
      <c r="CK420" s="107"/>
      <c r="CL420" s="107"/>
      <c r="CM420" s="107"/>
      <c r="CN420" s="107"/>
      <c r="CO420" s="107"/>
      <c r="CP420" s="107"/>
      <c r="CQ420" s="107"/>
      <c r="CR420" s="107"/>
      <c r="CS420" s="107"/>
      <c r="CT420" s="107"/>
      <c r="CU420" s="107"/>
      <c r="CV420" s="107"/>
      <c r="CW420" s="107"/>
      <c r="CX420" s="107"/>
      <c r="CY420" s="107"/>
      <c r="CZ420" s="107"/>
      <c r="DA420" s="107"/>
      <c r="DB420" s="107"/>
      <c r="DC420" s="107"/>
      <c r="DD420" s="107"/>
      <c r="DE420" s="107"/>
      <c r="DF420" s="107"/>
      <c r="DG420" s="107"/>
      <c r="DH420" s="107"/>
      <c r="DI420" s="107"/>
      <c r="DJ420" s="107"/>
      <c r="DK420" s="342"/>
      <c r="DL420" s="342"/>
      <c r="DM420" s="342"/>
      <c r="DN420" s="342"/>
      <c r="DO420" s="342"/>
      <c r="DP420" s="342"/>
      <c r="DQ420" s="342"/>
      <c r="DR420" s="342"/>
      <c r="DS420" s="342"/>
    </row>
    <row r="421" spans="1:128" s="218" customFormat="1" ht="13.5" customHeight="1" thickBot="1">
      <c r="A421" s="358"/>
      <c r="B421" s="367"/>
      <c r="C421" s="367"/>
      <c r="D421" s="367"/>
      <c r="E421" s="367"/>
      <c r="F421" s="367"/>
      <c r="G421" s="367"/>
      <c r="H421" s="367"/>
      <c r="I421" s="367"/>
      <c r="J421" s="367"/>
      <c r="K421" s="367"/>
      <c r="L421" s="367"/>
      <c r="M421" s="367"/>
      <c r="N421" s="107"/>
      <c r="O421" s="107"/>
      <c r="P421" s="107"/>
      <c r="Q421" s="107"/>
      <c r="R421" s="107"/>
      <c r="S421" s="107"/>
      <c r="T421" s="107"/>
      <c r="U421" s="107"/>
      <c r="V421" s="107"/>
      <c r="W421" s="107"/>
      <c r="X421" s="107"/>
      <c r="Y421" s="107"/>
      <c r="Z421" s="107"/>
      <c r="AA421" s="107"/>
      <c r="AB421" s="107"/>
      <c r="AC421" s="107"/>
      <c r="AD421" s="107"/>
      <c r="AE421" s="107"/>
      <c r="AF421" s="107"/>
      <c r="AG421" s="107"/>
      <c r="AH421" s="107"/>
      <c r="AI421" s="107"/>
      <c r="AJ421" s="107"/>
      <c r="AK421" s="107"/>
      <c r="AL421" s="107"/>
      <c r="AM421" s="107"/>
      <c r="AN421" s="107"/>
      <c r="AO421" s="107"/>
      <c r="AP421" s="107"/>
      <c r="AQ421" s="107"/>
      <c r="AR421" s="107"/>
      <c r="AS421" s="107"/>
      <c r="AT421" s="107"/>
      <c r="AU421" s="107"/>
      <c r="AV421" s="107"/>
      <c r="AW421" s="107"/>
      <c r="AX421" s="107"/>
      <c r="AY421" s="107"/>
      <c r="AZ421" s="107"/>
      <c r="BA421" s="107"/>
      <c r="BB421" s="107"/>
      <c r="BC421" s="107"/>
      <c r="BD421" s="107"/>
      <c r="BE421" s="107"/>
      <c r="BF421" s="107"/>
      <c r="BG421" s="107"/>
      <c r="BH421" s="107"/>
      <c r="BI421" s="107"/>
      <c r="BJ421" s="107"/>
      <c r="BK421" s="107"/>
      <c r="BL421" s="107"/>
      <c r="BM421" s="107"/>
      <c r="BN421" s="107"/>
      <c r="BO421" s="107"/>
      <c r="BP421" s="107"/>
      <c r="BQ421" s="107"/>
      <c r="BR421" s="107"/>
      <c r="BS421" s="107"/>
      <c r="BT421" s="107"/>
      <c r="BU421" s="107"/>
      <c r="BV421" s="107"/>
      <c r="BW421" s="107"/>
      <c r="BX421" s="107"/>
      <c r="BY421" s="107"/>
      <c r="BZ421" s="107"/>
      <c r="CA421" s="107"/>
      <c r="CB421" s="107"/>
      <c r="CC421" s="107"/>
      <c r="CD421" s="107"/>
      <c r="CE421" s="107"/>
      <c r="CF421" s="107"/>
      <c r="CG421" s="107"/>
      <c r="CH421" s="107"/>
      <c r="CI421" s="107"/>
      <c r="CJ421" s="107"/>
      <c r="CK421" s="107"/>
      <c r="CL421" s="107"/>
      <c r="CM421" s="107"/>
      <c r="CN421" s="107"/>
      <c r="CO421" s="107"/>
      <c r="CP421" s="107"/>
      <c r="CQ421" s="107"/>
      <c r="CR421" s="107"/>
      <c r="CS421" s="107"/>
      <c r="CT421" s="107"/>
      <c r="CU421" s="107"/>
      <c r="CV421" s="107"/>
      <c r="CW421" s="107"/>
      <c r="CX421" s="107"/>
      <c r="CY421" s="107"/>
      <c r="CZ421" s="107"/>
      <c r="DA421" s="107"/>
      <c r="DB421" s="107"/>
      <c r="DC421" s="107"/>
      <c r="DD421" s="107"/>
      <c r="DE421" s="107"/>
      <c r="DF421" s="107"/>
      <c r="DG421" s="107"/>
      <c r="DH421" s="107"/>
      <c r="DI421" s="107"/>
      <c r="DJ421" s="107"/>
      <c r="DK421" s="342"/>
      <c r="DL421" s="342"/>
      <c r="DM421" s="342"/>
      <c r="DN421" s="342"/>
      <c r="DO421" s="342"/>
      <c r="DP421" s="342"/>
      <c r="DQ421" s="342"/>
      <c r="DR421" s="342"/>
      <c r="DS421" s="342"/>
    </row>
    <row r="422" spans="1:128" s="218" customFormat="1" ht="13.5" customHeight="1" thickBot="1">
      <c r="A422" s="358"/>
      <c r="B422" s="359">
        <v>41275</v>
      </c>
      <c r="C422" s="345">
        <v>41306</v>
      </c>
      <c r="D422" s="345">
        <v>41334</v>
      </c>
      <c r="E422" s="345">
        <v>41365</v>
      </c>
      <c r="F422" s="345">
        <v>41395</v>
      </c>
      <c r="G422" s="345">
        <v>41426</v>
      </c>
      <c r="H422" s="345">
        <v>41456</v>
      </c>
      <c r="I422" s="345">
        <v>41487</v>
      </c>
      <c r="J422" s="345">
        <v>41518</v>
      </c>
      <c r="K422" s="345">
        <v>41548</v>
      </c>
      <c r="L422" s="345">
        <v>41579</v>
      </c>
      <c r="M422" s="346">
        <v>41609</v>
      </c>
      <c r="N422" s="107"/>
      <c r="O422" s="107"/>
      <c r="P422" s="107"/>
      <c r="Q422" s="107"/>
      <c r="R422" s="107"/>
      <c r="S422" s="107"/>
      <c r="T422" s="107"/>
      <c r="U422" s="107"/>
      <c r="V422" s="107"/>
      <c r="W422" s="107"/>
      <c r="X422" s="107"/>
      <c r="Y422" s="107"/>
      <c r="Z422" s="107"/>
      <c r="AA422" s="107"/>
      <c r="AB422" s="107"/>
      <c r="AC422" s="107"/>
      <c r="AD422" s="107"/>
      <c r="AE422" s="107"/>
      <c r="AF422" s="107"/>
      <c r="AG422" s="107"/>
      <c r="AH422" s="107"/>
      <c r="AI422" s="107"/>
      <c r="AJ422" s="107"/>
      <c r="AK422" s="107"/>
      <c r="AL422" s="107"/>
      <c r="AM422" s="107"/>
      <c r="AN422" s="107"/>
      <c r="AO422" s="107"/>
      <c r="AP422" s="107"/>
      <c r="AQ422" s="107"/>
      <c r="AR422" s="107"/>
      <c r="AS422" s="107"/>
      <c r="AT422" s="107"/>
      <c r="AU422" s="107"/>
      <c r="AV422" s="107"/>
      <c r="AW422" s="107"/>
      <c r="AX422" s="107"/>
      <c r="AY422" s="107"/>
      <c r="AZ422" s="107"/>
      <c r="BA422" s="107"/>
      <c r="BB422" s="107"/>
      <c r="BC422" s="107"/>
      <c r="BD422" s="107"/>
      <c r="BE422" s="107"/>
      <c r="BF422" s="107"/>
      <c r="BG422" s="107"/>
      <c r="BH422" s="107"/>
      <c r="BI422" s="107"/>
      <c r="BJ422" s="107"/>
      <c r="BK422" s="107"/>
      <c r="BL422" s="107"/>
      <c r="BM422" s="107"/>
      <c r="BN422" s="107"/>
      <c r="BO422" s="107"/>
      <c r="BP422" s="107"/>
      <c r="BQ422" s="107"/>
      <c r="BR422" s="107"/>
      <c r="BS422" s="107"/>
      <c r="BT422" s="107"/>
      <c r="BU422" s="107"/>
      <c r="BV422" s="107"/>
      <c r="BW422" s="107"/>
      <c r="BX422" s="107"/>
      <c r="BY422" s="107"/>
      <c r="BZ422" s="107"/>
      <c r="CA422" s="107"/>
      <c r="CB422" s="107"/>
      <c r="CC422" s="107"/>
      <c r="CD422" s="107"/>
      <c r="CE422" s="107"/>
      <c r="CF422" s="107"/>
      <c r="CG422" s="107"/>
      <c r="CH422" s="107"/>
      <c r="CI422" s="107"/>
      <c r="CJ422" s="107"/>
      <c r="CK422" s="107"/>
      <c r="CL422" s="107"/>
      <c r="CM422" s="107"/>
      <c r="CN422" s="107"/>
      <c r="CO422" s="107"/>
      <c r="CP422" s="107"/>
      <c r="CQ422" s="107"/>
      <c r="CR422" s="107"/>
      <c r="CS422" s="107"/>
      <c r="CT422" s="107"/>
      <c r="CU422" s="107"/>
      <c r="CV422" s="107"/>
      <c r="CW422" s="107"/>
      <c r="CX422" s="107"/>
      <c r="CY422" s="107"/>
      <c r="CZ422" s="107"/>
      <c r="DA422" s="107"/>
      <c r="DB422" s="107"/>
      <c r="DC422" s="107"/>
      <c r="DD422" s="107"/>
      <c r="DE422" s="107"/>
      <c r="DF422" s="107"/>
      <c r="DG422" s="107"/>
      <c r="DH422" s="107"/>
      <c r="DI422" s="107"/>
      <c r="DJ422" s="107"/>
      <c r="DK422" s="342"/>
      <c r="DL422" s="342"/>
      <c r="DM422" s="342"/>
      <c r="DN422" s="342"/>
      <c r="DO422" s="342"/>
      <c r="DP422" s="342"/>
      <c r="DQ422" s="342"/>
      <c r="DR422" s="342"/>
      <c r="DS422" s="342"/>
    </row>
    <row r="423" spans="1:128" s="218" customFormat="1" ht="13.5" customHeight="1" thickBot="1">
      <c r="A423" s="371" t="s">
        <v>260</v>
      </c>
      <c r="B423" s="49">
        <v>656000</v>
      </c>
      <c r="C423" s="49">
        <v>649000</v>
      </c>
      <c r="D423" s="49">
        <v>658000</v>
      </c>
      <c r="E423" s="49">
        <v>660000</v>
      </c>
      <c r="F423" s="49">
        <v>661000</v>
      </c>
      <c r="G423" s="49">
        <v>673000</v>
      </c>
      <c r="H423" s="49">
        <v>674000</v>
      </c>
      <c r="I423" s="349">
        <v>677000</v>
      </c>
      <c r="J423" s="49">
        <v>686000</v>
      </c>
      <c r="K423" s="49">
        <v>689000</v>
      </c>
      <c r="L423" s="49">
        <v>705000</v>
      </c>
      <c r="M423" s="49">
        <v>716000</v>
      </c>
      <c r="N423" s="107"/>
      <c r="O423" s="107"/>
      <c r="P423" s="107"/>
      <c r="Q423" s="107"/>
      <c r="R423" s="107"/>
      <c r="S423" s="107"/>
      <c r="T423" s="107"/>
      <c r="U423" s="107"/>
      <c r="V423" s="107"/>
      <c r="W423" s="107"/>
      <c r="X423" s="107"/>
      <c r="Y423" s="107"/>
      <c r="Z423" s="107"/>
      <c r="AA423" s="107"/>
      <c r="AB423" s="107"/>
      <c r="AC423" s="107"/>
      <c r="AD423" s="107"/>
      <c r="AE423" s="107"/>
      <c r="AF423" s="107"/>
      <c r="AG423" s="107"/>
      <c r="AH423" s="107"/>
      <c r="AI423" s="107"/>
      <c r="AJ423" s="107"/>
      <c r="AK423" s="107"/>
      <c r="AL423" s="107"/>
      <c r="AM423" s="107"/>
      <c r="AN423" s="107"/>
      <c r="AO423" s="107"/>
      <c r="AP423" s="107"/>
      <c r="AQ423" s="107"/>
      <c r="AR423" s="107"/>
      <c r="AS423" s="107"/>
      <c r="AT423" s="107"/>
      <c r="AU423" s="107"/>
      <c r="AV423" s="107"/>
      <c r="AW423" s="107"/>
      <c r="AX423" s="107"/>
      <c r="AY423" s="107"/>
      <c r="AZ423" s="107"/>
      <c r="BA423" s="107"/>
      <c r="BB423" s="107"/>
      <c r="BC423" s="107"/>
      <c r="BD423" s="107"/>
      <c r="BE423" s="107"/>
      <c r="BF423" s="107"/>
      <c r="BG423" s="107"/>
      <c r="BH423" s="107"/>
      <c r="BI423" s="107"/>
      <c r="BJ423" s="107"/>
      <c r="BK423" s="107"/>
      <c r="BL423" s="107"/>
      <c r="BM423" s="107"/>
      <c r="BN423" s="107"/>
      <c r="BO423" s="107"/>
      <c r="BP423" s="107"/>
      <c r="BQ423" s="107"/>
      <c r="BR423" s="107"/>
      <c r="BS423" s="107"/>
      <c r="BT423" s="107"/>
      <c r="BU423" s="107"/>
      <c r="BV423" s="107"/>
      <c r="BW423" s="107"/>
      <c r="BX423" s="107"/>
      <c r="BY423" s="107"/>
      <c r="BZ423" s="107"/>
      <c r="CA423" s="107"/>
      <c r="CB423" s="107"/>
      <c r="CC423" s="107"/>
      <c r="CD423" s="107"/>
      <c r="CE423" s="107"/>
      <c r="CF423" s="107"/>
      <c r="CG423" s="107"/>
      <c r="CH423" s="107"/>
      <c r="CI423" s="107"/>
      <c r="CJ423" s="107"/>
      <c r="CK423" s="107"/>
      <c r="CL423" s="107"/>
      <c r="CM423" s="107"/>
      <c r="CN423" s="107"/>
      <c r="CO423" s="107"/>
      <c r="CP423" s="107"/>
      <c r="CQ423" s="107"/>
      <c r="CR423" s="107"/>
      <c r="CS423" s="107"/>
      <c r="CT423" s="107"/>
      <c r="CU423" s="107"/>
      <c r="CV423" s="107"/>
      <c r="CW423" s="107"/>
      <c r="CX423" s="107"/>
      <c r="CY423" s="107"/>
      <c r="CZ423" s="107"/>
      <c r="DA423" s="107"/>
      <c r="DB423" s="107"/>
      <c r="DC423" s="107"/>
      <c r="DD423" s="107"/>
      <c r="DE423" s="107"/>
      <c r="DF423" s="107"/>
      <c r="DG423" s="107"/>
      <c r="DH423" s="107"/>
      <c r="DI423" s="107"/>
      <c r="DJ423" s="107"/>
      <c r="DK423" s="342"/>
      <c r="DL423" s="342"/>
      <c r="DM423" s="342"/>
      <c r="DN423" s="342"/>
      <c r="DO423" s="342"/>
      <c r="DP423" s="342"/>
      <c r="DQ423" s="342"/>
      <c r="DR423" s="342"/>
      <c r="DS423" s="342"/>
    </row>
    <row r="424" spans="1:128" s="218" customFormat="1" ht="13.5" customHeight="1" thickBot="1">
      <c r="A424" s="358"/>
      <c r="B424" s="49"/>
      <c r="C424" s="49"/>
      <c r="D424" s="49"/>
      <c r="E424" s="49"/>
      <c r="F424" s="49"/>
      <c r="G424" s="49"/>
      <c r="H424" s="49"/>
      <c r="I424" s="49"/>
      <c r="J424" s="49"/>
      <c r="K424" s="49"/>
      <c r="L424" s="49"/>
      <c r="M424" s="49"/>
      <c r="N424" s="107"/>
      <c r="O424" s="107"/>
      <c r="P424" s="107"/>
      <c r="Q424" s="107"/>
      <c r="R424" s="107"/>
      <c r="S424" s="107"/>
      <c r="T424" s="107"/>
      <c r="U424" s="107"/>
      <c r="V424" s="107"/>
      <c r="W424" s="107"/>
      <c r="X424" s="107"/>
      <c r="Y424" s="107"/>
      <c r="Z424" s="107"/>
      <c r="AA424" s="107"/>
      <c r="AB424" s="107"/>
      <c r="AC424" s="107"/>
      <c r="AD424" s="107"/>
      <c r="AE424" s="107"/>
      <c r="AF424" s="107"/>
      <c r="AG424" s="107"/>
      <c r="AH424" s="107"/>
      <c r="AI424" s="107"/>
      <c r="AJ424" s="107"/>
      <c r="AK424" s="107"/>
      <c r="AL424" s="107"/>
      <c r="AM424" s="107"/>
      <c r="AN424" s="107"/>
      <c r="AO424" s="107"/>
      <c r="AP424" s="107"/>
      <c r="AQ424" s="107"/>
      <c r="AR424" s="107"/>
      <c r="AS424" s="107"/>
      <c r="AT424" s="107"/>
      <c r="AU424" s="107"/>
      <c r="AV424" s="107"/>
      <c r="AW424" s="107"/>
      <c r="AX424" s="107"/>
      <c r="AY424" s="107"/>
      <c r="AZ424" s="107"/>
      <c r="BA424" s="107"/>
      <c r="BB424" s="107"/>
      <c r="BC424" s="107"/>
      <c r="BD424" s="107"/>
      <c r="BE424" s="107"/>
      <c r="BF424" s="107"/>
      <c r="BG424" s="107"/>
      <c r="BH424" s="107"/>
      <c r="BI424" s="107"/>
      <c r="BJ424" s="107"/>
      <c r="BK424" s="107"/>
      <c r="BL424" s="107"/>
      <c r="BM424" s="107"/>
      <c r="BN424" s="107"/>
      <c r="BO424" s="107"/>
      <c r="BP424" s="107"/>
      <c r="BQ424" s="107"/>
      <c r="BR424" s="107"/>
      <c r="BS424" s="107"/>
      <c r="BT424" s="107"/>
      <c r="BU424" s="107"/>
      <c r="BV424" s="107"/>
      <c r="BW424" s="107"/>
      <c r="BX424" s="107"/>
      <c r="BY424" s="107"/>
      <c r="BZ424" s="107"/>
      <c r="CA424" s="107"/>
      <c r="CB424" s="107"/>
      <c r="CC424" s="107"/>
      <c r="CD424" s="107"/>
      <c r="CE424" s="107"/>
      <c r="CF424" s="107"/>
      <c r="CG424" s="107"/>
      <c r="CH424" s="107"/>
      <c r="CI424" s="107"/>
      <c r="CJ424" s="107"/>
      <c r="CK424" s="107"/>
      <c r="CL424" s="107"/>
      <c r="CM424" s="107"/>
      <c r="CN424" s="107"/>
      <c r="CO424" s="107"/>
      <c r="CP424" s="107"/>
      <c r="CQ424" s="107"/>
      <c r="CR424" s="107"/>
      <c r="CS424" s="107"/>
      <c r="CT424" s="107"/>
      <c r="CU424" s="107"/>
      <c r="CV424" s="107"/>
      <c r="CW424" s="107"/>
      <c r="CX424" s="107"/>
      <c r="CY424" s="107"/>
      <c r="CZ424" s="107"/>
      <c r="DA424" s="107"/>
      <c r="DB424" s="107"/>
      <c r="DC424" s="107"/>
      <c r="DD424" s="107"/>
      <c r="DE424" s="107"/>
      <c r="DF424" s="107"/>
      <c r="DG424" s="107"/>
      <c r="DH424" s="107"/>
      <c r="DI424" s="107"/>
      <c r="DJ424" s="107"/>
      <c r="DK424" s="342"/>
      <c r="DL424" s="342"/>
      <c r="DM424" s="342"/>
      <c r="DN424" s="342"/>
      <c r="DO424" s="342"/>
      <c r="DP424" s="342"/>
      <c r="DQ424" s="342"/>
      <c r="DR424" s="342"/>
      <c r="DS424" s="342"/>
    </row>
    <row r="425" spans="1:128" s="218" customFormat="1" ht="13.5" customHeight="1" thickBot="1">
      <c r="A425" s="358"/>
      <c r="B425" s="359">
        <v>41640</v>
      </c>
      <c r="C425" s="345">
        <v>41671</v>
      </c>
      <c r="D425" s="345">
        <v>41699</v>
      </c>
      <c r="E425" s="345">
        <v>41730</v>
      </c>
      <c r="F425" s="345">
        <v>41760</v>
      </c>
      <c r="G425" s="345">
        <v>41791</v>
      </c>
      <c r="H425" s="345">
        <v>41821</v>
      </c>
      <c r="I425" s="345">
        <v>41852</v>
      </c>
      <c r="J425" s="345">
        <v>41883</v>
      </c>
      <c r="K425" s="345">
        <v>41913</v>
      </c>
      <c r="L425" s="345">
        <v>41944</v>
      </c>
      <c r="M425" s="346">
        <v>41974</v>
      </c>
      <c r="N425" s="107"/>
      <c r="O425" s="107"/>
      <c r="P425" s="107"/>
      <c r="Q425" s="107"/>
      <c r="R425" s="107"/>
      <c r="S425" s="107"/>
      <c r="T425" s="107"/>
      <c r="U425" s="107"/>
      <c r="V425" s="107"/>
      <c r="W425" s="107"/>
      <c r="X425" s="107"/>
      <c r="Y425" s="107"/>
      <c r="Z425" s="107"/>
      <c r="AA425" s="107"/>
      <c r="AB425" s="107"/>
      <c r="AC425" s="107"/>
      <c r="AD425" s="107"/>
      <c r="AE425" s="107"/>
      <c r="AF425" s="107"/>
      <c r="AG425" s="107"/>
      <c r="AH425" s="107"/>
      <c r="AI425" s="107"/>
      <c r="AJ425" s="107"/>
      <c r="AK425" s="107"/>
      <c r="AL425" s="107"/>
      <c r="AM425" s="107"/>
      <c r="AN425" s="107"/>
      <c r="AO425" s="107"/>
      <c r="AP425" s="107"/>
      <c r="AQ425" s="107"/>
      <c r="AR425" s="107"/>
      <c r="AS425" s="107"/>
      <c r="AT425" s="107"/>
      <c r="AU425" s="107"/>
      <c r="AV425" s="107"/>
      <c r="AW425" s="107"/>
      <c r="AX425" s="107"/>
      <c r="AY425" s="107"/>
      <c r="AZ425" s="107"/>
      <c r="BA425" s="107"/>
      <c r="BB425" s="107"/>
      <c r="BC425" s="107"/>
      <c r="BD425" s="107"/>
      <c r="BE425" s="107"/>
      <c r="BF425" s="107"/>
      <c r="BG425" s="107"/>
      <c r="BH425" s="107"/>
      <c r="BI425" s="107"/>
      <c r="BJ425" s="107"/>
      <c r="BK425" s="107"/>
      <c r="BL425" s="107"/>
      <c r="BM425" s="107"/>
      <c r="BN425" s="107"/>
      <c r="BO425" s="107"/>
      <c r="BP425" s="107"/>
      <c r="BQ425" s="107"/>
      <c r="BR425" s="107"/>
      <c r="BS425" s="107"/>
      <c r="BT425" s="107"/>
      <c r="BU425" s="107"/>
      <c r="BV425" s="107"/>
      <c r="BW425" s="107"/>
      <c r="BX425" s="107"/>
      <c r="BY425" s="107"/>
      <c r="BZ425" s="107"/>
      <c r="CA425" s="107"/>
      <c r="CB425" s="107"/>
      <c r="CC425" s="107"/>
      <c r="CD425" s="107"/>
      <c r="CE425" s="107"/>
      <c r="CF425" s="107"/>
      <c r="CG425" s="107"/>
      <c r="CH425" s="107"/>
      <c r="CI425" s="107"/>
      <c r="CJ425" s="107"/>
      <c r="CK425" s="107"/>
      <c r="CL425" s="107"/>
      <c r="CM425" s="107"/>
      <c r="CN425" s="107"/>
      <c r="CO425" s="107"/>
      <c r="CP425" s="107"/>
      <c r="CQ425" s="107"/>
      <c r="CR425" s="107"/>
      <c r="CS425" s="107"/>
      <c r="CT425" s="107"/>
      <c r="CU425" s="107"/>
      <c r="CV425" s="107"/>
      <c r="CW425" s="107"/>
      <c r="CX425" s="107"/>
      <c r="CY425" s="107"/>
      <c r="CZ425" s="107"/>
      <c r="DA425" s="107"/>
      <c r="DB425" s="107"/>
      <c r="DC425" s="107"/>
      <c r="DD425" s="107"/>
      <c r="DE425" s="107"/>
      <c r="DF425" s="107"/>
      <c r="DG425" s="107"/>
      <c r="DH425" s="107"/>
      <c r="DI425" s="107"/>
      <c r="DJ425" s="107"/>
      <c r="DK425" s="342"/>
      <c r="DL425" s="342"/>
      <c r="DM425" s="342"/>
      <c r="DN425" s="342"/>
      <c r="DO425" s="342"/>
      <c r="DP425" s="342"/>
      <c r="DQ425" s="342"/>
      <c r="DR425" s="342"/>
      <c r="DS425" s="342"/>
    </row>
    <row r="426" spans="1:128" s="218" customFormat="1" ht="13.5" customHeight="1" thickBot="1">
      <c r="A426" s="361" t="s">
        <v>260</v>
      </c>
      <c r="B426" s="368">
        <v>718000</v>
      </c>
      <c r="C426" s="369">
        <v>735000</v>
      </c>
      <c r="D426" s="369">
        <v>732000</v>
      </c>
      <c r="E426" s="369">
        <v>733000</v>
      </c>
      <c r="F426" s="369">
        <v>739000</v>
      </c>
      <c r="G426" s="369">
        <v>732000</v>
      </c>
      <c r="H426" s="369">
        <v>729000</v>
      </c>
      <c r="I426" s="369">
        <v>731000</v>
      </c>
      <c r="J426" s="369">
        <v>723000</v>
      </c>
      <c r="K426" s="369">
        <v>717000</v>
      </c>
      <c r="L426" s="369">
        <v>704000</v>
      </c>
      <c r="M426" s="370">
        <v>691000</v>
      </c>
      <c r="N426" s="107"/>
      <c r="O426" s="107"/>
      <c r="P426" s="107"/>
      <c r="Q426" s="107"/>
      <c r="R426" s="107"/>
      <c r="S426" s="107"/>
      <c r="T426" s="107"/>
      <c r="U426" s="107"/>
      <c r="V426" s="107"/>
      <c r="W426" s="107"/>
      <c r="X426" s="107"/>
      <c r="Y426" s="107"/>
      <c r="Z426" s="107"/>
      <c r="AA426" s="107"/>
      <c r="AB426" s="107"/>
      <c r="AC426" s="107"/>
      <c r="AD426" s="107"/>
      <c r="AE426" s="107"/>
      <c r="AF426" s="107"/>
      <c r="AG426" s="107"/>
      <c r="AH426" s="107"/>
      <c r="AI426" s="107"/>
      <c r="AJ426" s="107"/>
      <c r="AK426" s="107"/>
      <c r="AL426" s="107"/>
      <c r="AM426" s="107"/>
      <c r="AN426" s="107"/>
      <c r="AO426" s="107"/>
      <c r="AP426" s="107"/>
      <c r="AQ426" s="107"/>
      <c r="AR426" s="107"/>
      <c r="AS426" s="107"/>
      <c r="AT426" s="107"/>
      <c r="AU426" s="107"/>
      <c r="AV426" s="107"/>
      <c r="AW426" s="107"/>
      <c r="AX426" s="107"/>
      <c r="AY426" s="107"/>
      <c r="AZ426" s="107"/>
      <c r="BA426" s="107"/>
      <c r="BB426" s="107"/>
      <c r="BC426" s="107"/>
      <c r="BD426" s="107"/>
      <c r="BE426" s="107"/>
      <c r="BF426" s="107"/>
      <c r="BG426" s="107"/>
      <c r="BH426" s="107"/>
      <c r="BI426" s="107"/>
      <c r="BJ426" s="107"/>
      <c r="BK426" s="107"/>
      <c r="BL426" s="107"/>
      <c r="BM426" s="107"/>
      <c r="BN426" s="107"/>
      <c r="BO426" s="107"/>
      <c r="BP426" s="107"/>
      <c r="BQ426" s="107"/>
      <c r="BR426" s="107"/>
      <c r="BS426" s="107"/>
      <c r="BT426" s="107"/>
      <c r="BU426" s="107"/>
      <c r="BV426" s="107"/>
      <c r="BW426" s="107"/>
      <c r="BX426" s="107"/>
      <c r="BY426" s="107"/>
      <c r="BZ426" s="107"/>
      <c r="CA426" s="107"/>
      <c r="CB426" s="107"/>
      <c r="CC426" s="107"/>
      <c r="CD426" s="107"/>
      <c r="CE426" s="107"/>
      <c r="CF426" s="107"/>
      <c r="CG426" s="107"/>
      <c r="CH426" s="107"/>
      <c r="CI426" s="107"/>
      <c r="CJ426" s="107"/>
      <c r="CK426" s="107"/>
      <c r="CL426" s="107"/>
      <c r="CM426" s="107"/>
      <c r="CN426" s="107"/>
      <c r="CO426" s="107"/>
      <c r="CP426" s="107"/>
      <c r="CQ426" s="107"/>
      <c r="CR426" s="107"/>
      <c r="CS426" s="107"/>
      <c r="CT426" s="107"/>
      <c r="CU426" s="107"/>
      <c r="CV426" s="107"/>
      <c r="CW426" s="107"/>
      <c r="CX426" s="107"/>
      <c r="CY426" s="107"/>
      <c r="CZ426" s="107"/>
      <c r="DA426" s="107"/>
      <c r="DB426" s="107"/>
      <c r="DC426" s="107"/>
      <c r="DD426" s="107"/>
      <c r="DE426" s="107"/>
      <c r="DF426" s="107"/>
      <c r="DG426" s="107"/>
      <c r="DH426" s="107"/>
      <c r="DI426" s="107"/>
      <c r="DJ426" s="107"/>
      <c r="DK426" s="342"/>
      <c r="DL426" s="342"/>
      <c r="DM426" s="342"/>
      <c r="DN426" s="342"/>
      <c r="DO426" s="342"/>
      <c r="DP426" s="342"/>
      <c r="DQ426" s="342"/>
      <c r="DR426" s="342"/>
      <c r="DS426" s="342"/>
    </row>
    <row r="427" spans="1:128" s="218" customFormat="1" ht="13.5" customHeight="1" thickBot="1">
      <c r="A427" s="358"/>
      <c r="B427" s="51"/>
      <c r="C427" s="51"/>
      <c r="D427" s="51"/>
      <c r="E427" s="51"/>
      <c r="F427" s="51"/>
      <c r="G427" s="51"/>
      <c r="H427" s="51"/>
      <c r="I427" s="51"/>
      <c r="J427" s="51"/>
      <c r="K427" s="51"/>
      <c r="L427" s="51"/>
      <c r="M427" s="51"/>
      <c r="N427" s="107"/>
      <c r="O427" s="107"/>
      <c r="P427" s="107"/>
      <c r="Q427" s="107"/>
      <c r="R427" s="107"/>
      <c r="S427" s="107"/>
      <c r="T427" s="107"/>
      <c r="U427" s="107"/>
      <c r="V427" s="107"/>
      <c r="W427" s="107"/>
      <c r="X427" s="107"/>
      <c r="Y427" s="107"/>
      <c r="Z427" s="107"/>
      <c r="AA427" s="107"/>
      <c r="AB427" s="107"/>
      <c r="AC427" s="107"/>
      <c r="AD427" s="107"/>
      <c r="AE427" s="107"/>
      <c r="AF427" s="107"/>
      <c r="AG427" s="107"/>
      <c r="AH427" s="107"/>
      <c r="AI427" s="107"/>
      <c r="AJ427" s="107"/>
      <c r="AK427" s="107"/>
      <c r="AL427" s="107"/>
      <c r="AM427" s="107"/>
      <c r="AN427" s="107"/>
      <c r="AO427" s="107"/>
      <c r="AP427" s="107"/>
      <c r="AQ427" s="107"/>
      <c r="AR427" s="107"/>
      <c r="AS427" s="107"/>
      <c r="AT427" s="107"/>
      <c r="AU427" s="107"/>
      <c r="AV427" s="107"/>
      <c r="AW427" s="107"/>
      <c r="AX427" s="107"/>
      <c r="AY427" s="107"/>
      <c r="AZ427" s="107"/>
      <c r="BA427" s="107"/>
      <c r="BB427" s="107"/>
      <c r="BC427" s="107"/>
      <c r="BD427" s="107"/>
      <c r="BE427" s="107"/>
      <c r="BF427" s="107"/>
      <c r="BG427" s="107"/>
      <c r="BH427" s="107"/>
      <c r="BI427" s="107"/>
      <c r="BJ427" s="107"/>
      <c r="BK427" s="107"/>
      <c r="BL427" s="107"/>
      <c r="BM427" s="107"/>
      <c r="BN427" s="107"/>
      <c r="BO427" s="107"/>
      <c r="BP427" s="107"/>
      <c r="BQ427" s="107"/>
      <c r="BR427" s="107"/>
      <c r="BS427" s="107"/>
      <c r="BT427" s="107"/>
      <c r="BU427" s="107"/>
      <c r="BV427" s="107"/>
      <c r="BW427" s="107"/>
      <c r="BX427" s="107"/>
      <c r="BY427" s="107"/>
      <c r="BZ427" s="107"/>
      <c r="CA427" s="107"/>
      <c r="CB427" s="107"/>
      <c r="CC427" s="107"/>
      <c r="CD427" s="107"/>
      <c r="CE427" s="107"/>
      <c r="CF427" s="107"/>
      <c r="CG427" s="107"/>
      <c r="CH427" s="107"/>
      <c r="CI427" s="107"/>
      <c r="CJ427" s="107"/>
      <c r="CK427" s="107"/>
      <c r="CL427" s="107"/>
      <c r="CM427" s="107"/>
      <c r="CN427" s="107"/>
      <c r="CO427" s="107"/>
      <c r="CP427" s="107"/>
      <c r="CQ427" s="107"/>
      <c r="CR427" s="107"/>
      <c r="CS427" s="107"/>
      <c r="CT427" s="107"/>
      <c r="CU427" s="107"/>
      <c r="CV427" s="107"/>
      <c r="CW427" s="107"/>
      <c r="CX427" s="107"/>
      <c r="CY427" s="107"/>
      <c r="CZ427" s="107"/>
      <c r="DA427" s="107"/>
      <c r="DB427" s="107"/>
      <c r="DC427" s="107"/>
      <c r="DD427" s="107"/>
      <c r="DE427" s="107"/>
      <c r="DF427" s="107"/>
      <c r="DG427" s="107"/>
      <c r="DH427" s="107"/>
      <c r="DI427" s="107"/>
      <c r="DJ427" s="107"/>
      <c r="DK427" s="342"/>
      <c r="DL427" s="342"/>
      <c r="DM427" s="342"/>
      <c r="DN427" s="342"/>
      <c r="DO427" s="342"/>
      <c r="DP427" s="342"/>
      <c r="DQ427" s="342"/>
      <c r="DR427" s="342"/>
      <c r="DS427" s="342"/>
    </row>
    <row r="428" spans="1:128" s="218" customFormat="1" ht="13.5" customHeight="1" thickBot="1">
      <c r="A428" s="358"/>
      <c r="B428" s="399">
        <v>42005</v>
      </c>
      <c r="C428" s="400">
        <v>42036</v>
      </c>
      <c r="D428" s="400">
        <v>42064</v>
      </c>
      <c r="E428" s="400">
        <v>42095</v>
      </c>
      <c r="F428" s="372">
        <v>42125</v>
      </c>
      <c r="G428" s="51"/>
      <c r="H428" s="51"/>
      <c r="I428" s="51"/>
      <c r="J428" s="51"/>
      <c r="K428" s="51"/>
      <c r="L428" s="51"/>
      <c r="M428" s="51"/>
      <c r="N428" s="107"/>
      <c r="O428" s="107"/>
      <c r="P428" s="107"/>
      <c r="Q428" s="107"/>
      <c r="R428" s="107"/>
      <c r="S428" s="107"/>
      <c r="T428" s="107"/>
      <c r="U428" s="107"/>
      <c r="V428" s="107"/>
      <c r="W428" s="107"/>
      <c r="X428" s="107"/>
      <c r="Y428" s="107"/>
      <c r="Z428" s="107"/>
      <c r="AA428" s="107"/>
      <c r="AB428" s="107"/>
      <c r="AC428" s="107"/>
      <c r="AD428" s="107"/>
      <c r="AE428" s="107"/>
      <c r="AF428" s="107"/>
      <c r="AG428" s="107"/>
      <c r="AH428" s="107"/>
      <c r="AI428" s="107"/>
      <c r="AJ428" s="107"/>
      <c r="AK428" s="107"/>
      <c r="AL428" s="107"/>
      <c r="AM428" s="107"/>
      <c r="AN428" s="107"/>
      <c r="AO428" s="107"/>
      <c r="AP428" s="107"/>
      <c r="AQ428" s="107"/>
      <c r="AR428" s="107"/>
      <c r="AS428" s="107"/>
      <c r="AT428" s="107"/>
      <c r="AU428" s="107"/>
      <c r="AV428" s="107"/>
      <c r="AW428" s="107"/>
      <c r="AX428" s="107"/>
      <c r="AY428" s="107"/>
      <c r="AZ428" s="107"/>
      <c r="BA428" s="107"/>
      <c r="BB428" s="107"/>
      <c r="BC428" s="107"/>
      <c r="BD428" s="107"/>
      <c r="BE428" s="107"/>
      <c r="BF428" s="107"/>
      <c r="BG428" s="107"/>
      <c r="BH428" s="107"/>
      <c r="BI428" s="107"/>
      <c r="BJ428" s="107"/>
      <c r="BK428" s="107"/>
      <c r="BL428" s="107"/>
      <c r="BM428" s="107"/>
      <c r="BN428" s="107"/>
      <c r="BO428" s="107"/>
      <c r="BP428" s="107"/>
      <c r="BQ428" s="107"/>
      <c r="BR428" s="107"/>
      <c r="BS428" s="107"/>
      <c r="BT428" s="107"/>
      <c r="BU428" s="107"/>
      <c r="BV428" s="107"/>
      <c r="BW428" s="107"/>
      <c r="BX428" s="107"/>
      <c r="BY428" s="107"/>
      <c r="BZ428" s="107"/>
      <c r="CA428" s="107"/>
      <c r="CB428" s="107"/>
      <c r="CC428" s="107"/>
      <c r="CD428" s="107"/>
      <c r="CE428" s="107"/>
      <c r="CF428" s="107"/>
      <c r="CG428" s="107"/>
      <c r="CH428" s="107"/>
      <c r="CI428" s="107"/>
      <c r="CJ428" s="107"/>
      <c r="CK428" s="107"/>
      <c r="CL428" s="107"/>
      <c r="CM428" s="107"/>
      <c r="CN428" s="107"/>
      <c r="CO428" s="107"/>
      <c r="CP428" s="107"/>
      <c r="CQ428" s="107"/>
      <c r="CR428" s="107"/>
      <c r="CS428" s="107"/>
      <c r="CT428" s="107"/>
      <c r="CU428" s="107"/>
      <c r="CV428" s="107"/>
      <c r="CW428" s="107"/>
      <c r="CX428" s="107"/>
      <c r="CY428" s="107"/>
      <c r="CZ428" s="107"/>
      <c r="DA428" s="107"/>
      <c r="DB428" s="107"/>
      <c r="DC428" s="107"/>
      <c r="DD428" s="107"/>
      <c r="DE428" s="107"/>
      <c r="DF428" s="107"/>
      <c r="DG428" s="107"/>
      <c r="DH428" s="107"/>
      <c r="DI428" s="107"/>
      <c r="DJ428" s="107"/>
      <c r="DK428" s="342"/>
      <c r="DL428" s="342"/>
      <c r="DM428" s="342"/>
      <c r="DN428" s="342"/>
      <c r="DO428" s="342"/>
      <c r="DP428" s="342"/>
      <c r="DQ428" s="342"/>
      <c r="DR428" s="342"/>
      <c r="DS428" s="342"/>
    </row>
    <row r="429" spans="1:128" s="218" customFormat="1" ht="13.5" customHeight="1" thickBot="1">
      <c r="A429" s="361" t="s">
        <v>260</v>
      </c>
      <c r="B429" s="368">
        <v>695000</v>
      </c>
      <c r="C429" s="369">
        <v>688000</v>
      </c>
      <c r="D429" s="369">
        <v>697000</v>
      </c>
      <c r="E429" s="369">
        <v>702000</v>
      </c>
      <c r="F429" s="370">
        <v>711000</v>
      </c>
      <c r="G429" s="51"/>
      <c r="H429" s="51"/>
      <c r="I429" s="51"/>
      <c r="J429" s="51"/>
      <c r="K429" s="51"/>
      <c r="L429" s="51"/>
      <c r="M429" s="51"/>
      <c r="N429" s="107"/>
      <c r="O429" s="107"/>
      <c r="P429" s="107"/>
      <c r="Q429" s="107"/>
      <c r="R429" s="107"/>
      <c r="S429" s="107"/>
      <c r="T429" s="107"/>
      <c r="U429" s="107"/>
      <c r="V429" s="107"/>
      <c r="W429" s="107"/>
      <c r="X429" s="107"/>
      <c r="Y429" s="107"/>
      <c r="Z429" s="107"/>
      <c r="AA429" s="107"/>
      <c r="AB429" s="107"/>
      <c r="AC429" s="107"/>
      <c r="AD429" s="107"/>
      <c r="AE429" s="107"/>
      <c r="AF429" s="107"/>
      <c r="AG429" s="107"/>
      <c r="AH429" s="107"/>
      <c r="AI429" s="107"/>
      <c r="AJ429" s="107"/>
      <c r="AK429" s="107"/>
      <c r="AL429" s="107"/>
      <c r="AM429" s="107"/>
      <c r="AN429" s="107"/>
      <c r="AO429" s="107"/>
      <c r="AP429" s="107"/>
      <c r="AQ429" s="107"/>
      <c r="AR429" s="107"/>
      <c r="AS429" s="107"/>
      <c r="AT429" s="107"/>
      <c r="AU429" s="107"/>
      <c r="AV429" s="107"/>
      <c r="AW429" s="107"/>
      <c r="AX429" s="107"/>
      <c r="AY429" s="107"/>
      <c r="AZ429" s="107"/>
      <c r="BA429" s="107"/>
      <c r="BB429" s="107"/>
      <c r="BC429" s="107"/>
      <c r="BD429" s="107"/>
      <c r="BE429" s="107"/>
      <c r="BF429" s="107"/>
      <c r="BG429" s="107"/>
      <c r="BH429" s="107"/>
      <c r="BI429" s="107"/>
      <c r="BJ429" s="107"/>
      <c r="BK429" s="107"/>
      <c r="BL429" s="107"/>
      <c r="BM429" s="107"/>
      <c r="BN429" s="107"/>
      <c r="BO429" s="107"/>
      <c r="BP429" s="107"/>
      <c r="BQ429" s="107"/>
      <c r="BR429" s="107"/>
      <c r="BS429" s="107"/>
      <c r="BT429" s="107"/>
      <c r="BU429" s="107"/>
      <c r="BV429" s="107"/>
      <c r="BW429" s="107"/>
      <c r="BX429" s="107"/>
      <c r="BY429" s="107"/>
      <c r="BZ429" s="107"/>
      <c r="CA429" s="107"/>
      <c r="CB429" s="107"/>
      <c r="CC429" s="107"/>
      <c r="CD429" s="107"/>
      <c r="CE429" s="107"/>
      <c r="CF429" s="107"/>
      <c r="CG429" s="107"/>
      <c r="CH429" s="107"/>
      <c r="CI429" s="107"/>
      <c r="CJ429" s="107"/>
      <c r="CK429" s="107"/>
      <c r="CL429" s="107"/>
      <c r="CM429" s="107"/>
      <c r="CN429" s="107"/>
      <c r="CO429" s="107"/>
      <c r="CP429" s="107"/>
      <c r="CQ429" s="107"/>
      <c r="CR429" s="107"/>
      <c r="CS429" s="107"/>
      <c r="CT429" s="107"/>
      <c r="CU429" s="107"/>
      <c r="CV429" s="107"/>
      <c r="CW429" s="107"/>
      <c r="CX429" s="107"/>
      <c r="CY429" s="107"/>
      <c r="CZ429" s="107"/>
      <c r="DA429" s="107"/>
      <c r="DB429" s="107"/>
      <c r="DC429" s="107"/>
      <c r="DD429" s="107"/>
      <c r="DE429" s="107"/>
      <c r="DF429" s="107"/>
      <c r="DG429" s="107"/>
      <c r="DH429" s="107"/>
      <c r="DI429" s="107"/>
      <c r="DJ429" s="107"/>
      <c r="DK429" s="342"/>
      <c r="DL429" s="342"/>
      <c r="DM429" s="342"/>
      <c r="DN429" s="342"/>
      <c r="DO429" s="342"/>
      <c r="DP429" s="342"/>
      <c r="DQ429" s="342"/>
      <c r="DR429" s="342"/>
      <c r="DS429" s="342"/>
    </row>
    <row r="430" spans="1:128" ht="13.5" customHeight="1">
      <c r="A430" s="6" t="s">
        <v>261</v>
      </c>
      <c r="B430" s="256"/>
      <c r="C430" s="256"/>
      <c r="D430" s="256"/>
      <c r="E430" s="256"/>
      <c r="F430" s="256"/>
      <c r="G430" s="256"/>
      <c r="H430" s="256"/>
      <c r="I430" s="256"/>
      <c r="J430" s="256"/>
      <c r="K430" s="256"/>
      <c r="L430" s="256"/>
      <c r="M430" s="41"/>
      <c r="N430" s="41"/>
      <c r="O430" s="41"/>
      <c r="P430" s="41"/>
      <c r="Q430" s="41"/>
      <c r="R430" s="41"/>
      <c r="S430" s="41"/>
      <c r="T430" s="41"/>
      <c r="U430" s="41"/>
      <c r="V430" s="41"/>
      <c r="W430" s="4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271"/>
      <c r="DR430" s="271"/>
      <c r="DS430" s="271"/>
    </row>
    <row r="431" spans="1:128" ht="13.5" customHeight="1">
      <c r="A431" s="289" t="s">
        <v>262</v>
      </c>
      <c r="B431" s="23"/>
      <c r="C431" s="41"/>
      <c r="D431" s="41"/>
      <c r="E431" s="41"/>
      <c r="F431" s="41"/>
      <c r="G431" s="41"/>
      <c r="H431" s="41"/>
      <c r="I431" s="41"/>
      <c r="J431" s="41"/>
      <c r="K431" s="41"/>
      <c r="L431" s="41"/>
      <c r="M431" s="41"/>
      <c r="N431" s="41"/>
      <c r="O431" s="41"/>
      <c r="P431" s="41"/>
      <c r="Q431" s="41"/>
      <c r="R431" s="41"/>
      <c r="S431" s="41"/>
      <c r="T431" s="41"/>
      <c r="U431" s="41"/>
      <c r="V431" s="41"/>
      <c r="W431" s="4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9"/>
      <c r="CJ431" s="9"/>
      <c r="CK431" s="9"/>
      <c r="CL431" s="9"/>
      <c r="CM431" s="9"/>
      <c r="CN431" s="9"/>
      <c r="CO431" s="9"/>
      <c r="CP431" s="9"/>
      <c r="CQ431" s="9"/>
      <c r="CR431" s="9"/>
      <c r="CS431" s="9"/>
      <c r="CT431" s="282"/>
      <c r="CU431" s="282"/>
      <c r="CV431" s="282"/>
      <c r="CW431" s="282"/>
      <c r="CX431" s="282"/>
      <c r="CY431" s="282"/>
      <c r="CZ431" s="282"/>
      <c r="DA431" s="282"/>
      <c r="DB431" s="1"/>
      <c r="DC431" s="1"/>
      <c r="DD431" s="1"/>
      <c r="DE431" s="1"/>
      <c r="DF431" s="373"/>
      <c r="DG431" s="373"/>
      <c r="DH431" s="373"/>
      <c r="DI431" s="373"/>
      <c r="DJ431" s="373"/>
      <c r="DK431" s="373"/>
      <c r="DL431" s="373"/>
      <c r="DM431" s="373"/>
      <c r="DN431" s="373"/>
      <c r="DO431" s="373"/>
      <c r="DP431" s="373"/>
      <c r="DQ431" s="373"/>
      <c r="DR431" s="373"/>
      <c r="DS431" s="373"/>
      <c r="DT431" s="373"/>
      <c r="DU431" s="1"/>
      <c r="DV431" s="1"/>
      <c r="DW431" s="1"/>
      <c r="DX431" s="1"/>
    </row>
    <row r="432" spans="1:128" ht="13.5" customHeight="1">
      <c r="A432" s="6" t="s">
        <v>263</v>
      </c>
      <c r="B432" s="374"/>
      <c r="C432" s="374"/>
      <c r="D432" s="374"/>
      <c r="E432" s="374"/>
      <c r="F432" s="374"/>
      <c r="G432" s="374"/>
      <c r="H432" s="374"/>
      <c r="I432" s="374"/>
      <c r="J432" s="374"/>
      <c r="K432" s="374"/>
      <c r="L432" s="374"/>
      <c r="M432" s="374"/>
      <c r="N432" s="374"/>
      <c r="O432" s="374"/>
      <c r="P432" s="374"/>
      <c r="Q432" s="374"/>
      <c r="R432" s="374"/>
      <c r="S432" s="374"/>
      <c r="T432" s="374"/>
      <c r="U432" s="374"/>
      <c r="V432" s="374"/>
      <c r="W432" s="374"/>
      <c r="X432" s="374"/>
      <c r="Y432" s="374"/>
      <c r="Z432" s="374"/>
      <c r="AA432" s="374"/>
      <c r="AB432" s="374"/>
      <c r="AC432" s="374"/>
      <c r="AD432" s="374"/>
      <c r="AE432" s="374"/>
      <c r="AF432" s="374"/>
      <c r="AG432" s="374"/>
      <c r="AH432" s="374"/>
      <c r="AI432" s="374"/>
      <c r="AJ432" s="374"/>
      <c r="AK432" s="374"/>
      <c r="AL432" s="374"/>
      <c r="AM432" s="374"/>
      <c r="AN432" s="374"/>
      <c r="AO432" s="374"/>
      <c r="AP432" s="374"/>
      <c r="AQ432" s="374"/>
      <c r="AR432" s="374"/>
      <c r="AS432" s="374"/>
      <c r="AT432" s="374"/>
      <c r="AU432" s="374"/>
      <c r="AV432" s="374"/>
      <c r="AW432" s="374"/>
      <c r="AX432" s="374"/>
      <c r="AY432" s="374"/>
      <c r="AZ432" s="374"/>
      <c r="BA432" s="374"/>
      <c r="BB432" s="374"/>
      <c r="BC432" s="374"/>
      <c r="BD432" s="374"/>
      <c r="BE432" s="374"/>
      <c r="BF432" s="374"/>
      <c r="BG432" s="374"/>
      <c r="BH432" s="374"/>
      <c r="BI432" s="374"/>
      <c r="BJ432" s="374"/>
      <c r="BK432" s="374"/>
      <c r="BL432" s="374"/>
      <c r="BM432" s="374"/>
      <c r="BN432" s="374"/>
      <c r="BO432" s="374"/>
      <c r="BP432" s="375"/>
      <c r="BQ432" s="375"/>
      <c r="BR432" s="375"/>
      <c r="BS432" s="375"/>
      <c r="BT432" s="375"/>
      <c r="BU432" s="375"/>
      <c r="BV432" s="373"/>
      <c r="BW432" s="373"/>
      <c r="BX432" s="373"/>
      <c r="BY432" s="373"/>
      <c r="BZ432" s="373"/>
      <c r="CA432" s="373"/>
      <c r="CB432" s="373"/>
      <c r="CC432" s="373"/>
      <c r="CD432" s="373"/>
      <c r="CE432" s="373"/>
      <c r="CF432" s="373"/>
      <c r="CG432" s="373"/>
      <c r="CH432" s="373"/>
      <c r="CI432" s="373"/>
      <c r="CJ432" s="373"/>
      <c r="CK432" s="373"/>
      <c r="CL432" s="373"/>
      <c r="CM432" s="373"/>
      <c r="CN432" s="373"/>
      <c r="CO432" s="373"/>
      <c r="CP432" s="373"/>
      <c r="CQ432" s="373"/>
      <c r="CR432" s="373"/>
      <c r="CS432" s="373"/>
      <c r="CT432" s="373"/>
      <c r="CU432" s="373"/>
      <c r="CV432" s="373"/>
      <c r="CW432" s="373"/>
      <c r="CX432" s="373"/>
      <c r="CY432" s="373"/>
      <c r="CZ432" s="373"/>
      <c r="DA432" s="373"/>
      <c r="DB432" s="373"/>
      <c r="DC432" s="373"/>
      <c r="DD432" s="373"/>
      <c r="DE432" s="373"/>
      <c r="DF432" s="373"/>
      <c r="DG432" s="373"/>
      <c r="DH432" s="373"/>
      <c r="DI432" s="373"/>
      <c r="DJ432" s="373"/>
      <c r="DK432" s="373"/>
      <c r="DL432" s="373"/>
      <c r="DM432" s="373"/>
      <c r="DN432" s="373"/>
      <c r="DO432" s="373"/>
      <c r="DP432" s="373"/>
      <c r="DQ432" s="373"/>
      <c r="DR432" s="373"/>
      <c r="DS432" s="373"/>
      <c r="DT432" s="373"/>
      <c r="DU432" s="1"/>
      <c r="DV432" s="1"/>
      <c r="DW432" s="1"/>
      <c r="DX432" s="1"/>
    </row>
    <row r="433" spans="1:128" ht="13.5" customHeight="1">
      <c r="A433" s="6"/>
      <c r="B433" s="374"/>
      <c r="C433" s="374"/>
      <c r="D433" s="374"/>
      <c r="E433" s="374"/>
      <c r="F433" s="374"/>
      <c r="G433" s="374"/>
      <c r="H433" s="374"/>
      <c r="I433" s="374"/>
      <c r="J433" s="374"/>
      <c r="K433" s="374"/>
      <c r="L433" s="374"/>
      <c r="M433" s="374"/>
      <c r="N433" s="374"/>
      <c r="O433" s="374"/>
      <c r="P433" s="374"/>
      <c r="Q433" s="374"/>
      <c r="R433" s="374"/>
      <c r="S433" s="374"/>
      <c r="T433" s="374"/>
      <c r="U433" s="374"/>
      <c r="V433" s="374"/>
      <c r="W433" s="374"/>
      <c r="X433" s="374"/>
      <c r="Y433" s="374"/>
      <c r="Z433" s="374"/>
      <c r="AA433" s="374"/>
      <c r="AB433" s="374"/>
      <c r="AC433" s="374"/>
      <c r="AD433" s="374"/>
      <c r="AE433" s="374"/>
      <c r="AF433" s="374"/>
      <c r="AG433" s="374"/>
      <c r="AH433" s="374"/>
      <c r="AI433" s="374"/>
      <c r="AJ433" s="374"/>
      <c r="AK433" s="374"/>
      <c r="AL433" s="374"/>
      <c r="AM433" s="374"/>
      <c r="AN433" s="374"/>
      <c r="AO433" s="374"/>
      <c r="AP433" s="374"/>
      <c r="AQ433" s="374"/>
      <c r="AR433" s="374"/>
      <c r="AS433" s="374"/>
      <c r="AT433" s="374"/>
      <c r="AU433" s="374"/>
      <c r="AV433" s="374"/>
      <c r="AW433" s="374"/>
      <c r="AX433" s="374"/>
      <c r="AY433" s="374"/>
      <c r="AZ433" s="374"/>
      <c r="BA433" s="374"/>
      <c r="BB433" s="374"/>
      <c r="BC433" s="374"/>
      <c r="BD433" s="374"/>
      <c r="BE433" s="374"/>
      <c r="BF433" s="374"/>
      <c r="BG433" s="374"/>
      <c r="BH433" s="374"/>
      <c r="BI433" s="374"/>
      <c r="BJ433" s="374"/>
      <c r="BK433" s="374"/>
      <c r="BL433" s="374"/>
      <c r="BM433" s="374"/>
      <c r="BN433" s="374"/>
      <c r="BO433" s="374"/>
      <c r="BP433" s="375"/>
      <c r="BQ433" s="375"/>
      <c r="BR433" s="375"/>
      <c r="BS433" s="375"/>
      <c r="BT433" s="375"/>
      <c r="BU433" s="375"/>
      <c r="BV433" s="373"/>
      <c r="BW433" s="373"/>
      <c r="BX433" s="373"/>
      <c r="BY433" s="373"/>
      <c r="BZ433" s="373"/>
      <c r="CA433" s="373"/>
      <c r="CB433" s="373"/>
      <c r="CC433" s="373"/>
      <c r="CD433" s="373"/>
      <c r="CE433" s="373"/>
      <c r="CF433" s="373"/>
      <c r="CG433" s="373"/>
      <c r="CH433" s="373"/>
      <c r="CI433" s="373"/>
      <c r="CJ433" s="373"/>
      <c r="CK433" s="373"/>
      <c r="CL433" s="373"/>
      <c r="CM433" s="373"/>
      <c r="CN433" s="373"/>
      <c r="CO433" s="373"/>
      <c r="CP433" s="373"/>
      <c r="CQ433" s="373"/>
      <c r="CR433" s="373"/>
      <c r="CS433" s="373"/>
      <c r="CT433" s="373"/>
      <c r="CU433" s="373"/>
      <c r="CV433" s="373"/>
      <c r="CW433" s="373"/>
      <c r="CX433" s="373"/>
      <c r="CY433" s="373"/>
      <c r="CZ433" s="373"/>
      <c r="DA433" s="373"/>
      <c r="DB433" s="373"/>
      <c r="DC433" s="373"/>
      <c r="DD433" s="373"/>
      <c r="DE433" s="373"/>
      <c r="DF433" s="373"/>
      <c r="DG433" s="373"/>
      <c r="DH433" s="373"/>
      <c r="DI433" s="373"/>
      <c r="DJ433" s="373"/>
      <c r="DK433" s="373"/>
      <c r="DL433" s="373"/>
      <c r="DM433" s="373"/>
      <c r="DN433" s="373"/>
      <c r="DO433" s="373"/>
      <c r="DP433" s="373"/>
      <c r="DQ433" s="373"/>
      <c r="DR433" s="373"/>
      <c r="DS433" s="373"/>
      <c r="DT433" s="373"/>
      <c r="DU433" s="1"/>
      <c r="DV433" s="1"/>
      <c r="DW433" s="1"/>
      <c r="DX433" s="1"/>
    </row>
    <row r="434" spans="1:128" ht="13.5" customHeight="1">
      <c r="A434" s="42" t="s">
        <v>358</v>
      </c>
      <c r="B434" s="43"/>
      <c r="C434" s="43"/>
      <c r="D434" s="43"/>
      <c r="E434" s="43"/>
      <c r="F434" s="43"/>
      <c r="G434" s="43"/>
      <c r="H434" s="43"/>
      <c r="I434" s="43"/>
      <c r="J434" s="43"/>
      <c r="K434" s="43"/>
      <c r="L434" s="43"/>
      <c r="M434" s="43"/>
      <c r="N434" s="43"/>
      <c r="O434" s="43"/>
      <c r="P434" s="43"/>
      <c r="Q434" s="43"/>
      <c r="R434" s="43"/>
      <c r="S434" s="43"/>
      <c r="T434" s="43"/>
      <c r="U434" s="43"/>
      <c r="V434" s="43"/>
      <c r="W434" s="43"/>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c r="AY434" s="44"/>
      <c r="AZ434" s="44"/>
      <c r="BA434" s="44"/>
      <c r="BB434" s="44"/>
      <c r="BC434" s="44"/>
      <c r="BD434" s="44"/>
      <c r="BE434" s="44"/>
      <c r="BF434" s="44"/>
      <c r="BG434" s="44"/>
      <c r="BH434" s="44"/>
      <c r="BI434" s="44"/>
      <c r="BJ434" s="44"/>
      <c r="BK434" s="44"/>
      <c r="BL434" s="44"/>
      <c r="BM434" s="44"/>
      <c r="BN434" s="44"/>
      <c r="BO434" s="44"/>
      <c r="BP434" s="44"/>
      <c r="BQ434" s="44"/>
      <c r="BR434" s="44"/>
      <c r="BS434" s="44"/>
      <c r="BT434" s="44"/>
      <c r="BU434" s="44"/>
      <c r="BV434" s="44"/>
      <c r="BW434" s="44"/>
      <c r="BX434" s="44"/>
      <c r="BY434" s="44"/>
      <c r="BZ434" s="44"/>
      <c r="CA434" s="44"/>
      <c r="CB434" s="44"/>
      <c r="CC434" s="44"/>
      <c r="CD434" s="44"/>
      <c r="CE434" s="44"/>
      <c r="CF434" s="44"/>
      <c r="CG434" s="44"/>
      <c r="CH434" s="44"/>
      <c r="CI434" s="44"/>
      <c r="CJ434" s="44"/>
      <c r="CK434" s="44"/>
      <c r="CL434" s="44"/>
      <c r="CM434" s="44"/>
      <c r="CN434" s="44"/>
      <c r="CO434" s="44"/>
      <c r="CP434" s="44"/>
      <c r="CQ434" s="44"/>
      <c r="CR434" s="44"/>
      <c r="CS434" s="44"/>
      <c r="CT434" s="44"/>
      <c r="CU434" s="44"/>
      <c r="CV434" s="44"/>
      <c r="CW434" s="44"/>
      <c r="CX434" s="44"/>
      <c r="CY434" s="44"/>
      <c r="CZ434" s="44"/>
      <c r="DA434" s="44"/>
      <c r="DB434" s="44"/>
      <c r="DC434" s="44"/>
      <c r="DD434" s="44"/>
      <c r="DE434" s="44"/>
      <c r="DF434" s="44"/>
      <c r="DG434" s="44"/>
      <c r="DH434" s="44"/>
      <c r="DI434" s="44"/>
      <c r="DJ434" s="44"/>
      <c r="DK434" s="44"/>
      <c r="DL434" s="44"/>
      <c r="DM434" s="44"/>
      <c r="DN434" s="44"/>
      <c r="DO434" s="44"/>
      <c r="DP434" s="44"/>
      <c r="DQ434" s="44"/>
      <c r="DR434" s="44"/>
      <c r="DS434" s="44"/>
      <c r="DT434" s="44"/>
      <c r="DU434" s="44"/>
      <c r="DV434" s="44"/>
      <c r="DW434" s="44"/>
      <c r="DX434" s="44"/>
    </row>
    <row r="435" spans="1:128" ht="13.5" customHeight="1">
      <c r="A435" s="6"/>
      <c r="B435" s="374"/>
      <c r="C435" s="374"/>
      <c r="D435" s="374"/>
      <c r="E435" s="374"/>
      <c r="F435" s="374"/>
      <c r="G435" s="374"/>
      <c r="H435" s="374"/>
      <c r="I435" s="374"/>
      <c r="J435" s="374"/>
      <c r="K435" s="374"/>
      <c r="L435" s="374"/>
      <c r="M435" s="374"/>
      <c r="N435" s="374"/>
      <c r="O435" s="374"/>
      <c r="P435" s="374"/>
      <c r="Q435" s="374"/>
      <c r="R435" s="374"/>
      <c r="S435" s="374"/>
      <c r="T435" s="374"/>
      <c r="U435" s="374"/>
      <c r="V435" s="374"/>
      <c r="W435" s="374"/>
      <c r="X435" s="374"/>
      <c r="Y435" s="374"/>
      <c r="Z435" s="374"/>
      <c r="AA435" s="374"/>
      <c r="AB435" s="374"/>
      <c r="AC435" s="374"/>
      <c r="AD435" s="374"/>
      <c r="AE435" s="374"/>
      <c r="AF435" s="374"/>
      <c r="AG435" s="374"/>
      <c r="AH435" s="374"/>
      <c r="AI435" s="374"/>
      <c r="AJ435" s="374"/>
      <c r="AK435" s="374"/>
      <c r="AL435" s="374"/>
      <c r="AM435" s="374"/>
      <c r="AN435" s="374"/>
      <c r="AO435" s="374"/>
      <c r="AP435" s="374"/>
      <c r="AQ435" s="374"/>
      <c r="AR435" s="374"/>
      <c r="AS435" s="374"/>
      <c r="AT435" s="374"/>
      <c r="AU435" s="374"/>
      <c r="AV435" s="374"/>
      <c r="AW435" s="374"/>
      <c r="AX435" s="374"/>
      <c r="AY435" s="374"/>
      <c r="AZ435" s="374"/>
      <c r="BA435" s="374"/>
      <c r="BB435" s="374"/>
      <c r="BC435" s="374"/>
      <c r="BD435" s="374"/>
      <c r="BE435" s="374"/>
      <c r="BF435" s="374"/>
      <c r="BG435" s="374"/>
      <c r="BH435" s="374"/>
      <c r="BI435" s="374"/>
      <c r="BJ435" s="374"/>
      <c r="BK435" s="374"/>
      <c r="BL435" s="374"/>
      <c r="BM435" s="374"/>
      <c r="BN435" s="374"/>
      <c r="BO435" s="374"/>
      <c r="BP435" s="375"/>
      <c r="BQ435" s="375"/>
      <c r="BR435" s="375"/>
      <c r="BS435" s="375"/>
      <c r="BT435" s="375"/>
      <c r="BU435" s="375"/>
      <c r="BV435" s="373"/>
      <c r="BW435" s="373"/>
      <c r="BX435" s="373"/>
      <c r="BY435" s="373"/>
      <c r="BZ435" s="373"/>
      <c r="CA435" s="373"/>
      <c r="CB435" s="373"/>
      <c r="CC435" s="373"/>
      <c r="CD435" s="373"/>
      <c r="CE435" s="373"/>
      <c r="CF435" s="373"/>
      <c r="CG435" s="373"/>
      <c r="CH435" s="373"/>
      <c r="CI435" s="373"/>
      <c r="CJ435" s="373"/>
      <c r="CK435" s="373"/>
      <c r="CL435" s="373"/>
      <c r="CM435" s="373"/>
      <c r="CN435" s="373"/>
      <c r="CO435" s="373"/>
      <c r="CP435" s="373"/>
      <c r="CQ435" s="373"/>
      <c r="CR435" s="373"/>
      <c r="CS435" s="373"/>
      <c r="CT435" s="373"/>
      <c r="CU435" s="373"/>
      <c r="CV435" s="373"/>
      <c r="CW435" s="373"/>
      <c r="CX435" s="373"/>
      <c r="CY435" s="373"/>
      <c r="CZ435" s="373"/>
      <c r="DA435" s="373"/>
      <c r="DB435" s="373"/>
      <c r="DC435" s="373"/>
      <c r="DD435" s="373"/>
      <c r="DE435" s="373"/>
      <c r="DF435" s="373"/>
      <c r="DG435" s="373"/>
      <c r="DH435" s="373"/>
      <c r="DI435" s="373"/>
      <c r="DJ435" s="373"/>
      <c r="DK435" s="373"/>
      <c r="DL435" s="373"/>
      <c r="DM435" s="373"/>
      <c r="DN435" s="373"/>
      <c r="DO435" s="373"/>
      <c r="DP435" s="373"/>
      <c r="DQ435" s="373"/>
      <c r="DR435" s="373"/>
      <c r="DS435" s="373"/>
      <c r="DT435" s="373"/>
      <c r="DU435" s="1"/>
      <c r="DV435" s="1"/>
      <c r="DW435" s="1"/>
      <c r="DX435" s="1"/>
    </row>
    <row r="436" spans="1:128" ht="13.5" customHeight="1">
      <c r="A436" s="23" t="s">
        <v>411</v>
      </c>
      <c r="B436" s="8" t="s">
        <v>360</v>
      </c>
      <c r="C436" s="15"/>
      <c r="D436" s="15"/>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1"/>
      <c r="AX436" s="41"/>
      <c r="AY436" s="41"/>
      <c r="AZ436" s="41"/>
      <c r="BA436" s="41"/>
      <c r="BB436" s="41"/>
      <c r="BC436" s="41"/>
      <c r="BD436" s="41"/>
      <c r="BE436" s="41"/>
      <c r="BF436" s="41"/>
      <c r="BG436" s="41"/>
      <c r="BH436" s="41"/>
      <c r="BI436" s="41"/>
      <c r="BJ436" s="41"/>
      <c r="BK436" s="41"/>
      <c r="BL436" s="41"/>
      <c r="BM436" s="41"/>
      <c r="BN436" s="41"/>
      <c r="BO436" s="41"/>
      <c r="BP436" s="41"/>
      <c r="BQ436" s="41"/>
      <c r="BR436" s="41"/>
      <c r="BS436" s="41"/>
      <c r="BT436" s="41"/>
      <c r="BU436" s="41"/>
      <c r="BV436" s="41"/>
      <c r="BW436" s="41"/>
      <c r="BX436" s="41"/>
      <c r="BY436" s="41"/>
      <c r="BZ436" s="41"/>
      <c r="CA436" s="41"/>
      <c r="CB436" s="41"/>
      <c r="CC436" s="41"/>
      <c r="CD436" s="41"/>
      <c r="CE436" s="41"/>
      <c r="CF436" s="41"/>
      <c r="CG436" s="41"/>
      <c r="CH436" s="41"/>
      <c r="CI436" s="41"/>
      <c r="CJ436" s="41"/>
      <c r="CK436" s="41"/>
      <c r="CL436" s="41"/>
      <c r="CM436" s="41"/>
      <c r="CN436" s="41"/>
      <c r="CO436" s="41"/>
      <c r="CP436" s="41"/>
      <c r="CQ436" s="41"/>
      <c r="CR436" s="41"/>
      <c r="CS436" s="41"/>
      <c r="CT436" s="41"/>
      <c r="CU436" s="41"/>
      <c r="CV436" s="41"/>
      <c r="CW436" s="41"/>
      <c r="CX436" s="41"/>
      <c r="CY436" s="41"/>
      <c r="CZ436" s="41"/>
      <c r="DA436" s="41"/>
      <c r="DB436" s="41"/>
      <c r="DC436" s="41"/>
      <c r="DD436" s="41"/>
      <c r="DE436" s="41"/>
      <c r="DF436" s="41"/>
      <c r="DG436" s="41"/>
      <c r="DH436" s="41"/>
      <c r="DI436" s="41"/>
      <c r="DJ436" s="41"/>
      <c r="DK436" s="41"/>
      <c r="DL436" s="41"/>
      <c r="DM436" s="41"/>
      <c r="DN436" s="41"/>
      <c r="DO436" s="41"/>
      <c r="DP436" s="41"/>
      <c r="DQ436" s="41"/>
      <c r="DR436" s="41"/>
      <c r="DS436" s="41"/>
      <c r="DT436" s="41"/>
      <c r="DU436" s="41"/>
      <c r="DV436" s="41"/>
      <c r="DW436" s="41"/>
      <c r="DX436" s="41"/>
    </row>
    <row r="437" spans="1:128" ht="13.5" customHeight="1" thickBo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c r="BE437" s="41"/>
      <c r="BF437" s="41"/>
      <c r="BG437" s="41"/>
      <c r="BH437" s="41"/>
      <c r="BI437" s="41"/>
      <c r="BJ437" s="41"/>
      <c r="BK437" s="41"/>
      <c r="BL437" s="41"/>
      <c r="BM437" s="41"/>
      <c r="BN437" s="41"/>
      <c r="BO437" s="41"/>
      <c r="BP437" s="41"/>
      <c r="BQ437" s="41"/>
      <c r="BR437" s="41"/>
      <c r="BS437" s="41"/>
      <c r="BT437" s="41"/>
      <c r="BU437" s="41"/>
      <c r="BV437" s="41"/>
      <c r="BW437" s="41"/>
      <c r="BX437" s="41"/>
      <c r="BY437" s="41"/>
      <c r="BZ437" s="41"/>
      <c r="CA437" s="41"/>
      <c r="CB437" s="41"/>
      <c r="CC437" s="41"/>
      <c r="CD437" s="41"/>
      <c r="CE437" s="41"/>
      <c r="CF437" s="41"/>
      <c r="CG437" s="41"/>
      <c r="CH437" s="41"/>
      <c r="CI437" s="41"/>
      <c r="CJ437" s="41"/>
      <c r="CK437" s="41"/>
      <c r="CL437" s="41"/>
      <c r="CM437" s="41"/>
      <c r="CN437" s="41"/>
      <c r="CO437" s="41"/>
      <c r="CP437" s="41"/>
      <c r="CQ437" s="41"/>
      <c r="CR437" s="41"/>
      <c r="CS437" s="41"/>
      <c r="CT437" s="41"/>
      <c r="CU437" s="41"/>
      <c r="CV437" s="41"/>
      <c r="CW437" s="41"/>
      <c r="CX437" s="41"/>
      <c r="CY437" s="41"/>
      <c r="CZ437" s="41"/>
      <c r="DA437" s="41"/>
      <c r="DB437" s="41"/>
      <c r="DC437" s="41"/>
      <c r="DD437" s="41"/>
      <c r="DE437" s="41"/>
      <c r="DF437" s="41"/>
      <c r="DG437" s="41"/>
      <c r="DH437" s="41"/>
      <c r="DI437" s="41"/>
      <c r="DJ437" s="41"/>
      <c r="DK437" s="41"/>
      <c r="DL437" s="41"/>
      <c r="DM437" s="41"/>
      <c r="DN437" s="41"/>
      <c r="DO437" s="41"/>
      <c r="DP437" s="41"/>
      <c r="DQ437" s="41"/>
      <c r="DR437" s="41"/>
      <c r="DS437" s="41"/>
      <c r="DT437" s="41"/>
      <c r="DU437" s="41"/>
      <c r="DV437" s="41"/>
      <c r="DW437" s="41"/>
      <c r="DX437" s="41"/>
    </row>
    <row r="438" spans="1:128" s="218" customFormat="1" ht="13.5" customHeight="1" thickBot="1">
      <c r="A438" s="357"/>
      <c r="B438" s="393">
        <v>39448</v>
      </c>
      <c r="C438" s="394">
        <v>39479</v>
      </c>
      <c r="D438" s="394">
        <v>39508</v>
      </c>
      <c r="E438" s="394">
        <v>39539</v>
      </c>
      <c r="F438" s="394">
        <v>39569</v>
      </c>
      <c r="G438" s="394">
        <v>39600</v>
      </c>
      <c r="H438" s="394">
        <v>39630</v>
      </c>
      <c r="I438" s="394">
        <v>39661</v>
      </c>
      <c r="J438" s="394">
        <v>39692</v>
      </c>
      <c r="K438" s="394">
        <v>39722</v>
      </c>
      <c r="L438" s="394">
        <v>39753</v>
      </c>
      <c r="M438" s="346">
        <v>39783</v>
      </c>
      <c r="N438" s="108"/>
      <c r="O438" s="395"/>
      <c r="P438" s="360"/>
      <c r="Q438" s="395"/>
      <c r="R438" s="360"/>
      <c r="S438" s="395"/>
      <c r="T438" s="360"/>
      <c r="U438" s="395"/>
      <c r="V438" s="360"/>
      <c r="W438" s="395"/>
      <c r="X438" s="360"/>
      <c r="Y438" s="395"/>
      <c r="Z438" s="360"/>
      <c r="AA438" s="395"/>
      <c r="AB438" s="360"/>
      <c r="AC438" s="395"/>
      <c r="AD438" s="360"/>
      <c r="AE438" s="395"/>
      <c r="AF438" s="360"/>
      <c r="AG438" s="395"/>
      <c r="AH438" s="360"/>
      <c r="AI438" s="395"/>
      <c r="AJ438" s="360"/>
      <c r="AK438" s="395"/>
      <c r="AL438" s="395"/>
      <c r="AM438" s="395"/>
      <c r="AN438" s="360"/>
      <c r="AO438" s="395"/>
      <c r="AP438" s="395"/>
      <c r="AQ438" s="360"/>
      <c r="AR438" s="395"/>
      <c r="AS438" s="395"/>
      <c r="AT438" s="360"/>
      <c r="AU438" s="360"/>
      <c r="AV438" s="360"/>
      <c r="AW438" s="360"/>
      <c r="AX438" s="360"/>
      <c r="AY438" s="360"/>
      <c r="AZ438" s="360"/>
      <c r="BA438" s="360"/>
      <c r="BB438" s="360"/>
      <c r="BC438" s="360"/>
      <c r="BD438" s="360"/>
      <c r="BE438" s="360"/>
      <c r="BF438" s="360"/>
      <c r="BG438" s="360"/>
      <c r="BH438" s="360"/>
      <c r="BI438" s="360"/>
      <c r="BJ438" s="360"/>
      <c r="BK438" s="360"/>
      <c r="BL438" s="360"/>
      <c r="BM438" s="360"/>
      <c r="BN438" s="360"/>
      <c r="BO438" s="360"/>
      <c r="BP438" s="360"/>
      <c r="BQ438" s="360"/>
      <c r="BR438" s="360"/>
      <c r="BS438" s="360"/>
      <c r="BT438" s="108"/>
      <c r="BU438" s="108"/>
      <c r="BV438" s="108"/>
      <c r="BW438" s="108"/>
      <c r="BX438" s="108"/>
      <c r="BY438" s="108"/>
      <c r="BZ438" s="108"/>
      <c r="CA438" s="108"/>
      <c r="CB438" s="108"/>
      <c r="CC438" s="108"/>
      <c r="CD438" s="108"/>
      <c r="CE438" s="108"/>
      <c r="CF438" s="108"/>
      <c r="CG438" s="108"/>
      <c r="CH438" s="108"/>
      <c r="CI438" s="108"/>
      <c r="CJ438" s="108"/>
      <c r="CK438" s="108"/>
      <c r="CL438" s="108"/>
      <c r="CM438" s="108"/>
      <c r="CN438" s="108"/>
      <c r="CO438" s="108"/>
      <c r="CP438" s="108"/>
      <c r="CQ438" s="108"/>
      <c r="CR438" s="108"/>
      <c r="CS438" s="108"/>
      <c r="CT438" s="108"/>
      <c r="CU438" s="108"/>
      <c r="CV438" s="108"/>
      <c r="CW438" s="108"/>
      <c r="CX438" s="108"/>
      <c r="CY438" s="108"/>
      <c r="CZ438" s="108"/>
      <c r="DA438" s="108"/>
      <c r="DB438" s="108"/>
      <c r="DC438" s="108"/>
      <c r="DD438" s="108"/>
      <c r="DE438" s="108"/>
      <c r="DF438" s="108"/>
      <c r="DG438" s="108"/>
      <c r="DH438" s="108"/>
      <c r="DI438" s="108"/>
      <c r="DJ438" s="108"/>
      <c r="DK438" s="108"/>
      <c r="DL438" s="108"/>
      <c r="DM438" s="108"/>
      <c r="DN438" s="108"/>
      <c r="DO438" s="108"/>
      <c r="DP438" s="108"/>
      <c r="DQ438" s="108"/>
      <c r="DR438" s="108"/>
      <c r="DS438" s="108"/>
      <c r="DT438" s="108"/>
      <c r="DU438" s="108"/>
      <c r="DV438" s="108"/>
      <c r="DW438" s="108"/>
      <c r="DX438" s="108"/>
    </row>
    <row r="439" spans="1:128" s="218" customFormat="1" ht="13.5" customHeight="1">
      <c r="A439" s="396" t="s">
        <v>231</v>
      </c>
      <c r="B439" s="89">
        <v>9280806</v>
      </c>
      <c r="C439" s="49">
        <v>9036737</v>
      </c>
      <c r="D439" s="49">
        <v>8888445</v>
      </c>
      <c r="E439" s="49">
        <v>8726630</v>
      </c>
      <c r="F439" s="49">
        <v>8593146</v>
      </c>
      <c r="G439" s="49">
        <v>8770240</v>
      </c>
      <c r="H439" s="49">
        <v>8774372</v>
      </c>
      <c r="I439" s="49">
        <v>8781745</v>
      </c>
      <c r="J439" s="49">
        <v>8646420</v>
      </c>
      <c r="K439" s="49">
        <v>8457952</v>
      </c>
      <c r="L439" s="49">
        <v>8628404</v>
      </c>
      <c r="M439" s="50">
        <v>8414605</v>
      </c>
      <c r="N439" s="108"/>
      <c r="O439" s="350"/>
      <c r="P439" s="350"/>
      <c r="Q439" s="350"/>
      <c r="R439" s="350"/>
      <c r="S439" s="350"/>
      <c r="T439" s="350"/>
      <c r="U439" s="350"/>
      <c r="V439" s="350"/>
      <c r="W439" s="350"/>
      <c r="X439" s="350"/>
      <c r="Y439" s="350"/>
      <c r="Z439" s="350"/>
      <c r="AA439" s="350"/>
      <c r="AB439" s="350"/>
      <c r="AC439" s="350"/>
      <c r="AD439" s="350"/>
      <c r="AE439" s="355"/>
      <c r="AF439" s="355"/>
      <c r="AG439" s="355"/>
      <c r="AH439" s="355"/>
      <c r="AI439" s="355"/>
      <c r="AJ439" s="355"/>
      <c r="AK439" s="355"/>
      <c r="AL439" s="355"/>
      <c r="AM439" s="350"/>
      <c r="AN439" s="350"/>
      <c r="AO439" s="350"/>
      <c r="AP439" s="350"/>
      <c r="AQ439" s="350"/>
      <c r="AR439" s="350"/>
      <c r="AS439" s="350"/>
      <c r="AT439" s="350"/>
      <c r="AU439" s="350"/>
      <c r="AV439" s="350"/>
      <c r="AW439" s="350"/>
      <c r="AX439" s="350"/>
      <c r="AY439" s="350"/>
      <c r="AZ439" s="350"/>
      <c r="BA439" s="350"/>
      <c r="BB439" s="350"/>
      <c r="BC439" s="350"/>
      <c r="BD439" s="350"/>
      <c r="BE439" s="350"/>
      <c r="BF439" s="350"/>
      <c r="BG439" s="350"/>
      <c r="BH439" s="350"/>
      <c r="BI439" s="350"/>
      <c r="BJ439" s="350"/>
      <c r="BK439" s="350"/>
      <c r="BL439" s="350"/>
      <c r="BM439" s="350"/>
      <c r="BN439" s="350"/>
      <c r="BO439" s="350"/>
      <c r="BP439" s="350"/>
      <c r="BQ439" s="350"/>
      <c r="BR439" s="350"/>
      <c r="BS439" s="350"/>
      <c r="BT439" s="108"/>
      <c r="BU439" s="108"/>
      <c r="BV439" s="108"/>
      <c r="BW439" s="108"/>
      <c r="BX439" s="108"/>
      <c r="BY439" s="108"/>
      <c r="BZ439" s="108"/>
      <c r="CA439" s="108"/>
      <c r="CB439" s="108"/>
      <c r="CC439" s="108"/>
      <c r="CD439" s="108"/>
      <c r="CE439" s="108"/>
      <c r="CF439" s="108"/>
      <c r="CG439" s="108"/>
      <c r="CH439" s="108"/>
      <c r="CI439" s="108"/>
      <c r="CJ439" s="108"/>
      <c r="CK439" s="108"/>
      <c r="CL439" s="108"/>
      <c r="CM439" s="108"/>
      <c r="CN439" s="108"/>
      <c r="CO439" s="108"/>
      <c r="CP439" s="108"/>
      <c r="CQ439" s="108"/>
      <c r="CR439" s="108"/>
      <c r="CS439" s="108"/>
      <c r="CT439" s="108"/>
      <c r="CU439" s="108"/>
      <c r="CV439" s="108"/>
      <c r="CW439" s="108"/>
      <c r="CX439" s="108"/>
      <c r="CY439" s="108"/>
      <c r="CZ439" s="108"/>
      <c r="DA439" s="108"/>
      <c r="DB439" s="108"/>
      <c r="DC439" s="108"/>
      <c r="DD439" s="108"/>
      <c r="DE439" s="108"/>
      <c r="DF439" s="108"/>
      <c r="DG439" s="108"/>
      <c r="DH439" s="108"/>
      <c r="DI439" s="108"/>
      <c r="DJ439" s="108"/>
      <c r="DK439" s="108"/>
      <c r="DL439" s="108"/>
      <c r="DM439" s="108"/>
      <c r="DN439" s="108"/>
      <c r="DO439" s="108"/>
      <c r="DP439" s="108"/>
      <c r="DQ439" s="108"/>
      <c r="DR439" s="108"/>
      <c r="DS439" s="108"/>
      <c r="DT439" s="108"/>
      <c r="DU439" s="108"/>
      <c r="DV439" s="108"/>
      <c r="DW439" s="108"/>
      <c r="DX439" s="108"/>
    </row>
    <row r="440" spans="1:128" s="218" customFormat="1" ht="13.5" customHeight="1">
      <c r="A440" s="397" t="s">
        <v>232</v>
      </c>
      <c r="B440" s="90">
        <v>9492242</v>
      </c>
      <c r="C440" s="51">
        <v>9498189</v>
      </c>
      <c r="D440" s="51">
        <v>9314260</v>
      </c>
      <c r="E440" s="51">
        <v>9172482</v>
      </c>
      <c r="F440" s="51">
        <v>8910314</v>
      </c>
      <c r="G440" s="51">
        <v>8610531</v>
      </c>
      <c r="H440" s="51">
        <v>8189812</v>
      </c>
      <c r="I440" s="51">
        <v>7945498</v>
      </c>
      <c r="J440" s="51">
        <v>7558396</v>
      </c>
      <c r="K440" s="51">
        <v>7047930</v>
      </c>
      <c r="L440" s="51">
        <v>6982427</v>
      </c>
      <c r="M440" s="53">
        <v>6736870</v>
      </c>
      <c r="N440" s="108"/>
      <c r="O440" s="350"/>
      <c r="P440" s="350"/>
      <c r="Q440" s="350"/>
      <c r="R440" s="350"/>
      <c r="S440" s="350"/>
      <c r="T440" s="350"/>
      <c r="U440" s="350"/>
      <c r="V440" s="350"/>
      <c r="W440" s="350"/>
      <c r="X440" s="350"/>
      <c r="Y440" s="350"/>
      <c r="Z440" s="350"/>
      <c r="AA440" s="350"/>
      <c r="AB440" s="350"/>
      <c r="AC440" s="350"/>
      <c r="AD440" s="350"/>
      <c r="AE440" s="350"/>
      <c r="AF440" s="350"/>
      <c r="AG440" s="350"/>
      <c r="AH440" s="350"/>
      <c r="AI440" s="350"/>
      <c r="AJ440" s="350"/>
      <c r="AK440" s="350"/>
      <c r="AL440" s="350"/>
      <c r="AM440" s="350"/>
      <c r="AN440" s="350"/>
      <c r="AO440" s="350"/>
      <c r="AP440" s="350"/>
      <c r="AQ440" s="350"/>
      <c r="AR440" s="350"/>
      <c r="AS440" s="350"/>
      <c r="AT440" s="350"/>
      <c r="AU440" s="350"/>
      <c r="AV440" s="350"/>
      <c r="AW440" s="350"/>
      <c r="AX440" s="350"/>
      <c r="AY440" s="350"/>
      <c r="AZ440" s="350"/>
      <c r="BA440" s="350"/>
      <c r="BB440" s="350"/>
      <c r="BC440" s="350"/>
      <c r="BD440" s="350"/>
      <c r="BE440" s="350"/>
      <c r="BF440" s="350"/>
      <c r="BG440" s="350"/>
      <c r="BH440" s="350"/>
      <c r="BI440" s="350"/>
      <c r="BJ440" s="350"/>
      <c r="BK440" s="350"/>
      <c r="BL440" s="350"/>
      <c r="BM440" s="350"/>
      <c r="BN440" s="350"/>
      <c r="BO440" s="350"/>
      <c r="BP440" s="350"/>
      <c r="BQ440" s="350"/>
      <c r="BR440" s="350"/>
      <c r="BS440" s="350"/>
      <c r="BT440" s="108"/>
      <c r="BU440" s="108"/>
      <c r="BV440" s="108"/>
      <c r="BW440" s="108"/>
      <c r="BX440" s="108"/>
      <c r="BY440" s="108"/>
      <c r="BZ440" s="108"/>
      <c r="CA440" s="108"/>
      <c r="CB440" s="108"/>
      <c r="CC440" s="108"/>
      <c r="CD440" s="108"/>
      <c r="CE440" s="108"/>
      <c r="CF440" s="108"/>
      <c r="CG440" s="108"/>
      <c r="CH440" s="108"/>
      <c r="CI440" s="108"/>
      <c r="CJ440" s="108"/>
      <c r="CK440" s="108"/>
      <c r="CL440" s="108"/>
      <c r="CM440" s="108"/>
      <c r="CN440" s="108"/>
      <c r="CO440" s="108"/>
      <c r="CP440" s="108"/>
      <c r="CQ440" s="108"/>
      <c r="CR440" s="108"/>
      <c r="CS440" s="108"/>
      <c r="CT440" s="108"/>
      <c r="CU440" s="108"/>
      <c r="CV440" s="108"/>
      <c r="CW440" s="108"/>
      <c r="CX440" s="108"/>
      <c r="CY440" s="108"/>
      <c r="CZ440" s="108"/>
      <c r="DA440" s="108"/>
      <c r="DB440" s="108"/>
      <c r="DC440" s="108"/>
      <c r="DD440" s="108"/>
      <c r="DE440" s="108"/>
      <c r="DF440" s="108"/>
      <c r="DG440" s="108"/>
      <c r="DH440" s="108"/>
      <c r="DI440" s="108"/>
      <c r="DJ440" s="108"/>
      <c r="DK440" s="108"/>
      <c r="DL440" s="108"/>
      <c r="DM440" s="108"/>
      <c r="DN440" s="108"/>
      <c r="DO440" s="108"/>
      <c r="DP440" s="108"/>
      <c r="DQ440" s="108"/>
      <c r="DR440" s="108"/>
      <c r="DS440" s="108"/>
      <c r="DT440" s="108"/>
      <c r="DU440" s="108"/>
      <c r="DV440" s="108"/>
      <c r="DW440" s="108"/>
      <c r="DX440" s="108"/>
    </row>
    <row r="441" spans="1:128" s="218" customFormat="1" ht="13.5" customHeight="1">
      <c r="A441" s="397" t="s">
        <v>230</v>
      </c>
      <c r="B441" s="90">
        <v>5338229</v>
      </c>
      <c r="C441" s="51">
        <v>5272210</v>
      </c>
      <c r="D441" s="51">
        <v>5232678</v>
      </c>
      <c r="E441" s="51">
        <v>5041971</v>
      </c>
      <c r="F441" s="51">
        <v>5069710</v>
      </c>
      <c r="G441" s="51">
        <v>5042468</v>
      </c>
      <c r="H441" s="51">
        <v>5023976</v>
      </c>
      <c r="I441" s="51">
        <v>4964986</v>
      </c>
      <c r="J441" s="51">
        <v>4672431</v>
      </c>
      <c r="K441" s="51">
        <v>4664622</v>
      </c>
      <c r="L441" s="51">
        <v>4615276</v>
      </c>
      <c r="M441" s="53">
        <v>4657801</v>
      </c>
      <c r="N441" s="108"/>
      <c r="O441" s="350"/>
      <c r="P441" s="350"/>
      <c r="Q441" s="350"/>
      <c r="R441" s="350"/>
      <c r="S441" s="350"/>
      <c r="T441" s="350"/>
      <c r="U441" s="350"/>
      <c r="V441" s="350"/>
      <c r="W441" s="350"/>
      <c r="X441" s="350"/>
      <c r="Y441" s="350"/>
      <c r="Z441" s="350"/>
      <c r="AA441" s="350"/>
      <c r="AB441" s="350"/>
      <c r="AC441" s="350"/>
      <c r="AD441" s="350"/>
      <c r="AE441" s="350"/>
      <c r="AF441" s="350"/>
      <c r="AG441" s="350"/>
      <c r="AH441" s="350"/>
      <c r="AI441" s="350"/>
      <c r="AJ441" s="350"/>
      <c r="AK441" s="350"/>
      <c r="AL441" s="350"/>
      <c r="AM441" s="350"/>
      <c r="AN441" s="350"/>
      <c r="AO441" s="350"/>
      <c r="AP441" s="350"/>
      <c r="AQ441" s="350"/>
      <c r="AR441" s="350"/>
      <c r="AS441" s="350"/>
      <c r="AT441" s="350"/>
      <c r="AU441" s="350"/>
      <c r="AV441" s="350"/>
      <c r="AW441" s="350"/>
      <c r="AX441" s="350"/>
      <c r="AY441" s="350"/>
      <c r="AZ441" s="350"/>
      <c r="BA441" s="350"/>
      <c r="BB441" s="350"/>
      <c r="BC441" s="350"/>
      <c r="BD441" s="350"/>
      <c r="BE441" s="350"/>
      <c r="BF441" s="350"/>
      <c r="BG441" s="350"/>
      <c r="BH441" s="350"/>
      <c r="BI441" s="350"/>
      <c r="BJ441" s="350"/>
      <c r="BK441" s="350"/>
      <c r="BL441" s="350"/>
      <c r="BM441" s="350"/>
      <c r="BN441" s="350"/>
      <c r="BO441" s="350"/>
      <c r="BP441" s="350"/>
      <c r="BQ441" s="350"/>
      <c r="BR441" s="350"/>
      <c r="BS441" s="350"/>
      <c r="BT441" s="108"/>
      <c r="BU441" s="108"/>
      <c r="BV441" s="108"/>
      <c r="BW441" s="108"/>
      <c r="BX441" s="108"/>
      <c r="BY441" s="108"/>
      <c r="BZ441" s="108"/>
      <c r="CA441" s="108"/>
      <c r="CB441" s="108"/>
      <c r="CC441" s="108"/>
      <c r="CD441" s="108"/>
      <c r="CE441" s="108"/>
      <c r="CF441" s="108"/>
      <c r="CG441" s="108"/>
      <c r="CH441" s="108"/>
      <c r="CI441" s="108"/>
      <c r="CJ441" s="108"/>
      <c r="CK441" s="108"/>
      <c r="CL441" s="108"/>
      <c r="CM441" s="108"/>
      <c r="CN441" s="108"/>
      <c r="CO441" s="108"/>
      <c r="CP441" s="108"/>
      <c r="CQ441" s="108"/>
      <c r="CR441" s="108"/>
      <c r="CS441" s="108"/>
      <c r="CT441" s="108"/>
      <c r="CU441" s="108"/>
      <c r="CV441" s="108"/>
      <c r="CW441" s="108"/>
      <c r="CX441" s="108"/>
      <c r="CY441" s="108"/>
      <c r="CZ441" s="108"/>
      <c r="DA441" s="108"/>
      <c r="DB441" s="108"/>
      <c r="DC441" s="108"/>
      <c r="DD441" s="108"/>
      <c r="DE441" s="108"/>
      <c r="DF441" s="108"/>
      <c r="DG441" s="108"/>
      <c r="DH441" s="108"/>
      <c r="DI441" s="108"/>
      <c r="DJ441" s="108"/>
      <c r="DK441" s="108"/>
      <c r="DL441" s="108"/>
      <c r="DM441" s="108"/>
      <c r="DN441" s="108"/>
      <c r="DO441" s="108"/>
      <c r="DP441" s="108"/>
      <c r="DQ441" s="108"/>
      <c r="DR441" s="108"/>
      <c r="DS441" s="108"/>
      <c r="DT441" s="108"/>
      <c r="DU441" s="108"/>
      <c r="DV441" s="108"/>
      <c r="DW441" s="108"/>
      <c r="DX441" s="108"/>
    </row>
    <row r="442" spans="1:128" s="218" customFormat="1" ht="13.5" customHeight="1">
      <c r="A442" s="397" t="s">
        <v>229</v>
      </c>
      <c r="B442" s="90">
        <v>5089520</v>
      </c>
      <c r="C442" s="51">
        <v>5077330</v>
      </c>
      <c r="D442" s="51">
        <v>5063986</v>
      </c>
      <c r="E442" s="51">
        <v>4959042</v>
      </c>
      <c r="F442" s="51">
        <v>5029627</v>
      </c>
      <c r="G442" s="51">
        <v>4971815</v>
      </c>
      <c r="H442" s="51">
        <v>4964677</v>
      </c>
      <c r="I442" s="51">
        <v>5017607</v>
      </c>
      <c r="J442" s="51">
        <v>4846846</v>
      </c>
      <c r="K442" s="51">
        <v>4748381</v>
      </c>
      <c r="L442" s="51">
        <v>4886037</v>
      </c>
      <c r="M442" s="53">
        <v>4797917</v>
      </c>
      <c r="N442" s="108"/>
      <c r="O442" s="350"/>
      <c r="P442" s="350"/>
      <c r="Q442" s="350"/>
      <c r="R442" s="350"/>
      <c r="S442" s="350"/>
      <c r="T442" s="350"/>
      <c r="U442" s="350"/>
      <c r="V442" s="350"/>
      <c r="W442" s="350"/>
      <c r="X442" s="350"/>
      <c r="Y442" s="350"/>
      <c r="Z442" s="350"/>
      <c r="AA442" s="350"/>
      <c r="AB442" s="350"/>
      <c r="AC442" s="350"/>
      <c r="AD442" s="350"/>
      <c r="AE442" s="350"/>
      <c r="AF442" s="350"/>
      <c r="AG442" s="350"/>
      <c r="AH442" s="350"/>
      <c r="AI442" s="350"/>
      <c r="AJ442" s="350"/>
      <c r="AK442" s="350"/>
      <c r="AL442" s="350"/>
      <c r="AM442" s="350"/>
      <c r="AN442" s="350"/>
      <c r="AO442" s="350"/>
      <c r="AP442" s="350"/>
      <c r="AQ442" s="350"/>
      <c r="AR442" s="350"/>
      <c r="AS442" s="350"/>
      <c r="AT442" s="350"/>
      <c r="AU442" s="350"/>
      <c r="AV442" s="350"/>
      <c r="AW442" s="350"/>
      <c r="AX442" s="350"/>
      <c r="AY442" s="350"/>
      <c r="AZ442" s="350"/>
      <c r="BA442" s="350"/>
      <c r="BB442" s="350"/>
      <c r="BC442" s="350"/>
      <c r="BD442" s="350"/>
      <c r="BE442" s="350"/>
      <c r="BF442" s="350"/>
      <c r="BG442" s="350"/>
      <c r="BH442" s="350"/>
      <c r="BI442" s="350"/>
      <c r="BJ442" s="350"/>
      <c r="BK442" s="350"/>
      <c r="BL442" s="350"/>
      <c r="BM442" s="350"/>
      <c r="BN442" s="350"/>
      <c r="BO442" s="350"/>
      <c r="BP442" s="350"/>
      <c r="BQ442" s="350"/>
      <c r="BR442" s="350"/>
      <c r="BS442" s="350"/>
      <c r="BT442" s="108"/>
      <c r="BU442" s="108"/>
      <c r="BV442" s="108"/>
      <c r="BW442" s="108"/>
      <c r="BX442" s="108"/>
      <c r="BY442" s="108"/>
      <c r="BZ442" s="108"/>
      <c r="CA442" s="108"/>
      <c r="CB442" s="108"/>
      <c r="CC442" s="108"/>
      <c r="CD442" s="108"/>
      <c r="CE442" s="108"/>
      <c r="CF442" s="108"/>
      <c r="CG442" s="108"/>
      <c r="CH442" s="108"/>
      <c r="CI442" s="108"/>
      <c r="CJ442" s="108"/>
      <c r="CK442" s="108"/>
      <c r="CL442" s="108"/>
      <c r="CM442" s="108"/>
      <c r="CN442" s="108"/>
      <c r="CO442" s="108"/>
      <c r="CP442" s="108"/>
      <c r="CQ442" s="108"/>
      <c r="CR442" s="108"/>
      <c r="CS442" s="108"/>
      <c r="CT442" s="108"/>
      <c r="CU442" s="108"/>
      <c r="CV442" s="108"/>
      <c r="CW442" s="108"/>
      <c r="CX442" s="108"/>
      <c r="CY442" s="108"/>
      <c r="CZ442" s="108"/>
      <c r="DA442" s="108"/>
      <c r="DB442" s="108"/>
      <c r="DC442" s="108"/>
      <c r="DD442" s="108"/>
      <c r="DE442" s="108"/>
      <c r="DF442" s="108"/>
      <c r="DG442" s="108"/>
      <c r="DH442" s="108"/>
      <c r="DI442" s="108"/>
      <c r="DJ442" s="108"/>
      <c r="DK442" s="108"/>
      <c r="DL442" s="108"/>
      <c r="DM442" s="108"/>
      <c r="DN442" s="108"/>
      <c r="DO442" s="108"/>
      <c r="DP442" s="108"/>
      <c r="DQ442" s="108"/>
      <c r="DR442" s="108"/>
      <c r="DS442" s="108"/>
      <c r="DT442" s="108"/>
      <c r="DU442" s="108"/>
      <c r="DV442" s="108"/>
      <c r="DW442" s="108"/>
      <c r="DX442" s="108"/>
    </row>
    <row r="443" spans="1:128" s="218" customFormat="1" ht="13.5" customHeight="1">
      <c r="A443" s="397" t="s">
        <v>233</v>
      </c>
      <c r="B443" s="90">
        <v>3551798</v>
      </c>
      <c r="C443" s="51">
        <v>3421624</v>
      </c>
      <c r="D443" s="51">
        <v>3290883</v>
      </c>
      <c r="E443" s="51">
        <v>3453532</v>
      </c>
      <c r="F443" s="51">
        <v>3487853</v>
      </c>
      <c r="G443" s="51">
        <v>3365393</v>
      </c>
      <c r="H443" s="51">
        <v>3571680</v>
      </c>
      <c r="I443" s="51">
        <v>3548910</v>
      </c>
      <c r="J443" s="51">
        <v>3461183</v>
      </c>
      <c r="K443" s="51">
        <v>3688245</v>
      </c>
      <c r="L443" s="51">
        <v>3608537</v>
      </c>
      <c r="M443" s="53">
        <v>3675688</v>
      </c>
      <c r="N443" s="108"/>
      <c r="O443" s="350"/>
      <c r="P443" s="350"/>
      <c r="Q443" s="350"/>
      <c r="R443" s="350"/>
      <c r="S443" s="350"/>
      <c r="T443" s="350"/>
      <c r="U443" s="350"/>
      <c r="V443" s="350"/>
      <c r="W443" s="350"/>
      <c r="X443" s="350"/>
      <c r="Y443" s="350"/>
      <c r="Z443" s="350"/>
      <c r="AA443" s="350"/>
      <c r="AB443" s="350"/>
      <c r="AC443" s="350"/>
      <c r="AD443" s="350"/>
      <c r="AE443" s="350"/>
      <c r="AF443" s="350"/>
      <c r="AG443" s="350"/>
      <c r="AH443" s="350"/>
      <c r="AI443" s="350"/>
      <c r="AJ443" s="350"/>
      <c r="AK443" s="350"/>
      <c r="AL443" s="350"/>
      <c r="AM443" s="350"/>
      <c r="AN443" s="350"/>
      <c r="AO443" s="350"/>
      <c r="AP443" s="350"/>
      <c r="AQ443" s="350"/>
      <c r="AR443" s="350"/>
      <c r="AS443" s="350"/>
      <c r="AT443" s="350"/>
      <c r="AU443" s="350"/>
      <c r="AV443" s="350"/>
      <c r="AW443" s="350"/>
      <c r="AX443" s="350"/>
      <c r="AY443" s="350"/>
      <c r="AZ443" s="350"/>
      <c r="BA443" s="350"/>
      <c r="BB443" s="350"/>
      <c r="BC443" s="350"/>
      <c r="BD443" s="350"/>
      <c r="BE443" s="350"/>
      <c r="BF443" s="350"/>
      <c r="BG443" s="350"/>
      <c r="BH443" s="350"/>
      <c r="BI443" s="350"/>
      <c r="BJ443" s="350"/>
      <c r="BK443" s="350"/>
      <c r="BL443" s="350"/>
      <c r="BM443" s="350"/>
      <c r="BN443" s="350"/>
      <c r="BO443" s="350"/>
      <c r="BP443" s="350"/>
      <c r="BQ443" s="350"/>
      <c r="BR443" s="350"/>
      <c r="BS443" s="350"/>
      <c r="BT443" s="108"/>
      <c r="BU443" s="108"/>
      <c r="BV443" s="108"/>
      <c r="BW443" s="108"/>
      <c r="BX443" s="108"/>
      <c r="BY443" s="108"/>
      <c r="BZ443" s="108"/>
      <c r="CA443" s="108"/>
      <c r="CB443" s="108"/>
      <c r="CC443" s="108"/>
      <c r="CD443" s="108"/>
      <c r="CE443" s="108"/>
      <c r="CF443" s="108"/>
      <c r="CG443" s="108"/>
      <c r="CH443" s="108"/>
      <c r="CI443" s="108"/>
      <c r="CJ443" s="108"/>
      <c r="CK443" s="108"/>
      <c r="CL443" s="108"/>
      <c r="CM443" s="108"/>
      <c r="CN443" s="108"/>
      <c r="CO443" s="108"/>
      <c r="CP443" s="108"/>
      <c r="CQ443" s="108"/>
      <c r="CR443" s="108"/>
      <c r="CS443" s="108"/>
      <c r="CT443" s="108"/>
      <c r="CU443" s="108"/>
      <c r="CV443" s="108"/>
      <c r="CW443" s="108"/>
      <c r="CX443" s="108"/>
      <c r="CY443" s="108"/>
      <c r="CZ443" s="108"/>
      <c r="DA443" s="108"/>
      <c r="DB443" s="108"/>
      <c r="DC443" s="108"/>
      <c r="DD443" s="108"/>
      <c r="DE443" s="108"/>
      <c r="DF443" s="108"/>
      <c r="DG443" s="108"/>
      <c r="DH443" s="108"/>
      <c r="DI443" s="108"/>
      <c r="DJ443" s="108"/>
      <c r="DK443" s="108"/>
      <c r="DL443" s="108"/>
      <c r="DM443" s="108"/>
      <c r="DN443" s="108"/>
      <c r="DO443" s="108"/>
      <c r="DP443" s="108"/>
      <c r="DQ443" s="108"/>
      <c r="DR443" s="108"/>
      <c r="DS443" s="108"/>
      <c r="DT443" s="108"/>
      <c r="DU443" s="108"/>
      <c r="DV443" s="108"/>
      <c r="DW443" s="108"/>
      <c r="DX443" s="108"/>
    </row>
    <row r="444" spans="1:128" s="218" customFormat="1" ht="13.5" customHeight="1">
      <c r="A444" s="397" t="s">
        <v>361</v>
      </c>
      <c r="B444" s="90">
        <v>0</v>
      </c>
      <c r="C444" s="51">
        <v>0</v>
      </c>
      <c r="D444" s="51">
        <v>0</v>
      </c>
      <c r="E444" s="51">
        <v>0</v>
      </c>
      <c r="F444" s="51">
        <v>0</v>
      </c>
      <c r="G444" s="51">
        <v>42</v>
      </c>
      <c r="H444" s="51">
        <v>42</v>
      </c>
      <c r="I444" s="51">
        <v>42</v>
      </c>
      <c r="J444" s="51">
        <v>42</v>
      </c>
      <c r="K444" s="51">
        <v>42</v>
      </c>
      <c r="L444" s="51">
        <v>42</v>
      </c>
      <c r="M444" s="53">
        <v>42</v>
      </c>
      <c r="N444" s="108"/>
      <c r="O444" s="350"/>
      <c r="P444" s="350"/>
      <c r="Q444" s="350"/>
      <c r="R444" s="350"/>
      <c r="S444" s="350"/>
      <c r="T444" s="350"/>
      <c r="U444" s="350"/>
      <c r="V444" s="350"/>
      <c r="W444" s="350"/>
      <c r="X444" s="350"/>
      <c r="Y444" s="350"/>
      <c r="Z444" s="350"/>
      <c r="AA444" s="350"/>
      <c r="AB444" s="350"/>
      <c r="AC444" s="350"/>
      <c r="AD444" s="350"/>
      <c r="AE444" s="350"/>
      <c r="AF444" s="350"/>
      <c r="AG444" s="350"/>
      <c r="AH444" s="350"/>
      <c r="AI444" s="350"/>
      <c r="AJ444" s="350"/>
      <c r="AK444" s="350"/>
      <c r="AL444" s="350"/>
      <c r="AM444" s="350"/>
      <c r="AN444" s="350"/>
      <c r="AO444" s="350"/>
      <c r="AP444" s="350"/>
      <c r="AQ444" s="350"/>
      <c r="AR444" s="350"/>
      <c r="AS444" s="350"/>
      <c r="AT444" s="350"/>
      <c r="AU444" s="350"/>
      <c r="AV444" s="350"/>
      <c r="AW444" s="350"/>
      <c r="AX444" s="350"/>
      <c r="AY444" s="350"/>
      <c r="AZ444" s="350"/>
      <c r="BA444" s="350"/>
      <c r="BB444" s="350"/>
      <c r="BC444" s="350"/>
      <c r="BD444" s="350"/>
      <c r="BE444" s="350"/>
      <c r="BF444" s="350"/>
      <c r="BG444" s="350"/>
      <c r="BH444" s="350"/>
      <c r="BI444" s="350"/>
      <c r="BJ444" s="350"/>
      <c r="BK444" s="350"/>
      <c r="BL444" s="350"/>
      <c r="BM444" s="350"/>
      <c r="BN444" s="350"/>
      <c r="BO444" s="350"/>
      <c r="BP444" s="350"/>
      <c r="BQ444" s="350"/>
      <c r="BR444" s="350"/>
      <c r="BS444" s="350"/>
      <c r="BT444" s="108"/>
      <c r="BU444" s="108"/>
      <c r="BV444" s="108"/>
      <c r="BW444" s="108"/>
      <c r="BX444" s="108"/>
      <c r="BY444" s="108"/>
      <c r="BZ444" s="108"/>
      <c r="CA444" s="108"/>
      <c r="CB444" s="108"/>
      <c r="CC444" s="108"/>
      <c r="CD444" s="108"/>
      <c r="CE444" s="108"/>
      <c r="CF444" s="108"/>
      <c r="CG444" s="108"/>
      <c r="CH444" s="108"/>
      <c r="CI444" s="108"/>
      <c r="CJ444" s="108"/>
      <c r="CK444" s="108"/>
      <c r="CL444" s="108"/>
      <c r="CM444" s="108"/>
      <c r="CN444" s="108"/>
      <c r="CO444" s="108"/>
      <c r="CP444" s="108"/>
      <c r="CQ444" s="108"/>
      <c r="CR444" s="108"/>
      <c r="CS444" s="108"/>
      <c r="CT444" s="108"/>
      <c r="CU444" s="108"/>
      <c r="CV444" s="108"/>
      <c r="CW444" s="108"/>
      <c r="CX444" s="108"/>
      <c r="CY444" s="108"/>
      <c r="CZ444" s="108"/>
      <c r="DA444" s="108"/>
      <c r="DB444" s="108"/>
      <c r="DC444" s="108"/>
      <c r="DD444" s="108"/>
      <c r="DE444" s="108"/>
      <c r="DF444" s="108"/>
      <c r="DG444" s="108"/>
      <c r="DH444" s="108"/>
      <c r="DI444" s="108"/>
      <c r="DJ444" s="108"/>
      <c r="DK444" s="108"/>
      <c r="DL444" s="108"/>
      <c r="DM444" s="108"/>
      <c r="DN444" s="108"/>
      <c r="DO444" s="108"/>
      <c r="DP444" s="108"/>
      <c r="DQ444" s="108"/>
      <c r="DR444" s="108"/>
      <c r="DS444" s="108"/>
      <c r="DT444" s="108"/>
      <c r="DU444" s="108"/>
      <c r="DV444" s="108"/>
      <c r="DW444" s="108"/>
      <c r="DX444" s="108"/>
    </row>
    <row r="445" spans="1:128" s="218" customFormat="1" ht="13.5" customHeight="1">
      <c r="A445" s="397" t="s">
        <v>228</v>
      </c>
      <c r="B445" s="90">
        <v>704885</v>
      </c>
      <c r="C445" s="51">
        <v>683717</v>
      </c>
      <c r="D445" s="51">
        <v>662413</v>
      </c>
      <c r="E445" s="51">
        <v>662634</v>
      </c>
      <c r="F445" s="51">
        <v>691991</v>
      </c>
      <c r="G445" s="51">
        <v>678508</v>
      </c>
      <c r="H445" s="51">
        <v>690925</v>
      </c>
      <c r="I445" s="51">
        <v>663834</v>
      </c>
      <c r="J445" s="51">
        <v>633631</v>
      </c>
      <c r="K445" s="51">
        <v>638482</v>
      </c>
      <c r="L445" s="51">
        <v>616494</v>
      </c>
      <c r="M445" s="53">
        <v>595643</v>
      </c>
      <c r="N445" s="108"/>
      <c r="O445" s="350"/>
      <c r="P445" s="350"/>
      <c r="Q445" s="350"/>
      <c r="R445" s="350"/>
      <c r="S445" s="350"/>
      <c r="T445" s="350"/>
      <c r="U445" s="350"/>
      <c r="V445" s="350"/>
      <c r="W445" s="350"/>
      <c r="X445" s="350"/>
      <c r="Y445" s="350"/>
      <c r="Z445" s="350"/>
      <c r="AA445" s="350"/>
      <c r="AB445" s="350"/>
      <c r="AC445" s="350"/>
      <c r="AD445" s="350"/>
      <c r="AE445" s="350"/>
      <c r="AF445" s="350"/>
      <c r="AG445" s="350"/>
      <c r="AH445" s="350"/>
      <c r="AI445" s="350"/>
      <c r="AJ445" s="350"/>
      <c r="AK445" s="350"/>
      <c r="AL445" s="350"/>
      <c r="AM445" s="350"/>
      <c r="AN445" s="350"/>
      <c r="AO445" s="350"/>
      <c r="AP445" s="350"/>
      <c r="AQ445" s="350"/>
      <c r="AR445" s="350"/>
      <c r="AS445" s="350"/>
      <c r="AT445" s="350"/>
      <c r="AU445" s="350"/>
      <c r="AV445" s="350"/>
      <c r="AW445" s="350"/>
      <c r="AX445" s="350"/>
      <c r="AY445" s="350"/>
      <c r="AZ445" s="350"/>
      <c r="BA445" s="350"/>
      <c r="BB445" s="350"/>
      <c r="BC445" s="350"/>
      <c r="BD445" s="350"/>
      <c r="BE445" s="350"/>
      <c r="BF445" s="350"/>
      <c r="BG445" s="350"/>
      <c r="BH445" s="350"/>
      <c r="BI445" s="350"/>
      <c r="BJ445" s="350"/>
      <c r="BK445" s="350"/>
      <c r="BL445" s="350"/>
      <c r="BM445" s="350"/>
      <c r="BN445" s="350"/>
      <c r="BO445" s="350"/>
      <c r="BP445" s="350"/>
      <c r="BQ445" s="350"/>
      <c r="BR445" s="350"/>
      <c r="BS445" s="350"/>
      <c r="BT445" s="108"/>
      <c r="BU445" s="108"/>
      <c r="BV445" s="108"/>
      <c r="BW445" s="108"/>
      <c r="BX445" s="108"/>
      <c r="BY445" s="108"/>
      <c r="BZ445" s="108"/>
      <c r="CA445" s="108"/>
      <c r="CB445" s="108"/>
      <c r="CC445" s="108"/>
      <c r="CD445" s="108"/>
      <c r="CE445" s="108"/>
      <c r="CF445" s="108"/>
      <c r="CG445" s="108"/>
      <c r="CH445" s="108"/>
      <c r="CI445" s="108"/>
      <c r="CJ445" s="108"/>
      <c r="CK445" s="108"/>
      <c r="CL445" s="108"/>
      <c r="CM445" s="108"/>
      <c r="CN445" s="108"/>
      <c r="CO445" s="108"/>
      <c r="CP445" s="108"/>
      <c r="CQ445" s="108"/>
      <c r="CR445" s="108"/>
      <c r="CS445" s="108"/>
      <c r="CT445" s="108"/>
      <c r="CU445" s="108"/>
      <c r="CV445" s="108"/>
      <c r="CW445" s="108"/>
      <c r="CX445" s="108"/>
      <c r="CY445" s="108"/>
      <c r="CZ445" s="108"/>
      <c r="DA445" s="108"/>
      <c r="DB445" s="108"/>
      <c r="DC445" s="108"/>
      <c r="DD445" s="108"/>
      <c r="DE445" s="108"/>
      <c r="DF445" s="108"/>
      <c r="DG445" s="108"/>
      <c r="DH445" s="108"/>
      <c r="DI445" s="108"/>
      <c r="DJ445" s="108"/>
      <c r="DK445" s="108"/>
      <c r="DL445" s="108"/>
      <c r="DM445" s="108"/>
      <c r="DN445" s="108"/>
      <c r="DO445" s="108"/>
      <c r="DP445" s="108"/>
      <c r="DQ445" s="108"/>
      <c r="DR445" s="108"/>
      <c r="DS445" s="108"/>
      <c r="DT445" s="108"/>
      <c r="DU445" s="108"/>
      <c r="DV445" s="108"/>
      <c r="DW445" s="108"/>
      <c r="DX445" s="108"/>
    </row>
    <row r="446" spans="1:128" s="218" customFormat="1" ht="13.5" customHeight="1">
      <c r="A446" s="191" t="s">
        <v>362</v>
      </c>
      <c r="B446" s="340">
        <v>8962613</v>
      </c>
      <c r="C446" s="341">
        <v>8704489</v>
      </c>
      <c r="D446" s="341">
        <v>8425032</v>
      </c>
      <c r="E446" s="341">
        <v>8148839</v>
      </c>
      <c r="F446" s="341">
        <v>8181126</v>
      </c>
      <c r="G446" s="341">
        <v>8179558</v>
      </c>
      <c r="H446" s="341">
        <v>7927899</v>
      </c>
      <c r="I446" s="341">
        <v>7908451</v>
      </c>
      <c r="J446" s="341">
        <v>7716569</v>
      </c>
      <c r="K446" s="341">
        <v>7352287</v>
      </c>
      <c r="L446" s="341">
        <v>7430739</v>
      </c>
      <c r="M446" s="339">
        <v>7266108</v>
      </c>
      <c r="N446" s="110"/>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c r="AJ446" s="101"/>
      <c r="AK446" s="101"/>
      <c r="AL446" s="101"/>
      <c r="AM446" s="101"/>
      <c r="AN446" s="101"/>
      <c r="AO446" s="101"/>
      <c r="AP446" s="101"/>
      <c r="AQ446" s="101"/>
      <c r="AR446" s="101"/>
      <c r="AS446" s="101"/>
      <c r="AT446" s="101"/>
      <c r="AU446" s="101"/>
      <c r="AV446" s="101"/>
      <c r="AW446" s="101"/>
      <c r="AX446" s="101"/>
      <c r="AY446" s="101"/>
      <c r="AZ446" s="101"/>
      <c r="BA446" s="101"/>
      <c r="BB446" s="101"/>
      <c r="BC446" s="101"/>
      <c r="BD446" s="101"/>
      <c r="BE446" s="101"/>
      <c r="BF446" s="101"/>
      <c r="BG446" s="101"/>
      <c r="BH446" s="101"/>
      <c r="BI446" s="101"/>
      <c r="BJ446" s="101"/>
      <c r="BK446" s="101"/>
      <c r="BL446" s="101"/>
      <c r="BM446" s="101"/>
      <c r="BN446" s="101"/>
      <c r="BO446" s="101"/>
      <c r="BP446" s="101"/>
      <c r="BQ446" s="101"/>
      <c r="BR446" s="101"/>
      <c r="BS446" s="101"/>
      <c r="BT446" s="110"/>
      <c r="BU446" s="108"/>
      <c r="BV446" s="108"/>
      <c r="BW446" s="108"/>
    </row>
    <row r="447" spans="1:128" s="218" customFormat="1" ht="13.5" customHeight="1">
      <c r="A447" s="397" t="s">
        <v>235</v>
      </c>
      <c r="B447" s="90">
        <v>2142447</v>
      </c>
      <c r="C447" s="51">
        <v>2150869</v>
      </c>
      <c r="D447" s="51">
        <v>2062038</v>
      </c>
      <c r="E447" s="51">
        <v>2084131</v>
      </c>
      <c r="F447" s="51">
        <v>2112856</v>
      </c>
      <c r="G447" s="51">
        <v>2114136</v>
      </c>
      <c r="H447" s="51">
        <v>2052732</v>
      </c>
      <c r="I447" s="51">
        <v>1997952</v>
      </c>
      <c r="J447" s="51">
        <v>1950309</v>
      </c>
      <c r="K447" s="51">
        <v>1863926</v>
      </c>
      <c r="L447" s="51">
        <v>1835724</v>
      </c>
      <c r="M447" s="53">
        <v>1824145</v>
      </c>
      <c r="N447" s="108"/>
      <c r="O447" s="350"/>
      <c r="P447" s="350"/>
      <c r="Q447" s="350"/>
      <c r="R447" s="350"/>
      <c r="S447" s="350"/>
      <c r="T447" s="350"/>
      <c r="U447" s="350"/>
      <c r="V447" s="350"/>
      <c r="W447" s="350"/>
      <c r="X447" s="350"/>
      <c r="Y447" s="350"/>
      <c r="Z447" s="350"/>
      <c r="AA447" s="350"/>
      <c r="AB447" s="350"/>
      <c r="AC447" s="350"/>
      <c r="AD447" s="350"/>
      <c r="AE447" s="350"/>
      <c r="AF447" s="350"/>
      <c r="AG447" s="350"/>
      <c r="AH447" s="350"/>
      <c r="AI447" s="350"/>
      <c r="AJ447" s="350"/>
      <c r="AK447" s="350"/>
      <c r="AL447" s="350"/>
      <c r="AM447" s="350"/>
      <c r="AN447" s="350"/>
      <c r="AO447" s="350"/>
      <c r="AP447" s="350"/>
      <c r="AQ447" s="350"/>
      <c r="AR447" s="350"/>
      <c r="AS447" s="350"/>
      <c r="AT447" s="350"/>
      <c r="AU447" s="350"/>
      <c r="AV447" s="350"/>
      <c r="AW447" s="350"/>
      <c r="AX447" s="350"/>
      <c r="AY447" s="350"/>
      <c r="AZ447" s="350"/>
      <c r="BA447" s="350"/>
      <c r="BB447" s="350"/>
      <c r="BC447" s="350"/>
      <c r="BD447" s="350"/>
      <c r="BE447" s="350"/>
      <c r="BF447" s="350"/>
      <c r="BG447" s="350"/>
      <c r="BH447" s="350"/>
      <c r="BI447" s="350"/>
      <c r="BJ447" s="350"/>
      <c r="BK447" s="350"/>
      <c r="BL447" s="350"/>
      <c r="BM447" s="350"/>
      <c r="BN447" s="350"/>
      <c r="BO447" s="350"/>
      <c r="BP447" s="350"/>
      <c r="BQ447" s="350"/>
      <c r="BR447" s="350"/>
      <c r="BS447" s="350"/>
      <c r="BT447" s="108"/>
      <c r="BU447" s="108"/>
      <c r="BV447" s="108"/>
      <c r="BW447" s="108"/>
    </row>
    <row r="448" spans="1:128" s="218" customFormat="1" ht="13.5" customHeight="1">
      <c r="A448" s="397" t="s">
        <v>239</v>
      </c>
      <c r="B448" s="90">
        <v>2376135</v>
      </c>
      <c r="C448" s="51">
        <v>2380868</v>
      </c>
      <c r="D448" s="51">
        <v>2296737</v>
      </c>
      <c r="E448" s="51">
        <v>2204059</v>
      </c>
      <c r="F448" s="51">
        <v>2174102</v>
      </c>
      <c r="G448" s="51">
        <v>2159705</v>
      </c>
      <c r="H448" s="51">
        <v>2119420</v>
      </c>
      <c r="I448" s="51">
        <v>2080369</v>
      </c>
      <c r="J448" s="51">
        <v>1942184</v>
      </c>
      <c r="K448" s="51">
        <v>1872921</v>
      </c>
      <c r="L448" s="51">
        <v>1821514</v>
      </c>
      <c r="M448" s="53">
        <v>1758357</v>
      </c>
      <c r="N448" s="108"/>
      <c r="O448" s="350"/>
      <c r="P448" s="350"/>
      <c r="Q448" s="350"/>
      <c r="R448" s="350"/>
      <c r="S448" s="350"/>
      <c r="T448" s="350"/>
      <c r="U448" s="350"/>
      <c r="V448" s="350"/>
      <c r="W448" s="350"/>
      <c r="X448" s="350"/>
      <c r="Y448" s="350"/>
      <c r="Z448" s="350"/>
      <c r="AA448" s="350"/>
      <c r="AB448" s="350"/>
      <c r="AC448" s="350"/>
      <c r="AD448" s="350"/>
      <c r="AE448" s="350"/>
      <c r="AF448" s="350"/>
      <c r="AG448" s="350"/>
      <c r="AH448" s="350"/>
      <c r="AI448" s="350"/>
      <c r="AJ448" s="350"/>
      <c r="AK448" s="350"/>
      <c r="AL448" s="350"/>
      <c r="AM448" s="350"/>
      <c r="AN448" s="350"/>
      <c r="AO448" s="350"/>
      <c r="AP448" s="350"/>
      <c r="AQ448" s="350"/>
      <c r="AR448" s="350"/>
      <c r="AS448" s="350"/>
      <c r="AT448" s="350"/>
      <c r="AU448" s="350"/>
      <c r="AV448" s="350"/>
      <c r="AW448" s="350"/>
      <c r="AX448" s="350"/>
      <c r="AY448" s="350"/>
      <c r="AZ448" s="350"/>
      <c r="BA448" s="350"/>
      <c r="BB448" s="350"/>
      <c r="BC448" s="350"/>
      <c r="BD448" s="350"/>
      <c r="BE448" s="350"/>
      <c r="BF448" s="350"/>
      <c r="BG448" s="350"/>
      <c r="BH448" s="350"/>
      <c r="BI448" s="350"/>
      <c r="BJ448" s="350"/>
      <c r="BK448" s="350"/>
      <c r="BL448" s="350"/>
      <c r="BM448" s="350"/>
      <c r="BN448" s="350"/>
      <c r="BO448" s="350"/>
      <c r="BP448" s="350"/>
      <c r="BQ448" s="350"/>
      <c r="BR448" s="350"/>
      <c r="BS448" s="350"/>
      <c r="BT448" s="108"/>
      <c r="BU448" s="108"/>
      <c r="BV448" s="108"/>
      <c r="BW448" s="108"/>
    </row>
    <row r="449" spans="1:75" s="218" customFormat="1" ht="13.5" customHeight="1">
      <c r="A449" s="397" t="s">
        <v>236</v>
      </c>
      <c r="B449" s="90">
        <v>2748865</v>
      </c>
      <c r="C449" s="51">
        <v>2503248</v>
      </c>
      <c r="D449" s="51">
        <v>2380673</v>
      </c>
      <c r="E449" s="51">
        <v>2270010</v>
      </c>
      <c r="F449" s="51">
        <v>2419147</v>
      </c>
      <c r="G449" s="51">
        <v>2382985</v>
      </c>
      <c r="H449" s="51">
        <v>2326683</v>
      </c>
      <c r="I449" s="51">
        <v>2403788</v>
      </c>
      <c r="J449" s="51">
        <v>2450085</v>
      </c>
      <c r="K449" s="51">
        <v>2316067</v>
      </c>
      <c r="L449" s="51">
        <v>2478995</v>
      </c>
      <c r="M449" s="53">
        <v>2349910</v>
      </c>
      <c r="N449" s="108"/>
      <c r="O449" s="350"/>
      <c r="P449" s="350"/>
      <c r="Q449" s="350"/>
      <c r="R449" s="350"/>
      <c r="S449" s="350"/>
      <c r="T449" s="350"/>
      <c r="U449" s="350"/>
      <c r="V449" s="350"/>
      <c r="W449" s="350"/>
      <c r="X449" s="350"/>
      <c r="Y449" s="350"/>
      <c r="Z449" s="350"/>
      <c r="AA449" s="350"/>
      <c r="AB449" s="350"/>
      <c r="AC449" s="350"/>
      <c r="AD449" s="350"/>
      <c r="AE449" s="350"/>
      <c r="AF449" s="350"/>
      <c r="AG449" s="350"/>
      <c r="AH449" s="350"/>
      <c r="AI449" s="350"/>
      <c r="AJ449" s="350"/>
      <c r="AK449" s="350"/>
      <c r="AL449" s="350"/>
      <c r="AM449" s="350"/>
      <c r="AN449" s="350"/>
      <c r="AO449" s="350"/>
      <c r="AP449" s="350"/>
      <c r="AQ449" s="350"/>
      <c r="AR449" s="350"/>
      <c r="AS449" s="350"/>
      <c r="AT449" s="350"/>
      <c r="AU449" s="350"/>
      <c r="AV449" s="350"/>
      <c r="AW449" s="350"/>
      <c r="AX449" s="350"/>
      <c r="AY449" s="350"/>
      <c r="AZ449" s="350"/>
      <c r="BA449" s="350"/>
      <c r="BB449" s="350"/>
      <c r="BC449" s="350"/>
      <c r="BD449" s="350"/>
      <c r="BE449" s="350"/>
      <c r="BF449" s="350"/>
      <c r="BG449" s="350"/>
      <c r="BH449" s="350"/>
      <c r="BI449" s="350"/>
      <c r="BJ449" s="350"/>
      <c r="BK449" s="350"/>
      <c r="BL449" s="350"/>
      <c r="BM449" s="350"/>
      <c r="BN449" s="350"/>
      <c r="BO449" s="350"/>
      <c r="BP449" s="350"/>
      <c r="BQ449" s="350"/>
      <c r="BR449" s="350"/>
      <c r="BS449" s="350"/>
      <c r="BT449" s="108"/>
      <c r="BU449" s="108"/>
      <c r="BV449" s="108"/>
      <c r="BW449" s="108"/>
    </row>
    <row r="450" spans="1:75" s="218" customFormat="1" ht="13.5" customHeight="1">
      <c r="A450" s="397" t="s">
        <v>237</v>
      </c>
      <c r="B450" s="90">
        <v>978095</v>
      </c>
      <c r="C450" s="51">
        <v>974130</v>
      </c>
      <c r="D450" s="51">
        <v>980890</v>
      </c>
      <c r="E450" s="51">
        <v>968144</v>
      </c>
      <c r="F450" s="51">
        <v>874255</v>
      </c>
      <c r="G450" s="51">
        <v>908734</v>
      </c>
      <c r="H450" s="51">
        <v>869688</v>
      </c>
      <c r="I450" s="51">
        <v>870255</v>
      </c>
      <c r="J450" s="51">
        <v>844509</v>
      </c>
      <c r="K450" s="51">
        <v>819524</v>
      </c>
      <c r="L450" s="51">
        <v>803965</v>
      </c>
      <c r="M450" s="53">
        <v>841394</v>
      </c>
      <c r="N450" s="108"/>
      <c r="O450" s="350"/>
      <c r="P450" s="350"/>
      <c r="Q450" s="350"/>
      <c r="R450" s="350"/>
      <c r="S450" s="350"/>
      <c r="T450" s="350"/>
      <c r="U450" s="350"/>
      <c r="V450" s="350"/>
      <c r="W450" s="350"/>
      <c r="X450" s="350"/>
      <c r="Y450" s="350"/>
      <c r="Z450" s="350"/>
      <c r="AA450" s="350"/>
      <c r="AB450" s="350"/>
      <c r="AC450" s="350"/>
      <c r="AD450" s="350"/>
      <c r="AE450" s="350"/>
      <c r="AF450" s="350"/>
      <c r="AG450" s="350"/>
      <c r="AH450" s="350"/>
      <c r="AI450" s="350"/>
      <c r="AJ450" s="350"/>
      <c r="AK450" s="350"/>
      <c r="AL450" s="350"/>
      <c r="AM450" s="350"/>
      <c r="AN450" s="350"/>
      <c r="AO450" s="350"/>
      <c r="AP450" s="350"/>
      <c r="AQ450" s="350"/>
      <c r="AR450" s="350"/>
      <c r="AS450" s="350"/>
      <c r="AT450" s="350"/>
      <c r="AU450" s="350"/>
      <c r="AV450" s="350"/>
      <c r="AW450" s="350"/>
      <c r="AX450" s="350"/>
      <c r="AY450" s="350"/>
      <c r="AZ450" s="350"/>
      <c r="BA450" s="350"/>
      <c r="BB450" s="350"/>
      <c r="BC450" s="350"/>
      <c r="BD450" s="350"/>
      <c r="BE450" s="350"/>
      <c r="BF450" s="350"/>
      <c r="BG450" s="350"/>
      <c r="BH450" s="350"/>
      <c r="BI450" s="350"/>
      <c r="BJ450" s="350"/>
      <c r="BK450" s="350"/>
      <c r="BL450" s="350"/>
      <c r="BM450" s="350"/>
      <c r="BN450" s="350"/>
      <c r="BO450" s="350"/>
      <c r="BP450" s="350"/>
      <c r="BQ450" s="350"/>
      <c r="BR450" s="350"/>
      <c r="BS450" s="350"/>
      <c r="BT450" s="108"/>
      <c r="BU450" s="108"/>
      <c r="BV450" s="108"/>
      <c r="BW450" s="108"/>
    </row>
    <row r="451" spans="1:75" s="218" customFormat="1" ht="13.5" customHeight="1">
      <c r="A451" s="397" t="s">
        <v>234</v>
      </c>
      <c r="B451" s="90">
        <v>75512</v>
      </c>
      <c r="C451" s="51">
        <v>72217</v>
      </c>
      <c r="D451" s="51">
        <v>68161</v>
      </c>
      <c r="E451" s="51">
        <v>68525</v>
      </c>
      <c r="F451" s="51">
        <v>68329</v>
      </c>
      <c r="G451" s="51">
        <v>75167</v>
      </c>
      <c r="H451" s="51">
        <v>78125</v>
      </c>
      <c r="I451" s="51">
        <v>107056</v>
      </c>
      <c r="J451" s="51">
        <v>109011</v>
      </c>
      <c r="K451" s="51">
        <v>105489</v>
      </c>
      <c r="L451" s="51">
        <v>104612</v>
      </c>
      <c r="M451" s="53">
        <v>106936</v>
      </c>
      <c r="N451" s="108"/>
      <c r="O451" s="350"/>
      <c r="P451" s="350"/>
      <c r="Q451" s="350"/>
      <c r="R451" s="350"/>
      <c r="S451" s="350"/>
      <c r="T451" s="350"/>
      <c r="U451" s="350"/>
      <c r="V451" s="350"/>
      <c r="W451" s="350"/>
      <c r="X451" s="350"/>
      <c r="Y451" s="350"/>
      <c r="Z451" s="350"/>
      <c r="AA451" s="350"/>
      <c r="AB451" s="350"/>
      <c r="AC451" s="350"/>
      <c r="AD451" s="350"/>
      <c r="AE451" s="350"/>
      <c r="AF451" s="350"/>
      <c r="AG451" s="350"/>
      <c r="AH451" s="350"/>
      <c r="AI451" s="350"/>
      <c r="AJ451" s="350"/>
      <c r="AK451" s="350"/>
      <c r="AL451" s="350"/>
      <c r="AM451" s="350"/>
      <c r="AN451" s="350"/>
      <c r="AO451" s="350"/>
      <c r="AP451" s="350"/>
      <c r="AQ451" s="350"/>
      <c r="AR451" s="350"/>
      <c r="AS451" s="350"/>
      <c r="AT451" s="350"/>
      <c r="AU451" s="350"/>
      <c r="AV451" s="350"/>
      <c r="AW451" s="350"/>
      <c r="AX451" s="350"/>
      <c r="AY451" s="350"/>
      <c r="AZ451" s="350"/>
      <c r="BA451" s="350"/>
      <c r="BB451" s="350"/>
      <c r="BC451" s="350"/>
      <c r="BD451" s="350"/>
      <c r="BE451" s="350"/>
      <c r="BF451" s="350"/>
      <c r="BG451" s="350"/>
      <c r="BH451" s="350"/>
      <c r="BI451" s="350"/>
      <c r="BJ451" s="350"/>
      <c r="BK451" s="350"/>
      <c r="BL451" s="350"/>
      <c r="BM451" s="350"/>
      <c r="BN451" s="350"/>
      <c r="BO451" s="350"/>
      <c r="BP451" s="350"/>
      <c r="BQ451" s="350"/>
      <c r="BR451" s="350"/>
      <c r="BS451" s="350"/>
      <c r="BT451" s="108"/>
      <c r="BU451" s="108"/>
      <c r="BV451" s="108"/>
      <c r="BW451" s="108"/>
    </row>
    <row r="452" spans="1:75" s="218" customFormat="1" ht="13.5" customHeight="1">
      <c r="A452" s="397" t="s">
        <v>238</v>
      </c>
      <c r="B452" s="90">
        <v>641559</v>
      </c>
      <c r="C452" s="51">
        <v>623157</v>
      </c>
      <c r="D452" s="51">
        <v>636533</v>
      </c>
      <c r="E452" s="51">
        <v>553970</v>
      </c>
      <c r="F452" s="51">
        <v>532437</v>
      </c>
      <c r="G452" s="51">
        <v>538831</v>
      </c>
      <c r="H452" s="51">
        <v>481251</v>
      </c>
      <c r="I452" s="51">
        <v>449031</v>
      </c>
      <c r="J452" s="51">
        <v>420471</v>
      </c>
      <c r="K452" s="51">
        <v>374360</v>
      </c>
      <c r="L452" s="51">
        <v>385929</v>
      </c>
      <c r="M452" s="53">
        <v>385366</v>
      </c>
      <c r="N452" s="108"/>
      <c r="O452" s="350"/>
      <c r="P452" s="350"/>
      <c r="Q452" s="350"/>
      <c r="R452" s="350"/>
      <c r="S452" s="350"/>
      <c r="T452" s="350"/>
      <c r="U452" s="350"/>
      <c r="V452" s="350"/>
      <c r="W452" s="350"/>
      <c r="X452" s="350"/>
      <c r="Y452" s="350"/>
      <c r="Z452" s="350"/>
      <c r="AA452" s="350"/>
      <c r="AB452" s="350"/>
      <c r="AC452" s="350"/>
      <c r="AD452" s="350"/>
      <c r="AE452" s="350"/>
      <c r="AF452" s="350"/>
      <c r="AG452" s="350"/>
      <c r="AH452" s="350"/>
      <c r="AI452" s="350"/>
      <c r="AJ452" s="350"/>
      <c r="AK452" s="350"/>
      <c r="AL452" s="350"/>
      <c r="AM452" s="350"/>
      <c r="AN452" s="350"/>
      <c r="AO452" s="350"/>
      <c r="AP452" s="350"/>
      <c r="AQ452" s="350"/>
      <c r="AR452" s="350"/>
      <c r="AS452" s="350"/>
      <c r="AT452" s="350"/>
      <c r="AU452" s="350"/>
      <c r="AV452" s="350"/>
      <c r="AW452" s="350"/>
      <c r="AX452" s="350"/>
      <c r="AY452" s="350"/>
      <c r="AZ452" s="350"/>
      <c r="BA452" s="350"/>
      <c r="BB452" s="350"/>
      <c r="BC452" s="350"/>
      <c r="BD452" s="350"/>
      <c r="BE452" s="350"/>
      <c r="BF452" s="350"/>
      <c r="BG452" s="350"/>
      <c r="BH452" s="350"/>
      <c r="BI452" s="350"/>
      <c r="BJ452" s="350"/>
      <c r="BK452" s="350"/>
      <c r="BL452" s="350"/>
      <c r="BM452" s="350"/>
      <c r="BN452" s="350"/>
      <c r="BO452" s="350"/>
      <c r="BP452" s="350"/>
      <c r="BQ452" s="350"/>
      <c r="BR452" s="350"/>
      <c r="BS452" s="350"/>
      <c r="BT452" s="108"/>
      <c r="BU452" s="108"/>
      <c r="BV452" s="108"/>
      <c r="BW452" s="108"/>
    </row>
    <row r="453" spans="1:75" s="218" customFormat="1" ht="13.5" customHeight="1" thickBot="1">
      <c r="A453" s="214" t="s">
        <v>18</v>
      </c>
      <c r="B453" s="98">
        <v>42420093</v>
      </c>
      <c r="C453" s="99">
        <v>41694296</v>
      </c>
      <c r="D453" s="99">
        <v>40877697</v>
      </c>
      <c r="E453" s="99">
        <v>40165130</v>
      </c>
      <c r="F453" s="99">
        <v>39963767</v>
      </c>
      <c r="G453" s="99">
        <v>39618555</v>
      </c>
      <c r="H453" s="99">
        <v>39143383</v>
      </c>
      <c r="I453" s="99">
        <v>38831073</v>
      </c>
      <c r="J453" s="99">
        <v>37535518</v>
      </c>
      <c r="K453" s="99">
        <v>36597941</v>
      </c>
      <c r="L453" s="99">
        <v>36767956</v>
      </c>
      <c r="M453" s="100">
        <v>36144674</v>
      </c>
      <c r="N453" s="110"/>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c r="AJ453" s="101"/>
      <c r="AK453" s="101"/>
      <c r="AL453" s="101"/>
      <c r="AM453" s="101"/>
      <c r="AN453" s="101"/>
      <c r="AO453" s="101"/>
      <c r="AP453" s="101"/>
      <c r="AQ453" s="101"/>
      <c r="AR453" s="101"/>
      <c r="AS453" s="101"/>
      <c r="AT453" s="101"/>
      <c r="AU453" s="101"/>
      <c r="AV453" s="101"/>
      <c r="AW453" s="101"/>
      <c r="AX453" s="101"/>
      <c r="AY453" s="101"/>
      <c r="AZ453" s="101"/>
      <c r="BA453" s="101"/>
      <c r="BB453" s="101"/>
      <c r="BC453" s="101"/>
      <c r="BD453" s="101"/>
      <c r="BE453" s="101"/>
      <c r="BF453" s="101"/>
      <c r="BG453" s="101"/>
      <c r="BH453" s="101"/>
      <c r="BI453" s="101"/>
      <c r="BJ453" s="101"/>
      <c r="BK453" s="101"/>
      <c r="BL453" s="101"/>
      <c r="BM453" s="101"/>
      <c r="BN453" s="101"/>
      <c r="BO453" s="101"/>
      <c r="BP453" s="101"/>
      <c r="BQ453" s="101"/>
      <c r="BR453" s="101"/>
      <c r="BS453" s="101"/>
      <c r="BT453" s="110"/>
      <c r="BU453" s="108"/>
      <c r="BV453" s="108"/>
      <c r="BW453" s="108"/>
    </row>
    <row r="454" spans="1:75" s="218" customFormat="1" ht="13.5" customHeight="1" thickBot="1">
      <c r="A454" s="398"/>
      <c r="B454" s="341"/>
      <c r="C454" s="341"/>
      <c r="D454" s="341"/>
      <c r="E454" s="341"/>
      <c r="F454" s="341"/>
      <c r="G454" s="341"/>
      <c r="H454" s="341"/>
      <c r="I454" s="341"/>
      <c r="J454" s="341"/>
      <c r="K454" s="341"/>
      <c r="L454" s="341"/>
      <c r="M454" s="341"/>
      <c r="N454" s="101"/>
      <c r="O454" s="341"/>
      <c r="P454" s="341"/>
      <c r="Q454" s="341"/>
      <c r="R454" s="341"/>
      <c r="S454" s="341"/>
      <c r="T454" s="341"/>
      <c r="U454" s="341"/>
      <c r="V454" s="341"/>
      <c r="W454" s="341"/>
      <c r="X454" s="341"/>
      <c r="Y454" s="341"/>
      <c r="Z454" s="341"/>
      <c r="AA454" s="341"/>
      <c r="AB454" s="341"/>
      <c r="AC454" s="341"/>
      <c r="AD454" s="341"/>
      <c r="AE454" s="341"/>
      <c r="AF454" s="341"/>
      <c r="AG454" s="341"/>
      <c r="AH454" s="341"/>
      <c r="AI454" s="341"/>
      <c r="AJ454" s="341"/>
      <c r="AK454" s="341"/>
      <c r="AL454" s="341"/>
      <c r="AM454" s="341"/>
      <c r="AN454" s="341"/>
      <c r="AO454" s="341"/>
      <c r="AP454" s="341"/>
      <c r="AQ454" s="341"/>
      <c r="AR454" s="341"/>
      <c r="AS454" s="341"/>
      <c r="AT454" s="341"/>
      <c r="AU454" s="341"/>
      <c r="AV454" s="341"/>
      <c r="AW454" s="341"/>
      <c r="AX454" s="341"/>
      <c r="AY454" s="341"/>
      <c r="AZ454" s="341"/>
      <c r="BA454" s="341"/>
      <c r="BB454" s="341"/>
      <c r="BC454" s="341"/>
      <c r="BD454" s="341"/>
      <c r="BE454" s="341"/>
      <c r="BF454" s="341"/>
      <c r="BG454" s="341"/>
      <c r="BH454" s="341"/>
      <c r="BI454" s="341"/>
      <c r="BJ454" s="341"/>
      <c r="BK454" s="341"/>
      <c r="BL454" s="341"/>
      <c r="BM454" s="341"/>
      <c r="BN454" s="341"/>
      <c r="BO454" s="341"/>
      <c r="BP454" s="341"/>
      <c r="BQ454" s="341"/>
      <c r="BR454" s="341"/>
      <c r="BS454" s="341"/>
      <c r="BT454" s="110"/>
      <c r="BU454" s="108"/>
      <c r="BV454" s="108"/>
      <c r="BW454" s="108"/>
    </row>
    <row r="455" spans="1:75" s="218" customFormat="1" ht="13.5" customHeight="1" thickBot="1">
      <c r="A455" s="398"/>
      <c r="B455" s="343">
        <v>39814</v>
      </c>
      <c r="C455" s="345">
        <v>39845</v>
      </c>
      <c r="D455" s="344">
        <v>39873</v>
      </c>
      <c r="E455" s="345">
        <v>39904</v>
      </c>
      <c r="F455" s="344">
        <v>39934</v>
      </c>
      <c r="G455" s="345">
        <v>39965</v>
      </c>
      <c r="H455" s="344">
        <v>39995</v>
      </c>
      <c r="I455" s="345">
        <v>40026</v>
      </c>
      <c r="J455" s="344">
        <v>40057</v>
      </c>
      <c r="K455" s="345">
        <v>40087</v>
      </c>
      <c r="L455" s="344">
        <v>40118</v>
      </c>
      <c r="M455" s="346">
        <v>40148</v>
      </c>
      <c r="N455" s="101"/>
      <c r="O455" s="341"/>
      <c r="P455" s="341"/>
      <c r="Q455" s="341"/>
      <c r="R455" s="341"/>
      <c r="S455" s="341"/>
      <c r="T455" s="341"/>
      <c r="U455" s="341"/>
      <c r="V455" s="341"/>
      <c r="W455" s="341"/>
      <c r="X455" s="341"/>
      <c r="Y455" s="341"/>
      <c r="Z455" s="341"/>
      <c r="AA455" s="341"/>
      <c r="AB455" s="341"/>
      <c r="AC455" s="341"/>
      <c r="AD455" s="341"/>
      <c r="AE455" s="341"/>
      <c r="AF455" s="341"/>
      <c r="AG455" s="341"/>
      <c r="AH455" s="341"/>
      <c r="AI455" s="341"/>
      <c r="AJ455" s="341"/>
      <c r="AK455" s="341"/>
      <c r="AL455" s="341"/>
      <c r="AM455" s="341"/>
      <c r="AN455" s="341"/>
      <c r="AO455" s="341"/>
      <c r="AP455" s="341"/>
      <c r="AQ455" s="341"/>
      <c r="AR455" s="341"/>
      <c r="AS455" s="341"/>
      <c r="AT455" s="341"/>
      <c r="AU455" s="341"/>
      <c r="AV455" s="341"/>
      <c r="AW455" s="341"/>
      <c r="AX455" s="341"/>
      <c r="AY455" s="341"/>
      <c r="AZ455" s="341"/>
      <c r="BA455" s="341"/>
      <c r="BB455" s="341"/>
      <c r="BC455" s="341"/>
      <c r="BD455" s="341"/>
      <c r="BE455" s="341"/>
      <c r="BF455" s="341"/>
      <c r="BG455" s="341"/>
      <c r="BH455" s="341"/>
      <c r="BI455" s="341"/>
      <c r="BJ455" s="341"/>
      <c r="BK455" s="341"/>
      <c r="BL455" s="341"/>
      <c r="BM455" s="341"/>
      <c r="BN455" s="341"/>
      <c r="BO455" s="341"/>
      <c r="BP455" s="341"/>
      <c r="BQ455" s="341"/>
      <c r="BR455" s="341"/>
      <c r="BS455" s="341"/>
      <c r="BT455" s="110"/>
      <c r="BU455" s="108"/>
      <c r="BV455" s="108"/>
      <c r="BW455" s="108"/>
    </row>
    <row r="456" spans="1:75" s="218" customFormat="1" ht="13.5" customHeight="1">
      <c r="A456" s="396" t="s">
        <v>231</v>
      </c>
      <c r="B456" s="89">
        <v>8218145</v>
      </c>
      <c r="C456" s="49">
        <v>8193994</v>
      </c>
      <c r="D456" s="49">
        <v>7990018</v>
      </c>
      <c r="E456" s="49">
        <v>7949607</v>
      </c>
      <c r="F456" s="49">
        <v>7690160</v>
      </c>
      <c r="G456" s="49">
        <v>7174018</v>
      </c>
      <c r="H456" s="49">
        <v>6637484</v>
      </c>
      <c r="I456" s="49">
        <v>6395610</v>
      </c>
      <c r="J456" s="49">
        <v>6345964</v>
      </c>
      <c r="K456" s="49">
        <v>5923772</v>
      </c>
      <c r="L456" s="49">
        <v>5301113</v>
      </c>
      <c r="M456" s="50">
        <v>5049593</v>
      </c>
      <c r="N456" s="101"/>
      <c r="O456" s="341"/>
      <c r="P456" s="341"/>
      <c r="Q456" s="341"/>
      <c r="R456" s="341"/>
      <c r="S456" s="341"/>
      <c r="T456" s="341"/>
      <c r="U456" s="341"/>
      <c r="V456" s="341"/>
      <c r="W456" s="341"/>
      <c r="X456" s="341"/>
      <c r="Y456" s="341"/>
      <c r="Z456" s="341"/>
      <c r="AA456" s="341"/>
      <c r="AB456" s="341"/>
      <c r="AC456" s="341"/>
      <c r="AD456" s="341"/>
      <c r="AE456" s="341"/>
      <c r="AF456" s="341"/>
      <c r="AG456" s="341"/>
      <c r="AH456" s="341"/>
      <c r="AI456" s="341"/>
      <c r="AJ456" s="341"/>
      <c r="AK456" s="341"/>
      <c r="AL456" s="341"/>
      <c r="AM456" s="341"/>
      <c r="AN456" s="341"/>
      <c r="AO456" s="341"/>
      <c r="AP456" s="341"/>
      <c r="AQ456" s="341"/>
      <c r="AR456" s="341"/>
      <c r="AS456" s="341"/>
      <c r="AT456" s="341"/>
      <c r="AU456" s="341"/>
      <c r="AV456" s="341"/>
      <c r="AW456" s="341"/>
      <c r="AX456" s="341"/>
      <c r="AY456" s="341"/>
      <c r="AZ456" s="341"/>
      <c r="BA456" s="341"/>
      <c r="BB456" s="341"/>
      <c r="BC456" s="341"/>
      <c r="BD456" s="341"/>
      <c r="BE456" s="341"/>
      <c r="BF456" s="341"/>
      <c r="BG456" s="341"/>
      <c r="BH456" s="341"/>
      <c r="BI456" s="341"/>
      <c r="BJ456" s="341"/>
      <c r="BK456" s="341"/>
      <c r="BL456" s="341"/>
      <c r="BM456" s="341"/>
      <c r="BN456" s="341"/>
      <c r="BO456" s="341"/>
      <c r="BP456" s="341"/>
      <c r="BQ456" s="341"/>
      <c r="BR456" s="341"/>
      <c r="BS456" s="341"/>
      <c r="BT456" s="110"/>
      <c r="BU456" s="108"/>
      <c r="BV456" s="108"/>
      <c r="BW456" s="108"/>
    </row>
    <row r="457" spans="1:75" s="218" customFormat="1" ht="13.5" customHeight="1">
      <c r="A457" s="397" t="s">
        <v>232</v>
      </c>
      <c r="B457" s="90">
        <v>6292901</v>
      </c>
      <c r="C457" s="51">
        <v>5961354</v>
      </c>
      <c r="D457" s="51">
        <v>5649355</v>
      </c>
      <c r="E457" s="51">
        <v>5516592</v>
      </c>
      <c r="F457" s="51">
        <v>5271953</v>
      </c>
      <c r="G457" s="51">
        <v>5062611</v>
      </c>
      <c r="H457" s="51">
        <v>4895685</v>
      </c>
      <c r="I457" s="51">
        <v>4623255</v>
      </c>
      <c r="J457" s="51">
        <v>4591169</v>
      </c>
      <c r="K457" s="51">
        <v>4431525</v>
      </c>
      <c r="L457" s="51">
        <v>4188658</v>
      </c>
      <c r="M457" s="53">
        <v>4101515</v>
      </c>
      <c r="N457" s="101"/>
      <c r="O457" s="341"/>
      <c r="P457" s="341"/>
      <c r="Q457" s="341"/>
      <c r="R457" s="341"/>
      <c r="S457" s="341"/>
      <c r="T457" s="341"/>
      <c r="U457" s="341"/>
      <c r="V457" s="341"/>
      <c r="W457" s="341"/>
      <c r="X457" s="341"/>
      <c r="Y457" s="341"/>
      <c r="Z457" s="341"/>
      <c r="AA457" s="341"/>
      <c r="AB457" s="341"/>
      <c r="AC457" s="341"/>
      <c r="AD457" s="341"/>
      <c r="AE457" s="341"/>
      <c r="AF457" s="341"/>
      <c r="AG457" s="341"/>
      <c r="AH457" s="341"/>
      <c r="AI457" s="341"/>
      <c r="AJ457" s="341"/>
      <c r="AK457" s="341"/>
      <c r="AL457" s="341"/>
      <c r="AM457" s="341"/>
      <c r="AN457" s="341"/>
      <c r="AO457" s="341"/>
      <c r="AP457" s="341"/>
      <c r="AQ457" s="341"/>
      <c r="AR457" s="341"/>
      <c r="AS457" s="341"/>
      <c r="AT457" s="341"/>
      <c r="AU457" s="341"/>
      <c r="AV457" s="341"/>
      <c r="AW457" s="341"/>
      <c r="AX457" s="341"/>
      <c r="AY457" s="341"/>
      <c r="AZ457" s="341"/>
      <c r="BA457" s="341"/>
      <c r="BB457" s="341"/>
      <c r="BC457" s="341"/>
      <c r="BD457" s="341"/>
      <c r="BE457" s="341"/>
      <c r="BF457" s="341"/>
      <c r="BG457" s="341"/>
      <c r="BH457" s="341"/>
      <c r="BI457" s="341"/>
      <c r="BJ457" s="341"/>
      <c r="BK457" s="341"/>
      <c r="BL457" s="341"/>
      <c r="BM457" s="341"/>
      <c r="BN457" s="341"/>
      <c r="BO457" s="341"/>
      <c r="BP457" s="341"/>
      <c r="BQ457" s="341"/>
      <c r="BR457" s="341"/>
      <c r="BS457" s="341"/>
      <c r="BT457" s="110"/>
      <c r="BU457" s="108"/>
      <c r="BV457" s="108"/>
      <c r="BW457" s="108"/>
    </row>
    <row r="458" spans="1:75" s="218" customFormat="1" ht="13.5" customHeight="1">
      <c r="A458" s="397" t="s">
        <v>230</v>
      </c>
      <c r="B458" s="90">
        <v>4490148</v>
      </c>
      <c r="C458" s="51">
        <v>4578347</v>
      </c>
      <c r="D458" s="51">
        <v>4462883</v>
      </c>
      <c r="E458" s="51">
        <v>4476137</v>
      </c>
      <c r="F458" s="51">
        <v>4282743</v>
      </c>
      <c r="G458" s="51">
        <v>4134228</v>
      </c>
      <c r="H458" s="51">
        <v>4008683</v>
      </c>
      <c r="I458" s="51">
        <v>4150840</v>
      </c>
      <c r="J458" s="51">
        <v>4223888</v>
      </c>
      <c r="K458" s="51">
        <v>4052802</v>
      </c>
      <c r="L458" s="51">
        <v>3971162</v>
      </c>
      <c r="M458" s="53">
        <v>3846265</v>
      </c>
      <c r="N458" s="101"/>
      <c r="O458" s="341"/>
      <c r="P458" s="341"/>
      <c r="Q458" s="341"/>
      <c r="R458" s="341"/>
      <c r="S458" s="341"/>
      <c r="T458" s="341"/>
      <c r="U458" s="341"/>
      <c r="V458" s="341"/>
      <c r="W458" s="341"/>
      <c r="X458" s="341"/>
      <c r="Y458" s="341"/>
      <c r="Z458" s="341"/>
      <c r="AA458" s="341"/>
      <c r="AB458" s="341"/>
      <c r="AC458" s="341"/>
      <c r="AD458" s="341"/>
      <c r="AE458" s="341"/>
      <c r="AF458" s="341"/>
      <c r="AG458" s="341"/>
      <c r="AH458" s="341"/>
      <c r="AI458" s="341"/>
      <c r="AJ458" s="341"/>
      <c r="AK458" s="341"/>
      <c r="AL458" s="341"/>
      <c r="AM458" s="341"/>
      <c r="AN458" s="341"/>
      <c r="AO458" s="341"/>
      <c r="AP458" s="341"/>
      <c r="AQ458" s="341"/>
      <c r="AR458" s="341"/>
      <c r="AS458" s="341"/>
      <c r="AT458" s="341"/>
      <c r="AU458" s="341"/>
      <c r="AV458" s="341"/>
      <c r="AW458" s="341"/>
      <c r="AX458" s="341"/>
      <c r="AY458" s="341"/>
      <c r="AZ458" s="341"/>
      <c r="BA458" s="341"/>
      <c r="BB458" s="341"/>
      <c r="BC458" s="341"/>
      <c r="BD458" s="341"/>
      <c r="BE458" s="341"/>
      <c r="BF458" s="341"/>
      <c r="BG458" s="341"/>
      <c r="BH458" s="341"/>
      <c r="BI458" s="341"/>
      <c r="BJ458" s="341"/>
      <c r="BK458" s="341"/>
      <c r="BL458" s="341"/>
      <c r="BM458" s="341"/>
      <c r="BN458" s="341"/>
      <c r="BO458" s="341"/>
      <c r="BP458" s="341"/>
      <c r="BQ458" s="341"/>
      <c r="BR458" s="341"/>
      <c r="BS458" s="341"/>
      <c r="BT458" s="110"/>
      <c r="BU458" s="108"/>
      <c r="BV458" s="108"/>
      <c r="BW458" s="108"/>
    </row>
    <row r="459" spans="1:75" s="218" customFormat="1" ht="13.5" customHeight="1">
      <c r="A459" s="397" t="s">
        <v>229</v>
      </c>
      <c r="B459" s="90">
        <v>4754734</v>
      </c>
      <c r="C459" s="51">
        <v>4784536</v>
      </c>
      <c r="D459" s="51">
        <v>4676006</v>
      </c>
      <c r="E459" s="51">
        <v>4627761</v>
      </c>
      <c r="F459" s="51">
        <v>4349873</v>
      </c>
      <c r="G459" s="51">
        <v>4110500</v>
      </c>
      <c r="H459" s="51">
        <v>4041428</v>
      </c>
      <c r="I459" s="51">
        <v>3901254</v>
      </c>
      <c r="J459" s="51">
        <v>3817081</v>
      </c>
      <c r="K459" s="51">
        <v>3747673</v>
      </c>
      <c r="L459" s="51">
        <v>3557567</v>
      </c>
      <c r="M459" s="53">
        <v>3437503</v>
      </c>
      <c r="N459" s="101"/>
      <c r="O459" s="341"/>
      <c r="P459" s="341"/>
      <c r="Q459" s="341"/>
      <c r="R459" s="341"/>
      <c r="S459" s="341"/>
      <c r="T459" s="341"/>
      <c r="U459" s="341"/>
      <c r="V459" s="341"/>
      <c r="W459" s="341"/>
      <c r="X459" s="341"/>
      <c r="Y459" s="341"/>
      <c r="Z459" s="341"/>
      <c r="AA459" s="341"/>
      <c r="AB459" s="341"/>
      <c r="AC459" s="341"/>
      <c r="AD459" s="341"/>
      <c r="AE459" s="341"/>
      <c r="AF459" s="341"/>
      <c r="AG459" s="341"/>
      <c r="AH459" s="341"/>
      <c r="AI459" s="341"/>
      <c r="AJ459" s="341"/>
      <c r="AK459" s="341"/>
      <c r="AL459" s="341"/>
      <c r="AM459" s="341"/>
      <c r="AN459" s="341"/>
      <c r="AO459" s="341"/>
      <c r="AP459" s="341"/>
      <c r="AQ459" s="341"/>
      <c r="AR459" s="341"/>
      <c r="AS459" s="341"/>
      <c r="AT459" s="341"/>
      <c r="AU459" s="341"/>
      <c r="AV459" s="341"/>
      <c r="AW459" s="341"/>
      <c r="AX459" s="341"/>
      <c r="AY459" s="341"/>
      <c r="AZ459" s="341"/>
      <c r="BA459" s="341"/>
      <c r="BB459" s="341"/>
      <c r="BC459" s="341"/>
      <c r="BD459" s="341"/>
      <c r="BE459" s="341"/>
      <c r="BF459" s="341"/>
      <c r="BG459" s="341"/>
      <c r="BH459" s="341"/>
      <c r="BI459" s="341"/>
      <c r="BJ459" s="341"/>
      <c r="BK459" s="341"/>
      <c r="BL459" s="341"/>
      <c r="BM459" s="341"/>
      <c r="BN459" s="341"/>
      <c r="BO459" s="341"/>
      <c r="BP459" s="341"/>
      <c r="BQ459" s="341"/>
      <c r="BR459" s="341"/>
      <c r="BS459" s="341"/>
      <c r="BT459" s="110"/>
      <c r="BU459" s="108"/>
      <c r="BV459" s="108"/>
      <c r="BW459" s="108"/>
    </row>
    <row r="460" spans="1:75" s="218" customFormat="1" ht="13.5" customHeight="1">
      <c r="A460" s="397" t="s">
        <v>233</v>
      </c>
      <c r="B460" s="90">
        <v>3706830</v>
      </c>
      <c r="C460" s="51">
        <v>3813357</v>
      </c>
      <c r="D460" s="51">
        <v>3962834</v>
      </c>
      <c r="E460" s="51">
        <v>3913577</v>
      </c>
      <c r="F460" s="51">
        <v>4058855</v>
      </c>
      <c r="G460" s="51">
        <v>4133188</v>
      </c>
      <c r="H460" s="51">
        <v>3950279</v>
      </c>
      <c r="I460" s="51">
        <v>4002270</v>
      </c>
      <c r="J460" s="51">
        <v>4065196</v>
      </c>
      <c r="K460" s="51">
        <v>3996750</v>
      </c>
      <c r="L460" s="51">
        <v>4054972</v>
      </c>
      <c r="M460" s="53">
        <v>3973420</v>
      </c>
      <c r="N460" s="101"/>
      <c r="O460" s="341"/>
      <c r="P460" s="341"/>
      <c r="Q460" s="341"/>
      <c r="R460" s="341"/>
      <c r="S460" s="341"/>
      <c r="T460" s="341"/>
      <c r="U460" s="341"/>
      <c r="V460" s="341"/>
      <c r="W460" s="341"/>
      <c r="X460" s="341"/>
      <c r="Y460" s="341"/>
      <c r="Z460" s="341"/>
      <c r="AA460" s="341"/>
      <c r="AB460" s="341"/>
      <c r="AC460" s="341"/>
      <c r="AD460" s="341"/>
      <c r="AE460" s="341"/>
      <c r="AF460" s="341"/>
      <c r="AG460" s="341"/>
      <c r="AH460" s="341"/>
      <c r="AI460" s="341"/>
      <c r="AJ460" s="341"/>
      <c r="AK460" s="341"/>
      <c r="AL460" s="341"/>
      <c r="AM460" s="341"/>
      <c r="AN460" s="341"/>
      <c r="AO460" s="341"/>
      <c r="AP460" s="341"/>
      <c r="AQ460" s="341"/>
      <c r="AR460" s="341"/>
      <c r="AS460" s="341"/>
      <c r="AT460" s="341"/>
      <c r="AU460" s="341"/>
      <c r="AV460" s="341"/>
      <c r="AW460" s="341"/>
      <c r="AX460" s="341"/>
      <c r="AY460" s="341"/>
      <c r="AZ460" s="341"/>
      <c r="BA460" s="341"/>
      <c r="BB460" s="341"/>
      <c r="BC460" s="341"/>
      <c r="BD460" s="341"/>
      <c r="BE460" s="341"/>
      <c r="BF460" s="341"/>
      <c r="BG460" s="341"/>
      <c r="BH460" s="341"/>
      <c r="BI460" s="341"/>
      <c r="BJ460" s="341"/>
      <c r="BK460" s="341"/>
      <c r="BL460" s="341"/>
      <c r="BM460" s="341"/>
      <c r="BN460" s="341"/>
      <c r="BO460" s="341"/>
      <c r="BP460" s="341"/>
      <c r="BQ460" s="341"/>
      <c r="BR460" s="341"/>
      <c r="BS460" s="341"/>
      <c r="BT460" s="110"/>
      <c r="BU460" s="108"/>
      <c r="BV460" s="108"/>
      <c r="BW460" s="108"/>
    </row>
    <row r="461" spans="1:75" s="218" customFormat="1" ht="13.5" customHeight="1">
      <c r="A461" s="397" t="s">
        <v>361</v>
      </c>
      <c r="B461" s="90">
        <v>42</v>
      </c>
      <c r="C461" s="51">
        <v>42</v>
      </c>
      <c r="D461" s="51">
        <v>2763</v>
      </c>
      <c r="E461" s="51">
        <v>13523</v>
      </c>
      <c r="F461" s="51">
        <v>29016</v>
      </c>
      <c r="G461" s="51">
        <v>62077</v>
      </c>
      <c r="H461" s="51">
        <v>113554</v>
      </c>
      <c r="I461" s="51">
        <v>145654</v>
      </c>
      <c r="J461" s="51">
        <v>181077</v>
      </c>
      <c r="K461" s="51">
        <v>224484</v>
      </c>
      <c r="L461" s="51">
        <v>309095</v>
      </c>
      <c r="M461" s="53">
        <v>349616</v>
      </c>
      <c r="N461" s="101"/>
      <c r="O461" s="341"/>
      <c r="P461" s="341"/>
      <c r="Q461" s="341"/>
      <c r="R461" s="341"/>
      <c r="S461" s="341"/>
      <c r="T461" s="341"/>
      <c r="U461" s="341"/>
      <c r="V461" s="341"/>
      <c r="W461" s="341"/>
      <c r="X461" s="341"/>
      <c r="Y461" s="341"/>
      <c r="Z461" s="341"/>
      <c r="AA461" s="341"/>
      <c r="AB461" s="341"/>
      <c r="AC461" s="341"/>
      <c r="AD461" s="341"/>
      <c r="AE461" s="341"/>
      <c r="AF461" s="341"/>
      <c r="AG461" s="341"/>
      <c r="AH461" s="341"/>
      <c r="AI461" s="341"/>
      <c r="AJ461" s="341"/>
      <c r="AK461" s="341"/>
      <c r="AL461" s="341"/>
      <c r="AM461" s="341"/>
      <c r="AN461" s="341"/>
      <c r="AO461" s="341"/>
      <c r="AP461" s="341"/>
      <c r="AQ461" s="341"/>
      <c r="AR461" s="341"/>
      <c r="AS461" s="341"/>
      <c r="AT461" s="341"/>
      <c r="AU461" s="341"/>
      <c r="AV461" s="341"/>
      <c r="AW461" s="341"/>
      <c r="AX461" s="341"/>
      <c r="AY461" s="341"/>
      <c r="AZ461" s="341"/>
      <c r="BA461" s="341"/>
      <c r="BB461" s="341"/>
      <c r="BC461" s="341"/>
      <c r="BD461" s="341"/>
      <c r="BE461" s="341"/>
      <c r="BF461" s="341"/>
      <c r="BG461" s="341"/>
      <c r="BH461" s="341"/>
      <c r="BI461" s="341"/>
      <c r="BJ461" s="341"/>
      <c r="BK461" s="341"/>
      <c r="BL461" s="341"/>
      <c r="BM461" s="341"/>
      <c r="BN461" s="341"/>
      <c r="BO461" s="341"/>
      <c r="BP461" s="341"/>
      <c r="BQ461" s="341"/>
      <c r="BR461" s="341"/>
      <c r="BS461" s="341"/>
      <c r="BT461" s="110"/>
      <c r="BU461" s="108"/>
      <c r="BV461" s="108"/>
      <c r="BW461" s="108"/>
    </row>
    <row r="462" spans="1:75" s="218" customFormat="1" ht="13.5" customHeight="1">
      <c r="A462" s="397" t="s">
        <v>228</v>
      </c>
      <c r="B462" s="90">
        <v>597078</v>
      </c>
      <c r="C462" s="51">
        <v>600107</v>
      </c>
      <c r="D462" s="51">
        <v>592613</v>
      </c>
      <c r="E462" s="51">
        <v>585925</v>
      </c>
      <c r="F462" s="51">
        <v>550893</v>
      </c>
      <c r="G462" s="51">
        <v>533108</v>
      </c>
      <c r="H462" s="51">
        <v>520258</v>
      </c>
      <c r="I462" s="51">
        <v>489704</v>
      </c>
      <c r="J462" s="51">
        <v>511601</v>
      </c>
      <c r="K462" s="51">
        <v>494978</v>
      </c>
      <c r="L462" s="51">
        <v>472225</v>
      </c>
      <c r="M462" s="53">
        <v>482365</v>
      </c>
      <c r="N462" s="101"/>
      <c r="O462" s="341"/>
      <c r="P462" s="341"/>
      <c r="Q462" s="341"/>
      <c r="R462" s="341"/>
      <c r="S462" s="341"/>
      <c r="T462" s="341"/>
      <c r="U462" s="341"/>
      <c r="V462" s="341"/>
      <c r="W462" s="341"/>
      <c r="X462" s="341"/>
      <c r="Y462" s="341"/>
      <c r="Z462" s="341"/>
      <c r="AA462" s="341"/>
      <c r="AB462" s="341"/>
      <c r="AC462" s="341"/>
      <c r="AD462" s="341"/>
      <c r="AE462" s="341"/>
      <c r="AF462" s="341"/>
      <c r="AG462" s="341"/>
      <c r="AH462" s="341"/>
      <c r="AI462" s="341"/>
      <c r="AJ462" s="341"/>
      <c r="AK462" s="341"/>
      <c r="AL462" s="341"/>
      <c r="AM462" s="341"/>
      <c r="AN462" s="341"/>
      <c r="AO462" s="341"/>
      <c r="AP462" s="341"/>
      <c r="AQ462" s="341"/>
      <c r="AR462" s="341"/>
      <c r="AS462" s="341"/>
      <c r="AT462" s="341"/>
      <c r="AU462" s="341"/>
      <c r="AV462" s="341"/>
      <c r="AW462" s="341"/>
      <c r="AX462" s="341"/>
      <c r="AY462" s="341"/>
      <c r="AZ462" s="341"/>
      <c r="BA462" s="341"/>
      <c r="BB462" s="341"/>
      <c r="BC462" s="341"/>
      <c r="BD462" s="341"/>
      <c r="BE462" s="341"/>
      <c r="BF462" s="341"/>
      <c r="BG462" s="341"/>
      <c r="BH462" s="341"/>
      <c r="BI462" s="341"/>
      <c r="BJ462" s="341"/>
      <c r="BK462" s="341"/>
      <c r="BL462" s="341"/>
      <c r="BM462" s="341"/>
      <c r="BN462" s="341"/>
      <c r="BO462" s="341"/>
      <c r="BP462" s="341"/>
      <c r="BQ462" s="341"/>
      <c r="BR462" s="341"/>
      <c r="BS462" s="341"/>
      <c r="BT462" s="110"/>
      <c r="BU462" s="108"/>
      <c r="BV462" s="108"/>
      <c r="BW462" s="108"/>
    </row>
    <row r="463" spans="1:75" s="218" customFormat="1" ht="13.5" customHeight="1">
      <c r="A463" s="191" t="s">
        <v>362</v>
      </c>
      <c r="B463" s="340">
        <v>7201469</v>
      </c>
      <c r="C463" s="341">
        <v>7319809</v>
      </c>
      <c r="D463" s="341">
        <v>7156798</v>
      </c>
      <c r="E463" s="341">
        <v>7231709</v>
      </c>
      <c r="F463" s="341">
        <v>6883208</v>
      </c>
      <c r="G463" s="341">
        <v>6542529</v>
      </c>
      <c r="H463" s="341">
        <v>6566575</v>
      </c>
      <c r="I463" s="341">
        <v>6407196</v>
      </c>
      <c r="J463" s="341">
        <v>6595060</v>
      </c>
      <c r="K463" s="341">
        <v>6696870</v>
      </c>
      <c r="L463" s="341">
        <v>6443672</v>
      </c>
      <c r="M463" s="339">
        <v>6520976</v>
      </c>
      <c r="N463" s="101"/>
      <c r="O463" s="341"/>
      <c r="P463" s="341"/>
      <c r="Q463" s="341"/>
      <c r="R463" s="341"/>
      <c r="S463" s="341"/>
      <c r="T463" s="341"/>
      <c r="U463" s="341"/>
      <c r="V463" s="341"/>
      <c r="W463" s="341"/>
      <c r="X463" s="341"/>
      <c r="Y463" s="341"/>
      <c r="Z463" s="341"/>
      <c r="AA463" s="341"/>
      <c r="AB463" s="341"/>
      <c r="AC463" s="341"/>
      <c r="AD463" s="341"/>
      <c r="AE463" s="341"/>
      <c r="AF463" s="341"/>
      <c r="AG463" s="341"/>
      <c r="AH463" s="341"/>
      <c r="AI463" s="341"/>
      <c r="AJ463" s="341"/>
      <c r="AK463" s="341"/>
      <c r="AL463" s="341"/>
      <c r="AM463" s="341"/>
      <c r="AN463" s="341"/>
      <c r="AO463" s="341"/>
      <c r="AP463" s="341"/>
      <c r="AQ463" s="341"/>
      <c r="AR463" s="341"/>
      <c r="AS463" s="341"/>
      <c r="AT463" s="341"/>
      <c r="AU463" s="341"/>
      <c r="AV463" s="341"/>
      <c r="AW463" s="341"/>
      <c r="AX463" s="341"/>
      <c r="AY463" s="341"/>
      <c r="AZ463" s="341"/>
      <c r="BA463" s="341"/>
      <c r="BB463" s="341"/>
      <c r="BC463" s="341"/>
      <c r="BD463" s="341"/>
      <c r="BE463" s="341"/>
      <c r="BF463" s="341"/>
      <c r="BG463" s="341"/>
      <c r="BH463" s="341"/>
      <c r="BI463" s="341"/>
      <c r="BJ463" s="341"/>
      <c r="BK463" s="341"/>
      <c r="BL463" s="341"/>
      <c r="BM463" s="341"/>
      <c r="BN463" s="341"/>
      <c r="BO463" s="341"/>
      <c r="BP463" s="341"/>
      <c r="BQ463" s="341"/>
      <c r="BR463" s="341"/>
      <c r="BS463" s="341"/>
      <c r="BT463" s="110"/>
      <c r="BU463" s="108"/>
      <c r="BV463" s="108"/>
      <c r="BW463" s="108"/>
    </row>
    <row r="464" spans="1:75" s="218" customFormat="1" ht="13.5" customHeight="1">
      <c r="A464" s="397" t="s">
        <v>235</v>
      </c>
      <c r="B464" s="90">
        <v>1830548</v>
      </c>
      <c r="C464" s="51">
        <v>1843198</v>
      </c>
      <c r="D464" s="51">
        <v>1833830</v>
      </c>
      <c r="E464" s="51">
        <v>1781949</v>
      </c>
      <c r="F464" s="51">
        <v>1706573</v>
      </c>
      <c r="G464" s="51">
        <v>1667260</v>
      </c>
      <c r="H464" s="51">
        <v>1646480</v>
      </c>
      <c r="I464" s="51">
        <v>1679705</v>
      </c>
      <c r="J464" s="51">
        <v>1710110</v>
      </c>
      <c r="K464" s="51">
        <v>1717593</v>
      </c>
      <c r="L464" s="51">
        <v>1677447</v>
      </c>
      <c r="M464" s="53">
        <v>1702944</v>
      </c>
      <c r="N464" s="101"/>
      <c r="O464" s="341"/>
      <c r="P464" s="341"/>
      <c r="Q464" s="341"/>
      <c r="R464" s="341"/>
      <c r="S464" s="341"/>
      <c r="T464" s="341"/>
      <c r="U464" s="341"/>
      <c r="V464" s="341"/>
      <c r="W464" s="341"/>
      <c r="X464" s="341"/>
      <c r="Y464" s="341"/>
      <c r="Z464" s="341"/>
      <c r="AA464" s="341"/>
      <c r="AB464" s="341"/>
      <c r="AC464" s="341"/>
      <c r="AD464" s="341"/>
      <c r="AE464" s="341"/>
      <c r="AF464" s="341"/>
      <c r="AG464" s="341"/>
      <c r="AH464" s="341"/>
      <c r="AI464" s="341"/>
      <c r="AJ464" s="341"/>
      <c r="AK464" s="341"/>
      <c r="AL464" s="341"/>
      <c r="AM464" s="341"/>
      <c r="AN464" s="341"/>
      <c r="AO464" s="341"/>
      <c r="AP464" s="341"/>
      <c r="AQ464" s="341"/>
      <c r="AR464" s="341"/>
      <c r="AS464" s="341"/>
      <c r="AT464" s="341"/>
      <c r="AU464" s="341"/>
      <c r="AV464" s="341"/>
      <c r="AW464" s="341"/>
      <c r="AX464" s="341"/>
      <c r="AY464" s="341"/>
      <c r="AZ464" s="341"/>
      <c r="BA464" s="341"/>
      <c r="BB464" s="341"/>
      <c r="BC464" s="341"/>
      <c r="BD464" s="341"/>
      <c r="BE464" s="341"/>
      <c r="BF464" s="341"/>
      <c r="BG464" s="341"/>
      <c r="BH464" s="341"/>
      <c r="BI464" s="341"/>
      <c r="BJ464" s="341"/>
      <c r="BK464" s="341"/>
      <c r="BL464" s="341"/>
      <c r="BM464" s="341"/>
      <c r="BN464" s="341"/>
      <c r="BO464" s="341"/>
      <c r="BP464" s="341"/>
      <c r="BQ464" s="341"/>
      <c r="BR464" s="341"/>
      <c r="BS464" s="341"/>
      <c r="BT464" s="110"/>
      <c r="BU464" s="108"/>
      <c r="BV464" s="108"/>
      <c r="BW464" s="108"/>
    </row>
    <row r="465" spans="1:75" s="218" customFormat="1" ht="13.5" customHeight="1">
      <c r="A465" s="397" t="s">
        <v>239</v>
      </c>
      <c r="B465" s="90">
        <v>1670907</v>
      </c>
      <c r="C465" s="51">
        <v>1634521</v>
      </c>
      <c r="D465" s="51">
        <v>1599534</v>
      </c>
      <c r="E465" s="51">
        <v>1598667</v>
      </c>
      <c r="F465" s="51">
        <v>1527680</v>
      </c>
      <c r="G465" s="51">
        <v>1444722</v>
      </c>
      <c r="H465" s="51">
        <v>1426263</v>
      </c>
      <c r="I465" s="51">
        <v>1391905</v>
      </c>
      <c r="J465" s="51">
        <v>1372642</v>
      </c>
      <c r="K465" s="51">
        <v>1342021</v>
      </c>
      <c r="L465" s="51">
        <v>1295896</v>
      </c>
      <c r="M465" s="53">
        <v>1278585</v>
      </c>
      <c r="N465" s="101"/>
      <c r="O465" s="341"/>
      <c r="P465" s="341"/>
      <c r="Q465" s="341"/>
      <c r="R465" s="341"/>
      <c r="S465" s="341"/>
      <c r="T465" s="341"/>
      <c r="U465" s="341"/>
      <c r="V465" s="341"/>
      <c r="W465" s="341"/>
      <c r="X465" s="341"/>
      <c r="Y465" s="341"/>
      <c r="Z465" s="341"/>
      <c r="AA465" s="341"/>
      <c r="AB465" s="341"/>
      <c r="AC465" s="341"/>
      <c r="AD465" s="341"/>
      <c r="AE465" s="341"/>
      <c r="AF465" s="341"/>
      <c r="AG465" s="341"/>
      <c r="AH465" s="341"/>
      <c r="AI465" s="341"/>
      <c r="AJ465" s="341"/>
      <c r="AK465" s="341"/>
      <c r="AL465" s="341"/>
      <c r="AM465" s="341"/>
      <c r="AN465" s="341"/>
      <c r="AO465" s="341"/>
      <c r="AP465" s="341"/>
      <c r="AQ465" s="341"/>
      <c r="AR465" s="341"/>
      <c r="AS465" s="341"/>
      <c r="AT465" s="341"/>
      <c r="AU465" s="341"/>
      <c r="AV465" s="341"/>
      <c r="AW465" s="341"/>
      <c r="AX465" s="341"/>
      <c r="AY465" s="341"/>
      <c r="AZ465" s="341"/>
      <c r="BA465" s="341"/>
      <c r="BB465" s="341"/>
      <c r="BC465" s="341"/>
      <c r="BD465" s="341"/>
      <c r="BE465" s="341"/>
      <c r="BF465" s="341"/>
      <c r="BG465" s="341"/>
      <c r="BH465" s="341"/>
      <c r="BI465" s="341"/>
      <c r="BJ465" s="341"/>
      <c r="BK465" s="341"/>
      <c r="BL465" s="341"/>
      <c r="BM465" s="341"/>
      <c r="BN465" s="341"/>
      <c r="BO465" s="341"/>
      <c r="BP465" s="341"/>
      <c r="BQ465" s="341"/>
      <c r="BR465" s="341"/>
      <c r="BS465" s="341"/>
      <c r="BT465" s="110"/>
      <c r="BU465" s="108"/>
      <c r="BV465" s="108"/>
      <c r="BW465" s="108"/>
    </row>
    <row r="466" spans="1:75" s="218" customFormat="1" ht="13.5" customHeight="1">
      <c r="A466" s="397" t="s">
        <v>236</v>
      </c>
      <c r="B466" s="90">
        <v>2346414</v>
      </c>
      <c r="C466" s="51">
        <v>2464856</v>
      </c>
      <c r="D466" s="51">
        <v>2400206</v>
      </c>
      <c r="E466" s="51">
        <v>2493246</v>
      </c>
      <c r="F466" s="51">
        <v>2329704</v>
      </c>
      <c r="G466" s="51">
        <v>2173068</v>
      </c>
      <c r="H466" s="51">
        <v>2285308</v>
      </c>
      <c r="I466" s="51">
        <v>2164144</v>
      </c>
      <c r="J466" s="51">
        <v>2261901</v>
      </c>
      <c r="K466" s="51">
        <v>2299319</v>
      </c>
      <c r="L466" s="51">
        <v>2155842</v>
      </c>
      <c r="M466" s="53">
        <v>2199339</v>
      </c>
      <c r="N466" s="101"/>
      <c r="O466" s="341"/>
      <c r="P466" s="341"/>
      <c r="Q466" s="341"/>
      <c r="R466" s="341"/>
      <c r="S466" s="341"/>
      <c r="T466" s="341"/>
      <c r="U466" s="341"/>
      <c r="V466" s="341"/>
      <c r="W466" s="341"/>
      <c r="X466" s="341"/>
      <c r="Y466" s="341"/>
      <c r="Z466" s="341"/>
      <c r="AA466" s="341"/>
      <c r="AB466" s="341"/>
      <c r="AC466" s="341"/>
      <c r="AD466" s="341"/>
      <c r="AE466" s="341"/>
      <c r="AF466" s="341"/>
      <c r="AG466" s="341"/>
      <c r="AH466" s="341"/>
      <c r="AI466" s="341"/>
      <c r="AJ466" s="341"/>
      <c r="AK466" s="341"/>
      <c r="AL466" s="341"/>
      <c r="AM466" s="341"/>
      <c r="AN466" s="341"/>
      <c r="AO466" s="341"/>
      <c r="AP466" s="341"/>
      <c r="AQ466" s="341"/>
      <c r="AR466" s="341"/>
      <c r="AS466" s="341"/>
      <c r="AT466" s="341"/>
      <c r="AU466" s="341"/>
      <c r="AV466" s="341"/>
      <c r="AW466" s="341"/>
      <c r="AX466" s="341"/>
      <c r="AY466" s="341"/>
      <c r="AZ466" s="341"/>
      <c r="BA466" s="341"/>
      <c r="BB466" s="341"/>
      <c r="BC466" s="341"/>
      <c r="BD466" s="341"/>
      <c r="BE466" s="341"/>
      <c r="BF466" s="341"/>
      <c r="BG466" s="341"/>
      <c r="BH466" s="341"/>
      <c r="BI466" s="341"/>
      <c r="BJ466" s="341"/>
      <c r="BK466" s="341"/>
      <c r="BL466" s="341"/>
      <c r="BM466" s="341"/>
      <c r="BN466" s="341"/>
      <c r="BO466" s="341"/>
      <c r="BP466" s="341"/>
      <c r="BQ466" s="341"/>
      <c r="BR466" s="341"/>
      <c r="BS466" s="341"/>
      <c r="BT466" s="110"/>
      <c r="BU466" s="108"/>
      <c r="BV466" s="108"/>
      <c r="BW466" s="108"/>
    </row>
    <row r="467" spans="1:75" s="218" customFormat="1" ht="13.5" customHeight="1">
      <c r="A467" s="397" t="s">
        <v>237</v>
      </c>
      <c r="B467" s="90">
        <v>835784</v>
      </c>
      <c r="C467" s="51">
        <v>826283</v>
      </c>
      <c r="D467" s="51">
        <v>812006</v>
      </c>
      <c r="E467" s="51">
        <v>841583</v>
      </c>
      <c r="F467" s="51">
        <v>828221</v>
      </c>
      <c r="G467" s="51">
        <v>790271</v>
      </c>
      <c r="H467" s="51">
        <v>763322</v>
      </c>
      <c r="I467" s="51">
        <v>740360</v>
      </c>
      <c r="J467" s="51">
        <v>787005</v>
      </c>
      <c r="K467" s="51">
        <v>833931</v>
      </c>
      <c r="L467" s="51">
        <v>820238</v>
      </c>
      <c r="M467" s="53">
        <v>794087</v>
      </c>
      <c r="N467" s="101"/>
      <c r="O467" s="341"/>
      <c r="P467" s="341"/>
      <c r="Q467" s="341"/>
      <c r="R467" s="341"/>
      <c r="S467" s="341"/>
      <c r="T467" s="341"/>
      <c r="U467" s="341"/>
      <c r="V467" s="341"/>
      <c r="W467" s="341"/>
      <c r="X467" s="341"/>
      <c r="Y467" s="341"/>
      <c r="Z467" s="341"/>
      <c r="AA467" s="341"/>
      <c r="AB467" s="341"/>
      <c r="AC467" s="341"/>
      <c r="AD467" s="341"/>
      <c r="AE467" s="341"/>
      <c r="AF467" s="341"/>
      <c r="AG467" s="341"/>
      <c r="AH467" s="341"/>
      <c r="AI467" s="341"/>
      <c r="AJ467" s="341"/>
      <c r="AK467" s="341"/>
      <c r="AL467" s="341"/>
      <c r="AM467" s="341"/>
      <c r="AN467" s="341"/>
      <c r="AO467" s="341"/>
      <c r="AP467" s="341"/>
      <c r="AQ467" s="341"/>
      <c r="AR467" s="341"/>
      <c r="AS467" s="341"/>
      <c r="AT467" s="341"/>
      <c r="AU467" s="341"/>
      <c r="AV467" s="341"/>
      <c r="AW467" s="341"/>
      <c r="AX467" s="341"/>
      <c r="AY467" s="341"/>
      <c r="AZ467" s="341"/>
      <c r="BA467" s="341"/>
      <c r="BB467" s="341"/>
      <c r="BC467" s="341"/>
      <c r="BD467" s="341"/>
      <c r="BE467" s="341"/>
      <c r="BF467" s="341"/>
      <c r="BG467" s="341"/>
      <c r="BH467" s="341"/>
      <c r="BI467" s="341"/>
      <c r="BJ467" s="341"/>
      <c r="BK467" s="341"/>
      <c r="BL467" s="341"/>
      <c r="BM467" s="341"/>
      <c r="BN467" s="341"/>
      <c r="BO467" s="341"/>
      <c r="BP467" s="341"/>
      <c r="BQ467" s="341"/>
      <c r="BR467" s="341"/>
      <c r="BS467" s="341"/>
      <c r="BT467" s="110"/>
      <c r="BU467" s="108"/>
      <c r="BV467" s="108"/>
      <c r="BW467" s="108"/>
    </row>
    <row r="468" spans="1:75" s="218" customFormat="1" ht="13.5" customHeight="1">
      <c r="A468" s="397" t="s">
        <v>234</v>
      </c>
      <c r="B468" s="90">
        <v>112524</v>
      </c>
      <c r="C468" s="51">
        <v>123378</v>
      </c>
      <c r="D468" s="51">
        <v>128655</v>
      </c>
      <c r="E468" s="51">
        <v>124400</v>
      </c>
      <c r="F468" s="51">
        <v>141596</v>
      </c>
      <c r="G468" s="51">
        <v>135633</v>
      </c>
      <c r="H468" s="51">
        <v>135135</v>
      </c>
      <c r="I468" s="51">
        <v>110440</v>
      </c>
      <c r="J468" s="51">
        <v>124417</v>
      </c>
      <c r="K468" s="51">
        <v>128396</v>
      </c>
      <c r="L468" s="51">
        <v>132042</v>
      </c>
      <c r="M468" s="53">
        <v>135215</v>
      </c>
      <c r="N468" s="101"/>
      <c r="O468" s="341"/>
      <c r="P468" s="341"/>
      <c r="Q468" s="341"/>
      <c r="R468" s="341"/>
      <c r="S468" s="341"/>
      <c r="T468" s="341"/>
      <c r="U468" s="341"/>
      <c r="V468" s="341"/>
      <c r="W468" s="341"/>
      <c r="X468" s="341"/>
      <c r="Y468" s="341"/>
      <c r="Z468" s="341"/>
      <c r="AA468" s="341"/>
      <c r="AB468" s="341"/>
      <c r="AC468" s="341"/>
      <c r="AD468" s="341"/>
      <c r="AE468" s="341"/>
      <c r="AF468" s="341"/>
      <c r="AG468" s="341"/>
      <c r="AH468" s="341"/>
      <c r="AI468" s="341"/>
      <c r="AJ468" s="341"/>
      <c r="AK468" s="341"/>
      <c r="AL468" s="341"/>
      <c r="AM468" s="341"/>
      <c r="AN468" s="341"/>
      <c r="AO468" s="341"/>
      <c r="AP468" s="341"/>
      <c r="AQ468" s="341"/>
      <c r="AR468" s="341"/>
      <c r="AS468" s="341"/>
      <c r="AT468" s="341"/>
      <c r="AU468" s="341"/>
      <c r="AV468" s="341"/>
      <c r="AW468" s="341"/>
      <c r="AX468" s="341"/>
      <c r="AY468" s="341"/>
      <c r="AZ468" s="341"/>
      <c r="BA468" s="341"/>
      <c r="BB468" s="341"/>
      <c r="BC468" s="341"/>
      <c r="BD468" s="341"/>
      <c r="BE468" s="341"/>
      <c r="BF468" s="341"/>
      <c r="BG468" s="341"/>
      <c r="BH468" s="341"/>
      <c r="BI468" s="341"/>
      <c r="BJ468" s="341"/>
      <c r="BK468" s="341"/>
      <c r="BL468" s="341"/>
      <c r="BM468" s="341"/>
      <c r="BN468" s="341"/>
      <c r="BO468" s="341"/>
      <c r="BP468" s="341"/>
      <c r="BQ468" s="341"/>
      <c r="BR468" s="341"/>
      <c r="BS468" s="341"/>
      <c r="BT468" s="110"/>
      <c r="BU468" s="108"/>
      <c r="BV468" s="108"/>
      <c r="BW468" s="108"/>
    </row>
    <row r="469" spans="1:75" s="218" customFormat="1" ht="13.5" customHeight="1">
      <c r="A469" s="397" t="s">
        <v>238</v>
      </c>
      <c r="B469" s="90">
        <v>405292</v>
      </c>
      <c r="C469" s="51">
        <v>427573</v>
      </c>
      <c r="D469" s="51">
        <v>382567</v>
      </c>
      <c r="E469" s="51">
        <v>391864</v>
      </c>
      <c r="F469" s="51">
        <v>349434</v>
      </c>
      <c r="G469" s="51">
        <v>331575</v>
      </c>
      <c r="H469" s="51">
        <v>310067</v>
      </c>
      <c r="I469" s="51">
        <v>320642</v>
      </c>
      <c r="J469" s="51">
        <v>338985</v>
      </c>
      <c r="K469" s="51">
        <v>375610</v>
      </c>
      <c r="L469" s="51">
        <v>362207</v>
      </c>
      <c r="M469" s="53">
        <v>410806</v>
      </c>
      <c r="N469" s="101"/>
      <c r="O469" s="341"/>
      <c r="P469" s="341"/>
      <c r="Q469" s="341"/>
      <c r="R469" s="341"/>
      <c r="S469" s="341"/>
      <c r="T469" s="341"/>
      <c r="U469" s="341"/>
      <c r="V469" s="341"/>
      <c r="W469" s="341"/>
      <c r="X469" s="341"/>
      <c r="Y469" s="341"/>
      <c r="Z469" s="341"/>
      <c r="AA469" s="341"/>
      <c r="AB469" s="341"/>
      <c r="AC469" s="341"/>
      <c r="AD469" s="341"/>
      <c r="AE469" s="341"/>
      <c r="AF469" s="341"/>
      <c r="AG469" s="341"/>
      <c r="AH469" s="341"/>
      <c r="AI469" s="341"/>
      <c r="AJ469" s="341"/>
      <c r="AK469" s="341"/>
      <c r="AL469" s="341"/>
      <c r="AM469" s="341"/>
      <c r="AN469" s="341"/>
      <c r="AO469" s="341"/>
      <c r="AP469" s="341"/>
      <c r="AQ469" s="341"/>
      <c r="AR469" s="341"/>
      <c r="AS469" s="341"/>
      <c r="AT469" s="341"/>
      <c r="AU469" s="341"/>
      <c r="AV469" s="341"/>
      <c r="AW469" s="341"/>
      <c r="AX469" s="341"/>
      <c r="AY469" s="341"/>
      <c r="AZ469" s="341"/>
      <c r="BA469" s="341"/>
      <c r="BB469" s="341"/>
      <c r="BC469" s="341"/>
      <c r="BD469" s="341"/>
      <c r="BE469" s="341"/>
      <c r="BF469" s="341"/>
      <c r="BG469" s="341"/>
      <c r="BH469" s="341"/>
      <c r="BI469" s="341"/>
      <c r="BJ469" s="341"/>
      <c r="BK469" s="341"/>
      <c r="BL469" s="341"/>
      <c r="BM469" s="341"/>
      <c r="BN469" s="341"/>
      <c r="BO469" s="341"/>
      <c r="BP469" s="341"/>
      <c r="BQ469" s="341"/>
      <c r="BR469" s="341"/>
      <c r="BS469" s="341"/>
      <c r="BT469" s="110"/>
      <c r="BU469" s="108"/>
      <c r="BV469" s="108"/>
      <c r="BW469" s="108"/>
    </row>
    <row r="470" spans="1:75" s="218" customFormat="1" ht="13.5" customHeight="1" thickBot="1">
      <c r="A470" s="214" t="s">
        <v>18</v>
      </c>
      <c r="B470" s="98">
        <v>35261347</v>
      </c>
      <c r="C470" s="99">
        <v>35251546</v>
      </c>
      <c r="D470" s="99">
        <v>34493270</v>
      </c>
      <c r="E470" s="99">
        <v>34314831</v>
      </c>
      <c r="F470" s="99">
        <v>33116701</v>
      </c>
      <c r="G470" s="99">
        <v>31752259</v>
      </c>
      <c r="H470" s="99">
        <v>30733946</v>
      </c>
      <c r="I470" s="99">
        <v>30115783</v>
      </c>
      <c r="J470" s="99">
        <v>30331036</v>
      </c>
      <c r="K470" s="99">
        <v>29568854</v>
      </c>
      <c r="L470" s="99">
        <v>28298464</v>
      </c>
      <c r="M470" s="100">
        <v>27761253</v>
      </c>
      <c r="N470" s="101"/>
      <c r="O470" s="341"/>
      <c r="P470" s="341"/>
      <c r="Q470" s="341"/>
      <c r="R470" s="341"/>
      <c r="S470" s="341"/>
      <c r="T470" s="341"/>
      <c r="U470" s="341"/>
      <c r="V470" s="341"/>
      <c r="W470" s="341"/>
      <c r="X470" s="341"/>
      <c r="Y470" s="341"/>
      <c r="Z470" s="341"/>
      <c r="AA470" s="341"/>
      <c r="AB470" s="341"/>
      <c r="AC470" s="341"/>
      <c r="AD470" s="341"/>
      <c r="AE470" s="341"/>
      <c r="AF470" s="341"/>
      <c r="AG470" s="341"/>
      <c r="AH470" s="341"/>
      <c r="AI470" s="341"/>
      <c r="AJ470" s="341"/>
      <c r="AK470" s="341"/>
      <c r="AL470" s="341"/>
      <c r="AM470" s="341"/>
      <c r="AN470" s="341"/>
      <c r="AO470" s="341"/>
      <c r="AP470" s="341"/>
      <c r="AQ470" s="341"/>
      <c r="AR470" s="341"/>
      <c r="AS470" s="341"/>
      <c r="AT470" s="341"/>
      <c r="AU470" s="341"/>
      <c r="AV470" s="341"/>
      <c r="AW470" s="341"/>
      <c r="AX470" s="341"/>
      <c r="AY470" s="341"/>
      <c r="AZ470" s="341"/>
      <c r="BA470" s="341"/>
      <c r="BB470" s="341"/>
      <c r="BC470" s="341"/>
      <c r="BD470" s="341"/>
      <c r="BE470" s="341"/>
      <c r="BF470" s="341"/>
      <c r="BG470" s="341"/>
      <c r="BH470" s="341"/>
      <c r="BI470" s="341"/>
      <c r="BJ470" s="341"/>
      <c r="BK470" s="341"/>
      <c r="BL470" s="341"/>
      <c r="BM470" s="341"/>
      <c r="BN470" s="341"/>
      <c r="BO470" s="341"/>
      <c r="BP470" s="341"/>
      <c r="BQ470" s="341"/>
      <c r="BR470" s="341"/>
      <c r="BS470" s="341"/>
      <c r="BT470" s="110"/>
      <c r="BU470" s="108"/>
      <c r="BV470" s="108"/>
      <c r="BW470" s="108"/>
    </row>
    <row r="471" spans="1:75" s="218" customFormat="1" ht="13.5" customHeight="1" thickBot="1">
      <c r="A471" s="398"/>
      <c r="B471" s="341"/>
      <c r="C471" s="341"/>
      <c r="D471" s="341"/>
      <c r="E471" s="341"/>
      <c r="F471" s="341"/>
      <c r="G471" s="341"/>
      <c r="H471" s="341"/>
      <c r="I471" s="341"/>
      <c r="J471" s="341"/>
      <c r="K471" s="341"/>
      <c r="L471" s="341"/>
      <c r="M471" s="341"/>
      <c r="N471" s="101"/>
      <c r="O471" s="341"/>
      <c r="P471" s="341"/>
      <c r="Q471" s="341"/>
      <c r="R471" s="341"/>
      <c r="S471" s="341"/>
      <c r="T471" s="341"/>
      <c r="U471" s="341"/>
      <c r="V471" s="341"/>
      <c r="W471" s="341"/>
      <c r="X471" s="341"/>
      <c r="Y471" s="341"/>
      <c r="Z471" s="341"/>
      <c r="AA471" s="341"/>
      <c r="AB471" s="341"/>
      <c r="AC471" s="341"/>
      <c r="AD471" s="341"/>
      <c r="AE471" s="341"/>
      <c r="AF471" s="341"/>
      <c r="AG471" s="341"/>
      <c r="AH471" s="341"/>
      <c r="AI471" s="341"/>
      <c r="AJ471" s="341"/>
      <c r="AK471" s="341"/>
      <c r="AL471" s="341"/>
      <c r="AM471" s="341"/>
      <c r="AN471" s="341"/>
      <c r="AO471" s="341"/>
      <c r="AP471" s="341"/>
      <c r="AQ471" s="341"/>
      <c r="AR471" s="341"/>
      <c r="AS471" s="341"/>
      <c r="AT471" s="341"/>
      <c r="AU471" s="341"/>
      <c r="AV471" s="341"/>
      <c r="AW471" s="341"/>
      <c r="AX471" s="341"/>
      <c r="AY471" s="341"/>
      <c r="AZ471" s="341"/>
      <c r="BA471" s="341"/>
      <c r="BB471" s="341"/>
      <c r="BC471" s="341"/>
      <c r="BD471" s="341"/>
      <c r="BE471" s="341"/>
      <c r="BF471" s="341"/>
      <c r="BG471" s="341"/>
      <c r="BH471" s="341"/>
      <c r="BI471" s="341"/>
      <c r="BJ471" s="341"/>
      <c r="BK471" s="341"/>
      <c r="BL471" s="341"/>
      <c r="BM471" s="341"/>
      <c r="BN471" s="341"/>
      <c r="BO471" s="341"/>
      <c r="BP471" s="341"/>
      <c r="BQ471" s="341"/>
      <c r="BR471" s="341"/>
      <c r="BS471" s="341"/>
      <c r="BT471" s="110"/>
      <c r="BU471" s="108"/>
      <c r="BV471" s="108"/>
      <c r="BW471" s="108"/>
    </row>
    <row r="472" spans="1:75" s="218" customFormat="1" ht="13.5" customHeight="1" thickBot="1">
      <c r="A472" s="398"/>
      <c r="B472" s="343">
        <v>40179</v>
      </c>
      <c r="C472" s="345">
        <v>40210</v>
      </c>
      <c r="D472" s="344">
        <v>40238</v>
      </c>
      <c r="E472" s="345">
        <v>40269</v>
      </c>
      <c r="F472" s="344">
        <v>40299</v>
      </c>
      <c r="G472" s="345">
        <v>40330</v>
      </c>
      <c r="H472" s="344">
        <v>40360</v>
      </c>
      <c r="I472" s="345">
        <v>40391</v>
      </c>
      <c r="J472" s="344">
        <v>40422</v>
      </c>
      <c r="K472" s="345">
        <v>40452</v>
      </c>
      <c r="L472" s="344">
        <v>40483</v>
      </c>
      <c r="M472" s="351">
        <v>40513</v>
      </c>
      <c r="N472" s="101"/>
      <c r="O472" s="341"/>
      <c r="P472" s="341"/>
      <c r="Q472" s="341"/>
      <c r="R472" s="341"/>
      <c r="S472" s="341"/>
      <c r="T472" s="341"/>
      <c r="U472" s="341"/>
      <c r="V472" s="341"/>
      <c r="W472" s="341"/>
      <c r="X472" s="341"/>
      <c r="Y472" s="341"/>
      <c r="Z472" s="341"/>
      <c r="AA472" s="341"/>
      <c r="AB472" s="341"/>
      <c r="AC472" s="341"/>
      <c r="AD472" s="341"/>
      <c r="AE472" s="341"/>
      <c r="AF472" s="341"/>
      <c r="AG472" s="341"/>
      <c r="AH472" s="341"/>
      <c r="AI472" s="341"/>
      <c r="AJ472" s="341"/>
      <c r="AK472" s="341"/>
      <c r="AL472" s="341"/>
      <c r="AM472" s="341"/>
      <c r="AN472" s="341"/>
      <c r="AO472" s="341"/>
      <c r="AP472" s="341"/>
      <c r="AQ472" s="341"/>
      <c r="AR472" s="341"/>
      <c r="AS472" s="341"/>
      <c r="AT472" s="341"/>
      <c r="AU472" s="341"/>
      <c r="AV472" s="341"/>
      <c r="AW472" s="341"/>
      <c r="AX472" s="341"/>
      <c r="AY472" s="341"/>
      <c r="AZ472" s="341"/>
      <c r="BA472" s="341"/>
      <c r="BB472" s="341"/>
      <c r="BC472" s="341"/>
      <c r="BD472" s="341"/>
      <c r="BE472" s="341"/>
      <c r="BF472" s="341"/>
      <c r="BG472" s="341"/>
      <c r="BH472" s="341"/>
      <c r="BI472" s="341"/>
      <c r="BJ472" s="341"/>
      <c r="BK472" s="341"/>
      <c r="BL472" s="341"/>
      <c r="BM472" s="341"/>
      <c r="BN472" s="341"/>
      <c r="BO472" s="341"/>
      <c r="BP472" s="341"/>
      <c r="BQ472" s="341"/>
      <c r="BR472" s="341"/>
      <c r="BS472" s="341"/>
      <c r="BT472" s="110"/>
      <c r="BU472" s="108"/>
      <c r="BV472" s="108"/>
      <c r="BW472" s="108"/>
    </row>
    <row r="473" spans="1:75" s="218" customFormat="1" ht="13.5" customHeight="1">
      <c r="A473" s="396" t="s">
        <v>231</v>
      </c>
      <c r="B473" s="89">
        <v>4648893</v>
      </c>
      <c r="C473" s="49">
        <v>4231614</v>
      </c>
      <c r="D473" s="49">
        <v>4214658</v>
      </c>
      <c r="E473" s="49">
        <v>4180368</v>
      </c>
      <c r="F473" s="49">
        <v>4095649</v>
      </c>
      <c r="G473" s="49">
        <v>3849160</v>
      </c>
      <c r="H473" s="49">
        <v>3677454</v>
      </c>
      <c r="I473" s="49">
        <v>3461406</v>
      </c>
      <c r="J473" s="49">
        <v>3211484</v>
      </c>
      <c r="K473" s="49">
        <v>3177644</v>
      </c>
      <c r="L473" s="49">
        <v>3130324</v>
      </c>
      <c r="M473" s="50">
        <v>3088412</v>
      </c>
      <c r="N473" s="101"/>
      <c r="O473" s="341"/>
      <c r="P473" s="341"/>
      <c r="Q473" s="341"/>
      <c r="R473" s="341"/>
      <c r="S473" s="341"/>
      <c r="T473" s="341"/>
      <c r="U473" s="341"/>
      <c r="V473" s="341"/>
      <c r="W473" s="341"/>
      <c r="X473" s="341"/>
      <c r="Y473" s="341"/>
      <c r="Z473" s="341"/>
      <c r="AA473" s="341"/>
      <c r="AB473" s="341"/>
      <c r="AC473" s="341"/>
      <c r="AD473" s="341"/>
      <c r="AE473" s="341"/>
      <c r="AF473" s="341"/>
      <c r="AG473" s="341"/>
      <c r="AH473" s="341"/>
      <c r="AI473" s="341"/>
      <c r="AJ473" s="341"/>
      <c r="AK473" s="341"/>
      <c r="AL473" s="341"/>
      <c r="AM473" s="341"/>
      <c r="AN473" s="341"/>
      <c r="AO473" s="341"/>
      <c r="AP473" s="341"/>
      <c r="AQ473" s="341"/>
      <c r="AR473" s="341"/>
      <c r="AS473" s="341"/>
      <c r="AT473" s="341"/>
      <c r="AU473" s="341"/>
      <c r="AV473" s="341"/>
      <c r="AW473" s="341"/>
      <c r="AX473" s="341"/>
      <c r="AY473" s="341"/>
      <c r="AZ473" s="341"/>
      <c r="BA473" s="341"/>
      <c r="BB473" s="341"/>
      <c r="BC473" s="341"/>
      <c r="BD473" s="341"/>
      <c r="BE473" s="341"/>
      <c r="BF473" s="341"/>
      <c r="BG473" s="341"/>
      <c r="BH473" s="341"/>
      <c r="BI473" s="341"/>
      <c r="BJ473" s="341"/>
      <c r="BK473" s="341"/>
      <c r="BL473" s="341"/>
      <c r="BM473" s="341"/>
      <c r="BN473" s="341"/>
      <c r="BO473" s="341"/>
      <c r="BP473" s="341"/>
      <c r="BQ473" s="341"/>
      <c r="BR473" s="341"/>
      <c r="BS473" s="341"/>
      <c r="BT473" s="110"/>
      <c r="BU473" s="108"/>
      <c r="BV473" s="108"/>
      <c r="BW473" s="108"/>
    </row>
    <row r="474" spans="1:75" s="218" customFormat="1" ht="13.5" customHeight="1">
      <c r="A474" s="397" t="s">
        <v>232</v>
      </c>
      <c r="B474" s="90">
        <v>3952894</v>
      </c>
      <c r="C474" s="51">
        <v>3771546</v>
      </c>
      <c r="D474" s="51">
        <v>3590212</v>
      </c>
      <c r="E474" s="51">
        <v>3393990</v>
      </c>
      <c r="F474" s="51">
        <v>3187782</v>
      </c>
      <c r="G474" s="51">
        <v>2996635</v>
      </c>
      <c r="H474" s="51">
        <v>2691719</v>
      </c>
      <c r="I474" s="51">
        <v>2458717</v>
      </c>
      <c r="J474" s="51">
        <v>2062874</v>
      </c>
      <c r="K474" s="51">
        <v>1976182</v>
      </c>
      <c r="L474" s="51">
        <v>1745452</v>
      </c>
      <c r="M474" s="53">
        <v>1595603</v>
      </c>
      <c r="N474" s="101"/>
      <c r="O474" s="341"/>
      <c r="P474" s="341"/>
      <c r="Q474" s="341"/>
      <c r="R474" s="341"/>
      <c r="S474" s="341"/>
      <c r="T474" s="341"/>
      <c r="U474" s="341"/>
      <c r="V474" s="341"/>
      <c r="W474" s="341"/>
      <c r="X474" s="341"/>
      <c r="Y474" s="341"/>
      <c r="Z474" s="341"/>
      <c r="AA474" s="341"/>
      <c r="AB474" s="341"/>
      <c r="AC474" s="341"/>
      <c r="AD474" s="341"/>
      <c r="AE474" s="341"/>
      <c r="AF474" s="341"/>
      <c r="AG474" s="341"/>
      <c r="AH474" s="341"/>
      <c r="AI474" s="341"/>
      <c r="AJ474" s="341"/>
      <c r="AK474" s="341"/>
      <c r="AL474" s="341"/>
      <c r="AM474" s="341"/>
      <c r="AN474" s="341"/>
      <c r="AO474" s="341"/>
      <c r="AP474" s="341"/>
      <c r="AQ474" s="341"/>
      <c r="AR474" s="341"/>
      <c r="AS474" s="341"/>
      <c r="AT474" s="341"/>
      <c r="AU474" s="341"/>
      <c r="AV474" s="341"/>
      <c r="AW474" s="341"/>
      <c r="AX474" s="341"/>
      <c r="AY474" s="341"/>
      <c r="AZ474" s="341"/>
      <c r="BA474" s="341"/>
      <c r="BB474" s="341"/>
      <c r="BC474" s="341"/>
      <c r="BD474" s="341"/>
      <c r="BE474" s="341"/>
      <c r="BF474" s="341"/>
      <c r="BG474" s="341"/>
      <c r="BH474" s="341"/>
      <c r="BI474" s="341"/>
      <c r="BJ474" s="341"/>
      <c r="BK474" s="341"/>
      <c r="BL474" s="341"/>
      <c r="BM474" s="341"/>
      <c r="BN474" s="341"/>
      <c r="BO474" s="341"/>
      <c r="BP474" s="341"/>
      <c r="BQ474" s="341"/>
      <c r="BR474" s="341"/>
      <c r="BS474" s="341"/>
      <c r="BT474" s="110"/>
      <c r="BU474" s="108"/>
      <c r="BV474" s="108"/>
      <c r="BW474" s="108"/>
    </row>
    <row r="475" spans="1:75" s="218" customFormat="1" ht="13.5" customHeight="1">
      <c r="A475" s="397" t="s">
        <v>230</v>
      </c>
      <c r="B475" s="90">
        <v>3830883</v>
      </c>
      <c r="C475" s="51">
        <v>3707886</v>
      </c>
      <c r="D475" s="51">
        <v>3776041</v>
      </c>
      <c r="E475" s="51">
        <v>3858492</v>
      </c>
      <c r="F475" s="51">
        <v>3801430</v>
      </c>
      <c r="G475" s="51">
        <v>3778473</v>
      </c>
      <c r="H475" s="51">
        <v>3764596</v>
      </c>
      <c r="I475" s="51">
        <v>3547421</v>
      </c>
      <c r="J475" s="51">
        <v>3447458</v>
      </c>
      <c r="K475" s="51">
        <v>3503996</v>
      </c>
      <c r="L475" s="51">
        <v>3598382</v>
      </c>
      <c r="M475" s="53">
        <v>3789786</v>
      </c>
      <c r="N475" s="101"/>
      <c r="O475" s="341"/>
      <c r="P475" s="341"/>
      <c r="Q475" s="341"/>
      <c r="R475" s="341"/>
      <c r="S475" s="341"/>
      <c r="T475" s="341"/>
      <c r="U475" s="341"/>
      <c r="V475" s="341"/>
      <c r="W475" s="341"/>
      <c r="X475" s="341"/>
      <c r="Y475" s="341"/>
      <c r="Z475" s="341"/>
      <c r="AA475" s="341"/>
      <c r="AB475" s="341"/>
      <c r="AC475" s="341"/>
      <c r="AD475" s="341"/>
      <c r="AE475" s="341"/>
      <c r="AF475" s="341"/>
      <c r="AG475" s="341"/>
      <c r="AH475" s="341"/>
      <c r="AI475" s="341"/>
      <c r="AJ475" s="341"/>
      <c r="AK475" s="341"/>
      <c r="AL475" s="341"/>
      <c r="AM475" s="341"/>
      <c r="AN475" s="341"/>
      <c r="AO475" s="341"/>
      <c r="AP475" s="341"/>
      <c r="AQ475" s="341"/>
      <c r="AR475" s="341"/>
      <c r="AS475" s="341"/>
      <c r="AT475" s="341"/>
      <c r="AU475" s="341"/>
      <c r="AV475" s="341"/>
      <c r="AW475" s="341"/>
      <c r="AX475" s="341"/>
      <c r="AY475" s="341"/>
      <c r="AZ475" s="341"/>
      <c r="BA475" s="341"/>
      <c r="BB475" s="341"/>
      <c r="BC475" s="341"/>
      <c r="BD475" s="341"/>
      <c r="BE475" s="341"/>
      <c r="BF475" s="341"/>
      <c r="BG475" s="341"/>
      <c r="BH475" s="341"/>
      <c r="BI475" s="341"/>
      <c r="BJ475" s="341"/>
      <c r="BK475" s="341"/>
      <c r="BL475" s="341"/>
      <c r="BM475" s="341"/>
      <c r="BN475" s="341"/>
      <c r="BO475" s="341"/>
      <c r="BP475" s="341"/>
      <c r="BQ475" s="341"/>
      <c r="BR475" s="341"/>
      <c r="BS475" s="341"/>
      <c r="BT475" s="110"/>
      <c r="BU475" s="108"/>
      <c r="BV475" s="108"/>
      <c r="BW475" s="108"/>
    </row>
    <row r="476" spans="1:75" s="218" customFormat="1" ht="13.5" customHeight="1">
      <c r="A476" s="397" t="s">
        <v>229</v>
      </c>
      <c r="B476" s="90">
        <v>3348513</v>
      </c>
      <c r="C476" s="51">
        <v>3152553</v>
      </c>
      <c r="D476" s="51">
        <v>3176630</v>
      </c>
      <c r="E476" s="51">
        <v>3230777</v>
      </c>
      <c r="F476" s="51">
        <v>3222504</v>
      </c>
      <c r="G476" s="51">
        <v>3162397</v>
      </c>
      <c r="H476" s="51">
        <v>3135765</v>
      </c>
      <c r="I476" s="51">
        <v>3030006</v>
      </c>
      <c r="J476" s="51">
        <v>2951586</v>
      </c>
      <c r="K476" s="51">
        <v>2948087</v>
      </c>
      <c r="L476" s="51">
        <v>2857152</v>
      </c>
      <c r="M476" s="53">
        <v>2860196</v>
      </c>
      <c r="N476" s="101"/>
      <c r="O476" s="341"/>
      <c r="P476" s="341"/>
      <c r="Q476" s="341"/>
      <c r="R476" s="341"/>
      <c r="S476" s="341"/>
      <c r="T476" s="341"/>
      <c r="U476" s="341"/>
      <c r="V476" s="341"/>
      <c r="W476" s="341"/>
      <c r="X476" s="341"/>
      <c r="Y476" s="341"/>
      <c r="Z476" s="341"/>
      <c r="AA476" s="341"/>
      <c r="AB476" s="341"/>
      <c r="AC476" s="341"/>
      <c r="AD476" s="341"/>
      <c r="AE476" s="341"/>
      <c r="AF476" s="341"/>
      <c r="AG476" s="341"/>
      <c r="AH476" s="341"/>
      <c r="AI476" s="341"/>
      <c r="AJ476" s="341"/>
      <c r="AK476" s="341"/>
      <c r="AL476" s="341"/>
      <c r="AM476" s="341"/>
      <c r="AN476" s="341"/>
      <c r="AO476" s="341"/>
      <c r="AP476" s="341"/>
      <c r="AQ476" s="341"/>
      <c r="AR476" s="341"/>
      <c r="AS476" s="341"/>
      <c r="AT476" s="341"/>
      <c r="AU476" s="341"/>
      <c r="AV476" s="341"/>
      <c r="AW476" s="341"/>
      <c r="AX476" s="341"/>
      <c r="AY476" s="341"/>
      <c r="AZ476" s="341"/>
      <c r="BA476" s="341"/>
      <c r="BB476" s="341"/>
      <c r="BC476" s="341"/>
      <c r="BD476" s="341"/>
      <c r="BE476" s="341"/>
      <c r="BF476" s="341"/>
      <c r="BG476" s="341"/>
      <c r="BH476" s="341"/>
      <c r="BI476" s="341"/>
      <c r="BJ476" s="341"/>
      <c r="BK476" s="341"/>
      <c r="BL476" s="341"/>
      <c r="BM476" s="341"/>
      <c r="BN476" s="341"/>
      <c r="BO476" s="341"/>
      <c r="BP476" s="341"/>
      <c r="BQ476" s="341"/>
      <c r="BR476" s="341"/>
      <c r="BS476" s="341"/>
      <c r="BT476" s="110"/>
      <c r="BU476" s="108"/>
      <c r="BV476" s="108"/>
      <c r="BW476" s="108"/>
    </row>
    <row r="477" spans="1:75" s="218" customFormat="1" ht="13.5" customHeight="1">
      <c r="A477" s="397" t="s">
        <v>233</v>
      </c>
      <c r="B477" s="90">
        <v>3910701</v>
      </c>
      <c r="C477" s="51">
        <v>3756270</v>
      </c>
      <c r="D477" s="51">
        <v>3720188</v>
      </c>
      <c r="E477" s="51">
        <v>3644792</v>
      </c>
      <c r="F477" s="51">
        <v>3543340</v>
      </c>
      <c r="G477" s="51">
        <v>3463150</v>
      </c>
      <c r="H477" s="51">
        <v>3477167</v>
      </c>
      <c r="I477" s="51">
        <v>3310948</v>
      </c>
      <c r="J477" s="51">
        <v>3125187</v>
      </c>
      <c r="K477" s="51">
        <v>3140142</v>
      </c>
      <c r="L477" s="51">
        <v>3025084</v>
      </c>
      <c r="M477" s="53">
        <v>3151434</v>
      </c>
      <c r="N477" s="101"/>
      <c r="O477" s="341"/>
      <c r="P477" s="341"/>
      <c r="Q477" s="341"/>
      <c r="R477" s="341"/>
      <c r="S477" s="341"/>
      <c r="T477" s="341"/>
      <c r="U477" s="341"/>
      <c r="V477" s="341"/>
      <c r="W477" s="341"/>
      <c r="X477" s="341"/>
      <c r="Y477" s="341"/>
      <c r="Z477" s="341"/>
      <c r="AA477" s="341"/>
      <c r="AB477" s="341"/>
      <c r="AC477" s="341"/>
      <c r="AD477" s="341"/>
      <c r="AE477" s="341"/>
      <c r="AF477" s="341"/>
      <c r="AG477" s="341"/>
      <c r="AH477" s="341"/>
      <c r="AI477" s="341"/>
      <c r="AJ477" s="341"/>
      <c r="AK477" s="341"/>
      <c r="AL477" s="341"/>
      <c r="AM477" s="341"/>
      <c r="AN477" s="341"/>
      <c r="AO477" s="341"/>
      <c r="AP477" s="341"/>
      <c r="AQ477" s="341"/>
      <c r="AR477" s="341"/>
      <c r="AS477" s="341"/>
      <c r="AT477" s="341"/>
      <c r="AU477" s="341"/>
      <c r="AV477" s="341"/>
      <c r="AW477" s="341"/>
      <c r="AX477" s="341"/>
      <c r="AY477" s="341"/>
      <c r="AZ477" s="341"/>
      <c r="BA477" s="341"/>
      <c r="BB477" s="341"/>
      <c r="BC477" s="341"/>
      <c r="BD477" s="341"/>
      <c r="BE477" s="341"/>
      <c r="BF477" s="341"/>
      <c r="BG477" s="341"/>
      <c r="BH477" s="341"/>
      <c r="BI477" s="341"/>
      <c r="BJ477" s="341"/>
      <c r="BK477" s="341"/>
      <c r="BL477" s="341"/>
      <c r="BM477" s="341"/>
      <c r="BN477" s="341"/>
      <c r="BO477" s="341"/>
      <c r="BP477" s="341"/>
      <c r="BQ477" s="341"/>
      <c r="BR477" s="341"/>
      <c r="BS477" s="341"/>
      <c r="BT477" s="110"/>
      <c r="BU477" s="108"/>
      <c r="BV477" s="108"/>
      <c r="BW477" s="108"/>
    </row>
    <row r="478" spans="1:75" s="218" customFormat="1" ht="13.5" customHeight="1">
      <c r="A478" s="397" t="s">
        <v>361</v>
      </c>
      <c r="B478" s="90">
        <v>443764</v>
      </c>
      <c r="C478" s="51">
        <v>491607</v>
      </c>
      <c r="D478" s="51">
        <v>622297</v>
      </c>
      <c r="E478" s="51">
        <v>700130</v>
      </c>
      <c r="F478" s="51">
        <v>749177</v>
      </c>
      <c r="G478" s="51">
        <v>778725</v>
      </c>
      <c r="H478" s="51">
        <v>809457</v>
      </c>
      <c r="I478" s="51">
        <v>855678</v>
      </c>
      <c r="J478" s="51">
        <v>895414</v>
      </c>
      <c r="K478" s="51">
        <v>954921</v>
      </c>
      <c r="L478" s="51">
        <v>940579</v>
      </c>
      <c r="M478" s="53">
        <v>980363</v>
      </c>
      <c r="N478" s="101"/>
      <c r="O478" s="341"/>
      <c r="P478" s="341"/>
      <c r="Q478" s="341"/>
      <c r="R478" s="341"/>
      <c r="S478" s="341"/>
      <c r="T478" s="341"/>
      <c r="U478" s="341"/>
      <c r="V478" s="341"/>
      <c r="W478" s="341"/>
      <c r="X478" s="341"/>
      <c r="Y478" s="341"/>
      <c r="Z478" s="341"/>
      <c r="AA478" s="341"/>
      <c r="AB478" s="341"/>
      <c r="AC478" s="341"/>
      <c r="AD478" s="341"/>
      <c r="AE478" s="341"/>
      <c r="AF478" s="341"/>
      <c r="AG478" s="341"/>
      <c r="AH478" s="341"/>
      <c r="AI478" s="341"/>
      <c r="AJ478" s="341"/>
      <c r="AK478" s="341"/>
      <c r="AL478" s="341"/>
      <c r="AM478" s="341"/>
      <c r="AN478" s="341"/>
      <c r="AO478" s="341"/>
      <c r="AP478" s="341"/>
      <c r="AQ478" s="341"/>
      <c r="AR478" s="341"/>
      <c r="AS478" s="341"/>
      <c r="AT478" s="341"/>
      <c r="AU478" s="341"/>
      <c r="AV478" s="341"/>
      <c r="AW478" s="341"/>
      <c r="AX478" s="341"/>
      <c r="AY478" s="341"/>
      <c r="AZ478" s="341"/>
      <c r="BA478" s="341"/>
      <c r="BB478" s="341"/>
      <c r="BC478" s="341"/>
      <c r="BD478" s="341"/>
      <c r="BE478" s="341"/>
      <c r="BF478" s="341"/>
      <c r="BG478" s="341"/>
      <c r="BH478" s="341"/>
      <c r="BI478" s="341"/>
      <c r="BJ478" s="341"/>
      <c r="BK478" s="341"/>
      <c r="BL478" s="341"/>
      <c r="BM478" s="341"/>
      <c r="BN478" s="341"/>
      <c r="BO478" s="341"/>
      <c r="BP478" s="341"/>
      <c r="BQ478" s="341"/>
      <c r="BR478" s="341"/>
      <c r="BS478" s="341"/>
      <c r="BT478" s="110"/>
      <c r="BU478" s="108"/>
      <c r="BV478" s="108"/>
      <c r="BW478" s="108"/>
    </row>
    <row r="479" spans="1:75" s="218" customFormat="1" ht="13.5" customHeight="1">
      <c r="A479" s="397" t="s">
        <v>228</v>
      </c>
      <c r="B479" s="90">
        <v>462450</v>
      </c>
      <c r="C479" s="51">
        <v>464032</v>
      </c>
      <c r="D479" s="51">
        <v>487304</v>
      </c>
      <c r="E479" s="51">
        <v>542364</v>
      </c>
      <c r="F479" s="51">
        <v>599827</v>
      </c>
      <c r="G479" s="51">
        <v>604625</v>
      </c>
      <c r="H479" s="51">
        <v>594570</v>
      </c>
      <c r="I479" s="51">
        <v>605389</v>
      </c>
      <c r="J479" s="51">
        <v>570241</v>
      </c>
      <c r="K479" s="51">
        <v>596598</v>
      </c>
      <c r="L479" s="51">
        <v>596047</v>
      </c>
      <c r="M479" s="53">
        <v>610564</v>
      </c>
      <c r="N479" s="101"/>
      <c r="O479" s="341"/>
      <c r="P479" s="341"/>
      <c r="Q479" s="341"/>
      <c r="R479" s="341"/>
      <c r="S479" s="341"/>
      <c r="T479" s="341"/>
      <c r="U479" s="341"/>
      <c r="V479" s="341"/>
      <c r="W479" s="341"/>
      <c r="X479" s="341"/>
      <c r="Y479" s="341"/>
      <c r="Z479" s="341"/>
      <c r="AA479" s="341"/>
      <c r="AB479" s="341"/>
      <c r="AC479" s="341"/>
      <c r="AD479" s="341"/>
      <c r="AE479" s="341"/>
      <c r="AF479" s="341"/>
      <c r="AG479" s="341"/>
      <c r="AH479" s="341"/>
      <c r="AI479" s="341"/>
      <c r="AJ479" s="341"/>
      <c r="AK479" s="341"/>
      <c r="AL479" s="341"/>
      <c r="AM479" s="341"/>
      <c r="AN479" s="341"/>
      <c r="AO479" s="341"/>
      <c r="AP479" s="341"/>
      <c r="AQ479" s="341"/>
      <c r="AR479" s="341"/>
      <c r="AS479" s="341"/>
      <c r="AT479" s="341"/>
      <c r="AU479" s="341"/>
      <c r="AV479" s="341"/>
      <c r="AW479" s="341"/>
      <c r="AX479" s="341"/>
      <c r="AY479" s="341"/>
      <c r="AZ479" s="341"/>
      <c r="BA479" s="341"/>
      <c r="BB479" s="341"/>
      <c r="BC479" s="341"/>
      <c r="BD479" s="341"/>
      <c r="BE479" s="341"/>
      <c r="BF479" s="341"/>
      <c r="BG479" s="341"/>
      <c r="BH479" s="341"/>
      <c r="BI479" s="341"/>
      <c r="BJ479" s="341"/>
      <c r="BK479" s="341"/>
      <c r="BL479" s="341"/>
      <c r="BM479" s="341"/>
      <c r="BN479" s="341"/>
      <c r="BO479" s="341"/>
      <c r="BP479" s="341"/>
      <c r="BQ479" s="341"/>
      <c r="BR479" s="341"/>
      <c r="BS479" s="341"/>
      <c r="BT479" s="110"/>
      <c r="BU479" s="108"/>
      <c r="BV479" s="108"/>
      <c r="BW479" s="108"/>
    </row>
    <row r="480" spans="1:75" s="218" customFormat="1" ht="13.5" customHeight="1">
      <c r="A480" s="191" t="s">
        <v>362</v>
      </c>
      <c r="B480" s="340">
        <v>6540969</v>
      </c>
      <c r="C480" s="341">
        <v>6263837</v>
      </c>
      <c r="D480" s="341">
        <v>6568622</v>
      </c>
      <c r="E480" s="341">
        <v>6597777</v>
      </c>
      <c r="F480" s="341">
        <v>6535684</v>
      </c>
      <c r="G480" s="341">
        <v>6493031</v>
      </c>
      <c r="H480" s="341">
        <v>6614689</v>
      </c>
      <c r="I480" s="341">
        <v>6359733</v>
      </c>
      <c r="J480" s="341">
        <v>6061969</v>
      </c>
      <c r="K480" s="341">
        <v>6123505</v>
      </c>
      <c r="L480" s="341">
        <v>6147554</v>
      </c>
      <c r="M480" s="339">
        <v>6253867</v>
      </c>
      <c r="N480" s="101"/>
      <c r="O480" s="341"/>
      <c r="P480" s="341"/>
      <c r="Q480" s="341"/>
      <c r="R480" s="341"/>
      <c r="S480" s="341"/>
      <c r="T480" s="341"/>
      <c r="U480" s="341"/>
      <c r="V480" s="341"/>
      <c r="W480" s="341"/>
      <c r="X480" s="341"/>
      <c r="Y480" s="341"/>
      <c r="Z480" s="341"/>
      <c r="AA480" s="341"/>
      <c r="AB480" s="341"/>
      <c r="AC480" s="341"/>
      <c r="AD480" s="341"/>
      <c r="AE480" s="341"/>
      <c r="AF480" s="341"/>
      <c r="AG480" s="341"/>
      <c r="AH480" s="341"/>
      <c r="AI480" s="341"/>
      <c r="AJ480" s="341"/>
      <c r="AK480" s="341"/>
      <c r="AL480" s="341"/>
      <c r="AM480" s="341"/>
      <c r="AN480" s="341"/>
      <c r="AO480" s="341"/>
      <c r="AP480" s="341"/>
      <c r="AQ480" s="341"/>
      <c r="AR480" s="341"/>
      <c r="AS480" s="341"/>
      <c r="AT480" s="341"/>
      <c r="AU480" s="341"/>
      <c r="AV480" s="341"/>
      <c r="AW480" s="341"/>
      <c r="AX480" s="341"/>
      <c r="AY480" s="341"/>
      <c r="AZ480" s="341"/>
      <c r="BA480" s="341"/>
      <c r="BB480" s="341"/>
      <c r="BC480" s="341"/>
      <c r="BD480" s="341"/>
      <c r="BE480" s="341"/>
      <c r="BF480" s="341"/>
      <c r="BG480" s="341"/>
      <c r="BH480" s="341"/>
      <c r="BI480" s="341"/>
      <c r="BJ480" s="341"/>
      <c r="BK480" s="341"/>
      <c r="BL480" s="341"/>
      <c r="BM480" s="341"/>
      <c r="BN480" s="341"/>
      <c r="BO480" s="341"/>
      <c r="BP480" s="341"/>
      <c r="BQ480" s="341"/>
      <c r="BR480" s="341"/>
      <c r="BS480" s="341"/>
      <c r="BT480" s="110"/>
      <c r="BU480" s="108"/>
      <c r="BV480" s="108"/>
      <c r="BW480" s="108"/>
    </row>
    <row r="481" spans="1:75" s="218" customFormat="1" ht="13.5" customHeight="1">
      <c r="A481" s="397" t="s">
        <v>235</v>
      </c>
      <c r="B481" s="90">
        <v>1749538</v>
      </c>
      <c r="C481" s="51">
        <v>1678282</v>
      </c>
      <c r="D481" s="51">
        <v>1689733</v>
      </c>
      <c r="E481" s="51">
        <v>1725847</v>
      </c>
      <c r="F481" s="51">
        <v>1744708</v>
      </c>
      <c r="G481" s="51">
        <v>1727732</v>
      </c>
      <c r="H481" s="51">
        <v>1780307</v>
      </c>
      <c r="I481" s="51">
        <v>1688298</v>
      </c>
      <c r="J481" s="51">
        <v>1648271</v>
      </c>
      <c r="K481" s="51">
        <v>1659184</v>
      </c>
      <c r="L481" s="51">
        <v>1651066</v>
      </c>
      <c r="M481" s="53">
        <v>1676279</v>
      </c>
      <c r="N481" s="101"/>
      <c r="O481" s="341"/>
      <c r="P481" s="341"/>
      <c r="Q481" s="341"/>
      <c r="R481" s="341"/>
      <c r="S481" s="341"/>
      <c r="T481" s="341"/>
      <c r="U481" s="341"/>
      <c r="V481" s="341"/>
      <c r="W481" s="341"/>
      <c r="X481" s="341"/>
      <c r="Y481" s="341"/>
      <c r="Z481" s="341"/>
      <c r="AA481" s="341"/>
      <c r="AB481" s="341"/>
      <c r="AC481" s="341"/>
      <c r="AD481" s="341"/>
      <c r="AE481" s="341"/>
      <c r="AF481" s="341"/>
      <c r="AG481" s="341"/>
      <c r="AH481" s="341"/>
      <c r="AI481" s="341"/>
      <c r="AJ481" s="341"/>
      <c r="AK481" s="341"/>
      <c r="AL481" s="341"/>
      <c r="AM481" s="341"/>
      <c r="AN481" s="341"/>
      <c r="AO481" s="341"/>
      <c r="AP481" s="341"/>
      <c r="AQ481" s="341"/>
      <c r="AR481" s="341"/>
      <c r="AS481" s="341"/>
      <c r="AT481" s="341"/>
      <c r="AU481" s="341"/>
      <c r="AV481" s="341"/>
      <c r="AW481" s="341"/>
      <c r="AX481" s="341"/>
      <c r="AY481" s="341"/>
      <c r="AZ481" s="341"/>
      <c r="BA481" s="341"/>
      <c r="BB481" s="341"/>
      <c r="BC481" s="341"/>
      <c r="BD481" s="341"/>
      <c r="BE481" s="341"/>
      <c r="BF481" s="341"/>
      <c r="BG481" s="341"/>
      <c r="BH481" s="341"/>
      <c r="BI481" s="341"/>
      <c r="BJ481" s="341"/>
      <c r="BK481" s="341"/>
      <c r="BL481" s="341"/>
      <c r="BM481" s="341"/>
      <c r="BN481" s="341"/>
      <c r="BO481" s="341"/>
      <c r="BP481" s="341"/>
      <c r="BQ481" s="341"/>
      <c r="BR481" s="341"/>
      <c r="BS481" s="341"/>
      <c r="BT481" s="110"/>
      <c r="BU481" s="108"/>
      <c r="BV481" s="108"/>
      <c r="BW481" s="108"/>
    </row>
    <row r="482" spans="1:75" s="218" customFormat="1" ht="13.5" customHeight="1">
      <c r="A482" s="397" t="s">
        <v>239</v>
      </c>
      <c r="B482" s="90">
        <v>1291540</v>
      </c>
      <c r="C482" s="51">
        <v>1257935</v>
      </c>
      <c r="D482" s="51">
        <v>1291357</v>
      </c>
      <c r="E482" s="51">
        <v>1319634</v>
      </c>
      <c r="F482" s="51">
        <v>1301710</v>
      </c>
      <c r="G482" s="51">
        <v>1295731</v>
      </c>
      <c r="H482" s="51">
        <v>1311828</v>
      </c>
      <c r="I482" s="51">
        <v>1245488</v>
      </c>
      <c r="J482" s="51">
        <v>1191861</v>
      </c>
      <c r="K482" s="51">
        <v>1219604</v>
      </c>
      <c r="L482" s="51">
        <v>1246925</v>
      </c>
      <c r="M482" s="53">
        <v>1306841</v>
      </c>
      <c r="N482" s="101"/>
      <c r="O482" s="341"/>
      <c r="P482" s="341"/>
      <c r="Q482" s="341"/>
      <c r="R482" s="341"/>
      <c r="S482" s="341"/>
      <c r="T482" s="341"/>
      <c r="U482" s="341"/>
      <c r="V482" s="341"/>
      <c r="W482" s="341"/>
      <c r="X482" s="341"/>
      <c r="Y482" s="341"/>
      <c r="Z482" s="341"/>
      <c r="AA482" s="341"/>
      <c r="AB482" s="341"/>
      <c r="AC482" s="341"/>
      <c r="AD482" s="341"/>
      <c r="AE482" s="341"/>
      <c r="AF482" s="341"/>
      <c r="AG482" s="341"/>
      <c r="AH482" s="341"/>
      <c r="AI482" s="341"/>
      <c r="AJ482" s="341"/>
      <c r="AK482" s="341"/>
      <c r="AL482" s="341"/>
      <c r="AM482" s="341"/>
      <c r="AN482" s="341"/>
      <c r="AO482" s="341"/>
      <c r="AP482" s="341"/>
      <c r="AQ482" s="341"/>
      <c r="AR482" s="341"/>
      <c r="AS482" s="341"/>
      <c r="AT482" s="341"/>
      <c r="AU482" s="341"/>
      <c r="AV482" s="341"/>
      <c r="AW482" s="341"/>
      <c r="AX482" s="341"/>
      <c r="AY482" s="341"/>
      <c r="AZ482" s="341"/>
      <c r="BA482" s="341"/>
      <c r="BB482" s="341"/>
      <c r="BC482" s="341"/>
      <c r="BD482" s="341"/>
      <c r="BE482" s="341"/>
      <c r="BF482" s="341"/>
      <c r="BG482" s="341"/>
      <c r="BH482" s="341"/>
      <c r="BI482" s="341"/>
      <c r="BJ482" s="341"/>
      <c r="BK482" s="341"/>
      <c r="BL482" s="341"/>
      <c r="BM482" s="341"/>
      <c r="BN482" s="341"/>
      <c r="BO482" s="341"/>
      <c r="BP482" s="341"/>
      <c r="BQ482" s="341"/>
      <c r="BR482" s="341"/>
      <c r="BS482" s="341"/>
      <c r="BT482" s="110"/>
      <c r="BU482" s="108"/>
      <c r="BV482" s="108"/>
      <c r="BW482" s="108"/>
    </row>
    <row r="483" spans="1:75" s="218" customFormat="1" ht="13.5" customHeight="1">
      <c r="A483" s="397" t="s">
        <v>236</v>
      </c>
      <c r="B483" s="90">
        <v>2130985</v>
      </c>
      <c r="C483" s="51">
        <v>1987207</v>
      </c>
      <c r="D483" s="51">
        <v>2148552</v>
      </c>
      <c r="E483" s="51">
        <v>2081999</v>
      </c>
      <c r="F483" s="51">
        <v>2021087</v>
      </c>
      <c r="G483" s="51">
        <v>2012815</v>
      </c>
      <c r="H483" s="51">
        <v>1919216</v>
      </c>
      <c r="I483" s="51">
        <v>1851874</v>
      </c>
      <c r="J483" s="51">
        <v>1668687</v>
      </c>
      <c r="K483" s="51">
        <v>1699833</v>
      </c>
      <c r="L483" s="51">
        <v>1685193</v>
      </c>
      <c r="M483" s="53">
        <v>1736244</v>
      </c>
      <c r="N483" s="101"/>
      <c r="O483" s="341"/>
      <c r="P483" s="341"/>
      <c r="Q483" s="341"/>
      <c r="R483" s="341"/>
      <c r="S483" s="341"/>
      <c r="T483" s="341"/>
      <c r="U483" s="341"/>
      <c r="V483" s="341"/>
      <c r="W483" s="341"/>
      <c r="X483" s="341"/>
      <c r="Y483" s="341"/>
      <c r="Z483" s="341"/>
      <c r="AA483" s="341"/>
      <c r="AB483" s="341"/>
      <c r="AC483" s="341"/>
      <c r="AD483" s="341"/>
      <c r="AE483" s="341"/>
      <c r="AF483" s="341"/>
      <c r="AG483" s="341"/>
      <c r="AH483" s="341"/>
      <c r="AI483" s="341"/>
      <c r="AJ483" s="341"/>
      <c r="AK483" s="341"/>
      <c r="AL483" s="341"/>
      <c r="AM483" s="341"/>
      <c r="AN483" s="341"/>
      <c r="AO483" s="341"/>
      <c r="AP483" s="341"/>
      <c r="AQ483" s="341"/>
      <c r="AR483" s="341"/>
      <c r="AS483" s="341"/>
      <c r="AT483" s="341"/>
      <c r="AU483" s="341"/>
      <c r="AV483" s="341"/>
      <c r="AW483" s="341"/>
      <c r="AX483" s="341"/>
      <c r="AY483" s="341"/>
      <c r="AZ483" s="341"/>
      <c r="BA483" s="341"/>
      <c r="BB483" s="341"/>
      <c r="BC483" s="341"/>
      <c r="BD483" s="341"/>
      <c r="BE483" s="341"/>
      <c r="BF483" s="341"/>
      <c r="BG483" s="341"/>
      <c r="BH483" s="341"/>
      <c r="BI483" s="341"/>
      <c r="BJ483" s="341"/>
      <c r="BK483" s="341"/>
      <c r="BL483" s="341"/>
      <c r="BM483" s="341"/>
      <c r="BN483" s="341"/>
      <c r="BO483" s="341"/>
      <c r="BP483" s="341"/>
      <c r="BQ483" s="341"/>
      <c r="BR483" s="341"/>
      <c r="BS483" s="341"/>
      <c r="BT483" s="110"/>
      <c r="BU483" s="108"/>
      <c r="BV483" s="108"/>
      <c r="BW483" s="108"/>
    </row>
    <row r="484" spans="1:75" s="218" customFormat="1" ht="13.5" customHeight="1">
      <c r="A484" s="397" t="s">
        <v>237</v>
      </c>
      <c r="B484" s="90">
        <v>799264</v>
      </c>
      <c r="C484" s="51">
        <v>797535</v>
      </c>
      <c r="D484" s="51">
        <v>834860</v>
      </c>
      <c r="E484" s="51">
        <v>831430</v>
      </c>
      <c r="F484" s="51">
        <v>838204</v>
      </c>
      <c r="G484" s="51">
        <v>825127</v>
      </c>
      <c r="H484" s="51">
        <v>892395</v>
      </c>
      <c r="I484" s="51">
        <v>857146</v>
      </c>
      <c r="J484" s="51">
        <v>867386</v>
      </c>
      <c r="K484" s="51">
        <v>866252</v>
      </c>
      <c r="L484" s="51">
        <v>883290</v>
      </c>
      <c r="M484" s="53">
        <v>889796</v>
      </c>
      <c r="N484" s="101"/>
      <c r="O484" s="341"/>
      <c r="P484" s="341"/>
      <c r="Q484" s="341"/>
      <c r="R484" s="341"/>
      <c r="S484" s="341"/>
      <c r="T484" s="341"/>
      <c r="U484" s="341"/>
      <c r="V484" s="341"/>
      <c r="W484" s="341"/>
      <c r="X484" s="341"/>
      <c r="Y484" s="341"/>
      <c r="Z484" s="341"/>
      <c r="AA484" s="341"/>
      <c r="AB484" s="341"/>
      <c r="AC484" s="341"/>
      <c r="AD484" s="341"/>
      <c r="AE484" s="341"/>
      <c r="AF484" s="341"/>
      <c r="AG484" s="341"/>
      <c r="AH484" s="341"/>
      <c r="AI484" s="341"/>
      <c r="AJ484" s="341"/>
      <c r="AK484" s="341"/>
      <c r="AL484" s="341"/>
      <c r="AM484" s="341"/>
      <c r="AN484" s="341"/>
      <c r="AO484" s="341"/>
      <c r="AP484" s="341"/>
      <c r="AQ484" s="341"/>
      <c r="AR484" s="341"/>
      <c r="AS484" s="341"/>
      <c r="AT484" s="341"/>
      <c r="AU484" s="341"/>
      <c r="AV484" s="341"/>
      <c r="AW484" s="341"/>
      <c r="AX484" s="341"/>
      <c r="AY484" s="341"/>
      <c r="AZ484" s="341"/>
      <c r="BA484" s="341"/>
      <c r="BB484" s="341"/>
      <c r="BC484" s="341"/>
      <c r="BD484" s="341"/>
      <c r="BE484" s="341"/>
      <c r="BF484" s="341"/>
      <c r="BG484" s="341"/>
      <c r="BH484" s="341"/>
      <c r="BI484" s="341"/>
      <c r="BJ484" s="341"/>
      <c r="BK484" s="341"/>
      <c r="BL484" s="341"/>
      <c r="BM484" s="341"/>
      <c r="BN484" s="341"/>
      <c r="BO484" s="341"/>
      <c r="BP484" s="341"/>
      <c r="BQ484" s="341"/>
      <c r="BR484" s="341"/>
      <c r="BS484" s="341"/>
      <c r="BT484" s="110"/>
      <c r="BU484" s="108"/>
      <c r="BV484" s="108"/>
      <c r="BW484" s="108"/>
    </row>
    <row r="485" spans="1:75" s="218" customFormat="1" ht="13.5" customHeight="1">
      <c r="A485" s="397" t="s">
        <v>234</v>
      </c>
      <c r="B485" s="90">
        <v>132317</v>
      </c>
      <c r="C485" s="51">
        <v>121130</v>
      </c>
      <c r="D485" s="51">
        <v>121930</v>
      </c>
      <c r="E485" s="51">
        <v>128586</v>
      </c>
      <c r="F485" s="51">
        <v>109887</v>
      </c>
      <c r="G485" s="51">
        <v>112012</v>
      </c>
      <c r="H485" s="51">
        <v>118808</v>
      </c>
      <c r="I485" s="51">
        <v>117166</v>
      </c>
      <c r="J485" s="51">
        <v>103881</v>
      </c>
      <c r="K485" s="51">
        <v>111757</v>
      </c>
      <c r="L485" s="51">
        <v>114836</v>
      </c>
      <c r="M485" s="53">
        <v>119773</v>
      </c>
      <c r="N485" s="101"/>
      <c r="O485" s="341"/>
      <c r="P485" s="341"/>
      <c r="Q485" s="341"/>
      <c r="R485" s="341"/>
      <c r="S485" s="341"/>
      <c r="T485" s="341"/>
      <c r="U485" s="341"/>
      <c r="V485" s="341"/>
      <c r="W485" s="341"/>
      <c r="X485" s="341"/>
      <c r="Y485" s="341"/>
      <c r="Z485" s="341"/>
      <c r="AA485" s="341"/>
      <c r="AB485" s="341"/>
      <c r="AC485" s="341"/>
      <c r="AD485" s="341"/>
      <c r="AE485" s="341"/>
      <c r="AF485" s="341"/>
      <c r="AG485" s="341"/>
      <c r="AH485" s="341"/>
      <c r="AI485" s="341"/>
      <c r="AJ485" s="341"/>
      <c r="AK485" s="341"/>
      <c r="AL485" s="341"/>
      <c r="AM485" s="341"/>
      <c r="AN485" s="341"/>
      <c r="AO485" s="341"/>
      <c r="AP485" s="341"/>
      <c r="AQ485" s="341"/>
      <c r="AR485" s="341"/>
      <c r="AS485" s="341"/>
      <c r="AT485" s="341"/>
      <c r="AU485" s="341"/>
      <c r="AV485" s="341"/>
      <c r="AW485" s="341"/>
      <c r="AX485" s="341"/>
      <c r="AY485" s="341"/>
      <c r="AZ485" s="341"/>
      <c r="BA485" s="341"/>
      <c r="BB485" s="341"/>
      <c r="BC485" s="341"/>
      <c r="BD485" s="341"/>
      <c r="BE485" s="341"/>
      <c r="BF485" s="341"/>
      <c r="BG485" s="341"/>
      <c r="BH485" s="341"/>
      <c r="BI485" s="341"/>
      <c r="BJ485" s="341"/>
      <c r="BK485" s="341"/>
      <c r="BL485" s="341"/>
      <c r="BM485" s="341"/>
      <c r="BN485" s="341"/>
      <c r="BO485" s="341"/>
      <c r="BP485" s="341"/>
      <c r="BQ485" s="341"/>
      <c r="BR485" s="341"/>
      <c r="BS485" s="341"/>
      <c r="BT485" s="110"/>
      <c r="BU485" s="108"/>
      <c r="BV485" s="108"/>
      <c r="BW485" s="108"/>
    </row>
    <row r="486" spans="1:75" s="218" customFormat="1" ht="13.5" customHeight="1">
      <c r="A486" s="397" t="s">
        <v>238</v>
      </c>
      <c r="B486" s="90">
        <v>437325</v>
      </c>
      <c r="C486" s="51">
        <v>421748</v>
      </c>
      <c r="D486" s="51">
        <v>482190</v>
      </c>
      <c r="E486" s="51">
        <v>510281</v>
      </c>
      <c r="F486" s="51">
        <v>520088</v>
      </c>
      <c r="G486" s="51">
        <v>519614</v>
      </c>
      <c r="H486" s="51">
        <v>592135</v>
      </c>
      <c r="I486" s="51">
        <v>599761</v>
      </c>
      <c r="J486" s="51">
        <v>581883</v>
      </c>
      <c r="K486" s="51">
        <v>566875</v>
      </c>
      <c r="L486" s="51">
        <v>566244</v>
      </c>
      <c r="M486" s="53">
        <v>524934</v>
      </c>
      <c r="N486" s="101"/>
      <c r="O486" s="341"/>
      <c r="P486" s="341"/>
      <c r="Q486" s="341"/>
      <c r="R486" s="341"/>
      <c r="S486" s="341"/>
      <c r="T486" s="341"/>
      <c r="U486" s="341"/>
      <c r="V486" s="341"/>
      <c r="W486" s="341"/>
      <c r="X486" s="341"/>
      <c r="Y486" s="341"/>
      <c r="Z486" s="341"/>
      <c r="AA486" s="341"/>
      <c r="AB486" s="341"/>
      <c r="AC486" s="341"/>
      <c r="AD486" s="341"/>
      <c r="AE486" s="341"/>
      <c r="AF486" s="341"/>
      <c r="AG486" s="341"/>
      <c r="AH486" s="341"/>
      <c r="AI486" s="341"/>
      <c r="AJ486" s="341"/>
      <c r="AK486" s="341"/>
      <c r="AL486" s="341"/>
      <c r="AM486" s="341"/>
      <c r="AN486" s="341"/>
      <c r="AO486" s="341"/>
      <c r="AP486" s="341"/>
      <c r="AQ486" s="341"/>
      <c r="AR486" s="341"/>
      <c r="AS486" s="341"/>
      <c r="AT486" s="341"/>
      <c r="AU486" s="341"/>
      <c r="AV486" s="341"/>
      <c r="AW486" s="341"/>
      <c r="AX486" s="341"/>
      <c r="AY486" s="341"/>
      <c r="AZ486" s="341"/>
      <c r="BA486" s="341"/>
      <c r="BB486" s="341"/>
      <c r="BC486" s="341"/>
      <c r="BD486" s="341"/>
      <c r="BE486" s="341"/>
      <c r="BF486" s="341"/>
      <c r="BG486" s="341"/>
      <c r="BH486" s="341"/>
      <c r="BI486" s="341"/>
      <c r="BJ486" s="341"/>
      <c r="BK486" s="341"/>
      <c r="BL486" s="341"/>
      <c r="BM486" s="341"/>
      <c r="BN486" s="341"/>
      <c r="BO486" s="341"/>
      <c r="BP486" s="341"/>
      <c r="BQ486" s="341"/>
      <c r="BR486" s="341"/>
      <c r="BS486" s="341"/>
      <c r="BT486" s="110"/>
      <c r="BU486" s="108"/>
      <c r="BV486" s="108"/>
      <c r="BW486" s="108"/>
    </row>
    <row r="487" spans="1:75" s="218" customFormat="1" ht="13.5" customHeight="1" thickBot="1">
      <c r="A487" s="214" t="s">
        <v>18</v>
      </c>
      <c r="B487" s="98">
        <v>27139067</v>
      </c>
      <c r="C487" s="99">
        <v>25839345</v>
      </c>
      <c r="D487" s="99">
        <v>26155952</v>
      </c>
      <c r="E487" s="99">
        <v>26148690</v>
      </c>
      <c r="F487" s="99">
        <v>25735393</v>
      </c>
      <c r="G487" s="99">
        <v>25126196</v>
      </c>
      <c r="H487" s="99">
        <v>24765417</v>
      </c>
      <c r="I487" s="99">
        <v>23629298</v>
      </c>
      <c r="J487" s="99">
        <v>22326213</v>
      </c>
      <c r="K487" s="99">
        <v>22421075</v>
      </c>
      <c r="L487" s="99">
        <v>22040574</v>
      </c>
      <c r="M487" s="100">
        <v>22330225</v>
      </c>
      <c r="N487" s="101"/>
      <c r="O487" s="341"/>
      <c r="P487" s="341"/>
      <c r="Q487" s="341"/>
      <c r="R487" s="341"/>
      <c r="S487" s="341"/>
      <c r="T487" s="341"/>
      <c r="U487" s="341"/>
      <c r="V487" s="341"/>
      <c r="W487" s="341"/>
      <c r="X487" s="341"/>
      <c r="Y487" s="341"/>
      <c r="Z487" s="341"/>
      <c r="AA487" s="341"/>
      <c r="AB487" s="341"/>
      <c r="AC487" s="341"/>
      <c r="AD487" s="341"/>
      <c r="AE487" s="341"/>
      <c r="AF487" s="341"/>
      <c r="AG487" s="341"/>
      <c r="AH487" s="341"/>
      <c r="AI487" s="341"/>
      <c r="AJ487" s="341"/>
      <c r="AK487" s="341"/>
      <c r="AL487" s="341"/>
      <c r="AM487" s="341"/>
      <c r="AN487" s="341"/>
      <c r="AO487" s="341"/>
      <c r="AP487" s="341"/>
      <c r="AQ487" s="341"/>
      <c r="AR487" s="341"/>
      <c r="AS487" s="341"/>
      <c r="AT487" s="341"/>
      <c r="AU487" s="341"/>
      <c r="AV487" s="341"/>
      <c r="AW487" s="341"/>
      <c r="AX487" s="341"/>
      <c r="AY487" s="341"/>
      <c r="AZ487" s="341"/>
      <c r="BA487" s="341"/>
      <c r="BB487" s="341"/>
      <c r="BC487" s="341"/>
      <c r="BD487" s="341"/>
      <c r="BE487" s="341"/>
      <c r="BF487" s="341"/>
      <c r="BG487" s="341"/>
      <c r="BH487" s="341"/>
      <c r="BI487" s="341"/>
      <c r="BJ487" s="341"/>
      <c r="BK487" s="341"/>
      <c r="BL487" s="341"/>
      <c r="BM487" s="341"/>
      <c r="BN487" s="341"/>
      <c r="BO487" s="341"/>
      <c r="BP487" s="341"/>
      <c r="BQ487" s="341"/>
      <c r="BR487" s="341"/>
      <c r="BS487" s="341"/>
      <c r="BT487" s="110"/>
      <c r="BU487" s="108"/>
      <c r="BV487" s="108"/>
      <c r="BW487" s="108"/>
    </row>
    <row r="488" spans="1:75" s="218" customFormat="1" ht="13.5" customHeight="1" thickBot="1">
      <c r="A488" s="398"/>
      <c r="B488" s="341"/>
      <c r="C488" s="341"/>
      <c r="D488" s="341"/>
      <c r="E488" s="341"/>
      <c r="F488" s="341"/>
      <c r="G488" s="341"/>
      <c r="H488" s="341"/>
      <c r="I488" s="341"/>
      <c r="J488" s="341"/>
      <c r="K488" s="341"/>
      <c r="L488" s="341"/>
      <c r="M488" s="341"/>
      <c r="N488" s="101"/>
      <c r="O488" s="341"/>
      <c r="P488" s="341"/>
      <c r="Q488" s="341"/>
      <c r="R488" s="341"/>
      <c r="S488" s="341"/>
      <c r="T488" s="341"/>
      <c r="U488" s="341"/>
      <c r="V488" s="341"/>
      <c r="W488" s="341"/>
      <c r="X488" s="341"/>
      <c r="Y488" s="341"/>
      <c r="Z488" s="341"/>
      <c r="AA488" s="341"/>
      <c r="AB488" s="341"/>
      <c r="AC488" s="341"/>
      <c r="AD488" s="341"/>
      <c r="AE488" s="341"/>
      <c r="AF488" s="341"/>
      <c r="AG488" s="341"/>
      <c r="AH488" s="341"/>
      <c r="AI488" s="341"/>
      <c r="AJ488" s="341"/>
      <c r="AK488" s="341"/>
      <c r="AL488" s="341"/>
      <c r="AM488" s="341"/>
      <c r="AN488" s="341"/>
      <c r="AO488" s="341"/>
      <c r="AP488" s="341"/>
      <c r="AQ488" s="341"/>
      <c r="AR488" s="341"/>
      <c r="AS488" s="341"/>
      <c r="AT488" s="341"/>
      <c r="AU488" s="341"/>
      <c r="AV488" s="341"/>
      <c r="AW488" s="341"/>
      <c r="AX488" s="341"/>
      <c r="AY488" s="341"/>
      <c r="AZ488" s="341"/>
      <c r="BA488" s="341"/>
      <c r="BB488" s="341"/>
      <c r="BC488" s="341"/>
      <c r="BD488" s="341"/>
      <c r="BE488" s="341"/>
      <c r="BF488" s="341"/>
      <c r="BG488" s="341"/>
      <c r="BH488" s="341"/>
      <c r="BI488" s="341"/>
      <c r="BJ488" s="341"/>
      <c r="BK488" s="341"/>
      <c r="BL488" s="341"/>
      <c r="BM488" s="341"/>
      <c r="BN488" s="341"/>
      <c r="BO488" s="341"/>
      <c r="BP488" s="341"/>
      <c r="BQ488" s="341"/>
      <c r="BR488" s="341"/>
      <c r="BS488" s="341"/>
      <c r="BT488" s="110"/>
      <c r="BU488" s="108"/>
      <c r="BV488" s="108"/>
      <c r="BW488" s="108"/>
    </row>
    <row r="489" spans="1:75" s="218" customFormat="1" ht="13.5" customHeight="1" thickBot="1">
      <c r="A489" s="398"/>
      <c r="B489" s="343">
        <v>40544</v>
      </c>
      <c r="C489" s="345">
        <v>40575</v>
      </c>
      <c r="D489" s="344">
        <v>40603</v>
      </c>
      <c r="E489" s="344">
        <v>40634</v>
      </c>
      <c r="F489" s="345">
        <v>40664</v>
      </c>
      <c r="G489" s="344">
        <v>40695</v>
      </c>
      <c r="H489" s="344">
        <v>40725</v>
      </c>
      <c r="I489" s="345">
        <v>40756</v>
      </c>
      <c r="J489" s="345">
        <v>40787</v>
      </c>
      <c r="K489" s="345">
        <v>40817</v>
      </c>
      <c r="L489" s="345">
        <v>40848</v>
      </c>
      <c r="M489" s="346">
        <v>40878</v>
      </c>
      <c r="N489" s="101"/>
      <c r="O489" s="341"/>
      <c r="P489" s="341"/>
      <c r="Q489" s="341"/>
      <c r="R489" s="341"/>
      <c r="S489" s="341"/>
      <c r="T489" s="341"/>
      <c r="U489" s="341"/>
      <c r="V489" s="341"/>
      <c r="W489" s="341"/>
      <c r="X489" s="341"/>
      <c r="Y489" s="341"/>
      <c r="Z489" s="341"/>
      <c r="AA489" s="341"/>
      <c r="AB489" s="341"/>
      <c r="AC489" s="341"/>
      <c r="AD489" s="341"/>
      <c r="AE489" s="341"/>
      <c r="AF489" s="341"/>
      <c r="AG489" s="341"/>
      <c r="AH489" s="341"/>
      <c r="AI489" s="341"/>
      <c r="AJ489" s="341"/>
      <c r="AK489" s="341"/>
      <c r="AL489" s="341"/>
      <c r="AM489" s="341"/>
      <c r="AN489" s="341"/>
      <c r="AO489" s="341"/>
      <c r="AP489" s="341"/>
      <c r="AQ489" s="341"/>
      <c r="AR489" s="341"/>
      <c r="AS489" s="341"/>
      <c r="AT489" s="341"/>
      <c r="AU489" s="341"/>
      <c r="AV489" s="341"/>
      <c r="AW489" s="341"/>
      <c r="AX489" s="341"/>
      <c r="AY489" s="341"/>
      <c r="AZ489" s="341"/>
      <c r="BA489" s="341"/>
      <c r="BB489" s="341"/>
      <c r="BC489" s="341"/>
      <c r="BD489" s="341"/>
      <c r="BE489" s="341"/>
      <c r="BF489" s="341"/>
      <c r="BG489" s="341"/>
      <c r="BH489" s="341"/>
      <c r="BI489" s="341"/>
      <c r="BJ489" s="341"/>
      <c r="BK489" s="341"/>
      <c r="BL489" s="341"/>
      <c r="BM489" s="341"/>
      <c r="BN489" s="341"/>
      <c r="BO489" s="341"/>
      <c r="BP489" s="341"/>
      <c r="BQ489" s="341"/>
      <c r="BR489" s="341"/>
      <c r="BS489" s="341"/>
      <c r="BT489" s="110"/>
      <c r="BU489" s="108"/>
      <c r="BV489" s="108"/>
      <c r="BW489" s="108"/>
    </row>
    <row r="490" spans="1:75" s="218" customFormat="1" ht="13.5" customHeight="1">
      <c r="A490" s="396" t="s">
        <v>231</v>
      </c>
      <c r="B490" s="89">
        <v>3197294</v>
      </c>
      <c r="C490" s="49">
        <v>3376886</v>
      </c>
      <c r="D490" s="49">
        <v>3361299</v>
      </c>
      <c r="E490" s="49">
        <v>3265696</v>
      </c>
      <c r="F490" s="49">
        <v>3255479</v>
      </c>
      <c r="G490" s="49">
        <v>3316565</v>
      </c>
      <c r="H490" s="49">
        <v>3325774</v>
      </c>
      <c r="I490" s="49">
        <v>3780980</v>
      </c>
      <c r="J490" s="49">
        <v>3769267</v>
      </c>
      <c r="K490" s="49">
        <v>3755150</v>
      </c>
      <c r="L490" s="49">
        <v>3783627</v>
      </c>
      <c r="M490" s="50">
        <v>3822995</v>
      </c>
      <c r="N490" s="101"/>
      <c r="O490" s="341"/>
      <c r="P490" s="341"/>
      <c r="Q490" s="341"/>
      <c r="R490" s="341"/>
      <c r="S490" s="341"/>
      <c r="T490" s="341"/>
      <c r="U490" s="341"/>
      <c r="V490" s="341"/>
      <c r="W490" s="341"/>
      <c r="X490" s="341"/>
      <c r="Y490" s="341"/>
      <c r="Z490" s="341"/>
      <c r="AA490" s="341"/>
      <c r="AB490" s="341"/>
      <c r="AC490" s="341"/>
      <c r="AD490" s="341"/>
      <c r="AE490" s="341"/>
      <c r="AF490" s="341"/>
      <c r="AG490" s="341"/>
      <c r="AH490" s="341"/>
      <c r="AI490" s="341"/>
      <c r="AJ490" s="341"/>
      <c r="AK490" s="341"/>
      <c r="AL490" s="341"/>
      <c r="AM490" s="341"/>
      <c r="AN490" s="341"/>
      <c r="AO490" s="341"/>
      <c r="AP490" s="341"/>
      <c r="AQ490" s="341"/>
      <c r="AR490" s="341"/>
      <c r="AS490" s="341"/>
      <c r="AT490" s="341"/>
      <c r="AU490" s="341"/>
      <c r="AV490" s="341"/>
      <c r="AW490" s="341"/>
      <c r="AX490" s="341"/>
      <c r="AY490" s="341"/>
      <c r="AZ490" s="341"/>
      <c r="BA490" s="341"/>
      <c r="BB490" s="341"/>
      <c r="BC490" s="341"/>
      <c r="BD490" s="341"/>
      <c r="BE490" s="341"/>
      <c r="BF490" s="341"/>
      <c r="BG490" s="341"/>
      <c r="BH490" s="341"/>
      <c r="BI490" s="341"/>
      <c r="BJ490" s="341"/>
      <c r="BK490" s="341"/>
      <c r="BL490" s="341"/>
      <c r="BM490" s="341"/>
      <c r="BN490" s="341"/>
      <c r="BO490" s="341"/>
      <c r="BP490" s="341"/>
      <c r="BQ490" s="341"/>
      <c r="BR490" s="341"/>
      <c r="BS490" s="341"/>
      <c r="BT490" s="110"/>
      <c r="BU490" s="108"/>
      <c r="BV490" s="108"/>
      <c r="BW490" s="108"/>
    </row>
    <row r="491" spans="1:75" s="218" customFormat="1" ht="13.5" customHeight="1">
      <c r="A491" s="397" t="s">
        <v>232</v>
      </c>
      <c r="B491" s="90">
        <v>1575183</v>
      </c>
      <c r="C491" s="51">
        <v>1654598</v>
      </c>
      <c r="D491" s="51">
        <v>1654378</v>
      </c>
      <c r="E491" s="51">
        <v>1669503</v>
      </c>
      <c r="F491" s="51">
        <v>1702516</v>
      </c>
      <c r="G491" s="51">
        <v>1664960</v>
      </c>
      <c r="H491" s="51">
        <v>1677090</v>
      </c>
      <c r="I491" s="51">
        <v>1705734</v>
      </c>
      <c r="J491" s="51">
        <v>1729039</v>
      </c>
      <c r="K491" s="51">
        <v>1705776</v>
      </c>
      <c r="L491" s="51">
        <v>1689100</v>
      </c>
      <c r="M491" s="53">
        <v>1742921</v>
      </c>
      <c r="N491" s="101"/>
      <c r="O491" s="341"/>
      <c r="P491" s="341"/>
      <c r="Q491" s="341"/>
      <c r="R491" s="341"/>
      <c r="S491" s="341"/>
      <c r="T491" s="341"/>
      <c r="U491" s="341"/>
      <c r="V491" s="341"/>
      <c r="W491" s="341"/>
      <c r="X491" s="341"/>
      <c r="Y491" s="341"/>
      <c r="Z491" s="341"/>
      <c r="AA491" s="341"/>
      <c r="AB491" s="341"/>
      <c r="AC491" s="341"/>
      <c r="AD491" s="341"/>
      <c r="AE491" s="341"/>
      <c r="AF491" s="341"/>
      <c r="AG491" s="341"/>
      <c r="AH491" s="341"/>
      <c r="AI491" s="341"/>
      <c r="AJ491" s="341"/>
      <c r="AK491" s="341"/>
      <c r="AL491" s="341"/>
      <c r="AM491" s="341"/>
      <c r="AN491" s="341"/>
      <c r="AO491" s="341"/>
      <c r="AP491" s="341"/>
      <c r="AQ491" s="341"/>
      <c r="AR491" s="341"/>
      <c r="AS491" s="341"/>
      <c r="AT491" s="341"/>
      <c r="AU491" s="341"/>
      <c r="AV491" s="341"/>
      <c r="AW491" s="341"/>
      <c r="AX491" s="341"/>
      <c r="AY491" s="341"/>
      <c r="AZ491" s="341"/>
      <c r="BA491" s="341"/>
      <c r="BB491" s="341"/>
      <c r="BC491" s="341"/>
      <c r="BD491" s="341"/>
      <c r="BE491" s="341"/>
      <c r="BF491" s="341"/>
      <c r="BG491" s="341"/>
      <c r="BH491" s="341"/>
      <c r="BI491" s="341"/>
      <c r="BJ491" s="341"/>
      <c r="BK491" s="341"/>
      <c r="BL491" s="341"/>
      <c r="BM491" s="341"/>
      <c r="BN491" s="341"/>
      <c r="BO491" s="341"/>
      <c r="BP491" s="341"/>
      <c r="BQ491" s="341"/>
      <c r="BR491" s="341"/>
      <c r="BS491" s="341"/>
      <c r="BT491" s="110"/>
      <c r="BU491" s="108"/>
      <c r="BV491" s="108"/>
      <c r="BW491" s="108"/>
    </row>
    <row r="492" spans="1:75" s="218" customFormat="1" ht="13.5" customHeight="1">
      <c r="A492" s="397" t="s">
        <v>230</v>
      </c>
      <c r="B492" s="90">
        <v>3935016</v>
      </c>
      <c r="C492" s="51">
        <v>4032456</v>
      </c>
      <c r="D492" s="51">
        <v>3944391</v>
      </c>
      <c r="E492" s="51">
        <v>3974578</v>
      </c>
      <c r="F492" s="51">
        <v>3977154</v>
      </c>
      <c r="G492" s="51">
        <v>3966028</v>
      </c>
      <c r="H492" s="51">
        <v>4098164</v>
      </c>
      <c r="I492" s="51">
        <v>4246607</v>
      </c>
      <c r="J492" s="51">
        <v>4282554</v>
      </c>
      <c r="K492" s="51">
        <v>4358527</v>
      </c>
      <c r="L492" s="51">
        <v>4420973</v>
      </c>
      <c r="M492" s="53">
        <v>4381957</v>
      </c>
      <c r="N492" s="101"/>
      <c r="O492" s="341"/>
      <c r="P492" s="341"/>
      <c r="Q492" s="341"/>
      <c r="R492" s="341"/>
      <c r="S492" s="341"/>
      <c r="T492" s="341"/>
      <c r="U492" s="341"/>
      <c r="V492" s="341"/>
      <c r="W492" s="341"/>
      <c r="X492" s="341"/>
      <c r="Y492" s="341"/>
      <c r="Z492" s="341"/>
      <c r="AA492" s="341"/>
      <c r="AB492" s="341"/>
      <c r="AC492" s="341"/>
      <c r="AD492" s="341"/>
      <c r="AE492" s="341"/>
      <c r="AF492" s="341"/>
      <c r="AG492" s="341"/>
      <c r="AH492" s="341"/>
      <c r="AI492" s="341"/>
      <c r="AJ492" s="341"/>
      <c r="AK492" s="341"/>
      <c r="AL492" s="341"/>
      <c r="AM492" s="341"/>
      <c r="AN492" s="341"/>
      <c r="AO492" s="341"/>
      <c r="AP492" s="341"/>
      <c r="AQ492" s="341"/>
      <c r="AR492" s="341"/>
      <c r="AS492" s="341"/>
      <c r="AT492" s="341"/>
      <c r="AU492" s="341"/>
      <c r="AV492" s="341"/>
      <c r="AW492" s="341"/>
      <c r="AX492" s="341"/>
      <c r="AY492" s="341"/>
      <c r="AZ492" s="341"/>
      <c r="BA492" s="341"/>
      <c r="BB492" s="341"/>
      <c r="BC492" s="341"/>
      <c r="BD492" s="341"/>
      <c r="BE492" s="341"/>
      <c r="BF492" s="341"/>
      <c r="BG492" s="341"/>
      <c r="BH492" s="341"/>
      <c r="BI492" s="341"/>
      <c r="BJ492" s="341"/>
      <c r="BK492" s="341"/>
      <c r="BL492" s="341"/>
      <c r="BM492" s="341"/>
      <c r="BN492" s="341"/>
      <c r="BO492" s="341"/>
      <c r="BP492" s="341"/>
      <c r="BQ492" s="341"/>
      <c r="BR492" s="341"/>
      <c r="BS492" s="341"/>
      <c r="BT492" s="110"/>
      <c r="BU492" s="108"/>
      <c r="BV492" s="108"/>
      <c r="BW492" s="108"/>
    </row>
    <row r="493" spans="1:75" s="218" customFormat="1" ht="13.5" customHeight="1">
      <c r="A493" s="397" t="s">
        <v>229</v>
      </c>
      <c r="B493" s="90">
        <v>2927698</v>
      </c>
      <c r="C493" s="51">
        <v>3293878</v>
      </c>
      <c r="D493" s="51">
        <v>3224660</v>
      </c>
      <c r="E493" s="51">
        <v>3300985</v>
      </c>
      <c r="F493" s="51">
        <v>3277467</v>
      </c>
      <c r="G493" s="51">
        <v>3364918</v>
      </c>
      <c r="H493" s="51">
        <v>3480182</v>
      </c>
      <c r="I493" s="51">
        <v>3479237</v>
      </c>
      <c r="J493" s="51">
        <v>3551179</v>
      </c>
      <c r="K493" s="51">
        <v>3757971</v>
      </c>
      <c r="L493" s="51">
        <v>3868754</v>
      </c>
      <c r="M493" s="53">
        <v>4067577</v>
      </c>
      <c r="N493" s="101"/>
      <c r="O493" s="341"/>
      <c r="P493" s="341"/>
      <c r="Q493" s="341"/>
      <c r="R493" s="341"/>
      <c r="S493" s="341"/>
      <c r="T493" s="341"/>
      <c r="U493" s="341"/>
      <c r="V493" s="341"/>
      <c r="W493" s="341"/>
      <c r="X493" s="341"/>
      <c r="Y493" s="341"/>
      <c r="Z493" s="341"/>
      <c r="AA493" s="341"/>
      <c r="AB493" s="341"/>
      <c r="AC493" s="341"/>
      <c r="AD493" s="341"/>
      <c r="AE493" s="341"/>
      <c r="AF493" s="341"/>
      <c r="AG493" s="341"/>
      <c r="AH493" s="341"/>
      <c r="AI493" s="341"/>
      <c r="AJ493" s="341"/>
      <c r="AK493" s="341"/>
      <c r="AL493" s="341"/>
      <c r="AM493" s="341"/>
      <c r="AN493" s="341"/>
      <c r="AO493" s="341"/>
      <c r="AP493" s="341"/>
      <c r="AQ493" s="341"/>
      <c r="AR493" s="341"/>
      <c r="AS493" s="341"/>
      <c r="AT493" s="341"/>
      <c r="AU493" s="341"/>
      <c r="AV493" s="341"/>
      <c r="AW493" s="341"/>
      <c r="AX493" s="341"/>
      <c r="AY493" s="341"/>
      <c r="AZ493" s="341"/>
      <c r="BA493" s="341"/>
      <c r="BB493" s="341"/>
      <c r="BC493" s="341"/>
      <c r="BD493" s="341"/>
      <c r="BE493" s="341"/>
      <c r="BF493" s="341"/>
      <c r="BG493" s="341"/>
      <c r="BH493" s="341"/>
      <c r="BI493" s="341"/>
      <c r="BJ493" s="341"/>
      <c r="BK493" s="341"/>
      <c r="BL493" s="341"/>
      <c r="BM493" s="341"/>
      <c r="BN493" s="341"/>
      <c r="BO493" s="341"/>
      <c r="BP493" s="341"/>
      <c r="BQ493" s="341"/>
      <c r="BR493" s="341"/>
      <c r="BS493" s="341"/>
      <c r="BT493" s="110"/>
      <c r="BU493" s="108"/>
      <c r="BV493" s="108"/>
      <c r="BW493" s="108"/>
    </row>
    <row r="494" spans="1:75" s="218" customFormat="1" ht="13.5" customHeight="1">
      <c r="A494" s="397" t="s">
        <v>233</v>
      </c>
      <c r="B494" s="90">
        <v>3170084</v>
      </c>
      <c r="C494" s="51">
        <v>3431791</v>
      </c>
      <c r="D494" s="51">
        <v>3427473</v>
      </c>
      <c r="E494" s="51">
        <v>3457344</v>
      </c>
      <c r="F494" s="51">
        <v>3530583</v>
      </c>
      <c r="G494" s="51">
        <v>3492619</v>
      </c>
      <c r="H494" s="51">
        <v>3480994</v>
      </c>
      <c r="I494" s="51">
        <v>3552392</v>
      </c>
      <c r="J494" s="51">
        <v>3747746</v>
      </c>
      <c r="K494" s="51">
        <v>3702999</v>
      </c>
      <c r="L494" s="51">
        <v>3788234</v>
      </c>
      <c r="M494" s="53">
        <v>3982169</v>
      </c>
      <c r="N494" s="101"/>
      <c r="O494" s="341"/>
      <c r="P494" s="341"/>
      <c r="Q494" s="341"/>
      <c r="R494" s="341"/>
      <c r="S494" s="341"/>
      <c r="T494" s="341"/>
      <c r="U494" s="341"/>
      <c r="V494" s="341"/>
      <c r="W494" s="341"/>
      <c r="X494" s="341"/>
      <c r="Y494" s="341"/>
      <c r="Z494" s="341"/>
      <c r="AA494" s="341"/>
      <c r="AB494" s="341"/>
      <c r="AC494" s="341"/>
      <c r="AD494" s="341"/>
      <c r="AE494" s="341"/>
      <c r="AF494" s="341"/>
      <c r="AG494" s="341"/>
      <c r="AH494" s="341"/>
      <c r="AI494" s="341"/>
      <c r="AJ494" s="341"/>
      <c r="AK494" s="341"/>
      <c r="AL494" s="341"/>
      <c r="AM494" s="341"/>
      <c r="AN494" s="341"/>
      <c r="AO494" s="341"/>
      <c r="AP494" s="341"/>
      <c r="AQ494" s="341"/>
      <c r="AR494" s="341"/>
      <c r="AS494" s="341"/>
      <c r="AT494" s="341"/>
      <c r="AU494" s="341"/>
      <c r="AV494" s="341"/>
      <c r="AW494" s="341"/>
      <c r="AX494" s="341"/>
      <c r="AY494" s="341"/>
      <c r="AZ494" s="341"/>
      <c r="BA494" s="341"/>
      <c r="BB494" s="341"/>
      <c r="BC494" s="341"/>
      <c r="BD494" s="341"/>
      <c r="BE494" s="341"/>
      <c r="BF494" s="341"/>
      <c r="BG494" s="341"/>
      <c r="BH494" s="341"/>
      <c r="BI494" s="341"/>
      <c r="BJ494" s="341"/>
      <c r="BK494" s="341"/>
      <c r="BL494" s="341"/>
      <c r="BM494" s="341"/>
      <c r="BN494" s="341"/>
      <c r="BO494" s="341"/>
      <c r="BP494" s="341"/>
      <c r="BQ494" s="341"/>
      <c r="BR494" s="341"/>
      <c r="BS494" s="341"/>
      <c r="BT494" s="110"/>
      <c r="BU494" s="108"/>
      <c r="BV494" s="108"/>
      <c r="BW494" s="108"/>
    </row>
    <row r="495" spans="1:75" s="218" customFormat="1" ht="13.5" customHeight="1">
      <c r="A495" s="397" t="s">
        <v>361</v>
      </c>
      <c r="B495" s="90">
        <v>949850</v>
      </c>
      <c r="C495" s="51">
        <v>1022136</v>
      </c>
      <c r="D495" s="51">
        <v>993095</v>
      </c>
      <c r="E495" s="51">
        <v>999724</v>
      </c>
      <c r="F495" s="51">
        <v>1063767</v>
      </c>
      <c r="G495" s="51">
        <v>1055044</v>
      </c>
      <c r="H495" s="51">
        <v>1103036</v>
      </c>
      <c r="I495" s="51">
        <v>1098233</v>
      </c>
      <c r="J495" s="51">
        <v>1133172</v>
      </c>
      <c r="K495" s="51">
        <v>1130017</v>
      </c>
      <c r="L495" s="51">
        <v>1150596</v>
      </c>
      <c r="M495" s="53">
        <v>1157170</v>
      </c>
      <c r="N495" s="101"/>
      <c r="O495" s="341"/>
      <c r="P495" s="341"/>
      <c r="Q495" s="341"/>
      <c r="R495" s="341"/>
      <c r="S495" s="341"/>
      <c r="T495" s="341"/>
      <c r="U495" s="341"/>
      <c r="V495" s="341"/>
      <c r="W495" s="341"/>
      <c r="X495" s="341"/>
      <c r="Y495" s="341"/>
      <c r="Z495" s="341"/>
      <c r="AA495" s="341"/>
      <c r="AB495" s="341"/>
      <c r="AC495" s="341"/>
      <c r="AD495" s="341"/>
      <c r="AE495" s="341"/>
      <c r="AF495" s="341"/>
      <c r="AG495" s="341"/>
      <c r="AH495" s="341"/>
      <c r="AI495" s="341"/>
      <c r="AJ495" s="341"/>
      <c r="AK495" s="341"/>
      <c r="AL495" s="341"/>
      <c r="AM495" s="341"/>
      <c r="AN495" s="341"/>
      <c r="AO495" s="341"/>
      <c r="AP495" s="341"/>
      <c r="AQ495" s="341"/>
      <c r="AR495" s="341"/>
      <c r="AS495" s="341"/>
      <c r="AT495" s="341"/>
      <c r="AU495" s="341"/>
      <c r="AV495" s="341"/>
      <c r="AW495" s="341"/>
      <c r="AX495" s="341"/>
      <c r="AY495" s="341"/>
      <c r="AZ495" s="341"/>
      <c r="BA495" s="341"/>
      <c r="BB495" s="341"/>
      <c r="BC495" s="341"/>
      <c r="BD495" s="341"/>
      <c r="BE495" s="341"/>
      <c r="BF495" s="341"/>
      <c r="BG495" s="341"/>
      <c r="BH495" s="341"/>
      <c r="BI495" s="341"/>
      <c r="BJ495" s="341"/>
      <c r="BK495" s="341"/>
      <c r="BL495" s="341"/>
      <c r="BM495" s="341"/>
      <c r="BN495" s="341"/>
      <c r="BO495" s="341"/>
      <c r="BP495" s="341"/>
      <c r="BQ495" s="341"/>
      <c r="BR495" s="341"/>
      <c r="BS495" s="341"/>
      <c r="BT495" s="110"/>
      <c r="BU495" s="108"/>
      <c r="BV495" s="108"/>
      <c r="BW495" s="108"/>
    </row>
    <row r="496" spans="1:75" s="218" customFormat="1" ht="13.5" customHeight="1">
      <c r="A496" s="397" t="s">
        <v>228</v>
      </c>
      <c r="B496" s="90">
        <v>689936</v>
      </c>
      <c r="C496" s="51">
        <v>704838</v>
      </c>
      <c r="D496" s="51">
        <v>692334</v>
      </c>
      <c r="E496" s="51">
        <v>709818</v>
      </c>
      <c r="F496" s="51">
        <v>673465</v>
      </c>
      <c r="G496" s="51">
        <v>692650</v>
      </c>
      <c r="H496" s="51">
        <v>724698</v>
      </c>
      <c r="I496" s="51">
        <v>752923</v>
      </c>
      <c r="J496" s="51">
        <v>771528</v>
      </c>
      <c r="K496" s="51">
        <v>780880</v>
      </c>
      <c r="L496" s="51">
        <v>804700</v>
      </c>
      <c r="M496" s="53">
        <v>835783</v>
      </c>
      <c r="N496" s="101"/>
      <c r="O496" s="341"/>
      <c r="P496" s="341"/>
      <c r="Q496" s="341"/>
      <c r="R496" s="341"/>
      <c r="S496" s="341"/>
      <c r="T496" s="341"/>
      <c r="U496" s="341"/>
      <c r="V496" s="341"/>
      <c r="W496" s="341"/>
      <c r="X496" s="341"/>
      <c r="Y496" s="341"/>
      <c r="Z496" s="341"/>
      <c r="AA496" s="341"/>
      <c r="AB496" s="341"/>
      <c r="AC496" s="341"/>
      <c r="AD496" s="341"/>
      <c r="AE496" s="341"/>
      <c r="AF496" s="341"/>
      <c r="AG496" s="341"/>
      <c r="AH496" s="341"/>
      <c r="AI496" s="341"/>
      <c r="AJ496" s="341"/>
      <c r="AK496" s="341"/>
      <c r="AL496" s="341"/>
      <c r="AM496" s="341"/>
      <c r="AN496" s="341"/>
      <c r="AO496" s="341"/>
      <c r="AP496" s="341"/>
      <c r="AQ496" s="341"/>
      <c r="AR496" s="341"/>
      <c r="AS496" s="341"/>
      <c r="AT496" s="341"/>
      <c r="AU496" s="341"/>
      <c r="AV496" s="341"/>
      <c r="AW496" s="341"/>
      <c r="AX496" s="341"/>
      <c r="AY496" s="341"/>
      <c r="AZ496" s="341"/>
      <c r="BA496" s="341"/>
      <c r="BB496" s="341"/>
      <c r="BC496" s="341"/>
      <c r="BD496" s="341"/>
      <c r="BE496" s="341"/>
      <c r="BF496" s="341"/>
      <c r="BG496" s="341"/>
      <c r="BH496" s="341"/>
      <c r="BI496" s="341"/>
      <c r="BJ496" s="341"/>
      <c r="BK496" s="341"/>
      <c r="BL496" s="341"/>
      <c r="BM496" s="341"/>
      <c r="BN496" s="341"/>
      <c r="BO496" s="341"/>
      <c r="BP496" s="341"/>
      <c r="BQ496" s="341"/>
      <c r="BR496" s="341"/>
      <c r="BS496" s="341"/>
      <c r="BT496" s="110"/>
      <c r="BU496" s="108"/>
      <c r="BV496" s="108"/>
      <c r="BW496" s="108"/>
    </row>
    <row r="497" spans="1:75" s="218" customFormat="1" ht="13.5" customHeight="1">
      <c r="A497" s="191" t="s">
        <v>362</v>
      </c>
      <c r="B497" s="340">
        <v>6249515</v>
      </c>
      <c r="C497" s="341">
        <v>6536897</v>
      </c>
      <c r="D497" s="341">
        <v>6374932</v>
      </c>
      <c r="E497" s="341">
        <v>6492694</v>
      </c>
      <c r="F497" s="341">
        <v>6585636</v>
      </c>
      <c r="G497" s="341">
        <v>6680688</v>
      </c>
      <c r="H497" s="341">
        <v>6503612</v>
      </c>
      <c r="I497" s="341">
        <v>6733656</v>
      </c>
      <c r="J497" s="341">
        <v>6820247</v>
      </c>
      <c r="K497" s="341">
        <v>6738004</v>
      </c>
      <c r="L497" s="341">
        <v>7088942</v>
      </c>
      <c r="M497" s="339">
        <v>7393419</v>
      </c>
      <c r="N497" s="101"/>
      <c r="O497" s="341"/>
      <c r="P497" s="341"/>
      <c r="Q497" s="341"/>
      <c r="R497" s="341"/>
      <c r="S497" s="341"/>
      <c r="T497" s="341"/>
      <c r="U497" s="341"/>
      <c r="V497" s="341"/>
      <c r="W497" s="341"/>
      <c r="X497" s="341"/>
      <c r="Y497" s="341"/>
      <c r="Z497" s="341"/>
      <c r="AA497" s="341"/>
      <c r="AB497" s="341"/>
      <c r="AC497" s="341"/>
      <c r="AD497" s="341"/>
      <c r="AE497" s="341"/>
      <c r="AF497" s="341"/>
      <c r="AG497" s="341"/>
      <c r="AH497" s="341"/>
      <c r="AI497" s="341"/>
      <c r="AJ497" s="341"/>
      <c r="AK497" s="341"/>
      <c r="AL497" s="341"/>
      <c r="AM497" s="341"/>
      <c r="AN497" s="341"/>
      <c r="AO497" s="341"/>
      <c r="AP497" s="341"/>
      <c r="AQ497" s="341"/>
      <c r="AR497" s="341"/>
      <c r="AS497" s="341"/>
      <c r="AT497" s="341"/>
      <c r="AU497" s="341"/>
      <c r="AV497" s="341"/>
      <c r="AW497" s="341"/>
      <c r="AX497" s="341"/>
      <c r="AY497" s="341"/>
      <c r="AZ497" s="341"/>
      <c r="BA497" s="341"/>
      <c r="BB497" s="341"/>
      <c r="BC497" s="341"/>
      <c r="BD497" s="341"/>
      <c r="BE497" s="341"/>
      <c r="BF497" s="341"/>
      <c r="BG497" s="341"/>
      <c r="BH497" s="341"/>
      <c r="BI497" s="341"/>
      <c r="BJ497" s="341"/>
      <c r="BK497" s="341"/>
      <c r="BL497" s="341"/>
      <c r="BM497" s="341"/>
      <c r="BN497" s="341"/>
      <c r="BO497" s="341"/>
      <c r="BP497" s="341"/>
      <c r="BQ497" s="341"/>
      <c r="BR497" s="341"/>
      <c r="BS497" s="341"/>
      <c r="BT497" s="110"/>
      <c r="BU497" s="108"/>
      <c r="BV497" s="108"/>
      <c r="BW497" s="108"/>
    </row>
    <row r="498" spans="1:75" s="218" customFormat="1" ht="13.5" customHeight="1">
      <c r="A498" s="397" t="s">
        <v>235</v>
      </c>
      <c r="B498" s="90">
        <v>1630447</v>
      </c>
      <c r="C498" s="51">
        <v>1724793</v>
      </c>
      <c r="D498" s="51">
        <v>1724846</v>
      </c>
      <c r="E498" s="51">
        <v>1733970</v>
      </c>
      <c r="F498" s="51">
        <v>1729173</v>
      </c>
      <c r="G498" s="51">
        <v>1756178</v>
      </c>
      <c r="H498" s="51">
        <v>1693573</v>
      </c>
      <c r="I498" s="51">
        <v>1746884</v>
      </c>
      <c r="J498" s="51">
        <v>1698569</v>
      </c>
      <c r="K498" s="51">
        <v>1691703</v>
      </c>
      <c r="L498" s="51">
        <v>1690930</v>
      </c>
      <c r="M498" s="53">
        <v>1811039</v>
      </c>
      <c r="N498" s="101"/>
      <c r="O498" s="341"/>
      <c r="P498" s="341"/>
      <c r="Q498" s="341"/>
      <c r="R498" s="341"/>
      <c r="S498" s="341"/>
      <c r="T498" s="341"/>
      <c r="U498" s="341"/>
      <c r="V498" s="341"/>
      <c r="W498" s="341"/>
      <c r="X498" s="341"/>
      <c r="Y498" s="341"/>
      <c r="Z498" s="341"/>
      <c r="AA498" s="341"/>
      <c r="AB498" s="341"/>
      <c r="AC498" s="341"/>
      <c r="AD498" s="341"/>
      <c r="AE498" s="341"/>
      <c r="AF498" s="341"/>
      <c r="AG498" s="341"/>
      <c r="AH498" s="341"/>
      <c r="AI498" s="341"/>
      <c r="AJ498" s="341"/>
      <c r="AK498" s="341"/>
      <c r="AL498" s="341"/>
      <c r="AM498" s="341"/>
      <c r="AN498" s="341"/>
      <c r="AO498" s="341"/>
      <c r="AP498" s="341"/>
      <c r="AQ498" s="341"/>
      <c r="AR498" s="341"/>
      <c r="AS498" s="341"/>
      <c r="AT498" s="341"/>
      <c r="AU498" s="341"/>
      <c r="AV498" s="341"/>
      <c r="AW498" s="341"/>
      <c r="AX498" s="341"/>
      <c r="AY498" s="341"/>
      <c r="AZ498" s="341"/>
      <c r="BA498" s="341"/>
      <c r="BB498" s="341"/>
      <c r="BC498" s="341"/>
      <c r="BD498" s="341"/>
      <c r="BE498" s="341"/>
      <c r="BF498" s="341"/>
      <c r="BG498" s="341"/>
      <c r="BH498" s="341"/>
      <c r="BI498" s="341"/>
      <c r="BJ498" s="341"/>
      <c r="BK498" s="341"/>
      <c r="BL498" s="341"/>
      <c r="BM498" s="341"/>
      <c r="BN498" s="341"/>
      <c r="BO498" s="341"/>
      <c r="BP498" s="341"/>
      <c r="BQ498" s="341"/>
      <c r="BR498" s="341"/>
      <c r="BS498" s="341"/>
      <c r="BT498" s="110"/>
      <c r="BU498" s="108"/>
      <c r="BV498" s="108"/>
      <c r="BW498" s="108"/>
    </row>
    <row r="499" spans="1:75" s="218" customFormat="1" ht="13.5" customHeight="1">
      <c r="A499" s="397" t="s">
        <v>239</v>
      </c>
      <c r="B499" s="90">
        <v>1302485</v>
      </c>
      <c r="C499" s="51">
        <v>1349724</v>
      </c>
      <c r="D499" s="51">
        <v>1337615</v>
      </c>
      <c r="E499" s="51">
        <v>1358450</v>
      </c>
      <c r="F499" s="51">
        <v>1378917</v>
      </c>
      <c r="G499" s="51">
        <v>1392102</v>
      </c>
      <c r="H499" s="51">
        <v>1377863</v>
      </c>
      <c r="I499" s="51">
        <v>1448088</v>
      </c>
      <c r="J499" s="51">
        <v>1442425</v>
      </c>
      <c r="K499" s="51">
        <v>1487817</v>
      </c>
      <c r="L499" s="51">
        <v>1696884</v>
      </c>
      <c r="M499" s="53">
        <v>1689364</v>
      </c>
      <c r="N499" s="101"/>
      <c r="O499" s="341"/>
      <c r="P499" s="341"/>
      <c r="Q499" s="341"/>
      <c r="R499" s="341"/>
      <c r="S499" s="341"/>
      <c r="T499" s="341"/>
      <c r="U499" s="341"/>
      <c r="V499" s="341"/>
      <c r="W499" s="341"/>
      <c r="X499" s="341"/>
      <c r="Y499" s="341"/>
      <c r="Z499" s="341"/>
      <c r="AA499" s="341"/>
      <c r="AB499" s="341"/>
      <c r="AC499" s="341"/>
      <c r="AD499" s="341"/>
      <c r="AE499" s="341"/>
      <c r="AF499" s="341"/>
      <c r="AG499" s="341"/>
      <c r="AH499" s="341"/>
      <c r="AI499" s="341"/>
      <c r="AJ499" s="341"/>
      <c r="AK499" s="341"/>
      <c r="AL499" s="341"/>
      <c r="AM499" s="341"/>
      <c r="AN499" s="341"/>
      <c r="AO499" s="341"/>
      <c r="AP499" s="341"/>
      <c r="AQ499" s="341"/>
      <c r="AR499" s="341"/>
      <c r="AS499" s="341"/>
      <c r="AT499" s="341"/>
      <c r="AU499" s="341"/>
      <c r="AV499" s="341"/>
      <c r="AW499" s="341"/>
      <c r="AX499" s="341"/>
      <c r="AY499" s="341"/>
      <c r="AZ499" s="341"/>
      <c r="BA499" s="341"/>
      <c r="BB499" s="341"/>
      <c r="BC499" s="341"/>
      <c r="BD499" s="341"/>
      <c r="BE499" s="341"/>
      <c r="BF499" s="341"/>
      <c r="BG499" s="341"/>
      <c r="BH499" s="341"/>
      <c r="BI499" s="341"/>
      <c r="BJ499" s="341"/>
      <c r="BK499" s="341"/>
      <c r="BL499" s="341"/>
      <c r="BM499" s="341"/>
      <c r="BN499" s="341"/>
      <c r="BO499" s="341"/>
      <c r="BP499" s="341"/>
      <c r="BQ499" s="341"/>
      <c r="BR499" s="341"/>
      <c r="BS499" s="341"/>
      <c r="BT499" s="110"/>
      <c r="BU499" s="108"/>
      <c r="BV499" s="108"/>
      <c r="BW499" s="108"/>
    </row>
    <row r="500" spans="1:75" s="218" customFormat="1" ht="13.5" customHeight="1">
      <c r="A500" s="397" t="s">
        <v>236</v>
      </c>
      <c r="B500" s="90">
        <v>1800093</v>
      </c>
      <c r="C500" s="51">
        <v>1872669</v>
      </c>
      <c r="D500" s="51">
        <v>1754829</v>
      </c>
      <c r="E500" s="51">
        <v>1779940</v>
      </c>
      <c r="F500" s="51">
        <v>1858977</v>
      </c>
      <c r="G500" s="51">
        <v>1886803</v>
      </c>
      <c r="H500" s="51">
        <v>1903117</v>
      </c>
      <c r="I500" s="51">
        <v>1970283</v>
      </c>
      <c r="J500" s="51">
        <v>2121930</v>
      </c>
      <c r="K500" s="51">
        <v>2033618</v>
      </c>
      <c r="L500" s="51">
        <v>2196314</v>
      </c>
      <c r="M500" s="53">
        <v>2308328</v>
      </c>
      <c r="N500" s="101"/>
      <c r="O500" s="341"/>
      <c r="P500" s="341"/>
      <c r="Q500" s="341"/>
      <c r="R500" s="341"/>
      <c r="S500" s="341"/>
      <c r="T500" s="341"/>
      <c r="U500" s="341"/>
      <c r="V500" s="341"/>
      <c r="W500" s="341"/>
      <c r="X500" s="341"/>
      <c r="Y500" s="341"/>
      <c r="Z500" s="341"/>
      <c r="AA500" s="341"/>
      <c r="AB500" s="341"/>
      <c r="AC500" s="341"/>
      <c r="AD500" s="341"/>
      <c r="AE500" s="341"/>
      <c r="AF500" s="341"/>
      <c r="AG500" s="341"/>
      <c r="AH500" s="341"/>
      <c r="AI500" s="341"/>
      <c r="AJ500" s="341"/>
      <c r="AK500" s="341"/>
      <c r="AL500" s="341"/>
      <c r="AM500" s="341"/>
      <c r="AN500" s="341"/>
      <c r="AO500" s="341"/>
      <c r="AP500" s="341"/>
      <c r="AQ500" s="341"/>
      <c r="AR500" s="341"/>
      <c r="AS500" s="341"/>
      <c r="AT500" s="341"/>
      <c r="AU500" s="341"/>
      <c r="AV500" s="341"/>
      <c r="AW500" s="341"/>
      <c r="AX500" s="341"/>
      <c r="AY500" s="341"/>
      <c r="AZ500" s="341"/>
      <c r="BA500" s="341"/>
      <c r="BB500" s="341"/>
      <c r="BC500" s="341"/>
      <c r="BD500" s="341"/>
      <c r="BE500" s="341"/>
      <c r="BF500" s="341"/>
      <c r="BG500" s="341"/>
      <c r="BH500" s="341"/>
      <c r="BI500" s="341"/>
      <c r="BJ500" s="341"/>
      <c r="BK500" s="341"/>
      <c r="BL500" s="341"/>
      <c r="BM500" s="341"/>
      <c r="BN500" s="341"/>
      <c r="BO500" s="341"/>
      <c r="BP500" s="341"/>
      <c r="BQ500" s="341"/>
      <c r="BR500" s="341"/>
      <c r="BS500" s="341"/>
      <c r="BT500" s="110"/>
      <c r="BU500" s="108"/>
      <c r="BV500" s="108"/>
      <c r="BW500" s="108"/>
    </row>
    <row r="501" spans="1:75" s="218" customFormat="1" ht="13.5" customHeight="1">
      <c r="A501" s="397" t="s">
        <v>237</v>
      </c>
      <c r="B501" s="90">
        <v>906424</v>
      </c>
      <c r="C501" s="51">
        <v>919994</v>
      </c>
      <c r="D501" s="51">
        <v>868559</v>
      </c>
      <c r="E501" s="51">
        <v>912692</v>
      </c>
      <c r="F501" s="51">
        <v>914827</v>
      </c>
      <c r="G501" s="51">
        <v>913444</v>
      </c>
      <c r="H501" s="51">
        <v>873098</v>
      </c>
      <c r="I501" s="51">
        <v>916991</v>
      </c>
      <c r="J501" s="51">
        <v>881882</v>
      </c>
      <c r="K501" s="51">
        <v>860781</v>
      </c>
      <c r="L501" s="51">
        <v>840093</v>
      </c>
      <c r="M501" s="53">
        <v>850996</v>
      </c>
      <c r="N501" s="101"/>
      <c r="O501" s="341"/>
      <c r="P501" s="341"/>
      <c r="Q501" s="341"/>
      <c r="R501" s="341"/>
      <c r="S501" s="341"/>
      <c r="T501" s="341"/>
      <c r="U501" s="341"/>
      <c r="V501" s="341"/>
      <c r="W501" s="341"/>
      <c r="X501" s="341"/>
      <c r="Y501" s="341"/>
      <c r="Z501" s="341"/>
      <c r="AA501" s="341"/>
      <c r="AB501" s="341"/>
      <c r="AC501" s="341"/>
      <c r="AD501" s="341"/>
      <c r="AE501" s="341"/>
      <c r="AF501" s="341"/>
      <c r="AG501" s="341"/>
      <c r="AH501" s="341"/>
      <c r="AI501" s="341"/>
      <c r="AJ501" s="341"/>
      <c r="AK501" s="341"/>
      <c r="AL501" s="341"/>
      <c r="AM501" s="341"/>
      <c r="AN501" s="341"/>
      <c r="AO501" s="341"/>
      <c r="AP501" s="341"/>
      <c r="AQ501" s="341"/>
      <c r="AR501" s="341"/>
      <c r="AS501" s="341"/>
      <c r="AT501" s="341"/>
      <c r="AU501" s="341"/>
      <c r="AV501" s="341"/>
      <c r="AW501" s="341"/>
      <c r="AX501" s="341"/>
      <c r="AY501" s="341"/>
      <c r="AZ501" s="341"/>
      <c r="BA501" s="341"/>
      <c r="BB501" s="341"/>
      <c r="BC501" s="341"/>
      <c r="BD501" s="341"/>
      <c r="BE501" s="341"/>
      <c r="BF501" s="341"/>
      <c r="BG501" s="341"/>
      <c r="BH501" s="341"/>
      <c r="BI501" s="341"/>
      <c r="BJ501" s="341"/>
      <c r="BK501" s="341"/>
      <c r="BL501" s="341"/>
      <c r="BM501" s="341"/>
      <c r="BN501" s="341"/>
      <c r="BO501" s="341"/>
      <c r="BP501" s="341"/>
      <c r="BQ501" s="341"/>
      <c r="BR501" s="341"/>
      <c r="BS501" s="341"/>
      <c r="BT501" s="110"/>
      <c r="BU501" s="108"/>
      <c r="BV501" s="108"/>
      <c r="BW501" s="108"/>
    </row>
    <row r="502" spans="1:75" s="218" customFormat="1" ht="13.5" customHeight="1">
      <c r="A502" s="397" t="s">
        <v>234</v>
      </c>
      <c r="B502" s="90">
        <v>124617</v>
      </c>
      <c r="C502" s="51">
        <v>141939</v>
      </c>
      <c r="D502" s="51">
        <v>136288</v>
      </c>
      <c r="E502" s="51">
        <v>157163</v>
      </c>
      <c r="F502" s="51">
        <v>158808</v>
      </c>
      <c r="G502" s="51">
        <v>152046</v>
      </c>
      <c r="H502" s="51">
        <v>143831</v>
      </c>
      <c r="I502" s="51">
        <v>144784</v>
      </c>
      <c r="J502" s="51">
        <v>142992</v>
      </c>
      <c r="K502" s="51">
        <v>138751</v>
      </c>
      <c r="L502" s="51">
        <v>139472</v>
      </c>
      <c r="M502" s="53">
        <v>131185</v>
      </c>
      <c r="N502" s="101"/>
      <c r="O502" s="341"/>
      <c r="P502" s="341"/>
      <c r="Q502" s="341"/>
      <c r="R502" s="341"/>
      <c r="S502" s="341"/>
      <c r="T502" s="341"/>
      <c r="U502" s="341"/>
      <c r="V502" s="341"/>
      <c r="W502" s="341"/>
      <c r="X502" s="341"/>
      <c r="Y502" s="341"/>
      <c r="Z502" s="341"/>
      <c r="AA502" s="341"/>
      <c r="AB502" s="341"/>
      <c r="AC502" s="341"/>
      <c r="AD502" s="341"/>
      <c r="AE502" s="341"/>
      <c r="AF502" s="341"/>
      <c r="AG502" s="341"/>
      <c r="AH502" s="341"/>
      <c r="AI502" s="341"/>
      <c r="AJ502" s="341"/>
      <c r="AK502" s="341"/>
      <c r="AL502" s="341"/>
      <c r="AM502" s="341"/>
      <c r="AN502" s="341"/>
      <c r="AO502" s="341"/>
      <c r="AP502" s="341"/>
      <c r="AQ502" s="341"/>
      <c r="AR502" s="341"/>
      <c r="AS502" s="341"/>
      <c r="AT502" s="341"/>
      <c r="AU502" s="341"/>
      <c r="AV502" s="341"/>
      <c r="AW502" s="341"/>
      <c r="AX502" s="341"/>
      <c r="AY502" s="341"/>
      <c r="AZ502" s="341"/>
      <c r="BA502" s="341"/>
      <c r="BB502" s="341"/>
      <c r="BC502" s="341"/>
      <c r="BD502" s="341"/>
      <c r="BE502" s="341"/>
      <c r="BF502" s="341"/>
      <c r="BG502" s="341"/>
      <c r="BH502" s="341"/>
      <c r="BI502" s="341"/>
      <c r="BJ502" s="341"/>
      <c r="BK502" s="341"/>
      <c r="BL502" s="341"/>
      <c r="BM502" s="341"/>
      <c r="BN502" s="341"/>
      <c r="BO502" s="341"/>
      <c r="BP502" s="341"/>
      <c r="BQ502" s="341"/>
      <c r="BR502" s="341"/>
      <c r="BS502" s="341"/>
      <c r="BT502" s="110"/>
      <c r="BU502" s="108"/>
      <c r="BV502" s="108"/>
      <c r="BW502" s="108"/>
    </row>
    <row r="503" spans="1:75" s="218" customFormat="1" ht="13.5" customHeight="1">
      <c r="A503" s="397" t="s">
        <v>238</v>
      </c>
      <c r="B503" s="90">
        <v>485449</v>
      </c>
      <c r="C503" s="51">
        <v>527778</v>
      </c>
      <c r="D503" s="51">
        <v>552795</v>
      </c>
      <c r="E503" s="51">
        <v>550479</v>
      </c>
      <c r="F503" s="51">
        <v>544934</v>
      </c>
      <c r="G503" s="51">
        <v>580115</v>
      </c>
      <c r="H503" s="51">
        <v>512130</v>
      </c>
      <c r="I503" s="51">
        <v>506626</v>
      </c>
      <c r="J503" s="51">
        <v>532449</v>
      </c>
      <c r="K503" s="51">
        <v>525334</v>
      </c>
      <c r="L503" s="51">
        <v>525249</v>
      </c>
      <c r="M503" s="53">
        <v>602507</v>
      </c>
      <c r="N503" s="101"/>
      <c r="O503" s="341"/>
      <c r="P503" s="341"/>
      <c r="Q503" s="341"/>
      <c r="R503" s="341"/>
      <c r="S503" s="341"/>
      <c r="T503" s="341"/>
      <c r="U503" s="341"/>
      <c r="V503" s="341"/>
      <c r="W503" s="341"/>
      <c r="X503" s="341"/>
      <c r="Y503" s="341"/>
      <c r="Z503" s="341"/>
      <c r="AA503" s="341"/>
      <c r="AB503" s="341"/>
      <c r="AC503" s="341"/>
      <c r="AD503" s="341"/>
      <c r="AE503" s="341"/>
      <c r="AF503" s="341"/>
      <c r="AG503" s="341"/>
      <c r="AH503" s="341"/>
      <c r="AI503" s="341"/>
      <c r="AJ503" s="341"/>
      <c r="AK503" s="341"/>
      <c r="AL503" s="341"/>
      <c r="AM503" s="341"/>
      <c r="AN503" s="341"/>
      <c r="AO503" s="341"/>
      <c r="AP503" s="341"/>
      <c r="AQ503" s="341"/>
      <c r="AR503" s="341"/>
      <c r="AS503" s="341"/>
      <c r="AT503" s="341"/>
      <c r="AU503" s="341"/>
      <c r="AV503" s="341"/>
      <c r="AW503" s="341"/>
      <c r="AX503" s="341"/>
      <c r="AY503" s="341"/>
      <c r="AZ503" s="341"/>
      <c r="BA503" s="341"/>
      <c r="BB503" s="341"/>
      <c r="BC503" s="341"/>
      <c r="BD503" s="341"/>
      <c r="BE503" s="341"/>
      <c r="BF503" s="341"/>
      <c r="BG503" s="341"/>
      <c r="BH503" s="341"/>
      <c r="BI503" s="341"/>
      <c r="BJ503" s="341"/>
      <c r="BK503" s="341"/>
      <c r="BL503" s="341"/>
      <c r="BM503" s="341"/>
      <c r="BN503" s="341"/>
      <c r="BO503" s="341"/>
      <c r="BP503" s="341"/>
      <c r="BQ503" s="341"/>
      <c r="BR503" s="341"/>
      <c r="BS503" s="341"/>
      <c r="BT503" s="110"/>
      <c r="BU503" s="108"/>
      <c r="BV503" s="108"/>
      <c r="BW503" s="108"/>
    </row>
    <row r="504" spans="1:75" s="218" customFormat="1" ht="13.5" customHeight="1" thickBot="1">
      <c r="A504" s="214" t="s">
        <v>18</v>
      </c>
      <c r="B504" s="98">
        <v>22694576</v>
      </c>
      <c r="C504" s="99">
        <v>24053480</v>
      </c>
      <c r="D504" s="99">
        <v>23672562</v>
      </c>
      <c r="E504" s="99">
        <v>23870342</v>
      </c>
      <c r="F504" s="99">
        <v>24066067</v>
      </c>
      <c r="G504" s="99">
        <v>24233472</v>
      </c>
      <c r="H504" s="99">
        <v>24393550</v>
      </c>
      <c r="I504" s="99">
        <v>25349762</v>
      </c>
      <c r="J504" s="99">
        <v>25804732</v>
      </c>
      <c r="K504" s="99">
        <v>25929324</v>
      </c>
      <c r="L504" s="99">
        <v>26594926</v>
      </c>
      <c r="M504" s="100">
        <v>27383991</v>
      </c>
      <c r="N504" s="101"/>
      <c r="O504" s="341"/>
      <c r="P504" s="341"/>
      <c r="Q504" s="341"/>
      <c r="R504" s="341"/>
      <c r="S504" s="341"/>
      <c r="T504" s="341"/>
      <c r="U504" s="341"/>
      <c r="V504" s="341"/>
      <c r="W504" s="341"/>
      <c r="X504" s="341"/>
      <c r="Y504" s="341"/>
      <c r="Z504" s="341"/>
      <c r="AA504" s="341"/>
      <c r="AB504" s="341"/>
      <c r="AC504" s="341"/>
      <c r="AD504" s="341"/>
      <c r="AE504" s="341"/>
      <c r="AF504" s="341"/>
      <c r="AG504" s="341"/>
      <c r="AH504" s="341"/>
      <c r="AI504" s="341"/>
      <c r="AJ504" s="341"/>
      <c r="AK504" s="341"/>
      <c r="AL504" s="341"/>
      <c r="AM504" s="341"/>
      <c r="AN504" s="341"/>
      <c r="AO504" s="341"/>
      <c r="AP504" s="341"/>
      <c r="AQ504" s="341"/>
      <c r="AR504" s="341"/>
      <c r="AS504" s="341"/>
      <c r="AT504" s="341"/>
      <c r="AU504" s="341"/>
      <c r="AV504" s="341"/>
      <c r="AW504" s="341"/>
      <c r="AX504" s="341"/>
      <c r="AY504" s="341"/>
      <c r="AZ504" s="341"/>
      <c r="BA504" s="341"/>
      <c r="BB504" s="341"/>
      <c r="BC504" s="341"/>
      <c r="BD504" s="341"/>
      <c r="BE504" s="341"/>
      <c r="BF504" s="341"/>
      <c r="BG504" s="341"/>
      <c r="BH504" s="341"/>
      <c r="BI504" s="341"/>
      <c r="BJ504" s="341"/>
      <c r="BK504" s="341"/>
      <c r="BL504" s="341"/>
      <c r="BM504" s="341"/>
      <c r="BN504" s="341"/>
      <c r="BO504" s="341"/>
      <c r="BP504" s="341"/>
      <c r="BQ504" s="341"/>
      <c r="BR504" s="341"/>
      <c r="BS504" s="341"/>
      <c r="BT504" s="110"/>
      <c r="BU504" s="108"/>
      <c r="BV504" s="108"/>
      <c r="BW504" s="108"/>
    </row>
    <row r="505" spans="1:75" s="218" customFormat="1" ht="13.5" customHeight="1" thickBot="1">
      <c r="A505" s="398"/>
      <c r="B505" s="341"/>
      <c r="C505" s="341"/>
      <c r="D505" s="341"/>
      <c r="E505" s="341"/>
      <c r="F505" s="341"/>
      <c r="G505" s="341"/>
      <c r="H505" s="341"/>
      <c r="I505" s="341"/>
      <c r="J505" s="341"/>
      <c r="K505" s="341"/>
      <c r="L505" s="341"/>
      <c r="M505" s="341"/>
      <c r="N505" s="101"/>
      <c r="O505" s="341"/>
      <c r="P505" s="341"/>
      <c r="Q505" s="341"/>
      <c r="R505" s="341"/>
      <c r="S505" s="341"/>
      <c r="T505" s="341"/>
      <c r="U505" s="341"/>
      <c r="V505" s="341"/>
      <c r="W505" s="341"/>
      <c r="X505" s="341"/>
      <c r="Y505" s="341"/>
      <c r="Z505" s="341"/>
      <c r="AA505" s="341"/>
      <c r="AB505" s="341"/>
      <c r="AC505" s="341"/>
      <c r="AD505" s="341"/>
      <c r="AE505" s="341"/>
      <c r="AF505" s="341"/>
      <c r="AG505" s="341"/>
      <c r="AH505" s="341"/>
      <c r="AI505" s="341"/>
      <c r="AJ505" s="341"/>
      <c r="AK505" s="341"/>
      <c r="AL505" s="341"/>
      <c r="AM505" s="341"/>
      <c r="AN505" s="341"/>
      <c r="AO505" s="341"/>
      <c r="AP505" s="341"/>
      <c r="AQ505" s="341"/>
      <c r="AR505" s="341"/>
      <c r="AS505" s="341"/>
      <c r="AT505" s="341"/>
      <c r="AU505" s="341"/>
      <c r="AV505" s="341"/>
      <c r="AW505" s="341"/>
      <c r="AX505" s="341"/>
      <c r="AY505" s="341"/>
      <c r="AZ505" s="341"/>
      <c r="BA505" s="341"/>
      <c r="BB505" s="341"/>
      <c r="BC505" s="341"/>
      <c r="BD505" s="341"/>
      <c r="BE505" s="341"/>
      <c r="BF505" s="341"/>
      <c r="BG505" s="341"/>
      <c r="BH505" s="341"/>
      <c r="BI505" s="341"/>
      <c r="BJ505" s="341"/>
      <c r="BK505" s="341"/>
      <c r="BL505" s="341"/>
      <c r="BM505" s="341"/>
      <c r="BN505" s="341"/>
      <c r="BO505" s="341"/>
      <c r="BP505" s="341"/>
      <c r="BQ505" s="341"/>
      <c r="BR505" s="341"/>
      <c r="BS505" s="341"/>
      <c r="BT505" s="110"/>
      <c r="BU505" s="108"/>
      <c r="BV505" s="108"/>
      <c r="BW505" s="108"/>
    </row>
    <row r="506" spans="1:75" s="218" customFormat="1" ht="13.5" customHeight="1" thickBot="1">
      <c r="A506" s="398"/>
      <c r="B506" s="359">
        <v>40909</v>
      </c>
      <c r="C506" s="345">
        <v>40940</v>
      </c>
      <c r="D506" s="345">
        <v>40969</v>
      </c>
      <c r="E506" s="345">
        <v>41000</v>
      </c>
      <c r="F506" s="345">
        <v>41030</v>
      </c>
      <c r="G506" s="345">
        <v>41061</v>
      </c>
      <c r="H506" s="345">
        <v>41091</v>
      </c>
      <c r="I506" s="345">
        <v>41122</v>
      </c>
      <c r="J506" s="345">
        <v>41153</v>
      </c>
      <c r="K506" s="345">
        <v>41183</v>
      </c>
      <c r="L506" s="345">
        <v>41214</v>
      </c>
      <c r="M506" s="346">
        <v>41244</v>
      </c>
      <c r="N506" s="101"/>
      <c r="O506" s="341"/>
      <c r="P506" s="341"/>
      <c r="Q506" s="341"/>
      <c r="R506" s="341"/>
      <c r="S506" s="341"/>
      <c r="T506" s="341"/>
      <c r="U506" s="341"/>
      <c r="V506" s="341"/>
      <c r="W506" s="341"/>
      <c r="X506" s="341"/>
      <c r="Y506" s="341"/>
      <c r="Z506" s="341"/>
      <c r="AA506" s="341"/>
      <c r="AB506" s="341"/>
      <c r="AC506" s="341"/>
      <c r="AD506" s="341"/>
      <c r="AE506" s="341"/>
      <c r="AF506" s="341"/>
      <c r="AG506" s="341"/>
      <c r="AH506" s="341"/>
      <c r="AI506" s="341"/>
      <c r="AJ506" s="341"/>
      <c r="AK506" s="341"/>
      <c r="AL506" s="341"/>
      <c r="AM506" s="341"/>
      <c r="AN506" s="341"/>
      <c r="AO506" s="341"/>
      <c r="AP506" s="341"/>
      <c r="AQ506" s="341"/>
      <c r="AR506" s="341"/>
      <c r="AS506" s="341"/>
      <c r="AT506" s="341"/>
      <c r="AU506" s="341"/>
      <c r="AV506" s="341"/>
      <c r="AW506" s="341"/>
      <c r="AX506" s="341"/>
      <c r="AY506" s="341"/>
      <c r="AZ506" s="341"/>
      <c r="BA506" s="341"/>
      <c r="BB506" s="341"/>
      <c r="BC506" s="341"/>
      <c r="BD506" s="341"/>
      <c r="BE506" s="341"/>
      <c r="BF506" s="341"/>
      <c r="BG506" s="341"/>
      <c r="BH506" s="341"/>
      <c r="BI506" s="341"/>
      <c r="BJ506" s="341"/>
      <c r="BK506" s="341"/>
      <c r="BL506" s="341"/>
      <c r="BM506" s="341"/>
      <c r="BN506" s="341"/>
      <c r="BO506" s="341"/>
      <c r="BP506" s="341"/>
      <c r="BQ506" s="341"/>
      <c r="BR506" s="341"/>
      <c r="BS506" s="341"/>
      <c r="BT506" s="110"/>
      <c r="BU506" s="108"/>
      <c r="BV506" s="108"/>
      <c r="BW506" s="108"/>
    </row>
    <row r="507" spans="1:75" s="218" customFormat="1" ht="13.5" customHeight="1">
      <c r="A507" s="396" t="s">
        <v>231</v>
      </c>
      <c r="B507" s="89">
        <v>3788890</v>
      </c>
      <c r="C507" s="49">
        <v>3722860</v>
      </c>
      <c r="D507" s="49">
        <v>3599970</v>
      </c>
      <c r="E507" s="49">
        <v>3543268</v>
      </c>
      <c r="F507" s="49">
        <v>3438556</v>
      </c>
      <c r="G507" s="49">
        <v>3493302</v>
      </c>
      <c r="H507" s="49">
        <v>3434762</v>
      </c>
      <c r="I507" s="49">
        <v>3054341</v>
      </c>
      <c r="J507" s="49">
        <v>3167204</v>
      </c>
      <c r="K507" s="49">
        <v>3186266</v>
      </c>
      <c r="L507" s="49">
        <v>3133548</v>
      </c>
      <c r="M507" s="50">
        <v>3072574</v>
      </c>
      <c r="N507" s="101"/>
      <c r="O507" s="341"/>
      <c r="P507" s="341"/>
      <c r="Q507" s="341"/>
      <c r="R507" s="341"/>
      <c r="S507" s="341"/>
      <c r="T507" s="341"/>
      <c r="U507" s="341"/>
      <c r="V507" s="341"/>
      <c r="W507" s="341"/>
      <c r="X507" s="341"/>
      <c r="Y507" s="341"/>
      <c r="Z507" s="341"/>
      <c r="AA507" s="341"/>
      <c r="AB507" s="341"/>
      <c r="AC507" s="341"/>
      <c r="AD507" s="341"/>
      <c r="AE507" s="341"/>
      <c r="AF507" s="341"/>
      <c r="AG507" s="341"/>
      <c r="AH507" s="341"/>
      <c r="AI507" s="341"/>
      <c r="AJ507" s="341"/>
      <c r="AK507" s="341"/>
      <c r="AL507" s="341"/>
      <c r="AM507" s="341"/>
      <c r="AN507" s="341"/>
      <c r="AO507" s="341"/>
      <c r="AP507" s="341"/>
      <c r="AQ507" s="341"/>
      <c r="AR507" s="341"/>
      <c r="AS507" s="341"/>
      <c r="AT507" s="341"/>
      <c r="AU507" s="341"/>
      <c r="AV507" s="341"/>
      <c r="AW507" s="341"/>
      <c r="AX507" s="341"/>
      <c r="AY507" s="341"/>
      <c r="AZ507" s="341"/>
      <c r="BA507" s="341"/>
      <c r="BB507" s="341"/>
      <c r="BC507" s="341"/>
      <c r="BD507" s="341"/>
      <c r="BE507" s="341"/>
      <c r="BF507" s="341"/>
      <c r="BG507" s="341"/>
      <c r="BH507" s="341"/>
      <c r="BI507" s="341"/>
      <c r="BJ507" s="341"/>
      <c r="BK507" s="341"/>
      <c r="BL507" s="341"/>
      <c r="BM507" s="341"/>
      <c r="BN507" s="341"/>
      <c r="BO507" s="341"/>
      <c r="BP507" s="341"/>
      <c r="BQ507" s="341"/>
      <c r="BR507" s="341"/>
      <c r="BS507" s="341"/>
      <c r="BT507" s="110"/>
      <c r="BU507" s="108"/>
      <c r="BV507" s="108"/>
      <c r="BW507" s="108"/>
    </row>
    <row r="508" spans="1:75" s="218" customFormat="1" ht="13.5" customHeight="1">
      <c r="A508" s="397" t="s">
        <v>232</v>
      </c>
      <c r="B508" s="90">
        <v>1763991</v>
      </c>
      <c r="C508" s="51">
        <v>1630724</v>
      </c>
      <c r="D508" s="51">
        <v>1570486</v>
      </c>
      <c r="E508" s="51">
        <v>1507454</v>
      </c>
      <c r="F508" s="51">
        <v>1430600</v>
      </c>
      <c r="G508" s="51">
        <v>1490721</v>
      </c>
      <c r="H508" s="51">
        <v>1627584</v>
      </c>
      <c r="I508" s="51">
        <v>1670258</v>
      </c>
      <c r="J508" s="51">
        <v>1774621</v>
      </c>
      <c r="K508" s="51">
        <v>1896155</v>
      </c>
      <c r="L508" s="51">
        <v>2061546</v>
      </c>
      <c r="M508" s="53">
        <v>2153840</v>
      </c>
      <c r="N508" s="101"/>
      <c r="O508" s="341"/>
      <c r="P508" s="341"/>
      <c r="Q508" s="341"/>
      <c r="R508" s="341"/>
      <c r="S508" s="341"/>
      <c r="T508" s="341"/>
      <c r="U508" s="341"/>
      <c r="V508" s="341"/>
      <c r="W508" s="341"/>
      <c r="X508" s="341"/>
      <c r="Y508" s="341"/>
      <c r="Z508" s="341"/>
      <c r="AA508" s="341"/>
      <c r="AB508" s="341"/>
      <c r="AC508" s="341"/>
      <c r="AD508" s="341"/>
      <c r="AE508" s="341"/>
      <c r="AF508" s="341"/>
      <c r="AG508" s="341"/>
      <c r="AH508" s="341"/>
      <c r="AI508" s="341"/>
      <c r="AJ508" s="341"/>
      <c r="AK508" s="341"/>
      <c r="AL508" s="341"/>
      <c r="AM508" s="341"/>
      <c r="AN508" s="341"/>
      <c r="AO508" s="341"/>
      <c r="AP508" s="341"/>
      <c r="AQ508" s="341"/>
      <c r="AR508" s="341"/>
      <c r="AS508" s="341"/>
      <c r="AT508" s="341"/>
      <c r="AU508" s="341"/>
      <c r="AV508" s="341"/>
      <c r="AW508" s="341"/>
      <c r="AX508" s="341"/>
      <c r="AY508" s="341"/>
      <c r="AZ508" s="341"/>
      <c r="BA508" s="341"/>
      <c r="BB508" s="341"/>
      <c r="BC508" s="341"/>
      <c r="BD508" s="341"/>
      <c r="BE508" s="341"/>
      <c r="BF508" s="341"/>
      <c r="BG508" s="341"/>
      <c r="BH508" s="341"/>
      <c r="BI508" s="341"/>
      <c r="BJ508" s="341"/>
      <c r="BK508" s="341"/>
      <c r="BL508" s="341"/>
      <c r="BM508" s="341"/>
      <c r="BN508" s="341"/>
      <c r="BO508" s="341"/>
      <c r="BP508" s="341"/>
      <c r="BQ508" s="341"/>
      <c r="BR508" s="341"/>
      <c r="BS508" s="341"/>
      <c r="BT508" s="110"/>
      <c r="BU508" s="108"/>
      <c r="BV508" s="108"/>
      <c r="BW508" s="108"/>
    </row>
    <row r="509" spans="1:75" s="218" customFormat="1" ht="13.5" customHeight="1">
      <c r="A509" s="397" t="s">
        <v>230</v>
      </c>
      <c r="B509" s="90">
        <v>4305586</v>
      </c>
      <c r="C509" s="51">
        <v>4306297</v>
      </c>
      <c r="D509" s="51">
        <v>4302623</v>
      </c>
      <c r="E509" s="51">
        <v>4214508</v>
      </c>
      <c r="F509" s="51">
        <v>4189143</v>
      </c>
      <c r="G509" s="51">
        <v>4203478</v>
      </c>
      <c r="H509" s="51">
        <v>4163273</v>
      </c>
      <c r="I509" s="51">
        <v>4042039</v>
      </c>
      <c r="J509" s="51">
        <v>4034661</v>
      </c>
      <c r="K509" s="51">
        <v>3952722</v>
      </c>
      <c r="L509" s="51">
        <v>3793186</v>
      </c>
      <c r="M509" s="53">
        <v>3664694</v>
      </c>
      <c r="N509" s="101"/>
      <c r="O509" s="341"/>
      <c r="P509" s="341"/>
      <c r="Q509" s="341"/>
      <c r="R509" s="341"/>
      <c r="S509" s="341"/>
      <c r="T509" s="341"/>
      <c r="U509" s="341"/>
      <c r="V509" s="341"/>
      <c r="W509" s="341"/>
      <c r="X509" s="341"/>
      <c r="Y509" s="341"/>
      <c r="Z509" s="341"/>
      <c r="AA509" s="341"/>
      <c r="AB509" s="341"/>
      <c r="AC509" s="341"/>
      <c r="AD509" s="341"/>
      <c r="AE509" s="341"/>
      <c r="AF509" s="341"/>
      <c r="AG509" s="341"/>
      <c r="AH509" s="341"/>
      <c r="AI509" s="341"/>
      <c r="AJ509" s="341"/>
      <c r="AK509" s="341"/>
      <c r="AL509" s="341"/>
      <c r="AM509" s="341"/>
      <c r="AN509" s="341"/>
      <c r="AO509" s="341"/>
      <c r="AP509" s="341"/>
      <c r="AQ509" s="341"/>
      <c r="AR509" s="341"/>
      <c r="AS509" s="341"/>
      <c r="AT509" s="341"/>
      <c r="AU509" s="341"/>
      <c r="AV509" s="341"/>
      <c r="AW509" s="341"/>
      <c r="AX509" s="341"/>
      <c r="AY509" s="341"/>
      <c r="AZ509" s="341"/>
      <c r="BA509" s="341"/>
      <c r="BB509" s="341"/>
      <c r="BC509" s="341"/>
      <c r="BD509" s="341"/>
      <c r="BE509" s="341"/>
      <c r="BF509" s="341"/>
      <c r="BG509" s="341"/>
      <c r="BH509" s="341"/>
      <c r="BI509" s="341"/>
      <c r="BJ509" s="341"/>
      <c r="BK509" s="341"/>
      <c r="BL509" s="341"/>
      <c r="BM509" s="341"/>
      <c r="BN509" s="341"/>
      <c r="BO509" s="341"/>
      <c r="BP509" s="341"/>
      <c r="BQ509" s="341"/>
      <c r="BR509" s="341"/>
      <c r="BS509" s="341"/>
      <c r="BT509" s="110"/>
      <c r="BU509" s="108"/>
      <c r="BV509" s="108"/>
      <c r="BW509" s="108"/>
    </row>
    <row r="510" spans="1:75" s="218" customFormat="1" ht="13.5" customHeight="1">
      <c r="A510" s="397" t="s">
        <v>229</v>
      </c>
      <c r="B510" s="90">
        <v>4123334</v>
      </c>
      <c r="C510" s="51">
        <v>3839557</v>
      </c>
      <c r="D510" s="51">
        <v>3854579</v>
      </c>
      <c r="E510" s="51">
        <v>3703102</v>
      </c>
      <c r="F510" s="51">
        <v>3802752</v>
      </c>
      <c r="G510" s="51">
        <v>3820419</v>
      </c>
      <c r="H510" s="51">
        <v>3793624</v>
      </c>
      <c r="I510" s="51">
        <v>3855960</v>
      </c>
      <c r="J510" s="51">
        <v>3868881</v>
      </c>
      <c r="K510" s="51">
        <v>3682088</v>
      </c>
      <c r="L510" s="51">
        <v>3698571</v>
      </c>
      <c r="M510" s="53">
        <v>3534283</v>
      </c>
      <c r="N510" s="101"/>
      <c r="O510" s="341"/>
      <c r="P510" s="341"/>
      <c r="Q510" s="341"/>
      <c r="R510" s="341"/>
      <c r="S510" s="341"/>
      <c r="T510" s="341"/>
      <c r="U510" s="341"/>
      <c r="V510" s="341"/>
      <c r="W510" s="341"/>
      <c r="X510" s="341"/>
      <c r="Y510" s="341"/>
      <c r="Z510" s="341"/>
      <c r="AA510" s="341"/>
      <c r="AB510" s="341"/>
      <c r="AC510" s="341"/>
      <c r="AD510" s="341"/>
      <c r="AE510" s="341"/>
      <c r="AF510" s="341"/>
      <c r="AG510" s="341"/>
      <c r="AH510" s="341"/>
      <c r="AI510" s="341"/>
      <c r="AJ510" s="341"/>
      <c r="AK510" s="341"/>
      <c r="AL510" s="341"/>
      <c r="AM510" s="341"/>
      <c r="AN510" s="341"/>
      <c r="AO510" s="341"/>
      <c r="AP510" s="341"/>
      <c r="AQ510" s="341"/>
      <c r="AR510" s="341"/>
      <c r="AS510" s="341"/>
      <c r="AT510" s="341"/>
      <c r="AU510" s="341"/>
      <c r="AV510" s="341"/>
      <c r="AW510" s="341"/>
      <c r="AX510" s="341"/>
      <c r="AY510" s="341"/>
      <c r="AZ510" s="341"/>
      <c r="BA510" s="341"/>
      <c r="BB510" s="341"/>
      <c r="BC510" s="341"/>
      <c r="BD510" s="341"/>
      <c r="BE510" s="341"/>
      <c r="BF510" s="341"/>
      <c r="BG510" s="341"/>
      <c r="BH510" s="341"/>
      <c r="BI510" s="341"/>
      <c r="BJ510" s="341"/>
      <c r="BK510" s="341"/>
      <c r="BL510" s="341"/>
      <c r="BM510" s="341"/>
      <c r="BN510" s="341"/>
      <c r="BO510" s="341"/>
      <c r="BP510" s="341"/>
      <c r="BQ510" s="341"/>
      <c r="BR510" s="341"/>
      <c r="BS510" s="341"/>
      <c r="BT510" s="110"/>
      <c r="BU510" s="108"/>
      <c r="BV510" s="108"/>
      <c r="BW510" s="108"/>
    </row>
    <row r="511" spans="1:75" s="218" customFormat="1" ht="13.5" customHeight="1">
      <c r="A511" s="397" t="s">
        <v>233</v>
      </c>
      <c r="B511" s="90">
        <v>4092229</v>
      </c>
      <c r="C511" s="51">
        <v>3945509</v>
      </c>
      <c r="D511" s="51">
        <v>3777310</v>
      </c>
      <c r="E511" s="51">
        <v>3706149</v>
      </c>
      <c r="F511" s="51">
        <v>3651832</v>
      </c>
      <c r="G511" s="51">
        <v>3743626</v>
      </c>
      <c r="H511" s="51">
        <v>3707529</v>
      </c>
      <c r="I511" s="51">
        <v>3670248</v>
      </c>
      <c r="J511" s="51">
        <v>3602923</v>
      </c>
      <c r="K511" s="51">
        <v>3614338</v>
      </c>
      <c r="L511" s="51">
        <v>3509202</v>
      </c>
      <c r="M511" s="53">
        <v>3305941</v>
      </c>
      <c r="N511" s="101"/>
      <c r="O511" s="341"/>
      <c r="P511" s="341"/>
      <c r="Q511" s="341"/>
      <c r="R511" s="341"/>
      <c r="S511" s="341"/>
      <c r="T511" s="341"/>
      <c r="U511" s="341"/>
      <c r="V511" s="341"/>
      <c r="W511" s="341"/>
      <c r="X511" s="341"/>
      <c r="Y511" s="341"/>
      <c r="Z511" s="341"/>
      <c r="AA511" s="341"/>
      <c r="AB511" s="341"/>
      <c r="AC511" s="341"/>
      <c r="AD511" s="341"/>
      <c r="AE511" s="341"/>
      <c r="AF511" s="341"/>
      <c r="AG511" s="341"/>
      <c r="AH511" s="341"/>
      <c r="AI511" s="341"/>
      <c r="AJ511" s="341"/>
      <c r="AK511" s="341"/>
      <c r="AL511" s="341"/>
      <c r="AM511" s="341"/>
      <c r="AN511" s="341"/>
      <c r="AO511" s="341"/>
      <c r="AP511" s="341"/>
      <c r="AQ511" s="341"/>
      <c r="AR511" s="341"/>
      <c r="AS511" s="341"/>
      <c r="AT511" s="341"/>
      <c r="AU511" s="341"/>
      <c r="AV511" s="341"/>
      <c r="AW511" s="341"/>
      <c r="AX511" s="341"/>
      <c r="AY511" s="341"/>
      <c r="AZ511" s="341"/>
      <c r="BA511" s="341"/>
      <c r="BB511" s="341"/>
      <c r="BC511" s="341"/>
      <c r="BD511" s="341"/>
      <c r="BE511" s="341"/>
      <c r="BF511" s="341"/>
      <c r="BG511" s="341"/>
      <c r="BH511" s="341"/>
      <c r="BI511" s="341"/>
      <c r="BJ511" s="341"/>
      <c r="BK511" s="341"/>
      <c r="BL511" s="341"/>
      <c r="BM511" s="341"/>
      <c r="BN511" s="341"/>
      <c r="BO511" s="341"/>
      <c r="BP511" s="341"/>
      <c r="BQ511" s="341"/>
      <c r="BR511" s="341"/>
      <c r="BS511" s="341"/>
      <c r="BT511" s="110"/>
      <c r="BU511" s="108"/>
      <c r="BV511" s="108"/>
      <c r="BW511" s="108"/>
    </row>
    <row r="512" spans="1:75" s="218" customFormat="1" ht="13.5" customHeight="1">
      <c r="A512" s="397" t="s">
        <v>361</v>
      </c>
      <c r="B512" s="90">
        <v>1191431</v>
      </c>
      <c r="C512" s="51">
        <v>1165280</v>
      </c>
      <c r="D512" s="51">
        <v>1172561</v>
      </c>
      <c r="E512" s="51">
        <v>1179375</v>
      </c>
      <c r="F512" s="51">
        <v>1156470</v>
      </c>
      <c r="G512" s="51">
        <v>1257666</v>
      </c>
      <c r="H512" s="51">
        <v>1205921</v>
      </c>
      <c r="I512" s="51">
        <v>1204931</v>
      </c>
      <c r="J512" s="51">
        <v>1190706</v>
      </c>
      <c r="K512" s="51">
        <v>1215578</v>
      </c>
      <c r="L512" s="51">
        <v>1222298</v>
      </c>
      <c r="M512" s="53">
        <v>1229854</v>
      </c>
      <c r="N512" s="101"/>
      <c r="O512" s="341"/>
      <c r="P512" s="341"/>
      <c r="Q512" s="341"/>
      <c r="R512" s="341"/>
      <c r="S512" s="341"/>
      <c r="T512" s="341"/>
      <c r="U512" s="341"/>
      <c r="V512" s="341"/>
      <c r="W512" s="341"/>
      <c r="X512" s="341"/>
      <c r="Y512" s="341"/>
      <c r="Z512" s="341"/>
      <c r="AA512" s="341"/>
      <c r="AB512" s="341"/>
      <c r="AC512" s="341"/>
      <c r="AD512" s="341"/>
      <c r="AE512" s="341"/>
      <c r="AF512" s="341"/>
      <c r="AG512" s="341"/>
      <c r="AH512" s="341"/>
      <c r="AI512" s="341"/>
      <c r="AJ512" s="341"/>
      <c r="AK512" s="341"/>
      <c r="AL512" s="341"/>
      <c r="AM512" s="341"/>
      <c r="AN512" s="341"/>
      <c r="AO512" s="341"/>
      <c r="AP512" s="341"/>
      <c r="AQ512" s="341"/>
      <c r="AR512" s="341"/>
      <c r="AS512" s="341"/>
      <c r="AT512" s="341"/>
      <c r="AU512" s="341"/>
      <c r="AV512" s="341"/>
      <c r="AW512" s="341"/>
      <c r="AX512" s="341"/>
      <c r="AY512" s="341"/>
      <c r="AZ512" s="341"/>
      <c r="BA512" s="341"/>
      <c r="BB512" s="341"/>
      <c r="BC512" s="341"/>
      <c r="BD512" s="341"/>
      <c r="BE512" s="341"/>
      <c r="BF512" s="341"/>
      <c r="BG512" s="341"/>
      <c r="BH512" s="341"/>
      <c r="BI512" s="341"/>
      <c r="BJ512" s="341"/>
      <c r="BK512" s="341"/>
      <c r="BL512" s="341"/>
      <c r="BM512" s="341"/>
      <c r="BN512" s="341"/>
      <c r="BO512" s="341"/>
      <c r="BP512" s="341"/>
      <c r="BQ512" s="341"/>
      <c r="BR512" s="341"/>
      <c r="BS512" s="341"/>
      <c r="BT512" s="110"/>
      <c r="BU512" s="108"/>
      <c r="BV512" s="108"/>
      <c r="BW512" s="108"/>
    </row>
    <row r="513" spans="1:75" s="218" customFormat="1" ht="13.5" customHeight="1">
      <c r="A513" s="397" t="s">
        <v>228</v>
      </c>
      <c r="B513" s="90">
        <v>799297</v>
      </c>
      <c r="C513" s="51">
        <v>782167</v>
      </c>
      <c r="D513" s="51">
        <v>807378</v>
      </c>
      <c r="E513" s="51">
        <v>748319</v>
      </c>
      <c r="F513" s="51">
        <v>733566</v>
      </c>
      <c r="G513" s="51">
        <v>746845</v>
      </c>
      <c r="H513" s="51">
        <v>724668</v>
      </c>
      <c r="I513" s="51">
        <v>690041</v>
      </c>
      <c r="J513" s="51">
        <v>682198</v>
      </c>
      <c r="K513" s="51">
        <v>677951</v>
      </c>
      <c r="L513" s="51">
        <v>663158</v>
      </c>
      <c r="M513" s="53">
        <v>652713</v>
      </c>
      <c r="N513" s="101"/>
      <c r="O513" s="341"/>
      <c r="P513" s="341"/>
      <c r="Q513" s="341"/>
      <c r="R513" s="341"/>
      <c r="S513" s="341"/>
      <c r="T513" s="341"/>
      <c r="U513" s="341"/>
      <c r="V513" s="341"/>
      <c r="W513" s="341"/>
      <c r="X513" s="341"/>
      <c r="Y513" s="341"/>
      <c r="Z513" s="341"/>
      <c r="AA513" s="341"/>
      <c r="AB513" s="341"/>
      <c r="AC513" s="341"/>
      <c r="AD513" s="341"/>
      <c r="AE513" s="341"/>
      <c r="AF513" s="341"/>
      <c r="AG513" s="341"/>
      <c r="AH513" s="341"/>
      <c r="AI513" s="341"/>
      <c r="AJ513" s="341"/>
      <c r="AK513" s="341"/>
      <c r="AL513" s="341"/>
      <c r="AM513" s="341"/>
      <c r="AN513" s="341"/>
      <c r="AO513" s="341"/>
      <c r="AP513" s="341"/>
      <c r="AQ513" s="341"/>
      <c r="AR513" s="341"/>
      <c r="AS513" s="341"/>
      <c r="AT513" s="341"/>
      <c r="AU513" s="341"/>
      <c r="AV513" s="341"/>
      <c r="AW513" s="341"/>
      <c r="AX513" s="341"/>
      <c r="AY513" s="341"/>
      <c r="AZ513" s="341"/>
      <c r="BA513" s="341"/>
      <c r="BB513" s="341"/>
      <c r="BC513" s="341"/>
      <c r="BD513" s="341"/>
      <c r="BE513" s="341"/>
      <c r="BF513" s="341"/>
      <c r="BG513" s="341"/>
      <c r="BH513" s="341"/>
      <c r="BI513" s="341"/>
      <c r="BJ513" s="341"/>
      <c r="BK513" s="341"/>
      <c r="BL513" s="341"/>
      <c r="BM513" s="341"/>
      <c r="BN513" s="341"/>
      <c r="BO513" s="341"/>
      <c r="BP513" s="341"/>
      <c r="BQ513" s="341"/>
      <c r="BR513" s="341"/>
      <c r="BS513" s="341"/>
      <c r="BT513" s="110"/>
      <c r="BU513" s="108"/>
      <c r="BV513" s="108"/>
      <c r="BW513" s="108"/>
    </row>
    <row r="514" spans="1:75" s="218" customFormat="1" ht="13.5" customHeight="1">
      <c r="A514" s="191" t="s">
        <v>362</v>
      </c>
      <c r="B514" s="340">
        <v>7516679</v>
      </c>
      <c r="C514" s="341">
        <v>7406764</v>
      </c>
      <c r="D514" s="341">
        <v>7193599</v>
      </c>
      <c r="E514" s="341">
        <v>7055675</v>
      </c>
      <c r="F514" s="341">
        <v>7006156</v>
      </c>
      <c r="G514" s="341">
        <v>7056729</v>
      </c>
      <c r="H514" s="341">
        <v>6977368</v>
      </c>
      <c r="I514" s="341">
        <v>6829320</v>
      </c>
      <c r="J514" s="341">
        <v>6820856</v>
      </c>
      <c r="K514" s="341">
        <v>6857655</v>
      </c>
      <c r="L514" s="341">
        <v>6641554</v>
      </c>
      <c r="M514" s="339">
        <v>6255942</v>
      </c>
      <c r="N514" s="101"/>
      <c r="O514" s="341"/>
      <c r="P514" s="341"/>
      <c r="Q514" s="341"/>
      <c r="R514" s="341"/>
      <c r="S514" s="341"/>
      <c r="T514" s="341"/>
      <c r="U514" s="341"/>
      <c r="V514" s="341"/>
      <c r="W514" s="341"/>
      <c r="X514" s="341"/>
      <c r="Y514" s="341"/>
      <c r="Z514" s="341"/>
      <c r="AA514" s="341"/>
      <c r="AB514" s="341"/>
      <c r="AC514" s="341"/>
      <c r="AD514" s="341"/>
      <c r="AE514" s="341"/>
      <c r="AF514" s="341"/>
      <c r="AG514" s="341"/>
      <c r="AH514" s="341"/>
      <c r="AI514" s="341"/>
      <c r="AJ514" s="341"/>
      <c r="AK514" s="341"/>
      <c r="AL514" s="341"/>
      <c r="AM514" s="341"/>
      <c r="AN514" s="341"/>
      <c r="AO514" s="341"/>
      <c r="AP514" s="341"/>
      <c r="AQ514" s="341"/>
      <c r="AR514" s="341"/>
      <c r="AS514" s="341"/>
      <c r="AT514" s="341"/>
      <c r="AU514" s="341"/>
      <c r="AV514" s="341"/>
      <c r="AW514" s="341"/>
      <c r="AX514" s="341"/>
      <c r="AY514" s="341"/>
      <c r="AZ514" s="341"/>
      <c r="BA514" s="341"/>
      <c r="BB514" s="341"/>
      <c r="BC514" s="341"/>
      <c r="BD514" s="341"/>
      <c r="BE514" s="341"/>
      <c r="BF514" s="341"/>
      <c r="BG514" s="341"/>
      <c r="BH514" s="341"/>
      <c r="BI514" s="341"/>
      <c r="BJ514" s="341"/>
      <c r="BK514" s="341"/>
      <c r="BL514" s="341"/>
      <c r="BM514" s="341"/>
      <c r="BN514" s="341"/>
      <c r="BO514" s="341"/>
      <c r="BP514" s="341"/>
      <c r="BQ514" s="341"/>
      <c r="BR514" s="341"/>
      <c r="BS514" s="341"/>
      <c r="BT514" s="110"/>
      <c r="BU514" s="108"/>
      <c r="BV514" s="108"/>
      <c r="BW514" s="108"/>
    </row>
    <row r="515" spans="1:75" s="218" customFormat="1" ht="13.5" customHeight="1">
      <c r="A515" s="397" t="s">
        <v>235</v>
      </c>
      <c r="B515" s="90">
        <v>1836461</v>
      </c>
      <c r="C515" s="51">
        <v>1730915</v>
      </c>
      <c r="D515" s="51">
        <v>1668481</v>
      </c>
      <c r="E515" s="51">
        <v>1580424</v>
      </c>
      <c r="F515" s="51">
        <v>1563868</v>
      </c>
      <c r="G515" s="51">
        <v>1549664</v>
      </c>
      <c r="H515" s="51">
        <v>1521632</v>
      </c>
      <c r="I515" s="51">
        <v>1500135</v>
      </c>
      <c r="J515" s="51">
        <v>1555054</v>
      </c>
      <c r="K515" s="51">
        <v>1578692</v>
      </c>
      <c r="L515" s="51">
        <v>1622457</v>
      </c>
      <c r="M515" s="53">
        <v>1486434</v>
      </c>
      <c r="N515" s="101"/>
      <c r="O515" s="341"/>
      <c r="P515" s="341"/>
      <c r="Q515" s="341"/>
      <c r="R515" s="341"/>
      <c r="S515" s="341"/>
      <c r="T515" s="341"/>
      <c r="U515" s="341"/>
      <c r="V515" s="341"/>
      <c r="W515" s="341"/>
      <c r="X515" s="341"/>
      <c r="Y515" s="341"/>
      <c r="Z515" s="341"/>
      <c r="AA515" s="341"/>
      <c r="AB515" s="341"/>
      <c r="AC515" s="341"/>
      <c r="AD515" s="341"/>
      <c r="AE515" s="341"/>
      <c r="AF515" s="341"/>
      <c r="AG515" s="341"/>
      <c r="AH515" s="341"/>
      <c r="AI515" s="341"/>
      <c r="AJ515" s="341"/>
      <c r="AK515" s="341"/>
      <c r="AL515" s="341"/>
      <c r="AM515" s="341"/>
      <c r="AN515" s="341"/>
      <c r="AO515" s="341"/>
      <c r="AP515" s="341"/>
      <c r="AQ515" s="341"/>
      <c r="AR515" s="341"/>
      <c r="AS515" s="341"/>
      <c r="AT515" s="341"/>
      <c r="AU515" s="341"/>
      <c r="AV515" s="341"/>
      <c r="AW515" s="341"/>
      <c r="AX515" s="341"/>
      <c r="AY515" s="341"/>
      <c r="AZ515" s="341"/>
      <c r="BA515" s="341"/>
      <c r="BB515" s="341"/>
      <c r="BC515" s="341"/>
      <c r="BD515" s="341"/>
      <c r="BE515" s="341"/>
      <c r="BF515" s="341"/>
      <c r="BG515" s="341"/>
      <c r="BH515" s="341"/>
      <c r="BI515" s="341"/>
      <c r="BJ515" s="341"/>
      <c r="BK515" s="341"/>
      <c r="BL515" s="341"/>
      <c r="BM515" s="341"/>
      <c r="BN515" s="341"/>
      <c r="BO515" s="341"/>
      <c r="BP515" s="341"/>
      <c r="BQ515" s="341"/>
      <c r="BR515" s="341"/>
      <c r="BS515" s="341"/>
      <c r="BT515" s="110"/>
      <c r="BU515" s="108"/>
      <c r="BV515" s="108"/>
      <c r="BW515" s="108"/>
    </row>
    <row r="516" spans="1:75" s="218" customFormat="1" ht="13.5" customHeight="1">
      <c r="A516" s="397" t="s">
        <v>239</v>
      </c>
      <c r="B516" s="90">
        <v>1756054</v>
      </c>
      <c r="C516" s="51">
        <v>1774303</v>
      </c>
      <c r="D516" s="51">
        <v>1768387</v>
      </c>
      <c r="E516" s="51">
        <v>1741684</v>
      </c>
      <c r="F516" s="51">
        <v>1778700</v>
      </c>
      <c r="G516" s="51">
        <v>1800991</v>
      </c>
      <c r="H516" s="51">
        <v>1820437</v>
      </c>
      <c r="I516" s="51">
        <v>1770446</v>
      </c>
      <c r="J516" s="51">
        <v>1812938</v>
      </c>
      <c r="K516" s="51">
        <v>1767474</v>
      </c>
      <c r="L516" s="51">
        <v>1696139</v>
      </c>
      <c r="M516" s="53">
        <v>1658994</v>
      </c>
      <c r="N516" s="101"/>
      <c r="O516" s="341"/>
      <c r="P516" s="341"/>
      <c r="Q516" s="341"/>
      <c r="R516" s="341"/>
      <c r="S516" s="341"/>
      <c r="T516" s="341"/>
      <c r="U516" s="341"/>
      <c r="V516" s="341"/>
      <c r="W516" s="341"/>
      <c r="X516" s="341"/>
      <c r="Y516" s="341"/>
      <c r="Z516" s="341"/>
      <c r="AA516" s="341"/>
      <c r="AB516" s="341"/>
      <c r="AC516" s="341"/>
      <c r="AD516" s="341"/>
      <c r="AE516" s="341"/>
      <c r="AF516" s="341"/>
      <c r="AG516" s="341"/>
      <c r="AH516" s="341"/>
      <c r="AI516" s="341"/>
      <c r="AJ516" s="341"/>
      <c r="AK516" s="341"/>
      <c r="AL516" s="341"/>
      <c r="AM516" s="341"/>
      <c r="AN516" s="341"/>
      <c r="AO516" s="341"/>
      <c r="AP516" s="341"/>
      <c r="AQ516" s="341"/>
      <c r="AR516" s="341"/>
      <c r="AS516" s="341"/>
      <c r="AT516" s="341"/>
      <c r="AU516" s="341"/>
      <c r="AV516" s="341"/>
      <c r="AW516" s="341"/>
      <c r="AX516" s="341"/>
      <c r="AY516" s="341"/>
      <c r="AZ516" s="341"/>
      <c r="BA516" s="341"/>
      <c r="BB516" s="341"/>
      <c r="BC516" s="341"/>
      <c r="BD516" s="341"/>
      <c r="BE516" s="341"/>
      <c r="BF516" s="341"/>
      <c r="BG516" s="341"/>
      <c r="BH516" s="341"/>
      <c r="BI516" s="341"/>
      <c r="BJ516" s="341"/>
      <c r="BK516" s="341"/>
      <c r="BL516" s="341"/>
      <c r="BM516" s="341"/>
      <c r="BN516" s="341"/>
      <c r="BO516" s="341"/>
      <c r="BP516" s="341"/>
      <c r="BQ516" s="341"/>
      <c r="BR516" s="341"/>
      <c r="BS516" s="341"/>
      <c r="BT516" s="110"/>
      <c r="BU516" s="108"/>
      <c r="BV516" s="108"/>
      <c r="BW516" s="108"/>
    </row>
    <row r="517" spans="1:75" s="218" customFormat="1" ht="13.5" customHeight="1">
      <c r="A517" s="397" t="s">
        <v>236</v>
      </c>
      <c r="B517" s="90">
        <v>2334473</v>
      </c>
      <c r="C517" s="51">
        <v>2352825</v>
      </c>
      <c r="D517" s="51">
        <v>2282890</v>
      </c>
      <c r="E517" s="51">
        <v>2267814</v>
      </c>
      <c r="F517" s="51">
        <v>2177724</v>
      </c>
      <c r="G517" s="51">
        <v>2216843</v>
      </c>
      <c r="H517" s="51">
        <v>2162788</v>
      </c>
      <c r="I517" s="51">
        <v>2127089</v>
      </c>
      <c r="J517" s="51">
        <v>2012727</v>
      </c>
      <c r="K517" s="51">
        <v>2085286</v>
      </c>
      <c r="L517" s="51">
        <v>1902771</v>
      </c>
      <c r="M517" s="53">
        <v>1804015</v>
      </c>
      <c r="N517" s="101"/>
      <c r="O517" s="341"/>
      <c r="P517" s="341"/>
      <c r="Q517" s="341"/>
      <c r="R517" s="341"/>
      <c r="S517" s="341"/>
      <c r="T517" s="341"/>
      <c r="U517" s="341"/>
      <c r="V517" s="341"/>
      <c r="W517" s="341"/>
      <c r="X517" s="341"/>
      <c r="Y517" s="341"/>
      <c r="Z517" s="341"/>
      <c r="AA517" s="341"/>
      <c r="AB517" s="341"/>
      <c r="AC517" s="341"/>
      <c r="AD517" s="341"/>
      <c r="AE517" s="341"/>
      <c r="AF517" s="341"/>
      <c r="AG517" s="341"/>
      <c r="AH517" s="341"/>
      <c r="AI517" s="341"/>
      <c r="AJ517" s="341"/>
      <c r="AK517" s="341"/>
      <c r="AL517" s="341"/>
      <c r="AM517" s="341"/>
      <c r="AN517" s="341"/>
      <c r="AO517" s="341"/>
      <c r="AP517" s="341"/>
      <c r="AQ517" s="341"/>
      <c r="AR517" s="341"/>
      <c r="AS517" s="341"/>
      <c r="AT517" s="341"/>
      <c r="AU517" s="341"/>
      <c r="AV517" s="341"/>
      <c r="AW517" s="341"/>
      <c r="AX517" s="341"/>
      <c r="AY517" s="341"/>
      <c r="AZ517" s="341"/>
      <c r="BA517" s="341"/>
      <c r="BB517" s="341"/>
      <c r="BC517" s="341"/>
      <c r="BD517" s="341"/>
      <c r="BE517" s="341"/>
      <c r="BF517" s="341"/>
      <c r="BG517" s="341"/>
      <c r="BH517" s="341"/>
      <c r="BI517" s="341"/>
      <c r="BJ517" s="341"/>
      <c r="BK517" s="341"/>
      <c r="BL517" s="341"/>
      <c r="BM517" s="341"/>
      <c r="BN517" s="341"/>
      <c r="BO517" s="341"/>
      <c r="BP517" s="341"/>
      <c r="BQ517" s="341"/>
      <c r="BR517" s="341"/>
      <c r="BS517" s="341"/>
      <c r="BT517" s="110"/>
      <c r="BU517" s="108"/>
      <c r="BV517" s="108"/>
      <c r="BW517" s="108"/>
    </row>
    <row r="518" spans="1:75" s="218" customFormat="1" ht="13.5" customHeight="1">
      <c r="A518" s="397" t="s">
        <v>237</v>
      </c>
      <c r="B518" s="90">
        <v>840107</v>
      </c>
      <c r="C518" s="51">
        <v>847055</v>
      </c>
      <c r="D518" s="51">
        <v>848465</v>
      </c>
      <c r="E518" s="51">
        <v>804689</v>
      </c>
      <c r="F518" s="51">
        <v>791593</v>
      </c>
      <c r="G518" s="51">
        <v>817320</v>
      </c>
      <c r="H518" s="51">
        <v>815137</v>
      </c>
      <c r="I518" s="51">
        <v>788301</v>
      </c>
      <c r="J518" s="51">
        <v>798888</v>
      </c>
      <c r="K518" s="51">
        <v>802117</v>
      </c>
      <c r="L518" s="51">
        <v>805713</v>
      </c>
      <c r="M518" s="53">
        <v>782038</v>
      </c>
      <c r="N518" s="101"/>
      <c r="O518" s="341"/>
      <c r="P518" s="341"/>
      <c r="Q518" s="341"/>
      <c r="R518" s="341"/>
      <c r="S518" s="341"/>
      <c r="T518" s="341"/>
      <c r="U518" s="341"/>
      <c r="V518" s="341"/>
      <c r="W518" s="341"/>
      <c r="X518" s="341"/>
      <c r="Y518" s="341"/>
      <c r="Z518" s="341"/>
      <c r="AA518" s="341"/>
      <c r="AB518" s="341"/>
      <c r="AC518" s="341"/>
      <c r="AD518" s="341"/>
      <c r="AE518" s="341"/>
      <c r="AF518" s="341"/>
      <c r="AG518" s="341"/>
      <c r="AH518" s="341"/>
      <c r="AI518" s="341"/>
      <c r="AJ518" s="341"/>
      <c r="AK518" s="341"/>
      <c r="AL518" s="341"/>
      <c r="AM518" s="341"/>
      <c r="AN518" s="341"/>
      <c r="AO518" s="341"/>
      <c r="AP518" s="341"/>
      <c r="AQ518" s="341"/>
      <c r="AR518" s="341"/>
      <c r="AS518" s="341"/>
      <c r="AT518" s="341"/>
      <c r="AU518" s="341"/>
      <c r="AV518" s="341"/>
      <c r="AW518" s="341"/>
      <c r="AX518" s="341"/>
      <c r="AY518" s="341"/>
      <c r="AZ518" s="341"/>
      <c r="BA518" s="341"/>
      <c r="BB518" s="341"/>
      <c r="BC518" s="341"/>
      <c r="BD518" s="341"/>
      <c r="BE518" s="341"/>
      <c r="BF518" s="341"/>
      <c r="BG518" s="341"/>
      <c r="BH518" s="341"/>
      <c r="BI518" s="341"/>
      <c r="BJ518" s="341"/>
      <c r="BK518" s="341"/>
      <c r="BL518" s="341"/>
      <c r="BM518" s="341"/>
      <c r="BN518" s="341"/>
      <c r="BO518" s="341"/>
      <c r="BP518" s="341"/>
      <c r="BQ518" s="341"/>
      <c r="BR518" s="341"/>
      <c r="BS518" s="341"/>
      <c r="BT518" s="110"/>
      <c r="BU518" s="108"/>
      <c r="BV518" s="108"/>
      <c r="BW518" s="108"/>
    </row>
    <row r="519" spans="1:75" s="218" customFormat="1" ht="13.5" customHeight="1">
      <c r="A519" s="397" t="s">
        <v>234</v>
      </c>
      <c r="B519" s="90">
        <v>134529</v>
      </c>
      <c r="C519" s="51">
        <v>118325</v>
      </c>
      <c r="D519" s="51">
        <v>121436</v>
      </c>
      <c r="E519" s="51">
        <v>113580</v>
      </c>
      <c r="F519" s="51">
        <v>116798</v>
      </c>
      <c r="G519" s="51">
        <v>118267</v>
      </c>
      <c r="H519" s="51">
        <v>118171</v>
      </c>
      <c r="I519" s="51">
        <v>110944</v>
      </c>
      <c r="J519" s="51">
        <v>125456</v>
      </c>
      <c r="K519" s="51">
        <v>114544</v>
      </c>
      <c r="L519" s="51">
        <v>112088</v>
      </c>
      <c r="M519" s="53">
        <v>106814</v>
      </c>
      <c r="N519" s="101"/>
      <c r="O519" s="341"/>
      <c r="P519" s="341"/>
      <c r="Q519" s="341"/>
      <c r="R519" s="341"/>
      <c r="S519" s="341"/>
      <c r="T519" s="341"/>
      <c r="U519" s="341"/>
      <c r="V519" s="341"/>
      <c r="W519" s="341"/>
      <c r="X519" s="341"/>
      <c r="Y519" s="341"/>
      <c r="Z519" s="341"/>
      <c r="AA519" s="341"/>
      <c r="AB519" s="341"/>
      <c r="AC519" s="341"/>
      <c r="AD519" s="341"/>
      <c r="AE519" s="341"/>
      <c r="AF519" s="341"/>
      <c r="AG519" s="341"/>
      <c r="AH519" s="341"/>
      <c r="AI519" s="341"/>
      <c r="AJ519" s="341"/>
      <c r="AK519" s="341"/>
      <c r="AL519" s="341"/>
      <c r="AM519" s="341"/>
      <c r="AN519" s="341"/>
      <c r="AO519" s="341"/>
      <c r="AP519" s="341"/>
      <c r="AQ519" s="341"/>
      <c r="AR519" s="341"/>
      <c r="AS519" s="341"/>
      <c r="AT519" s="341"/>
      <c r="AU519" s="341"/>
      <c r="AV519" s="341"/>
      <c r="AW519" s="341"/>
      <c r="AX519" s="341"/>
      <c r="AY519" s="341"/>
      <c r="AZ519" s="341"/>
      <c r="BA519" s="341"/>
      <c r="BB519" s="341"/>
      <c r="BC519" s="341"/>
      <c r="BD519" s="341"/>
      <c r="BE519" s="341"/>
      <c r="BF519" s="341"/>
      <c r="BG519" s="341"/>
      <c r="BH519" s="341"/>
      <c r="BI519" s="341"/>
      <c r="BJ519" s="341"/>
      <c r="BK519" s="341"/>
      <c r="BL519" s="341"/>
      <c r="BM519" s="341"/>
      <c r="BN519" s="341"/>
      <c r="BO519" s="341"/>
      <c r="BP519" s="341"/>
      <c r="BQ519" s="341"/>
      <c r="BR519" s="341"/>
      <c r="BS519" s="341"/>
      <c r="BT519" s="110"/>
      <c r="BU519" s="108"/>
      <c r="BV519" s="108"/>
      <c r="BW519" s="108"/>
    </row>
    <row r="520" spans="1:75" s="218" customFormat="1" ht="13.5" customHeight="1">
      <c r="A520" s="397" t="s">
        <v>238</v>
      </c>
      <c r="B520" s="90">
        <v>615055</v>
      </c>
      <c r="C520" s="51">
        <v>583341</v>
      </c>
      <c r="D520" s="51">
        <v>503940</v>
      </c>
      <c r="E520" s="51">
        <v>547484</v>
      </c>
      <c r="F520" s="51">
        <v>577473</v>
      </c>
      <c r="G520" s="51">
        <v>553644</v>
      </c>
      <c r="H520" s="51">
        <v>539203</v>
      </c>
      <c r="I520" s="51">
        <v>532405</v>
      </c>
      <c r="J520" s="51">
        <v>515793</v>
      </c>
      <c r="K520" s="51">
        <v>509542</v>
      </c>
      <c r="L520" s="51">
        <v>502386</v>
      </c>
      <c r="M520" s="53">
        <v>417647</v>
      </c>
      <c r="N520" s="101"/>
      <c r="O520" s="341"/>
      <c r="P520" s="341"/>
      <c r="Q520" s="341"/>
      <c r="R520" s="341"/>
      <c r="S520" s="341"/>
      <c r="T520" s="341"/>
      <c r="U520" s="341"/>
      <c r="V520" s="341"/>
      <c r="W520" s="341"/>
      <c r="X520" s="341"/>
      <c r="Y520" s="341"/>
      <c r="Z520" s="341"/>
      <c r="AA520" s="341"/>
      <c r="AB520" s="341"/>
      <c r="AC520" s="341"/>
      <c r="AD520" s="341"/>
      <c r="AE520" s="341"/>
      <c r="AF520" s="341"/>
      <c r="AG520" s="341"/>
      <c r="AH520" s="341"/>
      <c r="AI520" s="341"/>
      <c r="AJ520" s="341"/>
      <c r="AK520" s="341"/>
      <c r="AL520" s="341"/>
      <c r="AM520" s="341"/>
      <c r="AN520" s="341"/>
      <c r="AO520" s="341"/>
      <c r="AP520" s="341"/>
      <c r="AQ520" s="341"/>
      <c r="AR520" s="341"/>
      <c r="AS520" s="341"/>
      <c r="AT520" s="341"/>
      <c r="AU520" s="341"/>
      <c r="AV520" s="341"/>
      <c r="AW520" s="341"/>
      <c r="AX520" s="341"/>
      <c r="AY520" s="341"/>
      <c r="AZ520" s="341"/>
      <c r="BA520" s="341"/>
      <c r="BB520" s="341"/>
      <c r="BC520" s="341"/>
      <c r="BD520" s="341"/>
      <c r="BE520" s="341"/>
      <c r="BF520" s="341"/>
      <c r="BG520" s="341"/>
      <c r="BH520" s="341"/>
      <c r="BI520" s="341"/>
      <c r="BJ520" s="341"/>
      <c r="BK520" s="341"/>
      <c r="BL520" s="341"/>
      <c r="BM520" s="341"/>
      <c r="BN520" s="341"/>
      <c r="BO520" s="341"/>
      <c r="BP520" s="341"/>
      <c r="BQ520" s="341"/>
      <c r="BR520" s="341"/>
      <c r="BS520" s="341"/>
      <c r="BT520" s="110"/>
      <c r="BU520" s="108"/>
      <c r="BV520" s="108"/>
      <c r="BW520" s="108"/>
    </row>
    <row r="521" spans="1:75" s="218" customFormat="1" ht="13.5" customHeight="1" thickBot="1">
      <c r="A521" s="214" t="s">
        <v>18</v>
      </c>
      <c r="B521" s="98">
        <v>27581437</v>
      </c>
      <c r="C521" s="99">
        <v>26799158</v>
      </c>
      <c r="D521" s="99">
        <v>26278506</v>
      </c>
      <c r="E521" s="99">
        <v>25657850</v>
      </c>
      <c r="F521" s="99">
        <v>25409075</v>
      </c>
      <c r="G521" s="99">
        <v>25812786</v>
      </c>
      <c r="H521" s="99">
        <v>25634729</v>
      </c>
      <c r="I521" s="99">
        <v>25017138</v>
      </c>
      <c r="J521" s="99">
        <v>25142050</v>
      </c>
      <c r="K521" s="99">
        <v>25082753</v>
      </c>
      <c r="L521" s="99">
        <v>24723063</v>
      </c>
      <c r="M521" s="100">
        <v>23869841</v>
      </c>
      <c r="N521" s="101"/>
      <c r="O521" s="341"/>
      <c r="P521" s="341"/>
      <c r="Q521" s="341"/>
      <c r="R521" s="341"/>
      <c r="S521" s="341"/>
      <c r="T521" s="341"/>
      <c r="U521" s="341"/>
      <c r="V521" s="341"/>
      <c r="W521" s="341"/>
      <c r="X521" s="341"/>
      <c r="Y521" s="341"/>
      <c r="Z521" s="341"/>
      <c r="AA521" s="341"/>
      <c r="AB521" s="341"/>
      <c r="AC521" s="341"/>
      <c r="AD521" s="341"/>
      <c r="AE521" s="341"/>
      <c r="AF521" s="341"/>
      <c r="AG521" s="341"/>
      <c r="AH521" s="341"/>
      <c r="AI521" s="341"/>
      <c r="AJ521" s="341"/>
      <c r="AK521" s="341"/>
      <c r="AL521" s="341"/>
      <c r="AM521" s="341"/>
      <c r="AN521" s="341"/>
      <c r="AO521" s="341"/>
      <c r="AP521" s="341"/>
      <c r="AQ521" s="341"/>
      <c r="AR521" s="341"/>
      <c r="AS521" s="341"/>
      <c r="AT521" s="341"/>
      <c r="AU521" s="341"/>
      <c r="AV521" s="341"/>
      <c r="AW521" s="341"/>
      <c r="AX521" s="341"/>
      <c r="AY521" s="341"/>
      <c r="AZ521" s="341"/>
      <c r="BA521" s="341"/>
      <c r="BB521" s="341"/>
      <c r="BC521" s="341"/>
      <c r="BD521" s="341"/>
      <c r="BE521" s="341"/>
      <c r="BF521" s="341"/>
      <c r="BG521" s="341"/>
      <c r="BH521" s="341"/>
      <c r="BI521" s="341"/>
      <c r="BJ521" s="341"/>
      <c r="BK521" s="341"/>
      <c r="BL521" s="341"/>
      <c r="BM521" s="341"/>
      <c r="BN521" s="341"/>
      <c r="BO521" s="341"/>
      <c r="BP521" s="341"/>
      <c r="BQ521" s="341"/>
      <c r="BR521" s="341"/>
      <c r="BS521" s="341"/>
      <c r="BT521" s="110"/>
      <c r="BU521" s="108"/>
      <c r="BV521" s="108"/>
      <c r="BW521" s="108"/>
    </row>
    <row r="522" spans="1:75" s="218" customFormat="1" ht="13.5" customHeight="1" thickBot="1">
      <c r="A522" s="398"/>
      <c r="B522" s="341"/>
      <c r="C522" s="341"/>
      <c r="D522" s="341"/>
      <c r="E522" s="341"/>
      <c r="F522" s="341"/>
      <c r="G522" s="341"/>
      <c r="H522" s="341"/>
      <c r="I522" s="341"/>
      <c r="J522" s="341"/>
      <c r="K522" s="341"/>
      <c r="L522" s="341"/>
      <c r="M522" s="341"/>
      <c r="N522" s="101"/>
      <c r="O522" s="341"/>
      <c r="P522" s="341"/>
      <c r="Q522" s="341"/>
      <c r="R522" s="341"/>
      <c r="S522" s="341"/>
      <c r="T522" s="341"/>
      <c r="U522" s="341"/>
      <c r="V522" s="341"/>
      <c r="W522" s="341"/>
      <c r="X522" s="341"/>
      <c r="Y522" s="341"/>
      <c r="Z522" s="341"/>
      <c r="AA522" s="341"/>
      <c r="AB522" s="341"/>
      <c r="AC522" s="341"/>
      <c r="AD522" s="341"/>
      <c r="AE522" s="341"/>
      <c r="AF522" s="341"/>
      <c r="AG522" s="341"/>
      <c r="AH522" s="341"/>
      <c r="AI522" s="341"/>
      <c r="AJ522" s="341"/>
      <c r="AK522" s="341"/>
      <c r="AL522" s="341"/>
      <c r="AM522" s="341"/>
      <c r="AN522" s="341"/>
      <c r="AO522" s="341"/>
      <c r="AP522" s="341"/>
      <c r="AQ522" s="341"/>
      <c r="AR522" s="341"/>
      <c r="AS522" s="341"/>
      <c r="AT522" s="341"/>
      <c r="AU522" s="341"/>
      <c r="AV522" s="341"/>
      <c r="AW522" s="341"/>
      <c r="AX522" s="341"/>
      <c r="AY522" s="341"/>
      <c r="AZ522" s="341"/>
      <c r="BA522" s="341"/>
      <c r="BB522" s="341"/>
      <c r="BC522" s="341"/>
      <c r="BD522" s="341"/>
      <c r="BE522" s="341"/>
      <c r="BF522" s="341"/>
      <c r="BG522" s="341"/>
      <c r="BH522" s="341"/>
      <c r="BI522" s="341"/>
      <c r="BJ522" s="341"/>
      <c r="BK522" s="341"/>
      <c r="BL522" s="341"/>
      <c r="BM522" s="341"/>
      <c r="BN522" s="341"/>
      <c r="BO522" s="341"/>
      <c r="BP522" s="341"/>
      <c r="BQ522" s="341"/>
      <c r="BR522" s="341"/>
      <c r="BS522" s="341"/>
      <c r="BT522" s="110"/>
      <c r="BU522" s="108"/>
      <c r="BV522" s="108"/>
      <c r="BW522" s="108"/>
    </row>
    <row r="523" spans="1:75" s="218" customFormat="1" ht="13.5" customHeight="1" thickBot="1">
      <c r="A523" s="398"/>
      <c r="B523" s="359">
        <v>41275</v>
      </c>
      <c r="C523" s="345">
        <v>41306</v>
      </c>
      <c r="D523" s="345">
        <v>41334</v>
      </c>
      <c r="E523" s="345">
        <v>41365</v>
      </c>
      <c r="F523" s="345">
        <v>41395</v>
      </c>
      <c r="G523" s="345">
        <v>41426</v>
      </c>
      <c r="H523" s="345">
        <v>41456</v>
      </c>
      <c r="I523" s="345">
        <v>41487</v>
      </c>
      <c r="J523" s="345">
        <v>41518</v>
      </c>
      <c r="K523" s="345">
        <v>41548</v>
      </c>
      <c r="L523" s="345">
        <v>41579</v>
      </c>
      <c r="M523" s="346">
        <v>41609</v>
      </c>
      <c r="N523" s="101"/>
      <c r="O523" s="341"/>
      <c r="P523" s="341"/>
      <c r="Q523" s="341"/>
      <c r="R523" s="341"/>
      <c r="S523" s="341"/>
      <c r="T523" s="341"/>
      <c r="U523" s="341"/>
      <c r="V523" s="341"/>
      <c r="W523" s="341"/>
      <c r="X523" s="341"/>
      <c r="Y523" s="341"/>
      <c r="Z523" s="341"/>
      <c r="AA523" s="341"/>
      <c r="AB523" s="341"/>
      <c r="AC523" s="341"/>
      <c r="AD523" s="341"/>
      <c r="AE523" s="341"/>
      <c r="AF523" s="341"/>
      <c r="AG523" s="341"/>
      <c r="AH523" s="341"/>
      <c r="AI523" s="341"/>
      <c r="AJ523" s="341"/>
      <c r="AK523" s="341"/>
      <c r="AL523" s="341"/>
      <c r="AM523" s="341"/>
      <c r="AN523" s="341"/>
      <c r="AO523" s="341"/>
      <c r="AP523" s="341"/>
      <c r="AQ523" s="341"/>
      <c r="AR523" s="341"/>
      <c r="AS523" s="341"/>
      <c r="AT523" s="341"/>
      <c r="AU523" s="341"/>
      <c r="AV523" s="341"/>
      <c r="AW523" s="341"/>
      <c r="AX523" s="341"/>
      <c r="AY523" s="341"/>
      <c r="AZ523" s="341"/>
      <c r="BA523" s="341"/>
      <c r="BB523" s="341"/>
      <c r="BC523" s="341"/>
      <c r="BD523" s="341"/>
      <c r="BE523" s="341"/>
      <c r="BF523" s="341"/>
      <c r="BG523" s="341"/>
      <c r="BH523" s="341"/>
      <c r="BI523" s="341"/>
      <c r="BJ523" s="341"/>
      <c r="BK523" s="341"/>
      <c r="BL523" s="341"/>
      <c r="BM523" s="341"/>
      <c r="BN523" s="341"/>
      <c r="BO523" s="341"/>
      <c r="BP523" s="341"/>
      <c r="BQ523" s="341"/>
      <c r="BR523" s="341"/>
      <c r="BS523" s="341"/>
      <c r="BT523" s="110"/>
      <c r="BU523" s="108"/>
      <c r="BV523" s="108"/>
      <c r="BW523" s="108"/>
    </row>
    <row r="524" spans="1:75" s="218" customFormat="1" ht="13.5" customHeight="1">
      <c r="A524" s="396" t="s">
        <v>231</v>
      </c>
      <c r="B524" s="89">
        <v>2983142</v>
      </c>
      <c r="C524" s="49">
        <v>3032807</v>
      </c>
      <c r="D524" s="49">
        <v>3033306</v>
      </c>
      <c r="E524" s="49">
        <v>3013574</v>
      </c>
      <c r="F524" s="49">
        <v>3081746</v>
      </c>
      <c r="G524" s="49">
        <v>3042883</v>
      </c>
      <c r="H524" s="49">
        <v>3032467</v>
      </c>
      <c r="I524" s="49">
        <v>3025879</v>
      </c>
      <c r="J524" s="49">
        <v>2902921</v>
      </c>
      <c r="K524" s="49">
        <v>2935763</v>
      </c>
      <c r="L524" s="49">
        <v>2948454</v>
      </c>
      <c r="M524" s="50">
        <v>2952049</v>
      </c>
      <c r="N524" s="101"/>
      <c r="O524" s="341"/>
      <c r="P524" s="341"/>
      <c r="Q524" s="341"/>
      <c r="R524" s="341"/>
      <c r="S524" s="341"/>
      <c r="T524" s="341"/>
      <c r="U524" s="341"/>
      <c r="V524" s="341"/>
      <c r="W524" s="341"/>
      <c r="X524" s="341"/>
      <c r="Y524" s="341"/>
      <c r="Z524" s="341"/>
      <c r="AA524" s="341"/>
      <c r="AB524" s="341"/>
      <c r="AC524" s="341"/>
      <c r="AD524" s="341"/>
      <c r="AE524" s="341"/>
      <c r="AF524" s="341"/>
      <c r="AG524" s="341"/>
      <c r="AH524" s="341"/>
      <c r="AI524" s="341"/>
      <c r="AJ524" s="341"/>
      <c r="AK524" s="341"/>
      <c r="AL524" s="341"/>
      <c r="AM524" s="341"/>
      <c r="AN524" s="341"/>
      <c r="AO524" s="341"/>
      <c r="AP524" s="341"/>
      <c r="AQ524" s="341"/>
      <c r="AR524" s="341"/>
      <c r="AS524" s="341"/>
      <c r="AT524" s="341"/>
      <c r="AU524" s="341"/>
      <c r="AV524" s="341"/>
      <c r="AW524" s="341"/>
      <c r="AX524" s="341"/>
      <c r="AY524" s="341"/>
      <c r="AZ524" s="341"/>
      <c r="BA524" s="341"/>
      <c r="BB524" s="341"/>
      <c r="BC524" s="341"/>
      <c r="BD524" s="341"/>
      <c r="BE524" s="341"/>
      <c r="BF524" s="341"/>
      <c r="BG524" s="341"/>
      <c r="BH524" s="341"/>
      <c r="BI524" s="341"/>
      <c r="BJ524" s="341"/>
      <c r="BK524" s="341"/>
      <c r="BL524" s="341"/>
      <c r="BM524" s="341"/>
      <c r="BN524" s="341"/>
      <c r="BO524" s="341"/>
      <c r="BP524" s="341"/>
      <c r="BQ524" s="341"/>
      <c r="BR524" s="341"/>
      <c r="BS524" s="341"/>
      <c r="BT524" s="110"/>
      <c r="BU524" s="108"/>
      <c r="BV524" s="108"/>
      <c r="BW524" s="108"/>
    </row>
    <row r="525" spans="1:75" s="218" customFormat="1" ht="13.5" customHeight="1">
      <c r="A525" s="397" t="s">
        <v>232</v>
      </c>
      <c r="B525" s="90">
        <v>2296063</v>
      </c>
      <c r="C525" s="51">
        <v>2539188</v>
      </c>
      <c r="D525" s="51">
        <v>2842524</v>
      </c>
      <c r="E525" s="51">
        <v>3213709</v>
      </c>
      <c r="F525" s="51">
        <v>3658059</v>
      </c>
      <c r="G525" s="51">
        <v>4027253</v>
      </c>
      <c r="H525" s="51">
        <v>4410969</v>
      </c>
      <c r="I525" s="51">
        <v>4713487</v>
      </c>
      <c r="J525" s="51">
        <v>5021851</v>
      </c>
      <c r="K525" s="51">
        <v>5297638</v>
      </c>
      <c r="L525" s="51">
        <v>5548361</v>
      </c>
      <c r="M525" s="53">
        <v>5807797</v>
      </c>
      <c r="N525" s="101"/>
      <c r="O525" s="341"/>
      <c r="P525" s="341"/>
      <c r="Q525" s="341"/>
      <c r="R525" s="341"/>
      <c r="S525" s="341"/>
      <c r="T525" s="341"/>
      <c r="U525" s="341"/>
      <c r="V525" s="341"/>
      <c r="W525" s="341"/>
      <c r="X525" s="341"/>
      <c r="Y525" s="341"/>
      <c r="Z525" s="341"/>
      <c r="AA525" s="341"/>
      <c r="AB525" s="341"/>
      <c r="AC525" s="341"/>
      <c r="AD525" s="341"/>
      <c r="AE525" s="341"/>
      <c r="AF525" s="341"/>
      <c r="AG525" s="341"/>
      <c r="AH525" s="341"/>
      <c r="AI525" s="341"/>
      <c r="AJ525" s="341"/>
      <c r="AK525" s="341"/>
      <c r="AL525" s="341"/>
      <c r="AM525" s="341"/>
      <c r="AN525" s="341"/>
      <c r="AO525" s="341"/>
      <c r="AP525" s="341"/>
      <c r="AQ525" s="341"/>
      <c r="AR525" s="341"/>
      <c r="AS525" s="341"/>
      <c r="AT525" s="341"/>
      <c r="AU525" s="341"/>
      <c r="AV525" s="341"/>
      <c r="AW525" s="341"/>
      <c r="AX525" s="341"/>
      <c r="AY525" s="341"/>
      <c r="AZ525" s="341"/>
      <c r="BA525" s="341"/>
      <c r="BB525" s="341"/>
      <c r="BC525" s="341"/>
      <c r="BD525" s="341"/>
      <c r="BE525" s="341"/>
      <c r="BF525" s="341"/>
      <c r="BG525" s="341"/>
      <c r="BH525" s="341"/>
      <c r="BI525" s="341"/>
      <c r="BJ525" s="341"/>
      <c r="BK525" s="341"/>
      <c r="BL525" s="341"/>
      <c r="BM525" s="341"/>
      <c r="BN525" s="341"/>
      <c r="BO525" s="341"/>
      <c r="BP525" s="341"/>
      <c r="BQ525" s="341"/>
      <c r="BR525" s="341"/>
      <c r="BS525" s="341"/>
      <c r="BT525" s="110"/>
      <c r="BU525" s="108"/>
      <c r="BV525" s="108"/>
      <c r="BW525" s="108"/>
    </row>
    <row r="526" spans="1:75" s="218" customFormat="1" ht="13.5" customHeight="1">
      <c r="A526" s="397" t="s">
        <v>230</v>
      </c>
      <c r="B526" s="90">
        <v>3647630</v>
      </c>
      <c r="C526" s="51">
        <v>3578804</v>
      </c>
      <c r="D526" s="51">
        <v>3574798</v>
      </c>
      <c r="E526" s="51">
        <v>3636394</v>
      </c>
      <c r="F526" s="51">
        <v>3732541</v>
      </c>
      <c r="G526" s="51">
        <v>3807075</v>
      </c>
      <c r="H526" s="51">
        <v>3685963</v>
      </c>
      <c r="I526" s="51">
        <v>3652133</v>
      </c>
      <c r="J526" s="51">
        <v>3612361</v>
      </c>
      <c r="K526" s="51">
        <v>3578700</v>
      </c>
      <c r="L526" s="51">
        <v>3529702</v>
      </c>
      <c r="M526" s="53">
        <v>3552282</v>
      </c>
      <c r="N526" s="101"/>
      <c r="O526" s="341"/>
      <c r="P526" s="341"/>
      <c r="Q526" s="341"/>
      <c r="R526" s="341"/>
      <c r="S526" s="341"/>
      <c r="T526" s="341"/>
      <c r="U526" s="341"/>
      <c r="V526" s="341"/>
      <c r="W526" s="341"/>
      <c r="X526" s="341"/>
      <c r="Y526" s="341"/>
      <c r="Z526" s="341"/>
      <c r="AA526" s="341"/>
      <c r="AB526" s="341"/>
      <c r="AC526" s="341"/>
      <c r="AD526" s="341"/>
      <c r="AE526" s="341"/>
      <c r="AF526" s="341"/>
      <c r="AG526" s="341"/>
      <c r="AH526" s="341"/>
      <c r="AI526" s="341"/>
      <c r="AJ526" s="341"/>
      <c r="AK526" s="341"/>
      <c r="AL526" s="341"/>
      <c r="AM526" s="341"/>
      <c r="AN526" s="341"/>
      <c r="AO526" s="341"/>
      <c r="AP526" s="341"/>
      <c r="AQ526" s="341"/>
      <c r="AR526" s="341"/>
      <c r="AS526" s="341"/>
      <c r="AT526" s="341"/>
      <c r="AU526" s="341"/>
      <c r="AV526" s="341"/>
      <c r="AW526" s="341"/>
      <c r="AX526" s="341"/>
      <c r="AY526" s="341"/>
      <c r="AZ526" s="341"/>
      <c r="BA526" s="341"/>
      <c r="BB526" s="341"/>
      <c r="BC526" s="341"/>
      <c r="BD526" s="341"/>
      <c r="BE526" s="341"/>
      <c r="BF526" s="341"/>
      <c r="BG526" s="341"/>
      <c r="BH526" s="341"/>
      <c r="BI526" s="341"/>
      <c r="BJ526" s="341"/>
      <c r="BK526" s="341"/>
      <c r="BL526" s="341"/>
      <c r="BM526" s="341"/>
      <c r="BN526" s="341"/>
      <c r="BO526" s="341"/>
      <c r="BP526" s="341"/>
      <c r="BQ526" s="341"/>
      <c r="BR526" s="341"/>
      <c r="BS526" s="341"/>
      <c r="BT526" s="110"/>
      <c r="BU526" s="108"/>
      <c r="BV526" s="108"/>
      <c r="BW526" s="108"/>
    </row>
    <row r="527" spans="1:75" s="218" customFormat="1" ht="13.5" customHeight="1">
      <c r="A527" s="397" t="s">
        <v>229</v>
      </c>
      <c r="B527" s="90">
        <v>3508235</v>
      </c>
      <c r="C527" s="51">
        <v>3530195</v>
      </c>
      <c r="D527" s="51">
        <v>3533089</v>
      </c>
      <c r="E527" s="51">
        <v>3534000</v>
      </c>
      <c r="F527" s="51">
        <v>3645011</v>
      </c>
      <c r="G527" s="51">
        <v>3680185</v>
      </c>
      <c r="H527" s="51">
        <v>3545632</v>
      </c>
      <c r="I527" s="51">
        <v>3501137</v>
      </c>
      <c r="J527" s="51">
        <v>3498293</v>
      </c>
      <c r="K527" s="51">
        <v>3590978</v>
      </c>
      <c r="L527" s="51">
        <v>3467820</v>
      </c>
      <c r="M527" s="53">
        <v>3608815</v>
      </c>
      <c r="N527" s="101"/>
      <c r="O527" s="341"/>
      <c r="P527" s="341"/>
      <c r="Q527" s="341"/>
      <c r="R527" s="341"/>
      <c r="S527" s="341"/>
      <c r="T527" s="341"/>
      <c r="U527" s="341"/>
      <c r="V527" s="341"/>
      <c r="W527" s="341"/>
      <c r="X527" s="341"/>
      <c r="Y527" s="341"/>
      <c r="Z527" s="341"/>
      <c r="AA527" s="341"/>
      <c r="AB527" s="341"/>
      <c r="AC527" s="341"/>
      <c r="AD527" s="341"/>
      <c r="AE527" s="341"/>
      <c r="AF527" s="341"/>
      <c r="AG527" s="341"/>
      <c r="AH527" s="341"/>
      <c r="AI527" s="341"/>
      <c r="AJ527" s="341"/>
      <c r="AK527" s="341"/>
      <c r="AL527" s="341"/>
      <c r="AM527" s="341"/>
      <c r="AN527" s="341"/>
      <c r="AO527" s="341"/>
      <c r="AP527" s="341"/>
      <c r="AQ527" s="341"/>
      <c r="AR527" s="341"/>
      <c r="AS527" s="341"/>
      <c r="AT527" s="341"/>
      <c r="AU527" s="341"/>
      <c r="AV527" s="341"/>
      <c r="AW527" s="341"/>
      <c r="AX527" s="341"/>
      <c r="AY527" s="341"/>
      <c r="AZ527" s="341"/>
      <c r="BA527" s="341"/>
      <c r="BB527" s="341"/>
      <c r="BC527" s="341"/>
      <c r="BD527" s="341"/>
      <c r="BE527" s="341"/>
      <c r="BF527" s="341"/>
      <c r="BG527" s="341"/>
      <c r="BH527" s="341"/>
      <c r="BI527" s="341"/>
      <c r="BJ527" s="341"/>
      <c r="BK527" s="341"/>
      <c r="BL527" s="341"/>
      <c r="BM527" s="341"/>
      <c r="BN527" s="341"/>
      <c r="BO527" s="341"/>
      <c r="BP527" s="341"/>
      <c r="BQ527" s="341"/>
      <c r="BR527" s="341"/>
      <c r="BS527" s="341"/>
      <c r="BT527" s="110"/>
      <c r="BU527" s="108"/>
      <c r="BV527" s="108"/>
      <c r="BW527" s="108"/>
    </row>
    <row r="528" spans="1:75" s="218" customFormat="1" ht="13.5" customHeight="1">
      <c r="A528" s="397" t="s">
        <v>233</v>
      </c>
      <c r="B528" s="90">
        <v>3184601</v>
      </c>
      <c r="C528" s="51">
        <v>3210103</v>
      </c>
      <c r="D528" s="51">
        <v>3271773</v>
      </c>
      <c r="E528" s="51">
        <v>3340596</v>
      </c>
      <c r="F528" s="51">
        <v>3309316</v>
      </c>
      <c r="G528" s="51">
        <v>3384868</v>
      </c>
      <c r="H528" s="51">
        <v>3524752</v>
      </c>
      <c r="I528" s="51">
        <v>3664835</v>
      </c>
      <c r="J528" s="51">
        <v>3706479</v>
      </c>
      <c r="K528" s="51">
        <v>3701371</v>
      </c>
      <c r="L528" s="51">
        <v>3663198</v>
      </c>
      <c r="M528" s="53">
        <v>3553216</v>
      </c>
      <c r="N528" s="101"/>
      <c r="O528" s="341"/>
      <c r="P528" s="341"/>
      <c r="Q528" s="341"/>
      <c r="R528" s="341"/>
      <c r="S528" s="341"/>
      <c r="T528" s="341"/>
      <c r="U528" s="341"/>
      <c r="V528" s="341"/>
      <c r="W528" s="341"/>
      <c r="X528" s="341"/>
      <c r="Y528" s="341"/>
      <c r="Z528" s="341"/>
      <c r="AA528" s="341"/>
      <c r="AB528" s="341"/>
      <c r="AC528" s="341"/>
      <c r="AD528" s="341"/>
      <c r="AE528" s="341"/>
      <c r="AF528" s="341"/>
      <c r="AG528" s="341"/>
      <c r="AH528" s="341"/>
      <c r="AI528" s="341"/>
      <c r="AJ528" s="341"/>
      <c r="AK528" s="341"/>
      <c r="AL528" s="341"/>
      <c r="AM528" s="341"/>
      <c r="AN528" s="341"/>
      <c r="AO528" s="341"/>
      <c r="AP528" s="341"/>
      <c r="AQ528" s="341"/>
      <c r="AR528" s="341"/>
      <c r="AS528" s="341"/>
      <c r="AT528" s="341"/>
      <c r="AU528" s="341"/>
      <c r="AV528" s="341"/>
      <c r="AW528" s="341"/>
      <c r="AX528" s="341"/>
      <c r="AY528" s="341"/>
      <c r="AZ528" s="341"/>
      <c r="BA528" s="341"/>
      <c r="BB528" s="341"/>
      <c r="BC528" s="341"/>
      <c r="BD528" s="341"/>
      <c r="BE528" s="341"/>
      <c r="BF528" s="341"/>
      <c r="BG528" s="341"/>
      <c r="BH528" s="341"/>
      <c r="BI528" s="341"/>
      <c r="BJ528" s="341"/>
      <c r="BK528" s="341"/>
      <c r="BL528" s="341"/>
      <c r="BM528" s="341"/>
      <c r="BN528" s="341"/>
      <c r="BO528" s="341"/>
      <c r="BP528" s="341"/>
      <c r="BQ528" s="341"/>
      <c r="BR528" s="341"/>
      <c r="BS528" s="341"/>
      <c r="BT528" s="110"/>
      <c r="BU528" s="108"/>
      <c r="BV528" s="108"/>
      <c r="BW528" s="108"/>
    </row>
    <row r="529" spans="1:75" s="218" customFormat="1" ht="13.5" customHeight="1">
      <c r="A529" s="397" t="s">
        <v>361</v>
      </c>
      <c r="B529" s="90">
        <v>1214288</v>
      </c>
      <c r="C529" s="51">
        <v>1205528</v>
      </c>
      <c r="D529" s="51">
        <v>1215076</v>
      </c>
      <c r="E529" s="51">
        <v>1225169</v>
      </c>
      <c r="F529" s="51">
        <v>1211159</v>
      </c>
      <c r="G529" s="51">
        <v>1137076</v>
      </c>
      <c r="H529" s="51">
        <v>1155716</v>
      </c>
      <c r="I529" s="51">
        <v>1158896</v>
      </c>
      <c r="J529" s="51">
        <v>1156404</v>
      </c>
      <c r="K529" s="51">
        <v>1165359</v>
      </c>
      <c r="L529" s="51">
        <v>1172383</v>
      </c>
      <c r="M529" s="53">
        <v>1152887</v>
      </c>
      <c r="N529" s="101"/>
      <c r="O529" s="341"/>
      <c r="P529" s="341"/>
      <c r="Q529" s="341"/>
      <c r="R529" s="341"/>
      <c r="S529" s="341"/>
      <c r="T529" s="341"/>
      <c r="U529" s="341"/>
      <c r="V529" s="341"/>
      <c r="W529" s="341"/>
      <c r="X529" s="341"/>
      <c r="Y529" s="341"/>
      <c r="Z529" s="341"/>
      <c r="AA529" s="341"/>
      <c r="AB529" s="341"/>
      <c r="AC529" s="341"/>
      <c r="AD529" s="341"/>
      <c r="AE529" s="341"/>
      <c r="AF529" s="341"/>
      <c r="AG529" s="341"/>
      <c r="AH529" s="341"/>
      <c r="AI529" s="341"/>
      <c r="AJ529" s="341"/>
      <c r="AK529" s="341"/>
      <c r="AL529" s="341"/>
      <c r="AM529" s="341"/>
      <c r="AN529" s="341"/>
      <c r="AO529" s="341"/>
      <c r="AP529" s="341"/>
      <c r="AQ529" s="341"/>
      <c r="AR529" s="341"/>
      <c r="AS529" s="341"/>
      <c r="AT529" s="341"/>
      <c r="AU529" s="341"/>
      <c r="AV529" s="341"/>
      <c r="AW529" s="341"/>
      <c r="AX529" s="341"/>
      <c r="AY529" s="341"/>
      <c r="AZ529" s="341"/>
      <c r="BA529" s="341"/>
      <c r="BB529" s="341"/>
      <c r="BC529" s="341"/>
      <c r="BD529" s="341"/>
      <c r="BE529" s="341"/>
      <c r="BF529" s="341"/>
      <c r="BG529" s="341"/>
      <c r="BH529" s="341"/>
      <c r="BI529" s="341"/>
      <c r="BJ529" s="341"/>
      <c r="BK529" s="341"/>
      <c r="BL529" s="341"/>
      <c r="BM529" s="341"/>
      <c r="BN529" s="341"/>
      <c r="BO529" s="341"/>
      <c r="BP529" s="341"/>
      <c r="BQ529" s="341"/>
      <c r="BR529" s="341"/>
      <c r="BS529" s="341"/>
      <c r="BT529" s="110"/>
      <c r="BU529" s="108"/>
      <c r="BV529" s="108"/>
      <c r="BW529" s="108"/>
    </row>
    <row r="530" spans="1:75" s="218" customFormat="1" ht="13.5" customHeight="1">
      <c r="A530" s="397" t="s">
        <v>228</v>
      </c>
      <c r="B530" s="90">
        <v>659848</v>
      </c>
      <c r="C530" s="51">
        <v>652036</v>
      </c>
      <c r="D530" s="51">
        <v>618397</v>
      </c>
      <c r="E530" s="51">
        <v>636433</v>
      </c>
      <c r="F530" s="51">
        <v>660295</v>
      </c>
      <c r="G530" s="51">
        <v>696529</v>
      </c>
      <c r="H530" s="51">
        <v>698598</v>
      </c>
      <c r="I530" s="51">
        <v>696250</v>
      </c>
      <c r="J530" s="51">
        <v>711454</v>
      </c>
      <c r="K530" s="51">
        <v>720843</v>
      </c>
      <c r="L530" s="51">
        <v>731900</v>
      </c>
      <c r="M530" s="53">
        <v>716896</v>
      </c>
      <c r="N530" s="101"/>
      <c r="O530" s="341"/>
      <c r="P530" s="341"/>
      <c r="Q530" s="341"/>
      <c r="R530" s="341"/>
      <c r="S530" s="341"/>
      <c r="T530" s="341"/>
      <c r="U530" s="341"/>
      <c r="V530" s="341"/>
      <c r="W530" s="341"/>
      <c r="X530" s="341"/>
      <c r="Y530" s="341"/>
      <c r="Z530" s="341"/>
      <c r="AA530" s="341"/>
      <c r="AB530" s="341"/>
      <c r="AC530" s="341"/>
      <c r="AD530" s="341"/>
      <c r="AE530" s="341"/>
      <c r="AF530" s="341"/>
      <c r="AG530" s="341"/>
      <c r="AH530" s="341"/>
      <c r="AI530" s="341"/>
      <c r="AJ530" s="341"/>
      <c r="AK530" s="341"/>
      <c r="AL530" s="341"/>
      <c r="AM530" s="341"/>
      <c r="AN530" s="341"/>
      <c r="AO530" s="341"/>
      <c r="AP530" s="341"/>
      <c r="AQ530" s="341"/>
      <c r="AR530" s="341"/>
      <c r="AS530" s="341"/>
      <c r="AT530" s="341"/>
      <c r="AU530" s="341"/>
      <c r="AV530" s="341"/>
      <c r="AW530" s="341"/>
      <c r="AX530" s="341"/>
      <c r="AY530" s="341"/>
      <c r="AZ530" s="341"/>
      <c r="BA530" s="341"/>
      <c r="BB530" s="341"/>
      <c r="BC530" s="341"/>
      <c r="BD530" s="341"/>
      <c r="BE530" s="341"/>
      <c r="BF530" s="341"/>
      <c r="BG530" s="341"/>
      <c r="BH530" s="341"/>
      <c r="BI530" s="341"/>
      <c r="BJ530" s="341"/>
      <c r="BK530" s="341"/>
      <c r="BL530" s="341"/>
      <c r="BM530" s="341"/>
      <c r="BN530" s="341"/>
      <c r="BO530" s="341"/>
      <c r="BP530" s="341"/>
      <c r="BQ530" s="341"/>
      <c r="BR530" s="341"/>
      <c r="BS530" s="341"/>
      <c r="BT530" s="110"/>
      <c r="BU530" s="108"/>
      <c r="BV530" s="108"/>
      <c r="BW530" s="108"/>
    </row>
    <row r="531" spans="1:75" s="218" customFormat="1" ht="13.5" customHeight="1">
      <c r="A531" s="191" t="s">
        <v>362</v>
      </c>
      <c r="B531" s="340">
        <v>6163802</v>
      </c>
      <c r="C531" s="341">
        <v>5983513</v>
      </c>
      <c r="D531" s="341">
        <v>6247571</v>
      </c>
      <c r="E531" s="341">
        <v>6195601</v>
      </c>
      <c r="F531" s="341">
        <v>6252276</v>
      </c>
      <c r="G531" s="341">
        <v>6230308</v>
      </c>
      <c r="H531" s="341">
        <v>6243847</v>
      </c>
      <c r="I531" s="341">
        <v>6269451</v>
      </c>
      <c r="J531" s="341">
        <v>6294036</v>
      </c>
      <c r="K531" s="341">
        <v>6219195</v>
      </c>
      <c r="L531" s="341">
        <v>6143472</v>
      </c>
      <c r="M531" s="339">
        <v>6230075</v>
      </c>
      <c r="N531" s="101"/>
      <c r="O531" s="341"/>
      <c r="P531" s="341"/>
      <c r="Q531" s="341"/>
      <c r="R531" s="341"/>
      <c r="S531" s="341"/>
      <c r="T531" s="341"/>
      <c r="U531" s="341"/>
      <c r="V531" s="341"/>
      <c r="W531" s="341"/>
      <c r="X531" s="341"/>
      <c r="Y531" s="341"/>
      <c r="Z531" s="341"/>
      <c r="AA531" s="341"/>
      <c r="AB531" s="341"/>
      <c r="AC531" s="341"/>
      <c r="AD531" s="341"/>
      <c r="AE531" s="341"/>
      <c r="AF531" s="341"/>
      <c r="AG531" s="341"/>
      <c r="AH531" s="341"/>
      <c r="AI531" s="341"/>
      <c r="AJ531" s="341"/>
      <c r="AK531" s="341"/>
      <c r="AL531" s="341"/>
      <c r="AM531" s="341"/>
      <c r="AN531" s="341"/>
      <c r="AO531" s="341"/>
      <c r="AP531" s="341"/>
      <c r="AQ531" s="341"/>
      <c r="AR531" s="341"/>
      <c r="AS531" s="341"/>
      <c r="AT531" s="341"/>
      <c r="AU531" s="341"/>
      <c r="AV531" s="341"/>
      <c r="AW531" s="341"/>
      <c r="AX531" s="341"/>
      <c r="AY531" s="341"/>
      <c r="AZ531" s="341"/>
      <c r="BA531" s="341"/>
      <c r="BB531" s="341"/>
      <c r="BC531" s="341"/>
      <c r="BD531" s="341"/>
      <c r="BE531" s="341"/>
      <c r="BF531" s="341"/>
      <c r="BG531" s="341"/>
      <c r="BH531" s="341"/>
      <c r="BI531" s="341"/>
      <c r="BJ531" s="341"/>
      <c r="BK531" s="341"/>
      <c r="BL531" s="341"/>
      <c r="BM531" s="341"/>
      <c r="BN531" s="341"/>
      <c r="BO531" s="341"/>
      <c r="BP531" s="341"/>
      <c r="BQ531" s="341"/>
      <c r="BR531" s="341"/>
      <c r="BS531" s="341"/>
      <c r="BT531" s="110"/>
      <c r="BU531" s="108"/>
      <c r="BV531" s="108"/>
      <c r="BW531" s="108"/>
    </row>
    <row r="532" spans="1:75" s="218" customFormat="1" ht="13.5" customHeight="1">
      <c r="A532" s="397" t="s">
        <v>235</v>
      </c>
      <c r="B532" s="90">
        <v>1478183</v>
      </c>
      <c r="C532" s="51">
        <v>1473191</v>
      </c>
      <c r="D532" s="51">
        <v>1529467</v>
      </c>
      <c r="E532" s="51">
        <v>1522109</v>
      </c>
      <c r="F532" s="51">
        <v>1598468</v>
      </c>
      <c r="G532" s="51">
        <v>1634896</v>
      </c>
      <c r="H532" s="51">
        <v>1648859</v>
      </c>
      <c r="I532" s="51">
        <v>1669539</v>
      </c>
      <c r="J532" s="51">
        <v>1675901</v>
      </c>
      <c r="K532" s="51">
        <v>1697255</v>
      </c>
      <c r="L532" s="51">
        <v>1645774</v>
      </c>
      <c r="M532" s="53">
        <v>1660230</v>
      </c>
      <c r="N532" s="101"/>
      <c r="O532" s="341"/>
      <c r="P532" s="341"/>
      <c r="Q532" s="341"/>
      <c r="R532" s="341"/>
      <c r="S532" s="341"/>
      <c r="T532" s="341"/>
      <c r="U532" s="341"/>
      <c r="V532" s="341"/>
      <c r="W532" s="341"/>
      <c r="X532" s="341"/>
      <c r="Y532" s="341"/>
      <c r="Z532" s="341"/>
      <c r="AA532" s="341"/>
      <c r="AB532" s="341"/>
      <c r="AC532" s="341"/>
      <c r="AD532" s="341"/>
      <c r="AE532" s="341"/>
      <c r="AF532" s="341"/>
      <c r="AG532" s="341"/>
      <c r="AH532" s="341"/>
      <c r="AI532" s="341"/>
      <c r="AJ532" s="341"/>
      <c r="AK532" s="341"/>
      <c r="AL532" s="341"/>
      <c r="AM532" s="341"/>
      <c r="AN532" s="341"/>
      <c r="AO532" s="341"/>
      <c r="AP532" s="341"/>
      <c r="AQ532" s="341"/>
      <c r="AR532" s="341"/>
      <c r="AS532" s="341"/>
      <c r="AT532" s="341"/>
      <c r="AU532" s="341"/>
      <c r="AV532" s="341"/>
      <c r="AW532" s="341"/>
      <c r="AX532" s="341"/>
      <c r="AY532" s="341"/>
      <c r="AZ532" s="341"/>
      <c r="BA532" s="341"/>
      <c r="BB532" s="341"/>
      <c r="BC532" s="341"/>
      <c r="BD532" s="341"/>
      <c r="BE532" s="341"/>
      <c r="BF532" s="341"/>
      <c r="BG532" s="341"/>
      <c r="BH532" s="341"/>
      <c r="BI532" s="341"/>
      <c r="BJ532" s="341"/>
      <c r="BK532" s="341"/>
      <c r="BL532" s="341"/>
      <c r="BM532" s="341"/>
      <c r="BN532" s="341"/>
      <c r="BO532" s="341"/>
      <c r="BP532" s="341"/>
      <c r="BQ532" s="341"/>
      <c r="BR532" s="341"/>
      <c r="BS532" s="341"/>
      <c r="BT532" s="110"/>
      <c r="BU532" s="108"/>
      <c r="BV532" s="108"/>
      <c r="BW532" s="108"/>
    </row>
    <row r="533" spans="1:75" s="218" customFormat="1" ht="13.5" customHeight="1">
      <c r="A533" s="397" t="s">
        <v>239</v>
      </c>
      <c r="B533" s="90">
        <v>1610121</v>
      </c>
      <c r="C533" s="51">
        <v>1545366</v>
      </c>
      <c r="D533" s="51">
        <v>1582721</v>
      </c>
      <c r="E533" s="51">
        <v>1560192</v>
      </c>
      <c r="F533" s="51">
        <v>1546344</v>
      </c>
      <c r="G533" s="51">
        <v>1571619</v>
      </c>
      <c r="H533" s="51">
        <v>1549024</v>
      </c>
      <c r="I533" s="51">
        <v>1542612</v>
      </c>
      <c r="J533" s="51">
        <v>1543662</v>
      </c>
      <c r="K533" s="51">
        <v>1533953</v>
      </c>
      <c r="L533" s="51">
        <v>1433026</v>
      </c>
      <c r="M533" s="53">
        <v>1484213</v>
      </c>
      <c r="N533" s="101"/>
      <c r="O533" s="341"/>
      <c r="P533" s="341"/>
      <c r="Q533" s="341"/>
      <c r="R533" s="341"/>
      <c r="S533" s="341"/>
      <c r="T533" s="341"/>
      <c r="U533" s="341"/>
      <c r="V533" s="341"/>
      <c r="W533" s="341"/>
      <c r="X533" s="341"/>
      <c r="Y533" s="341"/>
      <c r="Z533" s="341"/>
      <c r="AA533" s="341"/>
      <c r="AB533" s="341"/>
      <c r="AC533" s="341"/>
      <c r="AD533" s="341"/>
      <c r="AE533" s="341"/>
      <c r="AF533" s="341"/>
      <c r="AG533" s="341"/>
      <c r="AH533" s="341"/>
      <c r="AI533" s="341"/>
      <c r="AJ533" s="341"/>
      <c r="AK533" s="341"/>
      <c r="AL533" s="341"/>
      <c r="AM533" s="341"/>
      <c r="AN533" s="341"/>
      <c r="AO533" s="341"/>
      <c r="AP533" s="341"/>
      <c r="AQ533" s="341"/>
      <c r="AR533" s="341"/>
      <c r="AS533" s="341"/>
      <c r="AT533" s="341"/>
      <c r="AU533" s="341"/>
      <c r="AV533" s="341"/>
      <c r="AW533" s="341"/>
      <c r="AX533" s="341"/>
      <c r="AY533" s="341"/>
      <c r="AZ533" s="341"/>
      <c r="BA533" s="341"/>
      <c r="BB533" s="341"/>
      <c r="BC533" s="341"/>
      <c r="BD533" s="341"/>
      <c r="BE533" s="341"/>
      <c r="BF533" s="341"/>
      <c r="BG533" s="341"/>
      <c r="BH533" s="341"/>
      <c r="BI533" s="341"/>
      <c r="BJ533" s="341"/>
      <c r="BK533" s="341"/>
      <c r="BL533" s="341"/>
      <c r="BM533" s="341"/>
      <c r="BN533" s="341"/>
      <c r="BO533" s="341"/>
      <c r="BP533" s="341"/>
      <c r="BQ533" s="341"/>
      <c r="BR533" s="341"/>
      <c r="BS533" s="341"/>
      <c r="BT533" s="110"/>
      <c r="BU533" s="108"/>
      <c r="BV533" s="108"/>
      <c r="BW533" s="108"/>
    </row>
    <row r="534" spans="1:75" s="218" customFormat="1" ht="13.5" customHeight="1">
      <c r="A534" s="397" t="s">
        <v>236</v>
      </c>
      <c r="B534" s="90">
        <v>1753273</v>
      </c>
      <c r="C534" s="51">
        <v>1636669</v>
      </c>
      <c r="D534" s="51">
        <v>1698404</v>
      </c>
      <c r="E534" s="51">
        <v>1726472</v>
      </c>
      <c r="F534" s="51">
        <v>1722731</v>
      </c>
      <c r="G534" s="51">
        <v>1631701</v>
      </c>
      <c r="H534" s="51">
        <v>1616622</v>
      </c>
      <c r="I534" s="51">
        <v>1598477</v>
      </c>
      <c r="J534" s="51">
        <v>1613131</v>
      </c>
      <c r="K534" s="51">
        <v>1502799</v>
      </c>
      <c r="L534" s="51">
        <v>1562440</v>
      </c>
      <c r="M534" s="53">
        <v>1501716</v>
      </c>
      <c r="N534" s="101"/>
      <c r="O534" s="341"/>
      <c r="P534" s="341"/>
      <c r="Q534" s="341"/>
      <c r="R534" s="341"/>
      <c r="S534" s="341"/>
      <c r="T534" s="341"/>
      <c r="U534" s="341"/>
      <c r="V534" s="341"/>
      <c r="W534" s="341"/>
      <c r="X534" s="341"/>
      <c r="Y534" s="341"/>
      <c r="Z534" s="341"/>
      <c r="AA534" s="341"/>
      <c r="AB534" s="341"/>
      <c r="AC534" s="341"/>
      <c r="AD534" s="341"/>
      <c r="AE534" s="341"/>
      <c r="AF534" s="341"/>
      <c r="AG534" s="341"/>
      <c r="AH534" s="341"/>
      <c r="AI534" s="341"/>
      <c r="AJ534" s="341"/>
      <c r="AK534" s="341"/>
      <c r="AL534" s="341"/>
      <c r="AM534" s="341"/>
      <c r="AN534" s="341"/>
      <c r="AO534" s="341"/>
      <c r="AP534" s="341"/>
      <c r="AQ534" s="341"/>
      <c r="AR534" s="341"/>
      <c r="AS534" s="341"/>
      <c r="AT534" s="341"/>
      <c r="AU534" s="341"/>
      <c r="AV534" s="341"/>
      <c r="AW534" s="341"/>
      <c r="AX534" s="341"/>
      <c r="AY534" s="341"/>
      <c r="AZ534" s="341"/>
      <c r="BA534" s="341"/>
      <c r="BB534" s="341"/>
      <c r="BC534" s="341"/>
      <c r="BD534" s="341"/>
      <c r="BE534" s="341"/>
      <c r="BF534" s="341"/>
      <c r="BG534" s="341"/>
      <c r="BH534" s="341"/>
      <c r="BI534" s="341"/>
      <c r="BJ534" s="341"/>
      <c r="BK534" s="341"/>
      <c r="BL534" s="341"/>
      <c r="BM534" s="341"/>
      <c r="BN534" s="341"/>
      <c r="BO534" s="341"/>
      <c r="BP534" s="341"/>
      <c r="BQ534" s="341"/>
      <c r="BR534" s="341"/>
      <c r="BS534" s="341"/>
      <c r="BT534" s="110"/>
      <c r="BU534" s="108"/>
      <c r="BV534" s="108"/>
      <c r="BW534" s="108"/>
    </row>
    <row r="535" spans="1:75" s="218" customFormat="1" ht="13.5" customHeight="1">
      <c r="A535" s="397" t="s">
        <v>237</v>
      </c>
      <c r="B535" s="90">
        <v>798215</v>
      </c>
      <c r="C535" s="51">
        <v>791171</v>
      </c>
      <c r="D535" s="51">
        <v>811882</v>
      </c>
      <c r="E535" s="51">
        <v>820727</v>
      </c>
      <c r="F535" s="51">
        <v>820377</v>
      </c>
      <c r="G535" s="51">
        <v>826899</v>
      </c>
      <c r="H535" s="51">
        <v>839913</v>
      </c>
      <c r="I535" s="51">
        <v>862890</v>
      </c>
      <c r="J535" s="51">
        <v>861893</v>
      </c>
      <c r="K535" s="51">
        <v>846698</v>
      </c>
      <c r="L535" s="51">
        <v>832322</v>
      </c>
      <c r="M535" s="53">
        <v>849954</v>
      </c>
      <c r="N535" s="101"/>
      <c r="O535" s="341"/>
      <c r="P535" s="341"/>
      <c r="Q535" s="341"/>
      <c r="R535" s="341"/>
      <c r="S535" s="341"/>
      <c r="T535" s="341"/>
      <c r="U535" s="341"/>
      <c r="V535" s="341"/>
      <c r="W535" s="341"/>
      <c r="X535" s="341"/>
      <c r="Y535" s="341"/>
      <c r="Z535" s="341"/>
      <c r="AA535" s="341"/>
      <c r="AB535" s="341"/>
      <c r="AC535" s="341"/>
      <c r="AD535" s="341"/>
      <c r="AE535" s="341"/>
      <c r="AF535" s="341"/>
      <c r="AG535" s="341"/>
      <c r="AH535" s="341"/>
      <c r="AI535" s="341"/>
      <c r="AJ535" s="341"/>
      <c r="AK535" s="341"/>
      <c r="AL535" s="341"/>
      <c r="AM535" s="341"/>
      <c r="AN535" s="341"/>
      <c r="AO535" s="341"/>
      <c r="AP535" s="341"/>
      <c r="AQ535" s="341"/>
      <c r="AR535" s="341"/>
      <c r="AS535" s="341"/>
      <c r="AT535" s="341"/>
      <c r="AU535" s="341"/>
      <c r="AV535" s="341"/>
      <c r="AW535" s="341"/>
      <c r="AX535" s="341"/>
      <c r="AY535" s="341"/>
      <c r="AZ535" s="341"/>
      <c r="BA535" s="341"/>
      <c r="BB535" s="341"/>
      <c r="BC535" s="341"/>
      <c r="BD535" s="341"/>
      <c r="BE535" s="341"/>
      <c r="BF535" s="341"/>
      <c r="BG535" s="341"/>
      <c r="BH535" s="341"/>
      <c r="BI535" s="341"/>
      <c r="BJ535" s="341"/>
      <c r="BK535" s="341"/>
      <c r="BL535" s="341"/>
      <c r="BM535" s="341"/>
      <c r="BN535" s="341"/>
      <c r="BO535" s="341"/>
      <c r="BP535" s="341"/>
      <c r="BQ535" s="341"/>
      <c r="BR535" s="341"/>
      <c r="BS535" s="341"/>
      <c r="BT535" s="110"/>
      <c r="BU535" s="108"/>
      <c r="BV535" s="108"/>
      <c r="BW535" s="108"/>
    </row>
    <row r="536" spans="1:75" s="218" customFormat="1" ht="13.5" customHeight="1">
      <c r="A536" s="397" t="s">
        <v>234</v>
      </c>
      <c r="B536" s="90">
        <v>96446</v>
      </c>
      <c r="C536" s="51">
        <v>95516</v>
      </c>
      <c r="D536" s="51">
        <v>101425</v>
      </c>
      <c r="E536" s="51">
        <v>96066</v>
      </c>
      <c r="F536" s="51">
        <v>112894</v>
      </c>
      <c r="G536" s="51">
        <v>127372</v>
      </c>
      <c r="H536" s="51">
        <v>137143</v>
      </c>
      <c r="I536" s="51">
        <v>138389</v>
      </c>
      <c r="J536" s="51">
        <v>125164</v>
      </c>
      <c r="K536" s="51">
        <v>135135</v>
      </c>
      <c r="L536" s="51">
        <v>149837</v>
      </c>
      <c r="M536" s="53">
        <v>157878</v>
      </c>
      <c r="N536" s="101"/>
      <c r="O536" s="341"/>
      <c r="P536" s="341"/>
      <c r="Q536" s="341"/>
      <c r="R536" s="341"/>
      <c r="S536" s="341"/>
      <c r="T536" s="341"/>
      <c r="U536" s="341"/>
      <c r="V536" s="341"/>
      <c r="W536" s="341"/>
      <c r="X536" s="341"/>
      <c r="Y536" s="341"/>
      <c r="Z536" s="341"/>
      <c r="AA536" s="341"/>
      <c r="AB536" s="341"/>
      <c r="AC536" s="341"/>
      <c r="AD536" s="341"/>
      <c r="AE536" s="341"/>
      <c r="AF536" s="341"/>
      <c r="AG536" s="341"/>
      <c r="AH536" s="341"/>
      <c r="AI536" s="341"/>
      <c r="AJ536" s="341"/>
      <c r="AK536" s="341"/>
      <c r="AL536" s="341"/>
      <c r="AM536" s="341"/>
      <c r="AN536" s="341"/>
      <c r="AO536" s="341"/>
      <c r="AP536" s="341"/>
      <c r="AQ536" s="341"/>
      <c r="AR536" s="341"/>
      <c r="AS536" s="341"/>
      <c r="AT536" s="341"/>
      <c r="AU536" s="341"/>
      <c r="AV536" s="341"/>
      <c r="AW536" s="341"/>
      <c r="AX536" s="341"/>
      <c r="AY536" s="341"/>
      <c r="AZ536" s="341"/>
      <c r="BA536" s="341"/>
      <c r="BB536" s="341"/>
      <c r="BC536" s="341"/>
      <c r="BD536" s="341"/>
      <c r="BE536" s="341"/>
      <c r="BF536" s="341"/>
      <c r="BG536" s="341"/>
      <c r="BH536" s="341"/>
      <c r="BI536" s="341"/>
      <c r="BJ536" s="341"/>
      <c r="BK536" s="341"/>
      <c r="BL536" s="341"/>
      <c r="BM536" s="341"/>
      <c r="BN536" s="341"/>
      <c r="BO536" s="341"/>
      <c r="BP536" s="341"/>
      <c r="BQ536" s="341"/>
      <c r="BR536" s="341"/>
      <c r="BS536" s="341"/>
      <c r="BT536" s="110"/>
      <c r="BU536" s="108"/>
      <c r="BV536" s="108"/>
      <c r="BW536" s="108"/>
    </row>
    <row r="537" spans="1:75" s="218" customFormat="1" ht="13.5" customHeight="1">
      <c r="A537" s="397" t="s">
        <v>238</v>
      </c>
      <c r="B537" s="90">
        <v>427564</v>
      </c>
      <c r="C537" s="51">
        <v>441600</v>
      </c>
      <c r="D537" s="51">
        <v>523672</v>
      </c>
      <c r="E537" s="51">
        <v>470035</v>
      </c>
      <c r="F537" s="51">
        <v>451462</v>
      </c>
      <c r="G537" s="51">
        <v>437821</v>
      </c>
      <c r="H537" s="51">
        <v>452286</v>
      </c>
      <c r="I537" s="51">
        <v>457544</v>
      </c>
      <c r="J537" s="51">
        <v>474285</v>
      </c>
      <c r="K537" s="51">
        <v>503355</v>
      </c>
      <c r="L537" s="51">
        <v>520073</v>
      </c>
      <c r="M537" s="53">
        <v>576084</v>
      </c>
      <c r="N537" s="101"/>
      <c r="O537" s="341"/>
      <c r="P537" s="341"/>
      <c r="Q537" s="341"/>
      <c r="R537" s="341"/>
      <c r="S537" s="341"/>
      <c r="T537" s="341"/>
      <c r="U537" s="341"/>
      <c r="V537" s="341"/>
      <c r="W537" s="341"/>
      <c r="X537" s="341"/>
      <c r="Y537" s="341"/>
      <c r="Z537" s="341"/>
      <c r="AA537" s="341"/>
      <c r="AB537" s="341"/>
      <c r="AC537" s="341"/>
      <c r="AD537" s="341"/>
      <c r="AE537" s="341"/>
      <c r="AF537" s="341"/>
      <c r="AG537" s="341"/>
      <c r="AH537" s="341"/>
      <c r="AI537" s="341"/>
      <c r="AJ537" s="341"/>
      <c r="AK537" s="341"/>
      <c r="AL537" s="341"/>
      <c r="AM537" s="341"/>
      <c r="AN537" s="341"/>
      <c r="AO537" s="341"/>
      <c r="AP537" s="341"/>
      <c r="AQ537" s="341"/>
      <c r="AR537" s="341"/>
      <c r="AS537" s="341"/>
      <c r="AT537" s="341"/>
      <c r="AU537" s="341"/>
      <c r="AV537" s="341"/>
      <c r="AW537" s="341"/>
      <c r="AX537" s="341"/>
      <c r="AY537" s="341"/>
      <c r="AZ537" s="341"/>
      <c r="BA537" s="341"/>
      <c r="BB537" s="341"/>
      <c r="BC537" s="341"/>
      <c r="BD537" s="341"/>
      <c r="BE537" s="341"/>
      <c r="BF537" s="341"/>
      <c r="BG537" s="341"/>
      <c r="BH537" s="341"/>
      <c r="BI537" s="341"/>
      <c r="BJ537" s="341"/>
      <c r="BK537" s="341"/>
      <c r="BL537" s="341"/>
      <c r="BM537" s="341"/>
      <c r="BN537" s="341"/>
      <c r="BO537" s="341"/>
      <c r="BP537" s="341"/>
      <c r="BQ537" s="341"/>
      <c r="BR537" s="341"/>
      <c r="BS537" s="341"/>
      <c r="BT537" s="110"/>
      <c r="BU537" s="108"/>
      <c r="BV537" s="108"/>
      <c r="BW537" s="108"/>
    </row>
    <row r="538" spans="1:75" s="218" customFormat="1" ht="13.5" customHeight="1" thickBot="1">
      <c r="A538" s="214" t="s">
        <v>18</v>
      </c>
      <c r="B538" s="98">
        <v>23657609</v>
      </c>
      <c r="C538" s="99">
        <v>23732174</v>
      </c>
      <c r="D538" s="99">
        <v>24336534</v>
      </c>
      <c r="E538" s="99">
        <v>24795476</v>
      </c>
      <c r="F538" s="99">
        <v>25550403</v>
      </c>
      <c r="G538" s="99">
        <v>26006177</v>
      </c>
      <c r="H538" s="99">
        <v>26297944</v>
      </c>
      <c r="I538" s="99">
        <v>26682068</v>
      </c>
      <c r="J538" s="99">
        <v>26903799</v>
      </c>
      <c r="K538" s="99">
        <v>27209847</v>
      </c>
      <c r="L538" s="99">
        <v>27205290</v>
      </c>
      <c r="M538" s="100">
        <v>27574017</v>
      </c>
      <c r="N538" s="101"/>
      <c r="O538" s="341"/>
      <c r="P538" s="341"/>
      <c r="Q538" s="341"/>
      <c r="R538" s="341"/>
      <c r="S538" s="341"/>
      <c r="T538" s="341"/>
      <c r="U538" s="341"/>
      <c r="V538" s="341"/>
      <c r="W538" s="341"/>
      <c r="X538" s="341"/>
      <c r="Y538" s="341"/>
      <c r="Z538" s="341"/>
      <c r="AA538" s="341"/>
      <c r="AB538" s="341"/>
      <c r="AC538" s="341"/>
      <c r="AD538" s="341"/>
      <c r="AE538" s="341"/>
      <c r="AF538" s="341"/>
      <c r="AG538" s="341"/>
      <c r="AH538" s="341"/>
      <c r="AI538" s="341"/>
      <c r="AJ538" s="341"/>
      <c r="AK538" s="341"/>
      <c r="AL538" s="341"/>
      <c r="AM538" s="341"/>
      <c r="AN538" s="341"/>
      <c r="AO538" s="341"/>
      <c r="AP538" s="341"/>
      <c r="AQ538" s="341"/>
      <c r="AR538" s="341"/>
      <c r="AS538" s="341"/>
      <c r="AT538" s="341"/>
      <c r="AU538" s="341"/>
      <c r="AV538" s="341"/>
      <c r="AW538" s="341"/>
      <c r="AX538" s="341"/>
      <c r="AY538" s="341"/>
      <c r="AZ538" s="341"/>
      <c r="BA538" s="341"/>
      <c r="BB538" s="341"/>
      <c r="BC538" s="341"/>
      <c r="BD538" s="341"/>
      <c r="BE538" s="341"/>
      <c r="BF538" s="341"/>
      <c r="BG538" s="341"/>
      <c r="BH538" s="341"/>
      <c r="BI538" s="341"/>
      <c r="BJ538" s="341"/>
      <c r="BK538" s="341"/>
      <c r="BL538" s="341"/>
      <c r="BM538" s="341"/>
      <c r="BN538" s="341"/>
      <c r="BO538" s="341"/>
      <c r="BP538" s="341"/>
      <c r="BQ538" s="341"/>
      <c r="BR538" s="341"/>
      <c r="BS538" s="341"/>
      <c r="BT538" s="110"/>
      <c r="BU538" s="108"/>
      <c r="BV538" s="108"/>
      <c r="BW538" s="108"/>
    </row>
    <row r="539" spans="1:75" s="218" customFormat="1" ht="13.5" customHeight="1" thickBot="1">
      <c r="A539" s="398"/>
      <c r="B539" s="341"/>
      <c r="C539" s="341"/>
      <c r="D539" s="341"/>
      <c r="E539" s="341"/>
      <c r="F539" s="341"/>
      <c r="G539" s="341"/>
      <c r="H539" s="341"/>
      <c r="I539" s="341"/>
      <c r="J539" s="341"/>
      <c r="K539" s="341"/>
      <c r="L539" s="341"/>
      <c r="M539" s="341"/>
      <c r="N539" s="101"/>
      <c r="O539" s="341"/>
      <c r="P539" s="341"/>
      <c r="Q539" s="341"/>
      <c r="R539" s="341"/>
      <c r="S539" s="341"/>
      <c r="T539" s="341"/>
      <c r="U539" s="341"/>
      <c r="V539" s="341"/>
      <c r="W539" s="341"/>
      <c r="X539" s="341"/>
      <c r="Y539" s="341"/>
      <c r="Z539" s="341"/>
      <c r="AA539" s="341"/>
      <c r="AB539" s="341"/>
      <c r="AC539" s="341"/>
      <c r="AD539" s="341"/>
      <c r="AE539" s="341"/>
      <c r="AF539" s="341"/>
      <c r="AG539" s="341"/>
      <c r="AH539" s="341"/>
      <c r="AI539" s="341"/>
      <c r="AJ539" s="341"/>
      <c r="AK539" s="341"/>
      <c r="AL539" s="341"/>
      <c r="AM539" s="341"/>
      <c r="AN539" s="341"/>
      <c r="AO539" s="341"/>
      <c r="AP539" s="341"/>
      <c r="AQ539" s="341"/>
      <c r="AR539" s="341"/>
      <c r="AS539" s="341"/>
      <c r="AT539" s="341"/>
      <c r="AU539" s="341"/>
      <c r="AV539" s="341"/>
      <c r="AW539" s="341"/>
      <c r="AX539" s="341"/>
      <c r="AY539" s="341"/>
      <c r="AZ539" s="341"/>
      <c r="BA539" s="341"/>
      <c r="BB539" s="341"/>
      <c r="BC539" s="341"/>
      <c r="BD539" s="341"/>
      <c r="BE539" s="341"/>
      <c r="BF539" s="341"/>
      <c r="BG539" s="341"/>
      <c r="BH539" s="341"/>
      <c r="BI539" s="341"/>
      <c r="BJ539" s="341"/>
      <c r="BK539" s="341"/>
      <c r="BL539" s="341"/>
      <c r="BM539" s="341"/>
      <c r="BN539" s="341"/>
      <c r="BO539" s="341"/>
      <c r="BP539" s="341"/>
      <c r="BQ539" s="341"/>
      <c r="BR539" s="341"/>
      <c r="BS539" s="341"/>
      <c r="BT539" s="110"/>
      <c r="BU539" s="108"/>
      <c r="BV539" s="108"/>
      <c r="BW539" s="108"/>
    </row>
    <row r="540" spans="1:75" s="218" customFormat="1" ht="13.5" customHeight="1" thickBot="1">
      <c r="A540" s="398"/>
      <c r="B540" s="359">
        <v>41640</v>
      </c>
      <c r="C540" s="345">
        <v>41671</v>
      </c>
      <c r="D540" s="345">
        <v>41699</v>
      </c>
      <c r="E540" s="345">
        <v>41730</v>
      </c>
      <c r="F540" s="345">
        <v>41760</v>
      </c>
      <c r="G540" s="345">
        <v>41791</v>
      </c>
      <c r="H540" s="345">
        <v>41821</v>
      </c>
      <c r="I540" s="345">
        <v>41852</v>
      </c>
      <c r="J540" s="345">
        <v>41883</v>
      </c>
      <c r="K540" s="345">
        <v>41913</v>
      </c>
      <c r="L540" s="345">
        <v>41944</v>
      </c>
      <c r="M540" s="346">
        <v>41974</v>
      </c>
      <c r="N540" s="101"/>
      <c r="O540" s="341"/>
      <c r="P540" s="341"/>
      <c r="Q540" s="341"/>
      <c r="R540" s="341"/>
      <c r="S540" s="341"/>
      <c r="T540" s="341"/>
      <c r="U540" s="341"/>
      <c r="V540" s="341"/>
      <c r="W540" s="341"/>
      <c r="X540" s="341"/>
      <c r="Y540" s="341"/>
      <c r="Z540" s="341"/>
      <c r="AA540" s="341"/>
      <c r="AB540" s="341"/>
      <c r="AC540" s="341"/>
      <c r="AD540" s="341"/>
      <c r="AE540" s="341"/>
      <c r="AF540" s="341"/>
      <c r="AG540" s="341"/>
      <c r="AH540" s="341"/>
      <c r="AI540" s="341"/>
      <c r="AJ540" s="341"/>
      <c r="AK540" s="341"/>
      <c r="AL540" s="341"/>
      <c r="AM540" s="341"/>
      <c r="AN540" s="341"/>
      <c r="AO540" s="341"/>
      <c r="AP540" s="341"/>
      <c r="AQ540" s="341"/>
      <c r="AR540" s="341"/>
      <c r="AS540" s="341"/>
      <c r="AT540" s="341"/>
      <c r="AU540" s="341"/>
      <c r="AV540" s="341"/>
      <c r="AW540" s="341"/>
      <c r="AX540" s="341"/>
      <c r="AY540" s="341"/>
      <c r="AZ540" s="341"/>
      <c r="BA540" s="341"/>
      <c r="BB540" s="341"/>
      <c r="BC540" s="341"/>
      <c r="BD540" s="341"/>
      <c r="BE540" s="341"/>
      <c r="BF540" s="341"/>
      <c r="BG540" s="341"/>
      <c r="BH540" s="341"/>
      <c r="BI540" s="341"/>
      <c r="BJ540" s="341"/>
      <c r="BK540" s="341"/>
      <c r="BL540" s="341"/>
      <c r="BM540" s="341"/>
      <c r="BN540" s="341"/>
      <c r="BO540" s="341"/>
      <c r="BP540" s="341"/>
      <c r="BQ540" s="341"/>
      <c r="BR540" s="341"/>
      <c r="BS540" s="341"/>
      <c r="BT540" s="110"/>
      <c r="BU540" s="108"/>
      <c r="BV540" s="108"/>
      <c r="BW540" s="108"/>
    </row>
    <row r="541" spans="1:75" s="218" customFormat="1" ht="13.5" customHeight="1">
      <c r="A541" s="396" t="s">
        <v>231</v>
      </c>
      <c r="B541" s="89">
        <v>2944031</v>
      </c>
      <c r="C541" s="49">
        <v>2836293</v>
      </c>
      <c r="D541" s="49">
        <v>2876843</v>
      </c>
      <c r="E541" s="49">
        <v>2853105</v>
      </c>
      <c r="F541" s="49">
        <v>2713965</v>
      </c>
      <c r="G541" s="49">
        <v>2728627</v>
      </c>
      <c r="H541" s="49">
        <v>2803726</v>
      </c>
      <c r="I541" s="49">
        <v>2724125</v>
      </c>
      <c r="J541" s="49">
        <v>2712689</v>
      </c>
      <c r="K541" s="49">
        <v>2631538</v>
      </c>
      <c r="L541" s="49">
        <v>2700253</v>
      </c>
      <c r="M541" s="50">
        <v>2661840</v>
      </c>
      <c r="N541" s="101"/>
      <c r="O541" s="341"/>
      <c r="P541" s="341"/>
      <c r="Q541" s="341"/>
      <c r="R541" s="341"/>
      <c r="S541" s="341"/>
      <c r="T541" s="341"/>
      <c r="U541" s="341"/>
      <c r="V541" s="341"/>
      <c r="W541" s="341"/>
      <c r="X541" s="341"/>
      <c r="Y541" s="341"/>
      <c r="Z541" s="341"/>
      <c r="AA541" s="341"/>
      <c r="AB541" s="341"/>
      <c r="AC541" s="341"/>
      <c r="AD541" s="341"/>
      <c r="AE541" s="341"/>
      <c r="AF541" s="341"/>
      <c r="AG541" s="341"/>
      <c r="AH541" s="341"/>
      <c r="AI541" s="341"/>
      <c r="AJ541" s="341"/>
      <c r="AK541" s="341"/>
      <c r="AL541" s="341"/>
      <c r="AM541" s="341"/>
      <c r="AN541" s="341"/>
      <c r="AO541" s="341"/>
      <c r="AP541" s="341"/>
      <c r="AQ541" s="341"/>
      <c r="AR541" s="341"/>
      <c r="AS541" s="341"/>
      <c r="AT541" s="341"/>
      <c r="AU541" s="341"/>
      <c r="AV541" s="341"/>
      <c r="AW541" s="341"/>
      <c r="AX541" s="341"/>
      <c r="AY541" s="341"/>
      <c r="AZ541" s="341"/>
      <c r="BA541" s="341"/>
      <c r="BB541" s="341"/>
      <c r="BC541" s="341"/>
      <c r="BD541" s="341"/>
      <c r="BE541" s="341"/>
      <c r="BF541" s="341"/>
      <c r="BG541" s="341"/>
      <c r="BH541" s="341"/>
      <c r="BI541" s="341"/>
      <c r="BJ541" s="341"/>
      <c r="BK541" s="341"/>
      <c r="BL541" s="341"/>
      <c r="BM541" s="341"/>
      <c r="BN541" s="341"/>
      <c r="BO541" s="341"/>
      <c r="BP541" s="341"/>
      <c r="BQ541" s="341"/>
      <c r="BR541" s="341"/>
      <c r="BS541" s="341"/>
      <c r="BT541" s="110"/>
      <c r="BU541" s="108"/>
      <c r="BV541" s="108"/>
      <c r="BW541" s="108"/>
    </row>
    <row r="542" spans="1:75" s="218" customFormat="1" ht="13.5" customHeight="1">
      <c r="A542" s="397" t="s">
        <v>232</v>
      </c>
      <c r="B542" s="90">
        <v>6004106</v>
      </c>
      <c r="C542" s="51">
        <v>6289437</v>
      </c>
      <c r="D542" s="51">
        <v>6471207</v>
      </c>
      <c r="E542" s="51">
        <v>6482007</v>
      </c>
      <c r="F542" s="51">
        <v>6348641</v>
      </c>
      <c r="G542" s="51">
        <v>6355210</v>
      </c>
      <c r="H542" s="51">
        <v>6298577</v>
      </c>
      <c r="I542" s="51">
        <v>6298557</v>
      </c>
      <c r="J542" s="51">
        <v>6300502</v>
      </c>
      <c r="K542" s="51">
        <v>6360888</v>
      </c>
      <c r="L542" s="51">
        <v>6479329</v>
      </c>
      <c r="M542" s="53">
        <v>6433930</v>
      </c>
      <c r="N542" s="101"/>
      <c r="O542" s="341"/>
      <c r="P542" s="341"/>
      <c r="Q542" s="341"/>
      <c r="R542" s="341"/>
      <c r="S542" s="341"/>
      <c r="T542" s="341"/>
      <c r="U542" s="341"/>
      <c r="V542" s="341"/>
      <c r="W542" s="341"/>
      <c r="X542" s="341"/>
      <c r="Y542" s="341"/>
      <c r="Z542" s="341"/>
      <c r="AA542" s="341"/>
      <c r="AB542" s="341"/>
      <c r="AC542" s="341"/>
      <c r="AD542" s="341"/>
      <c r="AE542" s="341"/>
      <c r="AF542" s="341"/>
      <c r="AG542" s="341"/>
      <c r="AH542" s="341"/>
      <c r="AI542" s="341"/>
      <c r="AJ542" s="341"/>
      <c r="AK542" s="341"/>
      <c r="AL542" s="341"/>
      <c r="AM542" s="341"/>
      <c r="AN542" s="341"/>
      <c r="AO542" s="341"/>
      <c r="AP542" s="341"/>
      <c r="AQ542" s="341"/>
      <c r="AR542" s="341"/>
      <c r="AS542" s="341"/>
      <c r="AT542" s="341"/>
      <c r="AU542" s="341"/>
      <c r="AV542" s="341"/>
      <c r="AW542" s="341"/>
      <c r="AX542" s="341"/>
      <c r="AY542" s="341"/>
      <c r="AZ542" s="341"/>
      <c r="BA542" s="341"/>
      <c r="BB542" s="341"/>
      <c r="BC542" s="341"/>
      <c r="BD542" s="341"/>
      <c r="BE542" s="341"/>
      <c r="BF542" s="341"/>
      <c r="BG542" s="341"/>
      <c r="BH542" s="341"/>
      <c r="BI542" s="341"/>
      <c r="BJ542" s="341"/>
      <c r="BK542" s="341"/>
      <c r="BL542" s="341"/>
      <c r="BM542" s="341"/>
      <c r="BN542" s="341"/>
      <c r="BO542" s="341"/>
      <c r="BP542" s="341"/>
      <c r="BQ542" s="341"/>
      <c r="BR542" s="341"/>
      <c r="BS542" s="341"/>
      <c r="BT542" s="110"/>
      <c r="BU542" s="108"/>
      <c r="BV542" s="108"/>
      <c r="BW542" s="108"/>
    </row>
    <row r="543" spans="1:75" s="218" customFormat="1" ht="13.5" customHeight="1">
      <c r="A543" s="397" t="s">
        <v>230</v>
      </c>
      <c r="B543" s="90">
        <v>3485603</v>
      </c>
      <c r="C543" s="51">
        <v>3405046</v>
      </c>
      <c r="D543" s="51">
        <v>3477389</v>
      </c>
      <c r="E543" s="51">
        <v>3480030</v>
      </c>
      <c r="F543" s="51">
        <v>3385631</v>
      </c>
      <c r="G543" s="51">
        <v>3291819</v>
      </c>
      <c r="H543" s="51">
        <v>3435191</v>
      </c>
      <c r="I543" s="51">
        <v>3449254</v>
      </c>
      <c r="J543" s="51">
        <v>3345469</v>
      </c>
      <c r="K543" s="51">
        <v>3338780</v>
      </c>
      <c r="L543" s="51">
        <v>3400755</v>
      </c>
      <c r="M543" s="53">
        <v>3429746</v>
      </c>
      <c r="N543" s="101"/>
      <c r="O543" s="341"/>
      <c r="P543" s="341"/>
      <c r="Q543" s="341"/>
      <c r="R543" s="341"/>
      <c r="S543" s="341"/>
      <c r="T543" s="341"/>
      <c r="U543" s="341"/>
      <c r="V543" s="341"/>
      <c r="W543" s="341"/>
      <c r="X543" s="341"/>
      <c r="Y543" s="341"/>
      <c r="Z543" s="341"/>
      <c r="AA543" s="341"/>
      <c r="AB543" s="341"/>
      <c r="AC543" s="341"/>
      <c r="AD543" s="341"/>
      <c r="AE543" s="341"/>
      <c r="AF543" s="341"/>
      <c r="AG543" s="341"/>
      <c r="AH543" s="341"/>
      <c r="AI543" s="341"/>
      <c r="AJ543" s="341"/>
      <c r="AK543" s="341"/>
      <c r="AL543" s="341"/>
      <c r="AM543" s="341"/>
      <c r="AN543" s="341"/>
      <c r="AO543" s="341"/>
      <c r="AP543" s="341"/>
      <c r="AQ543" s="341"/>
      <c r="AR543" s="341"/>
      <c r="AS543" s="341"/>
      <c r="AT543" s="341"/>
      <c r="AU543" s="341"/>
      <c r="AV543" s="341"/>
      <c r="AW543" s="341"/>
      <c r="AX543" s="341"/>
      <c r="AY543" s="341"/>
      <c r="AZ543" s="341"/>
      <c r="BA543" s="341"/>
      <c r="BB543" s="341"/>
      <c r="BC543" s="341"/>
      <c r="BD543" s="341"/>
      <c r="BE543" s="341"/>
      <c r="BF543" s="341"/>
      <c r="BG543" s="341"/>
      <c r="BH543" s="341"/>
      <c r="BI543" s="341"/>
      <c r="BJ543" s="341"/>
      <c r="BK543" s="341"/>
      <c r="BL543" s="341"/>
      <c r="BM543" s="341"/>
      <c r="BN543" s="341"/>
      <c r="BO543" s="341"/>
      <c r="BP543" s="341"/>
      <c r="BQ543" s="341"/>
      <c r="BR543" s="341"/>
      <c r="BS543" s="341"/>
      <c r="BT543" s="110"/>
      <c r="BU543" s="108"/>
      <c r="BV543" s="108"/>
      <c r="BW543" s="108"/>
    </row>
    <row r="544" spans="1:75" s="218" customFormat="1" ht="13.5" customHeight="1">
      <c r="A544" s="397" t="s">
        <v>229</v>
      </c>
      <c r="B544" s="90">
        <v>3538929</v>
      </c>
      <c r="C544" s="51">
        <v>3491217</v>
      </c>
      <c r="D544" s="51">
        <v>3399298</v>
      </c>
      <c r="E544" s="51">
        <v>3336788</v>
      </c>
      <c r="F544" s="51">
        <v>3095138</v>
      </c>
      <c r="G544" s="51">
        <v>3157552</v>
      </c>
      <c r="H544" s="51">
        <v>3223612</v>
      </c>
      <c r="I544" s="51">
        <v>3180505</v>
      </c>
      <c r="J544" s="51">
        <v>3138897</v>
      </c>
      <c r="K544" s="51">
        <v>3048465</v>
      </c>
      <c r="L544" s="51">
        <v>3069177</v>
      </c>
      <c r="M544" s="53">
        <v>2979582</v>
      </c>
      <c r="N544" s="101"/>
      <c r="O544" s="341"/>
      <c r="P544" s="341"/>
      <c r="Q544" s="341"/>
      <c r="R544" s="341"/>
      <c r="S544" s="341"/>
      <c r="T544" s="341"/>
      <c r="U544" s="341"/>
      <c r="V544" s="341"/>
      <c r="W544" s="341"/>
      <c r="X544" s="341"/>
      <c r="Y544" s="341"/>
      <c r="Z544" s="341"/>
      <c r="AA544" s="341"/>
      <c r="AB544" s="341"/>
      <c r="AC544" s="341"/>
      <c r="AD544" s="341"/>
      <c r="AE544" s="341"/>
      <c r="AF544" s="341"/>
      <c r="AG544" s="341"/>
      <c r="AH544" s="341"/>
      <c r="AI544" s="341"/>
      <c r="AJ544" s="341"/>
      <c r="AK544" s="341"/>
      <c r="AL544" s="341"/>
      <c r="AM544" s="341"/>
      <c r="AN544" s="341"/>
      <c r="AO544" s="341"/>
      <c r="AP544" s="341"/>
      <c r="AQ544" s="341"/>
      <c r="AR544" s="341"/>
      <c r="AS544" s="341"/>
      <c r="AT544" s="341"/>
      <c r="AU544" s="341"/>
      <c r="AV544" s="341"/>
      <c r="AW544" s="341"/>
      <c r="AX544" s="341"/>
      <c r="AY544" s="341"/>
      <c r="AZ544" s="341"/>
      <c r="BA544" s="341"/>
      <c r="BB544" s="341"/>
      <c r="BC544" s="341"/>
      <c r="BD544" s="341"/>
      <c r="BE544" s="341"/>
      <c r="BF544" s="341"/>
      <c r="BG544" s="341"/>
      <c r="BH544" s="341"/>
      <c r="BI544" s="341"/>
      <c r="BJ544" s="341"/>
      <c r="BK544" s="341"/>
      <c r="BL544" s="341"/>
      <c r="BM544" s="341"/>
      <c r="BN544" s="341"/>
      <c r="BO544" s="341"/>
      <c r="BP544" s="341"/>
      <c r="BQ544" s="341"/>
      <c r="BR544" s="341"/>
      <c r="BS544" s="341"/>
      <c r="BT544" s="110"/>
      <c r="BU544" s="108"/>
      <c r="BV544" s="108"/>
      <c r="BW544" s="108"/>
    </row>
    <row r="545" spans="1:75" s="218" customFormat="1" ht="13.5" customHeight="1">
      <c r="A545" s="397" t="s">
        <v>233</v>
      </c>
      <c r="B545" s="90">
        <v>3542297</v>
      </c>
      <c r="C545" s="51">
        <v>3707435</v>
      </c>
      <c r="D545" s="51">
        <v>3682553</v>
      </c>
      <c r="E545" s="51">
        <v>3668212</v>
      </c>
      <c r="F545" s="51">
        <v>3533511</v>
      </c>
      <c r="G545" s="51">
        <v>3474977</v>
      </c>
      <c r="H545" s="51">
        <v>3274400</v>
      </c>
      <c r="I545" s="51">
        <v>3330247</v>
      </c>
      <c r="J545" s="51">
        <v>3291483</v>
      </c>
      <c r="K545" s="51">
        <v>3303227</v>
      </c>
      <c r="L545" s="51">
        <v>3378446</v>
      </c>
      <c r="M545" s="53">
        <v>3353717</v>
      </c>
      <c r="N545" s="101"/>
      <c r="O545" s="341"/>
      <c r="P545" s="341"/>
      <c r="Q545" s="341"/>
      <c r="R545" s="341"/>
      <c r="S545" s="341"/>
      <c r="T545" s="341"/>
      <c r="U545" s="341"/>
      <c r="V545" s="341"/>
      <c r="W545" s="341"/>
      <c r="X545" s="341"/>
      <c r="Y545" s="341"/>
      <c r="Z545" s="341"/>
      <c r="AA545" s="341"/>
      <c r="AB545" s="341"/>
      <c r="AC545" s="341"/>
      <c r="AD545" s="341"/>
      <c r="AE545" s="341"/>
      <c r="AF545" s="341"/>
      <c r="AG545" s="341"/>
      <c r="AH545" s="341"/>
      <c r="AI545" s="341"/>
      <c r="AJ545" s="341"/>
      <c r="AK545" s="341"/>
      <c r="AL545" s="341"/>
      <c r="AM545" s="341"/>
      <c r="AN545" s="341"/>
      <c r="AO545" s="341"/>
      <c r="AP545" s="341"/>
      <c r="AQ545" s="341"/>
      <c r="AR545" s="341"/>
      <c r="AS545" s="341"/>
      <c r="AT545" s="341"/>
      <c r="AU545" s="341"/>
      <c r="AV545" s="341"/>
      <c r="AW545" s="341"/>
      <c r="AX545" s="341"/>
      <c r="AY545" s="341"/>
      <c r="AZ545" s="341"/>
      <c r="BA545" s="341"/>
      <c r="BB545" s="341"/>
      <c r="BC545" s="341"/>
      <c r="BD545" s="341"/>
      <c r="BE545" s="341"/>
      <c r="BF545" s="341"/>
      <c r="BG545" s="341"/>
      <c r="BH545" s="341"/>
      <c r="BI545" s="341"/>
      <c r="BJ545" s="341"/>
      <c r="BK545" s="341"/>
      <c r="BL545" s="341"/>
      <c r="BM545" s="341"/>
      <c r="BN545" s="341"/>
      <c r="BO545" s="341"/>
      <c r="BP545" s="341"/>
      <c r="BQ545" s="341"/>
      <c r="BR545" s="341"/>
      <c r="BS545" s="341"/>
      <c r="BT545" s="110"/>
      <c r="BU545" s="108"/>
      <c r="BV545" s="108"/>
      <c r="BW545" s="108"/>
    </row>
    <row r="546" spans="1:75" s="218" customFormat="1" ht="13.5" customHeight="1">
      <c r="A546" s="397" t="s">
        <v>361</v>
      </c>
      <c r="B546" s="90">
        <v>1148365</v>
      </c>
      <c r="C546" s="51">
        <v>1144705</v>
      </c>
      <c r="D546" s="51">
        <v>1113134</v>
      </c>
      <c r="E546" s="51">
        <v>1085928</v>
      </c>
      <c r="F546" s="51">
        <v>1042319</v>
      </c>
      <c r="G546" s="51">
        <v>1036006</v>
      </c>
      <c r="H546" s="51">
        <v>1028905</v>
      </c>
      <c r="I546" s="51">
        <v>1011643</v>
      </c>
      <c r="J546" s="51">
        <v>1008496</v>
      </c>
      <c r="K546" s="51">
        <v>963102</v>
      </c>
      <c r="L546" s="51">
        <v>941868</v>
      </c>
      <c r="M546" s="53">
        <v>913598</v>
      </c>
      <c r="N546" s="101"/>
      <c r="O546" s="341"/>
      <c r="P546" s="341"/>
      <c r="Q546" s="341"/>
      <c r="R546" s="341"/>
      <c r="S546" s="341"/>
      <c r="T546" s="341"/>
      <c r="U546" s="341"/>
      <c r="V546" s="341"/>
      <c r="W546" s="341"/>
      <c r="X546" s="341"/>
      <c r="Y546" s="341"/>
      <c r="Z546" s="341"/>
      <c r="AA546" s="341"/>
      <c r="AB546" s="341"/>
      <c r="AC546" s="341"/>
      <c r="AD546" s="341"/>
      <c r="AE546" s="341"/>
      <c r="AF546" s="341"/>
      <c r="AG546" s="341"/>
      <c r="AH546" s="341"/>
      <c r="AI546" s="341"/>
      <c r="AJ546" s="341"/>
      <c r="AK546" s="341"/>
      <c r="AL546" s="341"/>
      <c r="AM546" s="341"/>
      <c r="AN546" s="341"/>
      <c r="AO546" s="341"/>
      <c r="AP546" s="341"/>
      <c r="AQ546" s="341"/>
      <c r="AR546" s="341"/>
      <c r="AS546" s="341"/>
      <c r="AT546" s="341"/>
      <c r="AU546" s="341"/>
      <c r="AV546" s="341"/>
      <c r="AW546" s="341"/>
      <c r="AX546" s="341"/>
      <c r="AY546" s="341"/>
      <c r="AZ546" s="341"/>
      <c r="BA546" s="341"/>
      <c r="BB546" s="341"/>
      <c r="BC546" s="341"/>
      <c r="BD546" s="341"/>
      <c r="BE546" s="341"/>
      <c r="BF546" s="341"/>
      <c r="BG546" s="341"/>
      <c r="BH546" s="341"/>
      <c r="BI546" s="341"/>
      <c r="BJ546" s="341"/>
      <c r="BK546" s="341"/>
      <c r="BL546" s="341"/>
      <c r="BM546" s="341"/>
      <c r="BN546" s="341"/>
      <c r="BO546" s="341"/>
      <c r="BP546" s="341"/>
      <c r="BQ546" s="341"/>
      <c r="BR546" s="341"/>
      <c r="BS546" s="341"/>
      <c r="BT546" s="110"/>
      <c r="BU546" s="108"/>
      <c r="BV546" s="108"/>
      <c r="BW546" s="108"/>
    </row>
    <row r="547" spans="1:75" s="218" customFormat="1" ht="13.5" customHeight="1">
      <c r="A547" s="397" t="s">
        <v>228</v>
      </c>
      <c r="B547" s="90">
        <v>691601</v>
      </c>
      <c r="C547" s="51">
        <v>721822</v>
      </c>
      <c r="D547" s="51">
        <v>728551</v>
      </c>
      <c r="E547" s="51">
        <v>702718</v>
      </c>
      <c r="F547" s="51">
        <v>698415</v>
      </c>
      <c r="G547" s="51">
        <v>641343</v>
      </c>
      <c r="H547" s="51">
        <v>629211</v>
      </c>
      <c r="I547" s="51">
        <v>620806</v>
      </c>
      <c r="J547" s="51">
        <v>661670</v>
      </c>
      <c r="K547" s="51">
        <v>635087</v>
      </c>
      <c r="L547" s="51">
        <v>631384</v>
      </c>
      <c r="M547" s="53">
        <v>653005</v>
      </c>
      <c r="N547" s="101"/>
      <c r="O547" s="341"/>
      <c r="P547" s="341"/>
      <c r="Q547" s="341"/>
      <c r="R547" s="341"/>
      <c r="S547" s="341"/>
      <c r="T547" s="341"/>
      <c r="U547" s="341"/>
      <c r="V547" s="341"/>
      <c r="W547" s="341"/>
      <c r="X547" s="341"/>
      <c r="Y547" s="341"/>
      <c r="Z547" s="341"/>
      <c r="AA547" s="341"/>
      <c r="AB547" s="341"/>
      <c r="AC547" s="341"/>
      <c r="AD547" s="341"/>
      <c r="AE547" s="341"/>
      <c r="AF547" s="341"/>
      <c r="AG547" s="341"/>
      <c r="AH547" s="341"/>
      <c r="AI547" s="341"/>
      <c r="AJ547" s="341"/>
      <c r="AK547" s="341"/>
      <c r="AL547" s="341"/>
      <c r="AM547" s="341"/>
      <c r="AN547" s="341"/>
      <c r="AO547" s="341"/>
      <c r="AP547" s="341"/>
      <c r="AQ547" s="341"/>
      <c r="AR547" s="341"/>
      <c r="AS547" s="341"/>
      <c r="AT547" s="341"/>
      <c r="AU547" s="341"/>
      <c r="AV547" s="341"/>
      <c r="AW547" s="341"/>
      <c r="AX547" s="341"/>
      <c r="AY547" s="341"/>
      <c r="AZ547" s="341"/>
      <c r="BA547" s="341"/>
      <c r="BB547" s="341"/>
      <c r="BC547" s="341"/>
      <c r="BD547" s="341"/>
      <c r="BE547" s="341"/>
      <c r="BF547" s="341"/>
      <c r="BG547" s="341"/>
      <c r="BH547" s="341"/>
      <c r="BI547" s="341"/>
      <c r="BJ547" s="341"/>
      <c r="BK547" s="341"/>
      <c r="BL547" s="341"/>
      <c r="BM547" s="341"/>
      <c r="BN547" s="341"/>
      <c r="BO547" s="341"/>
      <c r="BP547" s="341"/>
      <c r="BQ547" s="341"/>
      <c r="BR547" s="341"/>
      <c r="BS547" s="341"/>
      <c r="BT547" s="110"/>
      <c r="BU547" s="108"/>
      <c r="BV547" s="108"/>
      <c r="BW547" s="108"/>
    </row>
    <row r="548" spans="1:75" s="218" customFormat="1" ht="13.5" customHeight="1">
      <c r="A548" s="191" t="s">
        <v>362</v>
      </c>
      <c r="B548" s="340">
        <v>6232098</v>
      </c>
      <c r="C548" s="341">
        <v>6359380</v>
      </c>
      <c r="D548" s="341">
        <v>6117259</v>
      </c>
      <c r="E548" s="341">
        <v>5975413</v>
      </c>
      <c r="F548" s="341">
        <v>5906623</v>
      </c>
      <c r="G548" s="341">
        <v>5886339</v>
      </c>
      <c r="H548" s="341">
        <v>5904087</v>
      </c>
      <c r="I548" s="341">
        <v>5800418</v>
      </c>
      <c r="J548" s="341">
        <v>5637250</v>
      </c>
      <c r="K548" s="341">
        <v>5492183</v>
      </c>
      <c r="L548" s="341">
        <v>5311551</v>
      </c>
      <c r="M548" s="339">
        <v>5011673</v>
      </c>
      <c r="N548" s="101"/>
      <c r="O548" s="341"/>
      <c r="P548" s="341"/>
      <c r="Q548" s="341"/>
      <c r="R548" s="341"/>
      <c r="S548" s="341"/>
      <c r="T548" s="341"/>
      <c r="U548" s="341"/>
      <c r="V548" s="341"/>
      <c r="W548" s="341"/>
      <c r="X548" s="341"/>
      <c r="Y548" s="341"/>
      <c r="Z548" s="341"/>
      <c r="AA548" s="341"/>
      <c r="AB548" s="341"/>
      <c r="AC548" s="341"/>
      <c r="AD548" s="341"/>
      <c r="AE548" s="341"/>
      <c r="AF548" s="341"/>
      <c r="AG548" s="341"/>
      <c r="AH548" s="341"/>
      <c r="AI548" s="341"/>
      <c r="AJ548" s="341"/>
      <c r="AK548" s="341"/>
      <c r="AL548" s="341"/>
      <c r="AM548" s="341"/>
      <c r="AN548" s="341"/>
      <c r="AO548" s="341"/>
      <c r="AP548" s="341"/>
      <c r="AQ548" s="341"/>
      <c r="AR548" s="341"/>
      <c r="AS548" s="341"/>
      <c r="AT548" s="341"/>
      <c r="AU548" s="341"/>
      <c r="AV548" s="341"/>
      <c r="AW548" s="341"/>
      <c r="AX548" s="341"/>
      <c r="AY548" s="341"/>
      <c r="AZ548" s="341"/>
      <c r="BA548" s="341"/>
      <c r="BB548" s="341"/>
      <c r="BC548" s="341"/>
      <c r="BD548" s="341"/>
      <c r="BE548" s="341"/>
      <c r="BF548" s="341"/>
      <c r="BG548" s="341"/>
      <c r="BH548" s="341"/>
      <c r="BI548" s="341"/>
      <c r="BJ548" s="341"/>
      <c r="BK548" s="341"/>
      <c r="BL548" s="341"/>
      <c r="BM548" s="341"/>
      <c r="BN548" s="341"/>
      <c r="BO548" s="341"/>
      <c r="BP548" s="341"/>
      <c r="BQ548" s="341"/>
      <c r="BR548" s="341"/>
      <c r="BS548" s="341"/>
      <c r="BT548" s="110"/>
      <c r="BU548" s="108"/>
      <c r="BV548" s="108"/>
      <c r="BW548" s="108"/>
    </row>
    <row r="549" spans="1:75" s="218" customFormat="1" ht="13.5" customHeight="1">
      <c r="A549" s="397" t="s">
        <v>235</v>
      </c>
      <c r="B549" s="90">
        <v>1673314</v>
      </c>
      <c r="C549" s="51">
        <v>1710241</v>
      </c>
      <c r="D549" s="51">
        <v>1720922</v>
      </c>
      <c r="E549" s="51">
        <v>1690448</v>
      </c>
      <c r="F549" s="51">
        <v>1619735</v>
      </c>
      <c r="G549" s="51">
        <v>1587183</v>
      </c>
      <c r="H549" s="51">
        <v>1610993</v>
      </c>
      <c r="I549" s="51">
        <v>1571889</v>
      </c>
      <c r="J549" s="51">
        <v>1565706</v>
      </c>
      <c r="K549" s="51">
        <v>1499979</v>
      </c>
      <c r="L549" s="51">
        <v>1521393</v>
      </c>
      <c r="M549" s="53">
        <v>1437582</v>
      </c>
      <c r="N549" s="101"/>
      <c r="O549" s="341"/>
      <c r="P549" s="341"/>
      <c r="Q549" s="341"/>
      <c r="R549" s="341"/>
      <c r="S549" s="341"/>
      <c r="T549" s="341"/>
      <c r="U549" s="341"/>
      <c r="V549" s="341"/>
      <c r="W549" s="341"/>
      <c r="X549" s="341"/>
      <c r="Y549" s="341"/>
      <c r="Z549" s="341"/>
      <c r="AA549" s="341"/>
      <c r="AB549" s="341"/>
      <c r="AC549" s="341"/>
      <c r="AD549" s="341"/>
      <c r="AE549" s="341"/>
      <c r="AF549" s="341"/>
      <c r="AG549" s="341"/>
      <c r="AH549" s="341"/>
      <c r="AI549" s="341"/>
      <c r="AJ549" s="341"/>
      <c r="AK549" s="341"/>
      <c r="AL549" s="341"/>
      <c r="AM549" s="341"/>
      <c r="AN549" s="341"/>
      <c r="AO549" s="341"/>
      <c r="AP549" s="341"/>
      <c r="AQ549" s="341"/>
      <c r="AR549" s="341"/>
      <c r="AS549" s="341"/>
      <c r="AT549" s="341"/>
      <c r="AU549" s="341"/>
      <c r="AV549" s="341"/>
      <c r="AW549" s="341"/>
      <c r="AX549" s="341"/>
      <c r="AY549" s="341"/>
      <c r="AZ549" s="341"/>
      <c r="BA549" s="341"/>
      <c r="BB549" s="341"/>
      <c r="BC549" s="341"/>
      <c r="BD549" s="341"/>
      <c r="BE549" s="341"/>
      <c r="BF549" s="341"/>
      <c r="BG549" s="341"/>
      <c r="BH549" s="341"/>
      <c r="BI549" s="341"/>
      <c r="BJ549" s="341"/>
      <c r="BK549" s="341"/>
      <c r="BL549" s="341"/>
      <c r="BM549" s="341"/>
      <c r="BN549" s="341"/>
      <c r="BO549" s="341"/>
      <c r="BP549" s="341"/>
      <c r="BQ549" s="341"/>
      <c r="BR549" s="341"/>
      <c r="BS549" s="341"/>
      <c r="BT549" s="110"/>
      <c r="BU549" s="108"/>
      <c r="BV549" s="108"/>
      <c r="BW549" s="108"/>
    </row>
    <row r="550" spans="1:75" s="218" customFormat="1" ht="13.5" customHeight="1">
      <c r="A550" s="397" t="s">
        <v>239</v>
      </c>
      <c r="B550" s="90">
        <v>1505334</v>
      </c>
      <c r="C550" s="51">
        <v>1548241</v>
      </c>
      <c r="D550" s="51">
        <v>1520092</v>
      </c>
      <c r="E550" s="51">
        <v>1493639</v>
      </c>
      <c r="F550" s="51">
        <v>1450661</v>
      </c>
      <c r="G550" s="51">
        <v>1433289</v>
      </c>
      <c r="H550" s="51">
        <v>1392717</v>
      </c>
      <c r="I550" s="51">
        <v>1398619</v>
      </c>
      <c r="J550" s="51">
        <v>1359959</v>
      </c>
      <c r="K550" s="51">
        <v>1302974</v>
      </c>
      <c r="L550" s="51">
        <v>1219163</v>
      </c>
      <c r="M550" s="53">
        <v>1114626</v>
      </c>
      <c r="N550" s="101"/>
      <c r="O550" s="341"/>
      <c r="P550" s="341"/>
      <c r="Q550" s="341"/>
      <c r="R550" s="341"/>
      <c r="S550" s="341"/>
      <c r="T550" s="341"/>
      <c r="U550" s="341"/>
      <c r="V550" s="341"/>
      <c r="W550" s="341"/>
      <c r="X550" s="341"/>
      <c r="Y550" s="341"/>
      <c r="Z550" s="341"/>
      <c r="AA550" s="341"/>
      <c r="AB550" s="341"/>
      <c r="AC550" s="341"/>
      <c r="AD550" s="341"/>
      <c r="AE550" s="341"/>
      <c r="AF550" s="341"/>
      <c r="AG550" s="341"/>
      <c r="AH550" s="341"/>
      <c r="AI550" s="341"/>
      <c r="AJ550" s="341"/>
      <c r="AK550" s="341"/>
      <c r="AL550" s="341"/>
      <c r="AM550" s="341"/>
      <c r="AN550" s="341"/>
      <c r="AO550" s="341"/>
      <c r="AP550" s="341"/>
      <c r="AQ550" s="341"/>
      <c r="AR550" s="341"/>
      <c r="AS550" s="341"/>
      <c r="AT550" s="341"/>
      <c r="AU550" s="341"/>
      <c r="AV550" s="341"/>
      <c r="AW550" s="341"/>
      <c r="AX550" s="341"/>
      <c r="AY550" s="341"/>
      <c r="AZ550" s="341"/>
      <c r="BA550" s="341"/>
      <c r="BB550" s="341"/>
      <c r="BC550" s="341"/>
      <c r="BD550" s="341"/>
      <c r="BE550" s="341"/>
      <c r="BF550" s="341"/>
      <c r="BG550" s="341"/>
      <c r="BH550" s="341"/>
      <c r="BI550" s="341"/>
      <c r="BJ550" s="341"/>
      <c r="BK550" s="341"/>
      <c r="BL550" s="341"/>
      <c r="BM550" s="341"/>
      <c r="BN550" s="341"/>
      <c r="BO550" s="341"/>
      <c r="BP550" s="341"/>
      <c r="BQ550" s="341"/>
      <c r="BR550" s="341"/>
      <c r="BS550" s="341"/>
      <c r="BT550" s="110"/>
      <c r="BU550" s="108"/>
      <c r="BV550" s="108"/>
      <c r="BW550" s="108"/>
    </row>
    <row r="551" spans="1:75" s="218" customFormat="1" ht="13.5" customHeight="1">
      <c r="A551" s="397" t="s">
        <v>236</v>
      </c>
      <c r="B551" s="90">
        <v>1459949</v>
      </c>
      <c r="C551" s="51">
        <v>1527394</v>
      </c>
      <c r="D551" s="51">
        <v>1409614</v>
      </c>
      <c r="E551" s="51">
        <v>1357910</v>
      </c>
      <c r="F551" s="51">
        <v>1349825</v>
      </c>
      <c r="G551" s="51">
        <v>1403152</v>
      </c>
      <c r="H551" s="51">
        <v>1469435</v>
      </c>
      <c r="I551" s="51">
        <v>1440454</v>
      </c>
      <c r="J551" s="51">
        <v>1371945</v>
      </c>
      <c r="K551" s="51">
        <v>1356042</v>
      </c>
      <c r="L551" s="51">
        <v>1254904</v>
      </c>
      <c r="M551" s="53">
        <v>1220534</v>
      </c>
      <c r="N551" s="101"/>
      <c r="O551" s="341"/>
      <c r="P551" s="341"/>
      <c r="Q551" s="341"/>
      <c r="R551" s="341"/>
      <c r="S551" s="341"/>
      <c r="T551" s="341"/>
      <c r="U551" s="341"/>
      <c r="V551" s="341"/>
      <c r="W551" s="341"/>
      <c r="X551" s="341"/>
      <c r="Y551" s="341"/>
      <c r="Z551" s="341"/>
      <c r="AA551" s="341"/>
      <c r="AB551" s="341"/>
      <c r="AC551" s="341"/>
      <c r="AD551" s="341"/>
      <c r="AE551" s="341"/>
      <c r="AF551" s="341"/>
      <c r="AG551" s="341"/>
      <c r="AH551" s="341"/>
      <c r="AI551" s="341"/>
      <c r="AJ551" s="341"/>
      <c r="AK551" s="341"/>
      <c r="AL551" s="341"/>
      <c r="AM551" s="341"/>
      <c r="AN551" s="341"/>
      <c r="AO551" s="341"/>
      <c r="AP551" s="341"/>
      <c r="AQ551" s="341"/>
      <c r="AR551" s="341"/>
      <c r="AS551" s="341"/>
      <c r="AT551" s="341"/>
      <c r="AU551" s="341"/>
      <c r="AV551" s="341"/>
      <c r="AW551" s="341"/>
      <c r="AX551" s="341"/>
      <c r="AY551" s="341"/>
      <c r="AZ551" s="341"/>
      <c r="BA551" s="341"/>
      <c r="BB551" s="341"/>
      <c r="BC551" s="341"/>
      <c r="BD551" s="341"/>
      <c r="BE551" s="341"/>
      <c r="BF551" s="341"/>
      <c r="BG551" s="341"/>
      <c r="BH551" s="341"/>
      <c r="BI551" s="341"/>
      <c r="BJ551" s="341"/>
      <c r="BK551" s="341"/>
      <c r="BL551" s="341"/>
      <c r="BM551" s="341"/>
      <c r="BN551" s="341"/>
      <c r="BO551" s="341"/>
      <c r="BP551" s="341"/>
      <c r="BQ551" s="341"/>
      <c r="BR551" s="341"/>
      <c r="BS551" s="341"/>
      <c r="BT551" s="110"/>
      <c r="BU551" s="108"/>
      <c r="BV551" s="108"/>
      <c r="BW551" s="108"/>
    </row>
    <row r="552" spans="1:75" s="218" customFormat="1" ht="13.5" customHeight="1">
      <c r="A552" s="397" t="s">
        <v>237</v>
      </c>
      <c r="B552" s="90">
        <v>850978</v>
      </c>
      <c r="C552" s="51">
        <v>838741</v>
      </c>
      <c r="D552" s="51">
        <v>806012</v>
      </c>
      <c r="E552" s="51">
        <v>786608</v>
      </c>
      <c r="F552" s="51">
        <v>842908</v>
      </c>
      <c r="G552" s="51">
        <v>811488</v>
      </c>
      <c r="H552" s="51">
        <v>789740</v>
      </c>
      <c r="I552" s="51">
        <v>743415</v>
      </c>
      <c r="J552" s="51">
        <v>711543</v>
      </c>
      <c r="K552" s="51">
        <v>736403</v>
      </c>
      <c r="L552" s="51">
        <v>736913</v>
      </c>
      <c r="M552" s="53">
        <v>713759</v>
      </c>
      <c r="N552" s="101"/>
      <c r="O552" s="341"/>
      <c r="P552" s="341"/>
      <c r="Q552" s="341"/>
      <c r="R552" s="341"/>
      <c r="S552" s="341"/>
      <c r="T552" s="341"/>
      <c r="U552" s="341"/>
      <c r="V552" s="341"/>
      <c r="W552" s="341"/>
      <c r="X552" s="341"/>
      <c r="Y552" s="341"/>
      <c r="Z552" s="341"/>
      <c r="AA552" s="341"/>
      <c r="AB552" s="341"/>
      <c r="AC552" s="341"/>
      <c r="AD552" s="341"/>
      <c r="AE552" s="341"/>
      <c r="AF552" s="341"/>
      <c r="AG552" s="341"/>
      <c r="AH552" s="341"/>
      <c r="AI552" s="341"/>
      <c r="AJ552" s="341"/>
      <c r="AK552" s="341"/>
      <c r="AL552" s="341"/>
      <c r="AM552" s="341"/>
      <c r="AN552" s="341"/>
      <c r="AO552" s="341"/>
      <c r="AP552" s="341"/>
      <c r="AQ552" s="341"/>
      <c r="AR552" s="341"/>
      <c r="AS552" s="341"/>
      <c r="AT552" s="341"/>
      <c r="AU552" s="341"/>
      <c r="AV552" s="341"/>
      <c r="AW552" s="341"/>
      <c r="AX552" s="341"/>
      <c r="AY552" s="341"/>
      <c r="AZ552" s="341"/>
      <c r="BA552" s="341"/>
      <c r="BB552" s="341"/>
      <c r="BC552" s="341"/>
      <c r="BD552" s="341"/>
      <c r="BE552" s="341"/>
      <c r="BF552" s="341"/>
      <c r="BG552" s="341"/>
      <c r="BH552" s="341"/>
      <c r="BI552" s="341"/>
      <c r="BJ552" s="341"/>
      <c r="BK552" s="341"/>
      <c r="BL552" s="341"/>
      <c r="BM552" s="341"/>
      <c r="BN552" s="341"/>
      <c r="BO552" s="341"/>
      <c r="BP552" s="341"/>
      <c r="BQ552" s="341"/>
      <c r="BR552" s="341"/>
      <c r="BS552" s="341"/>
      <c r="BT552" s="110"/>
      <c r="BU552" s="108"/>
      <c r="BV552" s="108"/>
      <c r="BW552" s="108"/>
    </row>
    <row r="553" spans="1:75" s="218" customFormat="1" ht="13.5" customHeight="1">
      <c r="A553" s="397" t="s">
        <v>234</v>
      </c>
      <c r="B553" s="90">
        <v>154838</v>
      </c>
      <c r="C553" s="51">
        <v>165071</v>
      </c>
      <c r="D553" s="51">
        <v>153442</v>
      </c>
      <c r="E553" s="51">
        <v>142912</v>
      </c>
      <c r="F553" s="51">
        <v>132181</v>
      </c>
      <c r="G553" s="51">
        <v>120771</v>
      </c>
      <c r="H553" s="51">
        <v>111713</v>
      </c>
      <c r="I553" s="51">
        <v>111206</v>
      </c>
      <c r="J553" s="51">
        <v>109241</v>
      </c>
      <c r="K553" s="51">
        <v>112626</v>
      </c>
      <c r="L553" s="51">
        <v>91168</v>
      </c>
      <c r="M553" s="53">
        <v>78148</v>
      </c>
      <c r="N553" s="101"/>
      <c r="O553" s="341"/>
      <c r="P553" s="341"/>
      <c r="Q553" s="341"/>
      <c r="R553" s="341"/>
      <c r="S553" s="341"/>
      <c r="T553" s="341"/>
      <c r="U553" s="341"/>
      <c r="V553" s="341"/>
      <c r="W553" s="341"/>
      <c r="X553" s="341"/>
      <c r="Y553" s="341"/>
      <c r="Z553" s="341"/>
      <c r="AA553" s="341"/>
      <c r="AB553" s="341"/>
      <c r="AC553" s="341"/>
      <c r="AD553" s="341"/>
      <c r="AE553" s="341"/>
      <c r="AF553" s="341"/>
      <c r="AG553" s="341"/>
      <c r="AH553" s="341"/>
      <c r="AI553" s="341"/>
      <c r="AJ553" s="341"/>
      <c r="AK553" s="341"/>
      <c r="AL553" s="341"/>
      <c r="AM553" s="341"/>
      <c r="AN553" s="341"/>
      <c r="AO553" s="341"/>
      <c r="AP553" s="341"/>
      <c r="AQ553" s="341"/>
      <c r="AR553" s="341"/>
      <c r="AS553" s="341"/>
      <c r="AT553" s="341"/>
      <c r="AU553" s="341"/>
      <c r="AV553" s="341"/>
      <c r="AW553" s="341"/>
      <c r="AX553" s="341"/>
      <c r="AY553" s="341"/>
      <c r="AZ553" s="341"/>
      <c r="BA553" s="341"/>
      <c r="BB553" s="341"/>
      <c r="BC553" s="341"/>
      <c r="BD553" s="341"/>
      <c r="BE553" s="341"/>
      <c r="BF553" s="341"/>
      <c r="BG553" s="341"/>
      <c r="BH553" s="341"/>
      <c r="BI553" s="341"/>
      <c r="BJ553" s="341"/>
      <c r="BK553" s="341"/>
      <c r="BL553" s="341"/>
      <c r="BM553" s="341"/>
      <c r="BN553" s="341"/>
      <c r="BO553" s="341"/>
      <c r="BP553" s="341"/>
      <c r="BQ553" s="341"/>
      <c r="BR553" s="341"/>
      <c r="BS553" s="341"/>
      <c r="BT553" s="110"/>
      <c r="BU553" s="108"/>
      <c r="BV553" s="108"/>
      <c r="BW553" s="108"/>
    </row>
    <row r="554" spans="1:75" s="218" customFormat="1" ht="13.5" customHeight="1">
      <c r="A554" s="397" t="s">
        <v>238</v>
      </c>
      <c r="B554" s="90">
        <v>587685</v>
      </c>
      <c r="C554" s="51">
        <v>569692</v>
      </c>
      <c r="D554" s="51">
        <v>507177</v>
      </c>
      <c r="E554" s="51">
        <v>503896</v>
      </c>
      <c r="F554" s="51">
        <v>511313</v>
      </c>
      <c r="G554" s="51">
        <v>530456</v>
      </c>
      <c r="H554" s="51">
        <v>529489</v>
      </c>
      <c r="I554" s="51">
        <v>534835</v>
      </c>
      <c r="J554" s="51">
        <v>518856</v>
      </c>
      <c r="K554" s="51">
        <v>484159</v>
      </c>
      <c r="L554" s="51">
        <v>488010</v>
      </c>
      <c r="M554" s="53">
        <v>447024</v>
      </c>
      <c r="N554" s="101"/>
      <c r="O554" s="341"/>
      <c r="P554" s="341"/>
      <c r="Q554" s="341"/>
      <c r="R554" s="341"/>
      <c r="S554" s="341"/>
      <c r="T554" s="341"/>
      <c r="U554" s="341"/>
      <c r="V554" s="341"/>
      <c r="W554" s="341"/>
      <c r="X554" s="341"/>
      <c r="Y554" s="341"/>
      <c r="Z554" s="341"/>
      <c r="AA554" s="341"/>
      <c r="AB554" s="341"/>
      <c r="AC554" s="341"/>
      <c r="AD554" s="341"/>
      <c r="AE554" s="341"/>
      <c r="AF554" s="341"/>
      <c r="AG554" s="341"/>
      <c r="AH554" s="341"/>
      <c r="AI554" s="341"/>
      <c r="AJ554" s="341"/>
      <c r="AK554" s="341"/>
      <c r="AL554" s="341"/>
      <c r="AM554" s="341"/>
      <c r="AN554" s="341"/>
      <c r="AO554" s="341"/>
      <c r="AP554" s="341"/>
      <c r="AQ554" s="341"/>
      <c r="AR554" s="341"/>
      <c r="AS554" s="341"/>
      <c r="AT554" s="341"/>
      <c r="AU554" s="341"/>
      <c r="AV554" s="341"/>
      <c r="AW554" s="341"/>
      <c r="AX554" s="341"/>
      <c r="AY554" s="341"/>
      <c r="AZ554" s="341"/>
      <c r="BA554" s="341"/>
      <c r="BB554" s="341"/>
      <c r="BC554" s="341"/>
      <c r="BD554" s="341"/>
      <c r="BE554" s="341"/>
      <c r="BF554" s="341"/>
      <c r="BG554" s="341"/>
      <c r="BH554" s="341"/>
      <c r="BI554" s="341"/>
      <c r="BJ554" s="341"/>
      <c r="BK554" s="341"/>
      <c r="BL554" s="341"/>
      <c r="BM554" s="341"/>
      <c r="BN554" s="341"/>
      <c r="BO554" s="341"/>
      <c r="BP554" s="341"/>
      <c r="BQ554" s="341"/>
      <c r="BR554" s="341"/>
      <c r="BS554" s="341"/>
      <c r="BT554" s="110"/>
      <c r="BU554" s="108"/>
      <c r="BV554" s="108"/>
      <c r="BW554" s="108"/>
    </row>
    <row r="555" spans="1:75" s="218" customFormat="1" ht="13.5" customHeight="1" thickBot="1">
      <c r="A555" s="214" t="s">
        <v>18</v>
      </c>
      <c r="B555" s="98">
        <v>27587030</v>
      </c>
      <c r="C555" s="99">
        <v>27955335</v>
      </c>
      <c r="D555" s="99">
        <v>27866234</v>
      </c>
      <c r="E555" s="99">
        <v>27584201</v>
      </c>
      <c r="F555" s="99">
        <v>26724243</v>
      </c>
      <c r="G555" s="99">
        <v>26571873</v>
      </c>
      <c r="H555" s="99">
        <v>26597709</v>
      </c>
      <c r="I555" s="99">
        <v>26415555</v>
      </c>
      <c r="J555" s="99">
        <v>26096456</v>
      </c>
      <c r="K555" s="99">
        <v>25773270</v>
      </c>
      <c r="L555" s="99">
        <v>25912763</v>
      </c>
      <c r="M555" s="100">
        <v>25437091</v>
      </c>
      <c r="N555" s="101"/>
      <c r="O555" s="341"/>
      <c r="P555" s="341"/>
      <c r="Q555" s="341"/>
      <c r="R555" s="341"/>
      <c r="S555" s="341"/>
      <c r="T555" s="341"/>
      <c r="U555" s="341"/>
      <c r="V555" s="341"/>
      <c r="W555" s="341"/>
      <c r="X555" s="341"/>
      <c r="Y555" s="341"/>
      <c r="Z555" s="341"/>
      <c r="AA555" s="341"/>
      <c r="AB555" s="341"/>
      <c r="AC555" s="341"/>
      <c r="AD555" s="341"/>
      <c r="AE555" s="341"/>
      <c r="AF555" s="341"/>
      <c r="AG555" s="341"/>
      <c r="AH555" s="341"/>
      <c r="AI555" s="341"/>
      <c r="AJ555" s="341"/>
      <c r="AK555" s="341"/>
      <c r="AL555" s="341"/>
      <c r="AM555" s="341"/>
      <c r="AN555" s="341"/>
      <c r="AO555" s="341"/>
      <c r="AP555" s="341"/>
      <c r="AQ555" s="341"/>
      <c r="AR555" s="341"/>
      <c r="AS555" s="341"/>
      <c r="AT555" s="341"/>
      <c r="AU555" s="341"/>
      <c r="AV555" s="341"/>
      <c r="AW555" s="341"/>
      <c r="AX555" s="341"/>
      <c r="AY555" s="341"/>
      <c r="AZ555" s="341"/>
      <c r="BA555" s="341"/>
      <c r="BB555" s="341"/>
      <c r="BC555" s="341"/>
      <c r="BD555" s="341"/>
      <c r="BE555" s="341"/>
      <c r="BF555" s="341"/>
      <c r="BG555" s="341"/>
      <c r="BH555" s="341"/>
      <c r="BI555" s="341"/>
      <c r="BJ555" s="341"/>
      <c r="BK555" s="341"/>
      <c r="BL555" s="341"/>
      <c r="BM555" s="341"/>
      <c r="BN555" s="341"/>
      <c r="BO555" s="341"/>
      <c r="BP555" s="341"/>
      <c r="BQ555" s="341"/>
      <c r="BR555" s="341"/>
      <c r="BS555" s="341"/>
      <c r="BT555" s="110"/>
      <c r="BU555" s="108"/>
      <c r="BV555" s="108"/>
      <c r="BW555" s="108"/>
    </row>
    <row r="556" spans="1:75" s="218" customFormat="1" ht="13.5" customHeight="1" thickBot="1">
      <c r="A556" s="398"/>
      <c r="B556" s="341"/>
      <c r="C556" s="341"/>
      <c r="D556" s="341"/>
      <c r="E556" s="341"/>
      <c r="F556" s="341"/>
      <c r="G556" s="341"/>
      <c r="H556" s="341"/>
      <c r="I556" s="341"/>
      <c r="J556" s="341"/>
      <c r="K556" s="341"/>
      <c r="L556" s="341"/>
      <c r="M556" s="341"/>
      <c r="N556" s="101"/>
      <c r="O556" s="341"/>
      <c r="P556" s="341"/>
      <c r="Q556" s="341"/>
      <c r="R556" s="341"/>
      <c r="S556" s="341"/>
      <c r="T556" s="341"/>
      <c r="U556" s="341"/>
      <c r="V556" s="341"/>
      <c r="W556" s="341"/>
      <c r="X556" s="341"/>
      <c r="Y556" s="341"/>
      <c r="Z556" s="341"/>
      <c r="AA556" s="341"/>
      <c r="AB556" s="341"/>
      <c r="AC556" s="341"/>
      <c r="AD556" s="341"/>
      <c r="AE556" s="341"/>
      <c r="AF556" s="341"/>
      <c r="AG556" s="341"/>
      <c r="AH556" s="341"/>
      <c r="AI556" s="341"/>
      <c r="AJ556" s="341"/>
      <c r="AK556" s="341"/>
      <c r="AL556" s="341"/>
      <c r="AM556" s="341"/>
      <c r="AN556" s="341"/>
      <c r="AO556" s="341"/>
      <c r="AP556" s="341"/>
      <c r="AQ556" s="341"/>
      <c r="AR556" s="341"/>
      <c r="AS556" s="341"/>
      <c r="AT556" s="341"/>
      <c r="AU556" s="341"/>
      <c r="AV556" s="341"/>
      <c r="AW556" s="341"/>
      <c r="AX556" s="341"/>
      <c r="AY556" s="341"/>
      <c r="AZ556" s="341"/>
      <c r="BA556" s="341"/>
      <c r="BB556" s="341"/>
      <c r="BC556" s="341"/>
      <c r="BD556" s="341"/>
      <c r="BE556" s="341"/>
      <c r="BF556" s="341"/>
      <c r="BG556" s="341"/>
      <c r="BH556" s="341"/>
      <c r="BI556" s="341"/>
      <c r="BJ556" s="341"/>
      <c r="BK556" s="341"/>
      <c r="BL556" s="341"/>
      <c r="BM556" s="341"/>
      <c r="BN556" s="341"/>
      <c r="BO556" s="341"/>
      <c r="BP556" s="341"/>
      <c r="BQ556" s="341"/>
      <c r="BR556" s="341"/>
      <c r="BS556" s="341"/>
      <c r="BT556" s="110"/>
      <c r="BU556" s="108"/>
      <c r="BV556" s="108"/>
      <c r="BW556" s="108"/>
    </row>
    <row r="557" spans="1:75" s="218" customFormat="1" ht="13.5" customHeight="1" thickBot="1">
      <c r="A557" s="398"/>
      <c r="B557" s="399">
        <v>42005</v>
      </c>
      <c r="C557" s="400">
        <v>42036</v>
      </c>
      <c r="D557" s="400">
        <v>42064</v>
      </c>
      <c r="E557" s="400">
        <v>42095</v>
      </c>
      <c r="F557" s="400">
        <v>42125</v>
      </c>
      <c r="G557" s="400">
        <v>42156</v>
      </c>
      <c r="H557" s="372">
        <v>42186</v>
      </c>
      <c r="I557" s="341"/>
      <c r="J557" s="341"/>
      <c r="K557" s="341"/>
      <c r="L557" s="341"/>
      <c r="M557" s="341"/>
      <c r="N557" s="101"/>
      <c r="O557" s="341"/>
      <c r="P557" s="341"/>
      <c r="Q557" s="341"/>
      <c r="R557" s="341"/>
      <c r="S557" s="341"/>
      <c r="T557" s="341"/>
      <c r="U557" s="341"/>
      <c r="V557" s="341"/>
      <c r="W557" s="341"/>
      <c r="X557" s="341"/>
      <c r="Y557" s="341"/>
      <c r="Z557" s="341"/>
      <c r="AA557" s="341"/>
      <c r="AB557" s="341"/>
      <c r="AC557" s="341"/>
      <c r="AD557" s="341"/>
      <c r="AE557" s="341"/>
      <c r="AF557" s="341"/>
      <c r="AG557" s="341"/>
      <c r="AH557" s="341"/>
      <c r="AI557" s="341"/>
      <c r="AJ557" s="341"/>
      <c r="AK557" s="341"/>
      <c r="AL557" s="341"/>
      <c r="AM557" s="341"/>
      <c r="AN557" s="341"/>
      <c r="AO557" s="341"/>
      <c r="AP557" s="341"/>
      <c r="AQ557" s="341"/>
      <c r="AR557" s="341"/>
      <c r="AS557" s="341"/>
      <c r="AT557" s="341"/>
      <c r="AU557" s="341"/>
      <c r="AV557" s="341"/>
      <c r="AW557" s="341"/>
      <c r="AX557" s="341"/>
      <c r="AY557" s="341"/>
      <c r="AZ557" s="341"/>
      <c r="BA557" s="341"/>
      <c r="BB557" s="341"/>
      <c r="BC557" s="341"/>
      <c r="BD557" s="341"/>
      <c r="BE557" s="341"/>
      <c r="BF557" s="341"/>
      <c r="BG557" s="341"/>
      <c r="BH557" s="341"/>
      <c r="BI557" s="341"/>
      <c r="BJ557" s="341"/>
      <c r="BK557" s="341"/>
      <c r="BL557" s="341"/>
      <c r="BM557" s="341"/>
      <c r="BN557" s="341"/>
      <c r="BO557" s="341"/>
      <c r="BP557" s="341"/>
      <c r="BQ557" s="341"/>
      <c r="BR557" s="341"/>
      <c r="BS557" s="341"/>
      <c r="BT557" s="110"/>
      <c r="BU557" s="108"/>
      <c r="BV557" s="108"/>
      <c r="BW557" s="108"/>
    </row>
    <row r="558" spans="1:75" s="218" customFormat="1" ht="13.5" customHeight="1">
      <c r="A558" s="354" t="s">
        <v>231</v>
      </c>
      <c r="B558" s="89">
        <v>2634745</v>
      </c>
      <c r="C558" s="49">
        <v>2555704</v>
      </c>
      <c r="D558" s="49">
        <v>2405924</v>
      </c>
      <c r="E558" s="49">
        <v>2459624</v>
      </c>
      <c r="F558" s="49">
        <v>2468407</v>
      </c>
      <c r="G558" s="49">
        <v>2496821</v>
      </c>
      <c r="H558" s="50">
        <v>2417597</v>
      </c>
      <c r="I558" s="341"/>
      <c r="J558" s="341"/>
      <c r="K558" s="341"/>
      <c r="L558" s="341"/>
      <c r="M558" s="341"/>
      <c r="N558" s="101"/>
      <c r="O558" s="341"/>
      <c r="P558" s="341"/>
      <c r="Q558" s="341"/>
      <c r="R558" s="341"/>
      <c r="S558" s="341"/>
      <c r="T558" s="341"/>
      <c r="U558" s="341"/>
      <c r="V558" s="341"/>
      <c r="W558" s="341"/>
      <c r="X558" s="341"/>
      <c r="Y558" s="341"/>
      <c r="Z558" s="341"/>
      <c r="AA558" s="341"/>
      <c r="AB558" s="341"/>
      <c r="AC558" s="341"/>
      <c r="AD558" s="341"/>
      <c r="AE558" s="341"/>
      <c r="AF558" s="341"/>
      <c r="AG558" s="341"/>
      <c r="AH558" s="341"/>
      <c r="AI558" s="341"/>
      <c r="AJ558" s="341"/>
      <c r="AK558" s="341"/>
      <c r="AL558" s="341"/>
      <c r="AM558" s="341"/>
      <c r="AN558" s="341"/>
      <c r="AO558" s="341"/>
      <c r="AP558" s="341"/>
      <c r="AQ558" s="341"/>
      <c r="AR558" s="341"/>
      <c r="AS558" s="341"/>
      <c r="AT558" s="341"/>
      <c r="AU558" s="341"/>
      <c r="AV558" s="341"/>
      <c r="AW558" s="341"/>
      <c r="AX558" s="341"/>
      <c r="AY558" s="341"/>
      <c r="AZ558" s="341"/>
      <c r="BA558" s="341"/>
      <c r="BB558" s="341"/>
      <c r="BC558" s="341"/>
      <c r="BD558" s="341"/>
      <c r="BE558" s="341"/>
      <c r="BF558" s="341"/>
      <c r="BG558" s="341"/>
      <c r="BH558" s="341"/>
      <c r="BI558" s="341"/>
      <c r="BJ558" s="341"/>
      <c r="BK558" s="341"/>
      <c r="BL558" s="341"/>
      <c r="BM558" s="341"/>
      <c r="BN558" s="341"/>
      <c r="BO558" s="341"/>
      <c r="BP558" s="341"/>
      <c r="BQ558" s="341"/>
      <c r="BR558" s="341"/>
      <c r="BS558" s="341"/>
      <c r="BT558" s="110"/>
      <c r="BU558" s="108"/>
      <c r="BV558" s="108"/>
      <c r="BW558" s="108"/>
    </row>
    <row r="559" spans="1:75" s="218" customFormat="1" ht="13.5" customHeight="1">
      <c r="A559" s="356" t="s">
        <v>232</v>
      </c>
      <c r="B559" s="90">
        <v>6529728</v>
      </c>
      <c r="C559" s="51">
        <v>6266772</v>
      </c>
      <c r="D559" s="51">
        <v>6164782</v>
      </c>
      <c r="E559" s="51">
        <v>6156289</v>
      </c>
      <c r="F559" s="51">
        <v>6218070</v>
      </c>
      <c r="G559" s="51">
        <v>6176388</v>
      </c>
      <c r="H559" s="53">
        <v>6128746</v>
      </c>
      <c r="I559" s="341"/>
      <c r="J559" s="341"/>
      <c r="K559" s="341"/>
      <c r="L559" s="341"/>
      <c r="M559" s="341"/>
      <c r="N559" s="101"/>
      <c r="O559" s="341"/>
      <c r="P559" s="341"/>
      <c r="Q559" s="341"/>
      <c r="R559" s="341"/>
      <c r="S559" s="341"/>
      <c r="T559" s="341"/>
      <c r="U559" s="341"/>
      <c r="V559" s="341"/>
      <c r="W559" s="341"/>
      <c r="X559" s="341"/>
      <c r="Y559" s="341"/>
      <c r="Z559" s="341"/>
      <c r="AA559" s="341"/>
      <c r="AB559" s="341"/>
      <c r="AC559" s="341"/>
      <c r="AD559" s="341"/>
      <c r="AE559" s="341"/>
      <c r="AF559" s="341"/>
      <c r="AG559" s="341"/>
      <c r="AH559" s="341"/>
      <c r="AI559" s="341"/>
      <c r="AJ559" s="341"/>
      <c r="AK559" s="341"/>
      <c r="AL559" s="341"/>
      <c r="AM559" s="341"/>
      <c r="AN559" s="341"/>
      <c r="AO559" s="341"/>
      <c r="AP559" s="341"/>
      <c r="AQ559" s="341"/>
      <c r="AR559" s="341"/>
      <c r="AS559" s="341"/>
      <c r="AT559" s="341"/>
      <c r="AU559" s="341"/>
      <c r="AV559" s="341"/>
      <c r="AW559" s="341"/>
      <c r="AX559" s="341"/>
      <c r="AY559" s="341"/>
      <c r="AZ559" s="341"/>
      <c r="BA559" s="341"/>
      <c r="BB559" s="341"/>
      <c r="BC559" s="341"/>
      <c r="BD559" s="341"/>
      <c r="BE559" s="341"/>
      <c r="BF559" s="341"/>
      <c r="BG559" s="341"/>
      <c r="BH559" s="341"/>
      <c r="BI559" s="341"/>
      <c r="BJ559" s="341"/>
      <c r="BK559" s="341"/>
      <c r="BL559" s="341"/>
      <c r="BM559" s="341"/>
      <c r="BN559" s="341"/>
      <c r="BO559" s="341"/>
      <c r="BP559" s="341"/>
      <c r="BQ559" s="341"/>
      <c r="BR559" s="341"/>
      <c r="BS559" s="341"/>
      <c r="BT559" s="110"/>
      <c r="BU559" s="108"/>
      <c r="BV559" s="108"/>
      <c r="BW559" s="108"/>
    </row>
    <row r="560" spans="1:75" s="218" customFormat="1" ht="13.5" customHeight="1">
      <c r="A560" s="356" t="s">
        <v>230</v>
      </c>
      <c r="B560" s="90">
        <v>3420199</v>
      </c>
      <c r="C560" s="51">
        <v>3439991</v>
      </c>
      <c r="D560" s="51">
        <v>3294266</v>
      </c>
      <c r="E560" s="51">
        <v>3127058</v>
      </c>
      <c r="F560" s="51">
        <v>3044717</v>
      </c>
      <c r="G560" s="51">
        <v>3095980</v>
      </c>
      <c r="H560" s="53">
        <v>2879353</v>
      </c>
      <c r="I560" s="341"/>
      <c r="J560" s="341"/>
      <c r="K560" s="341"/>
      <c r="L560" s="341"/>
      <c r="M560" s="341"/>
      <c r="N560" s="101"/>
      <c r="O560" s="341"/>
      <c r="P560" s="341"/>
      <c r="Q560" s="341"/>
      <c r="R560" s="341"/>
      <c r="S560" s="341"/>
      <c r="T560" s="341"/>
      <c r="U560" s="341"/>
      <c r="V560" s="341"/>
      <c r="W560" s="341"/>
      <c r="X560" s="341"/>
      <c r="Y560" s="341"/>
      <c r="Z560" s="341"/>
      <c r="AA560" s="341"/>
      <c r="AB560" s="341"/>
      <c r="AC560" s="341"/>
      <c r="AD560" s="341"/>
      <c r="AE560" s="341"/>
      <c r="AF560" s="341"/>
      <c r="AG560" s="341"/>
      <c r="AH560" s="341"/>
      <c r="AI560" s="341"/>
      <c r="AJ560" s="341"/>
      <c r="AK560" s="341"/>
      <c r="AL560" s="341"/>
      <c r="AM560" s="341"/>
      <c r="AN560" s="341"/>
      <c r="AO560" s="341"/>
      <c r="AP560" s="341"/>
      <c r="AQ560" s="341"/>
      <c r="AR560" s="341"/>
      <c r="AS560" s="341"/>
      <c r="AT560" s="341"/>
      <c r="AU560" s="341"/>
      <c r="AV560" s="341"/>
      <c r="AW560" s="341"/>
      <c r="AX560" s="341"/>
      <c r="AY560" s="341"/>
      <c r="AZ560" s="341"/>
      <c r="BA560" s="341"/>
      <c r="BB560" s="341"/>
      <c r="BC560" s="341"/>
      <c r="BD560" s="341"/>
      <c r="BE560" s="341"/>
      <c r="BF560" s="341"/>
      <c r="BG560" s="341"/>
      <c r="BH560" s="341"/>
      <c r="BI560" s="341"/>
      <c r="BJ560" s="341"/>
      <c r="BK560" s="341"/>
      <c r="BL560" s="341"/>
      <c r="BM560" s="341"/>
      <c r="BN560" s="341"/>
      <c r="BO560" s="341"/>
      <c r="BP560" s="341"/>
      <c r="BQ560" s="341"/>
      <c r="BR560" s="341"/>
      <c r="BS560" s="341"/>
      <c r="BT560" s="110"/>
      <c r="BU560" s="108"/>
      <c r="BV560" s="108"/>
      <c r="BW560" s="108"/>
    </row>
    <row r="561" spans="1:128" s="218" customFormat="1" ht="13.5" customHeight="1">
      <c r="A561" s="356" t="s">
        <v>229</v>
      </c>
      <c r="B561" s="90">
        <v>3175186</v>
      </c>
      <c r="C561" s="51">
        <v>3167407</v>
      </c>
      <c r="D561" s="51">
        <v>3168291</v>
      </c>
      <c r="E561" s="51">
        <v>3186665</v>
      </c>
      <c r="F561" s="51">
        <v>3212673</v>
      </c>
      <c r="G561" s="51">
        <v>3074024</v>
      </c>
      <c r="H561" s="53">
        <v>3057526</v>
      </c>
      <c r="I561" s="341"/>
      <c r="J561" s="341"/>
      <c r="K561" s="341"/>
      <c r="L561" s="341"/>
      <c r="M561" s="341"/>
      <c r="N561" s="101"/>
      <c r="O561" s="341"/>
      <c r="P561" s="341"/>
      <c r="Q561" s="341"/>
      <c r="R561" s="341"/>
      <c r="S561" s="341"/>
      <c r="T561" s="341"/>
      <c r="U561" s="341"/>
      <c r="V561" s="341"/>
      <c r="W561" s="341"/>
      <c r="X561" s="341"/>
      <c r="Y561" s="341"/>
      <c r="Z561" s="341"/>
      <c r="AA561" s="341"/>
      <c r="AB561" s="341"/>
      <c r="AC561" s="341"/>
      <c r="AD561" s="341"/>
      <c r="AE561" s="341"/>
      <c r="AF561" s="341"/>
      <c r="AG561" s="341"/>
      <c r="AH561" s="341"/>
      <c r="AI561" s="341"/>
      <c r="AJ561" s="341"/>
      <c r="AK561" s="341"/>
      <c r="AL561" s="341"/>
      <c r="AM561" s="341"/>
      <c r="AN561" s="341"/>
      <c r="AO561" s="341"/>
      <c r="AP561" s="341"/>
      <c r="AQ561" s="341"/>
      <c r="AR561" s="341"/>
      <c r="AS561" s="341"/>
      <c r="AT561" s="341"/>
      <c r="AU561" s="341"/>
      <c r="AV561" s="341"/>
      <c r="AW561" s="341"/>
      <c r="AX561" s="341"/>
      <c r="AY561" s="341"/>
      <c r="AZ561" s="341"/>
      <c r="BA561" s="341"/>
      <c r="BB561" s="341"/>
      <c r="BC561" s="341"/>
      <c r="BD561" s="341"/>
      <c r="BE561" s="341"/>
      <c r="BF561" s="341"/>
      <c r="BG561" s="341"/>
      <c r="BH561" s="341"/>
      <c r="BI561" s="341"/>
      <c r="BJ561" s="341"/>
      <c r="BK561" s="341"/>
      <c r="BL561" s="341"/>
      <c r="BM561" s="341"/>
      <c r="BN561" s="341"/>
      <c r="BO561" s="341"/>
      <c r="BP561" s="341"/>
      <c r="BQ561" s="341"/>
      <c r="BR561" s="341"/>
      <c r="BS561" s="341"/>
      <c r="BT561" s="110"/>
      <c r="BU561" s="108"/>
      <c r="BV561" s="108"/>
      <c r="BW561" s="108"/>
    </row>
    <row r="562" spans="1:128" s="218" customFormat="1" ht="13.5" customHeight="1">
      <c r="A562" s="356" t="s">
        <v>233</v>
      </c>
      <c r="B562" s="90">
        <v>3371521</v>
      </c>
      <c r="C562" s="51">
        <v>3264562</v>
      </c>
      <c r="D562" s="51">
        <v>3245570</v>
      </c>
      <c r="E562" s="51">
        <v>3268366</v>
      </c>
      <c r="F562" s="51">
        <v>3320086</v>
      </c>
      <c r="G562" s="51">
        <v>3222081</v>
      </c>
      <c r="H562" s="53">
        <v>3374023</v>
      </c>
      <c r="I562" s="341"/>
      <c r="J562" s="341"/>
      <c r="K562" s="341"/>
      <c r="L562" s="341"/>
      <c r="M562" s="341"/>
      <c r="N562" s="101"/>
      <c r="O562" s="341"/>
      <c r="P562" s="341"/>
      <c r="Q562" s="341"/>
      <c r="R562" s="341"/>
      <c r="S562" s="341"/>
      <c r="T562" s="341"/>
      <c r="U562" s="341"/>
      <c r="V562" s="341"/>
      <c r="W562" s="341"/>
      <c r="X562" s="341"/>
      <c r="Y562" s="341"/>
      <c r="Z562" s="341"/>
      <c r="AA562" s="341"/>
      <c r="AB562" s="341"/>
      <c r="AC562" s="341"/>
      <c r="AD562" s="341"/>
      <c r="AE562" s="341"/>
      <c r="AF562" s="341"/>
      <c r="AG562" s="341"/>
      <c r="AH562" s="341"/>
      <c r="AI562" s="341"/>
      <c r="AJ562" s="341"/>
      <c r="AK562" s="341"/>
      <c r="AL562" s="341"/>
      <c r="AM562" s="341"/>
      <c r="AN562" s="341"/>
      <c r="AO562" s="341"/>
      <c r="AP562" s="341"/>
      <c r="AQ562" s="341"/>
      <c r="AR562" s="341"/>
      <c r="AS562" s="341"/>
      <c r="AT562" s="341"/>
      <c r="AU562" s="341"/>
      <c r="AV562" s="341"/>
      <c r="AW562" s="341"/>
      <c r="AX562" s="341"/>
      <c r="AY562" s="341"/>
      <c r="AZ562" s="341"/>
      <c r="BA562" s="341"/>
      <c r="BB562" s="341"/>
      <c r="BC562" s="341"/>
      <c r="BD562" s="341"/>
      <c r="BE562" s="341"/>
      <c r="BF562" s="341"/>
      <c r="BG562" s="341"/>
      <c r="BH562" s="341"/>
      <c r="BI562" s="341"/>
      <c r="BJ562" s="341"/>
      <c r="BK562" s="341"/>
      <c r="BL562" s="341"/>
      <c r="BM562" s="341"/>
      <c r="BN562" s="341"/>
      <c r="BO562" s="341"/>
      <c r="BP562" s="341"/>
      <c r="BQ562" s="341"/>
      <c r="BR562" s="341"/>
      <c r="BS562" s="341"/>
      <c r="BT562" s="110"/>
      <c r="BU562" s="108"/>
      <c r="BV562" s="108"/>
      <c r="BW562" s="108"/>
    </row>
    <row r="563" spans="1:128" s="218" customFormat="1" ht="13.5" customHeight="1">
      <c r="A563" s="356" t="s">
        <v>361</v>
      </c>
      <c r="B563" s="90">
        <v>932091</v>
      </c>
      <c r="C563" s="51">
        <v>994667</v>
      </c>
      <c r="D563" s="51">
        <v>992112</v>
      </c>
      <c r="E563" s="51">
        <v>975829</v>
      </c>
      <c r="F563" s="51">
        <v>989480</v>
      </c>
      <c r="G563" s="51">
        <v>996289</v>
      </c>
      <c r="H563" s="53">
        <v>980418</v>
      </c>
      <c r="I563" s="341"/>
      <c r="J563" s="341"/>
      <c r="K563" s="341"/>
      <c r="L563" s="341"/>
      <c r="M563" s="341"/>
      <c r="N563" s="101"/>
      <c r="O563" s="341"/>
      <c r="P563" s="341"/>
      <c r="Q563" s="341"/>
      <c r="R563" s="341"/>
      <c r="S563" s="341"/>
      <c r="T563" s="341"/>
      <c r="U563" s="341"/>
      <c r="V563" s="341"/>
      <c r="W563" s="341"/>
      <c r="X563" s="341"/>
      <c r="Y563" s="341"/>
      <c r="Z563" s="341"/>
      <c r="AA563" s="341"/>
      <c r="AB563" s="341"/>
      <c r="AC563" s="341"/>
      <c r="AD563" s="341"/>
      <c r="AE563" s="341"/>
      <c r="AF563" s="341"/>
      <c r="AG563" s="341"/>
      <c r="AH563" s="341"/>
      <c r="AI563" s="341"/>
      <c r="AJ563" s="341"/>
      <c r="AK563" s="341"/>
      <c r="AL563" s="341"/>
      <c r="AM563" s="341"/>
      <c r="AN563" s="341"/>
      <c r="AO563" s="341"/>
      <c r="AP563" s="341"/>
      <c r="AQ563" s="341"/>
      <c r="AR563" s="341"/>
      <c r="AS563" s="341"/>
      <c r="AT563" s="341"/>
      <c r="AU563" s="341"/>
      <c r="AV563" s="341"/>
      <c r="AW563" s="341"/>
      <c r="AX563" s="341"/>
      <c r="AY563" s="341"/>
      <c r="AZ563" s="341"/>
      <c r="BA563" s="341"/>
      <c r="BB563" s="341"/>
      <c r="BC563" s="341"/>
      <c r="BD563" s="341"/>
      <c r="BE563" s="341"/>
      <c r="BF563" s="341"/>
      <c r="BG563" s="341"/>
      <c r="BH563" s="341"/>
      <c r="BI563" s="341"/>
      <c r="BJ563" s="341"/>
      <c r="BK563" s="341"/>
      <c r="BL563" s="341"/>
      <c r="BM563" s="341"/>
      <c r="BN563" s="341"/>
      <c r="BO563" s="341"/>
      <c r="BP563" s="341"/>
      <c r="BQ563" s="341"/>
      <c r="BR563" s="341"/>
      <c r="BS563" s="341"/>
      <c r="BT563" s="110"/>
      <c r="BU563" s="108"/>
      <c r="BV563" s="108"/>
      <c r="BW563" s="108"/>
    </row>
    <row r="564" spans="1:128" s="218" customFormat="1" ht="13.5" customHeight="1">
      <c r="A564" s="356" t="s">
        <v>228</v>
      </c>
      <c r="B564" s="90">
        <v>644761</v>
      </c>
      <c r="C564" s="51">
        <v>601910</v>
      </c>
      <c r="D564" s="51">
        <v>596405</v>
      </c>
      <c r="E564" s="51">
        <v>587108</v>
      </c>
      <c r="F564" s="51">
        <v>526309</v>
      </c>
      <c r="G564" s="51">
        <v>521524</v>
      </c>
      <c r="H564" s="53">
        <v>513168</v>
      </c>
      <c r="I564" s="341"/>
      <c r="J564" s="341"/>
      <c r="K564" s="341"/>
      <c r="L564" s="341"/>
      <c r="M564" s="341"/>
      <c r="N564" s="101"/>
      <c r="O564" s="341"/>
      <c r="P564" s="341"/>
      <c r="Q564" s="341"/>
      <c r="R564" s="341"/>
      <c r="S564" s="341"/>
      <c r="T564" s="341"/>
      <c r="U564" s="341"/>
      <c r="V564" s="341"/>
      <c r="W564" s="341"/>
      <c r="X564" s="341"/>
      <c r="Y564" s="341"/>
      <c r="Z564" s="341"/>
      <c r="AA564" s="341"/>
      <c r="AB564" s="341"/>
      <c r="AC564" s="341"/>
      <c r="AD564" s="341"/>
      <c r="AE564" s="341"/>
      <c r="AF564" s="341"/>
      <c r="AG564" s="341"/>
      <c r="AH564" s="341"/>
      <c r="AI564" s="341"/>
      <c r="AJ564" s="341"/>
      <c r="AK564" s="341"/>
      <c r="AL564" s="341"/>
      <c r="AM564" s="341"/>
      <c r="AN564" s="341"/>
      <c r="AO564" s="341"/>
      <c r="AP564" s="341"/>
      <c r="AQ564" s="341"/>
      <c r="AR564" s="341"/>
      <c r="AS564" s="341"/>
      <c r="AT564" s="341"/>
      <c r="AU564" s="341"/>
      <c r="AV564" s="341"/>
      <c r="AW564" s="341"/>
      <c r="AX564" s="341"/>
      <c r="AY564" s="341"/>
      <c r="AZ564" s="341"/>
      <c r="BA564" s="341"/>
      <c r="BB564" s="341"/>
      <c r="BC564" s="341"/>
      <c r="BD564" s="341"/>
      <c r="BE564" s="341"/>
      <c r="BF564" s="341"/>
      <c r="BG564" s="341"/>
      <c r="BH564" s="341"/>
      <c r="BI564" s="341"/>
      <c r="BJ564" s="341"/>
      <c r="BK564" s="341"/>
      <c r="BL564" s="341"/>
      <c r="BM564" s="341"/>
      <c r="BN564" s="341"/>
      <c r="BO564" s="341"/>
      <c r="BP564" s="341"/>
      <c r="BQ564" s="341"/>
      <c r="BR564" s="341"/>
      <c r="BS564" s="341"/>
      <c r="BT564" s="110"/>
      <c r="BU564" s="108"/>
      <c r="BV564" s="108"/>
      <c r="BW564" s="108"/>
    </row>
    <row r="565" spans="1:128" s="218" customFormat="1" ht="13.5" customHeight="1">
      <c r="A565" s="149" t="s">
        <v>362</v>
      </c>
      <c r="B565" s="340">
        <v>4919182</v>
      </c>
      <c r="C565" s="341">
        <v>4805863</v>
      </c>
      <c r="D565" s="341">
        <v>4679413</v>
      </c>
      <c r="E565" s="341">
        <v>4658719</v>
      </c>
      <c r="F565" s="341">
        <v>4490450</v>
      </c>
      <c r="G565" s="341">
        <v>4460575</v>
      </c>
      <c r="H565" s="339">
        <v>4296579</v>
      </c>
      <c r="I565" s="341"/>
      <c r="J565" s="341"/>
      <c r="K565" s="341"/>
      <c r="L565" s="341"/>
      <c r="M565" s="341"/>
      <c r="N565" s="101"/>
      <c r="O565" s="341"/>
      <c r="P565" s="341"/>
      <c r="Q565" s="341"/>
      <c r="R565" s="341"/>
      <c r="S565" s="341"/>
      <c r="T565" s="341"/>
      <c r="U565" s="341"/>
      <c r="V565" s="341"/>
      <c r="W565" s="341"/>
      <c r="X565" s="341"/>
      <c r="Y565" s="341"/>
      <c r="Z565" s="341"/>
      <c r="AA565" s="341"/>
      <c r="AB565" s="341"/>
      <c r="AC565" s="341"/>
      <c r="AD565" s="341"/>
      <c r="AE565" s="341"/>
      <c r="AF565" s="341"/>
      <c r="AG565" s="341"/>
      <c r="AH565" s="341"/>
      <c r="AI565" s="341"/>
      <c r="AJ565" s="341"/>
      <c r="AK565" s="341"/>
      <c r="AL565" s="341"/>
      <c r="AM565" s="341"/>
      <c r="AN565" s="341"/>
      <c r="AO565" s="341"/>
      <c r="AP565" s="341"/>
      <c r="AQ565" s="341"/>
      <c r="AR565" s="341"/>
      <c r="AS565" s="341"/>
      <c r="AT565" s="341"/>
      <c r="AU565" s="341"/>
      <c r="AV565" s="341"/>
      <c r="AW565" s="341"/>
      <c r="AX565" s="341"/>
      <c r="AY565" s="341"/>
      <c r="AZ565" s="341"/>
      <c r="BA565" s="341"/>
      <c r="BB565" s="341"/>
      <c r="BC565" s="341"/>
      <c r="BD565" s="341"/>
      <c r="BE565" s="341"/>
      <c r="BF565" s="341"/>
      <c r="BG565" s="341"/>
      <c r="BH565" s="341"/>
      <c r="BI565" s="341"/>
      <c r="BJ565" s="341"/>
      <c r="BK565" s="341"/>
      <c r="BL565" s="341"/>
      <c r="BM565" s="341"/>
      <c r="BN565" s="341"/>
      <c r="BO565" s="341"/>
      <c r="BP565" s="341"/>
      <c r="BQ565" s="341"/>
      <c r="BR565" s="341"/>
      <c r="BS565" s="341"/>
      <c r="BT565" s="110"/>
      <c r="BU565" s="108"/>
      <c r="BV565" s="108"/>
      <c r="BW565" s="108"/>
    </row>
    <row r="566" spans="1:128" s="218" customFormat="1" ht="13.5" customHeight="1">
      <c r="A566" s="356" t="s">
        <v>235</v>
      </c>
      <c r="B566" s="90">
        <v>1409733</v>
      </c>
      <c r="C566" s="51">
        <v>1463911</v>
      </c>
      <c r="D566" s="51">
        <v>1409753</v>
      </c>
      <c r="E566" s="51">
        <v>1431872</v>
      </c>
      <c r="F566" s="51">
        <v>1367168</v>
      </c>
      <c r="G566" s="51">
        <v>1332883</v>
      </c>
      <c r="H566" s="53">
        <v>1291793</v>
      </c>
      <c r="I566" s="341"/>
      <c r="J566" s="341"/>
      <c r="K566" s="341"/>
      <c r="L566" s="341"/>
      <c r="M566" s="341"/>
      <c r="N566" s="101"/>
      <c r="O566" s="341"/>
      <c r="P566" s="341"/>
      <c r="Q566" s="341"/>
      <c r="R566" s="341"/>
      <c r="S566" s="341"/>
      <c r="T566" s="341"/>
      <c r="U566" s="341"/>
      <c r="V566" s="341"/>
      <c r="W566" s="341"/>
      <c r="X566" s="341"/>
      <c r="Y566" s="341"/>
      <c r="Z566" s="341"/>
      <c r="AA566" s="341"/>
      <c r="AB566" s="341"/>
      <c r="AC566" s="341"/>
      <c r="AD566" s="341"/>
      <c r="AE566" s="341"/>
      <c r="AF566" s="341"/>
      <c r="AG566" s="341"/>
      <c r="AH566" s="341"/>
      <c r="AI566" s="341"/>
      <c r="AJ566" s="341"/>
      <c r="AK566" s="341"/>
      <c r="AL566" s="341"/>
      <c r="AM566" s="341"/>
      <c r="AN566" s="341"/>
      <c r="AO566" s="341"/>
      <c r="AP566" s="341"/>
      <c r="AQ566" s="341"/>
      <c r="AR566" s="341"/>
      <c r="AS566" s="341"/>
      <c r="AT566" s="341"/>
      <c r="AU566" s="341"/>
      <c r="AV566" s="341"/>
      <c r="AW566" s="341"/>
      <c r="AX566" s="341"/>
      <c r="AY566" s="341"/>
      <c r="AZ566" s="341"/>
      <c r="BA566" s="341"/>
      <c r="BB566" s="341"/>
      <c r="BC566" s="341"/>
      <c r="BD566" s="341"/>
      <c r="BE566" s="341"/>
      <c r="BF566" s="341"/>
      <c r="BG566" s="341"/>
      <c r="BH566" s="341"/>
      <c r="BI566" s="341"/>
      <c r="BJ566" s="341"/>
      <c r="BK566" s="341"/>
      <c r="BL566" s="341"/>
      <c r="BM566" s="341"/>
      <c r="BN566" s="341"/>
      <c r="BO566" s="341"/>
      <c r="BP566" s="341"/>
      <c r="BQ566" s="341"/>
      <c r="BR566" s="341"/>
      <c r="BS566" s="341"/>
      <c r="BT566" s="110"/>
      <c r="BU566" s="108"/>
      <c r="BV566" s="108"/>
      <c r="BW566" s="108"/>
    </row>
    <row r="567" spans="1:128" s="218" customFormat="1" ht="13.5" customHeight="1">
      <c r="A567" s="356" t="s">
        <v>239</v>
      </c>
      <c r="B567" s="90">
        <v>1087868</v>
      </c>
      <c r="C567" s="51">
        <v>1023069</v>
      </c>
      <c r="D567" s="51">
        <v>941596</v>
      </c>
      <c r="E567" s="51">
        <v>925536</v>
      </c>
      <c r="F567" s="51">
        <v>881879</v>
      </c>
      <c r="G567" s="51">
        <v>827297</v>
      </c>
      <c r="H567" s="53">
        <v>797128</v>
      </c>
      <c r="I567" s="341"/>
      <c r="J567" s="341"/>
      <c r="K567" s="341"/>
      <c r="L567" s="341"/>
      <c r="M567" s="341"/>
      <c r="N567" s="101"/>
      <c r="O567" s="341"/>
      <c r="P567" s="341"/>
      <c r="Q567" s="341"/>
      <c r="R567" s="341"/>
      <c r="S567" s="341"/>
      <c r="T567" s="341"/>
      <c r="U567" s="341"/>
      <c r="V567" s="341"/>
      <c r="W567" s="341"/>
      <c r="X567" s="341"/>
      <c r="Y567" s="341"/>
      <c r="Z567" s="341"/>
      <c r="AA567" s="341"/>
      <c r="AB567" s="341"/>
      <c r="AC567" s="341"/>
      <c r="AD567" s="341"/>
      <c r="AE567" s="341"/>
      <c r="AF567" s="341"/>
      <c r="AG567" s="341"/>
      <c r="AH567" s="341"/>
      <c r="AI567" s="341"/>
      <c r="AJ567" s="341"/>
      <c r="AK567" s="341"/>
      <c r="AL567" s="341"/>
      <c r="AM567" s="341"/>
      <c r="AN567" s="341"/>
      <c r="AO567" s="341"/>
      <c r="AP567" s="341"/>
      <c r="AQ567" s="341"/>
      <c r="AR567" s="341"/>
      <c r="AS567" s="341"/>
      <c r="AT567" s="341"/>
      <c r="AU567" s="341"/>
      <c r="AV567" s="341"/>
      <c r="AW567" s="341"/>
      <c r="AX567" s="341"/>
      <c r="AY567" s="341"/>
      <c r="AZ567" s="341"/>
      <c r="BA567" s="341"/>
      <c r="BB567" s="341"/>
      <c r="BC567" s="341"/>
      <c r="BD567" s="341"/>
      <c r="BE567" s="341"/>
      <c r="BF567" s="341"/>
      <c r="BG567" s="341"/>
      <c r="BH567" s="341"/>
      <c r="BI567" s="341"/>
      <c r="BJ567" s="341"/>
      <c r="BK567" s="341"/>
      <c r="BL567" s="341"/>
      <c r="BM567" s="341"/>
      <c r="BN567" s="341"/>
      <c r="BO567" s="341"/>
      <c r="BP567" s="341"/>
      <c r="BQ567" s="341"/>
      <c r="BR567" s="341"/>
      <c r="BS567" s="341"/>
      <c r="BT567" s="110"/>
      <c r="BU567" s="108"/>
      <c r="BV567" s="108"/>
      <c r="BW567" s="108"/>
    </row>
    <row r="568" spans="1:128" s="218" customFormat="1" ht="13.5" customHeight="1">
      <c r="A568" s="356" t="s">
        <v>236</v>
      </c>
      <c r="B568" s="90">
        <v>1219785</v>
      </c>
      <c r="C568" s="51">
        <v>1154297</v>
      </c>
      <c r="D568" s="51">
        <v>1161171</v>
      </c>
      <c r="E568" s="51">
        <v>1155337</v>
      </c>
      <c r="F568" s="51">
        <v>1120813</v>
      </c>
      <c r="G568" s="51">
        <v>1092090</v>
      </c>
      <c r="H568" s="53">
        <v>975747</v>
      </c>
      <c r="I568" s="341"/>
      <c r="J568" s="341"/>
      <c r="K568" s="341"/>
      <c r="L568" s="341"/>
      <c r="M568" s="341"/>
      <c r="N568" s="101"/>
      <c r="O568" s="341"/>
      <c r="P568" s="341"/>
      <c r="Q568" s="341"/>
      <c r="R568" s="341"/>
      <c r="S568" s="341"/>
      <c r="T568" s="341"/>
      <c r="U568" s="341"/>
      <c r="V568" s="341"/>
      <c r="W568" s="341"/>
      <c r="X568" s="341"/>
      <c r="Y568" s="341"/>
      <c r="Z568" s="341"/>
      <c r="AA568" s="341"/>
      <c r="AB568" s="341"/>
      <c r="AC568" s="341"/>
      <c r="AD568" s="341"/>
      <c r="AE568" s="341"/>
      <c r="AF568" s="341"/>
      <c r="AG568" s="341"/>
      <c r="AH568" s="341"/>
      <c r="AI568" s="341"/>
      <c r="AJ568" s="341"/>
      <c r="AK568" s="341"/>
      <c r="AL568" s="341"/>
      <c r="AM568" s="341"/>
      <c r="AN568" s="341"/>
      <c r="AO568" s="341"/>
      <c r="AP568" s="341"/>
      <c r="AQ568" s="341"/>
      <c r="AR568" s="341"/>
      <c r="AS568" s="341"/>
      <c r="AT568" s="341"/>
      <c r="AU568" s="341"/>
      <c r="AV568" s="341"/>
      <c r="AW568" s="341"/>
      <c r="AX568" s="341"/>
      <c r="AY568" s="341"/>
      <c r="AZ568" s="341"/>
      <c r="BA568" s="341"/>
      <c r="BB568" s="341"/>
      <c r="BC568" s="341"/>
      <c r="BD568" s="341"/>
      <c r="BE568" s="341"/>
      <c r="BF568" s="341"/>
      <c r="BG568" s="341"/>
      <c r="BH568" s="341"/>
      <c r="BI568" s="341"/>
      <c r="BJ568" s="341"/>
      <c r="BK568" s="341"/>
      <c r="BL568" s="341"/>
      <c r="BM568" s="341"/>
      <c r="BN568" s="341"/>
      <c r="BO568" s="341"/>
      <c r="BP568" s="341"/>
      <c r="BQ568" s="341"/>
      <c r="BR568" s="341"/>
      <c r="BS568" s="341"/>
      <c r="BT568" s="110"/>
      <c r="BU568" s="108"/>
      <c r="BV568" s="108"/>
      <c r="BW568" s="108"/>
    </row>
    <row r="569" spans="1:128" s="218" customFormat="1" ht="13.5" customHeight="1">
      <c r="A569" s="356" t="s">
        <v>237</v>
      </c>
      <c r="B569" s="90">
        <v>699058</v>
      </c>
      <c r="C569" s="51">
        <v>678805</v>
      </c>
      <c r="D569" s="51">
        <v>685494</v>
      </c>
      <c r="E569" s="51">
        <v>675776</v>
      </c>
      <c r="F569" s="51">
        <v>608884</v>
      </c>
      <c r="G569" s="51">
        <v>687087</v>
      </c>
      <c r="H569" s="53">
        <v>668867</v>
      </c>
      <c r="I569" s="341"/>
      <c r="J569" s="341"/>
      <c r="K569" s="341"/>
      <c r="L569" s="341"/>
      <c r="M569" s="341"/>
      <c r="N569" s="101"/>
      <c r="O569" s="341"/>
      <c r="P569" s="341"/>
      <c r="Q569" s="341"/>
      <c r="R569" s="341"/>
      <c r="S569" s="341"/>
      <c r="T569" s="341"/>
      <c r="U569" s="341"/>
      <c r="V569" s="341"/>
      <c r="W569" s="341"/>
      <c r="X569" s="341"/>
      <c r="Y569" s="341"/>
      <c r="Z569" s="341"/>
      <c r="AA569" s="341"/>
      <c r="AB569" s="341"/>
      <c r="AC569" s="341"/>
      <c r="AD569" s="341"/>
      <c r="AE569" s="341"/>
      <c r="AF569" s="341"/>
      <c r="AG569" s="341"/>
      <c r="AH569" s="341"/>
      <c r="AI569" s="341"/>
      <c r="AJ569" s="341"/>
      <c r="AK569" s="341"/>
      <c r="AL569" s="341"/>
      <c r="AM569" s="341"/>
      <c r="AN569" s="341"/>
      <c r="AO569" s="341"/>
      <c r="AP569" s="341"/>
      <c r="AQ569" s="341"/>
      <c r="AR569" s="341"/>
      <c r="AS569" s="341"/>
      <c r="AT569" s="341"/>
      <c r="AU569" s="341"/>
      <c r="AV569" s="341"/>
      <c r="AW569" s="341"/>
      <c r="AX569" s="341"/>
      <c r="AY569" s="341"/>
      <c r="AZ569" s="341"/>
      <c r="BA569" s="341"/>
      <c r="BB569" s="341"/>
      <c r="BC569" s="341"/>
      <c r="BD569" s="341"/>
      <c r="BE569" s="341"/>
      <c r="BF569" s="341"/>
      <c r="BG569" s="341"/>
      <c r="BH569" s="341"/>
      <c r="BI569" s="341"/>
      <c r="BJ569" s="341"/>
      <c r="BK569" s="341"/>
      <c r="BL569" s="341"/>
      <c r="BM569" s="341"/>
      <c r="BN569" s="341"/>
      <c r="BO569" s="341"/>
      <c r="BP569" s="341"/>
      <c r="BQ569" s="341"/>
      <c r="BR569" s="341"/>
      <c r="BS569" s="341"/>
      <c r="BT569" s="110"/>
      <c r="BU569" s="108"/>
      <c r="BV569" s="108"/>
      <c r="BW569" s="108"/>
    </row>
    <row r="570" spans="1:128" s="218" customFormat="1" ht="13.5" customHeight="1">
      <c r="A570" s="356" t="s">
        <v>234</v>
      </c>
      <c r="B570" s="90">
        <v>82562</v>
      </c>
      <c r="C570" s="51">
        <v>73474</v>
      </c>
      <c r="D570" s="51">
        <v>81018</v>
      </c>
      <c r="E570" s="51">
        <v>79206</v>
      </c>
      <c r="F570" s="51">
        <v>120631</v>
      </c>
      <c r="G570" s="51">
        <v>121005</v>
      </c>
      <c r="H570" s="53">
        <v>160424</v>
      </c>
      <c r="I570" s="341"/>
      <c r="J570" s="341"/>
      <c r="K570" s="341"/>
      <c r="L570" s="341"/>
      <c r="M570" s="341"/>
      <c r="N570" s="101"/>
      <c r="O570" s="341"/>
      <c r="P570" s="341"/>
      <c r="Q570" s="341"/>
      <c r="R570" s="341"/>
      <c r="S570" s="341"/>
      <c r="T570" s="341"/>
      <c r="U570" s="341"/>
      <c r="V570" s="341"/>
      <c r="W570" s="341"/>
      <c r="X570" s="341"/>
      <c r="Y570" s="341"/>
      <c r="Z570" s="341"/>
      <c r="AA570" s="341"/>
      <c r="AB570" s="341"/>
      <c r="AC570" s="341"/>
      <c r="AD570" s="341"/>
      <c r="AE570" s="341"/>
      <c r="AF570" s="341"/>
      <c r="AG570" s="341"/>
      <c r="AH570" s="341"/>
      <c r="AI570" s="341"/>
      <c r="AJ570" s="341"/>
      <c r="AK570" s="341"/>
      <c r="AL570" s="341"/>
      <c r="AM570" s="341"/>
      <c r="AN570" s="341"/>
      <c r="AO570" s="341"/>
      <c r="AP570" s="341"/>
      <c r="AQ570" s="341"/>
      <c r="AR570" s="341"/>
      <c r="AS570" s="341"/>
      <c r="AT570" s="341"/>
      <c r="AU570" s="341"/>
      <c r="AV570" s="341"/>
      <c r="AW570" s="341"/>
      <c r="AX570" s="341"/>
      <c r="AY570" s="341"/>
      <c r="AZ570" s="341"/>
      <c r="BA570" s="341"/>
      <c r="BB570" s="341"/>
      <c r="BC570" s="341"/>
      <c r="BD570" s="341"/>
      <c r="BE570" s="341"/>
      <c r="BF570" s="341"/>
      <c r="BG570" s="341"/>
      <c r="BH570" s="341"/>
      <c r="BI570" s="341"/>
      <c r="BJ570" s="341"/>
      <c r="BK570" s="341"/>
      <c r="BL570" s="341"/>
      <c r="BM570" s="341"/>
      <c r="BN570" s="341"/>
      <c r="BO570" s="341"/>
      <c r="BP570" s="341"/>
      <c r="BQ570" s="341"/>
      <c r="BR570" s="341"/>
      <c r="BS570" s="341"/>
      <c r="BT570" s="110"/>
      <c r="BU570" s="108"/>
      <c r="BV570" s="108"/>
      <c r="BW570" s="108"/>
    </row>
    <row r="571" spans="1:128" s="218" customFormat="1" ht="13.5" customHeight="1">
      <c r="A571" s="356" t="s">
        <v>238</v>
      </c>
      <c r="B571" s="90">
        <v>420176</v>
      </c>
      <c r="C571" s="51">
        <v>412307</v>
      </c>
      <c r="D571" s="51">
        <v>400381</v>
      </c>
      <c r="E571" s="51">
        <v>390992</v>
      </c>
      <c r="F571" s="51">
        <v>391075</v>
      </c>
      <c r="G571" s="51">
        <v>400213</v>
      </c>
      <c r="H571" s="53">
        <v>402620</v>
      </c>
      <c r="I571" s="341"/>
      <c r="J571" s="341"/>
      <c r="K571" s="341"/>
      <c r="L571" s="341"/>
      <c r="M571" s="341"/>
      <c r="N571" s="101"/>
      <c r="O571" s="341"/>
      <c r="P571" s="341"/>
      <c r="Q571" s="341"/>
      <c r="R571" s="341"/>
      <c r="S571" s="341"/>
      <c r="T571" s="341"/>
      <c r="U571" s="341"/>
      <c r="V571" s="341"/>
      <c r="W571" s="341"/>
      <c r="X571" s="341"/>
      <c r="Y571" s="341"/>
      <c r="Z571" s="341"/>
      <c r="AA571" s="341"/>
      <c r="AB571" s="341"/>
      <c r="AC571" s="341"/>
      <c r="AD571" s="341"/>
      <c r="AE571" s="341"/>
      <c r="AF571" s="341"/>
      <c r="AG571" s="341"/>
      <c r="AH571" s="341"/>
      <c r="AI571" s="341"/>
      <c r="AJ571" s="341"/>
      <c r="AK571" s="341"/>
      <c r="AL571" s="341"/>
      <c r="AM571" s="341"/>
      <c r="AN571" s="341"/>
      <c r="AO571" s="341"/>
      <c r="AP571" s="341"/>
      <c r="AQ571" s="341"/>
      <c r="AR571" s="341"/>
      <c r="AS571" s="341"/>
      <c r="AT571" s="341"/>
      <c r="AU571" s="341"/>
      <c r="AV571" s="341"/>
      <c r="AW571" s="341"/>
      <c r="AX571" s="341"/>
      <c r="AY571" s="341"/>
      <c r="AZ571" s="341"/>
      <c r="BA571" s="341"/>
      <c r="BB571" s="341"/>
      <c r="BC571" s="341"/>
      <c r="BD571" s="341"/>
      <c r="BE571" s="341"/>
      <c r="BF571" s="341"/>
      <c r="BG571" s="341"/>
      <c r="BH571" s="341"/>
      <c r="BI571" s="341"/>
      <c r="BJ571" s="341"/>
      <c r="BK571" s="341"/>
      <c r="BL571" s="341"/>
      <c r="BM571" s="341"/>
      <c r="BN571" s="341"/>
      <c r="BO571" s="341"/>
      <c r="BP571" s="341"/>
      <c r="BQ571" s="341"/>
      <c r="BR571" s="341"/>
      <c r="BS571" s="341"/>
      <c r="BT571" s="110"/>
      <c r="BU571" s="108"/>
      <c r="BV571" s="108"/>
      <c r="BW571" s="108"/>
    </row>
    <row r="572" spans="1:128" s="218" customFormat="1" ht="13.5" customHeight="1" thickBot="1">
      <c r="A572" s="155" t="s">
        <v>18</v>
      </c>
      <c r="B572" s="98">
        <v>25627413</v>
      </c>
      <c r="C572" s="99">
        <v>25096876</v>
      </c>
      <c r="D572" s="99">
        <v>24546763</v>
      </c>
      <c r="E572" s="99">
        <v>24419658</v>
      </c>
      <c r="F572" s="99">
        <v>24270192</v>
      </c>
      <c r="G572" s="99">
        <v>24043682</v>
      </c>
      <c r="H572" s="100">
        <v>23647410</v>
      </c>
      <c r="I572" s="341"/>
      <c r="J572" s="341"/>
      <c r="K572" s="341"/>
      <c r="L572" s="341"/>
      <c r="M572" s="341"/>
      <c r="N572" s="101"/>
      <c r="O572" s="341"/>
      <c r="P572" s="341"/>
      <c r="Q572" s="341"/>
      <c r="R572" s="341"/>
      <c r="S572" s="341"/>
      <c r="T572" s="341"/>
      <c r="U572" s="341"/>
      <c r="V572" s="341"/>
      <c r="W572" s="341"/>
      <c r="X572" s="341"/>
      <c r="Y572" s="341"/>
      <c r="Z572" s="341"/>
      <c r="AA572" s="341"/>
      <c r="AB572" s="341"/>
      <c r="AC572" s="341"/>
      <c r="AD572" s="341"/>
      <c r="AE572" s="341"/>
      <c r="AF572" s="341"/>
      <c r="AG572" s="341"/>
      <c r="AH572" s="341"/>
      <c r="AI572" s="341"/>
      <c r="AJ572" s="341"/>
      <c r="AK572" s="341"/>
      <c r="AL572" s="341"/>
      <c r="AM572" s="341"/>
      <c r="AN572" s="341"/>
      <c r="AO572" s="341"/>
      <c r="AP572" s="341"/>
      <c r="AQ572" s="341"/>
      <c r="AR572" s="341"/>
      <c r="AS572" s="341"/>
      <c r="AT572" s="341"/>
      <c r="AU572" s="341"/>
      <c r="AV572" s="341"/>
      <c r="AW572" s="341"/>
      <c r="AX572" s="341"/>
      <c r="AY572" s="341"/>
      <c r="AZ572" s="341"/>
      <c r="BA572" s="341"/>
      <c r="BB572" s="341"/>
      <c r="BC572" s="341"/>
      <c r="BD572" s="341"/>
      <c r="BE572" s="341"/>
      <c r="BF572" s="341"/>
      <c r="BG572" s="341"/>
      <c r="BH572" s="341"/>
      <c r="BI572" s="341"/>
      <c r="BJ572" s="341"/>
      <c r="BK572" s="341"/>
      <c r="BL572" s="341"/>
      <c r="BM572" s="341"/>
      <c r="BN572" s="341"/>
      <c r="BO572" s="341"/>
      <c r="BP572" s="341"/>
      <c r="BQ572" s="341"/>
      <c r="BR572" s="341"/>
      <c r="BS572" s="341"/>
      <c r="BT572" s="110"/>
      <c r="BU572" s="108"/>
      <c r="BV572" s="108"/>
      <c r="BW572" s="108"/>
    </row>
    <row r="573" spans="1:128" ht="13.5" customHeight="1">
      <c r="A573" s="275" t="s">
        <v>240</v>
      </c>
      <c r="B573" s="41"/>
      <c r="C573" s="1"/>
      <c r="D573" s="1"/>
      <c r="E573" s="1"/>
      <c r="F573" s="1"/>
      <c r="G573" s="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256"/>
      <c r="AO573" s="256"/>
      <c r="AP573" s="256"/>
      <c r="AQ573" s="256"/>
      <c r="AR573" s="256"/>
      <c r="AS573" s="256"/>
      <c r="AT573" s="256"/>
      <c r="AU573" s="66"/>
      <c r="AV573" s="66"/>
      <c r="AW573" s="256"/>
      <c r="AX573" s="41"/>
      <c r="AY573" s="41"/>
      <c r="AZ573" s="41"/>
      <c r="BA573" s="41"/>
      <c r="BB573" s="41"/>
      <c r="BC573" s="41"/>
      <c r="BD573" s="41"/>
      <c r="BE573" s="41"/>
      <c r="BF573" s="41"/>
      <c r="BG573" s="41"/>
      <c r="BH573" s="250"/>
      <c r="BI573" s="41"/>
      <c r="BJ573" s="41"/>
      <c r="BK573" s="41"/>
      <c r="BL573" s="41"/>
      <c r="BM573" s="41"/>
      <c r="BN573" s="41"/>
      <c r="BO573" s="41"/>
      <c r="BP573" s="41"/>
      <c r="BQ573" s="41"/>
      <c r="BR573" s="41"/>
      <c r="BS573" s="41"/>
      <c r="BT573" s="41"/>
      <c r="BU573" s="41"/>
      <c r="BV573" s="41"/>
      <c r="BW573" s="41"/>
    </row>
    <row r="574" spans="1:128" ht="13.5" customHeight="1">
      <c r="A574" s="275" t="s">
        <v>241</v>
      </c>
      <c r="B574" s="41"/>
      <c r="C574" s="41"/>
      <c r="D574" s="41"/>
      <c r="E574" s="41"/>
      <c r="F574" s="250"/>
      <c r="G574" s="41"/>
      <c r="H574" s="41"/>
      <c r="I574" s="41"/>
      <c r="J574" s="41"/>
      <c r="K574" s="41"/>
      <c r="L574" s="41"/>
      <c r="M574" s="41"/>
      <c r="N574" s="41"/>
      <c r="O574" s="41"/>
      <c r="P574" s="41"/>
      <c r="Q574" s="41"/>
      <c r="R574" s="41"/>
      <c r="S574" s="41"/>
      <c r="T574" s="41"/>
      <c r="U574" s="41"/>
      <c r="V574" s="250"/>
      <c r="W574" s="41"/>
      <c r="X574" s="256"/>
      <c r="Y574" s="256"/>
      <c r="Z574" s="256"/>
      <c r="AA574" s="250"/>
      <c r="AB574" s="256"/>
      <c r="AC574" s="256"/>
      <c r="AD574" s="256"/>
      <c r="AE574" s="256"/>
      <c r="AF574" s="256"/>
      <c r="AG574" s="256"/>
      <c r="AH574" s="250"/>
      <c r="AI574" s="250"/>
      <c r="AJ574" s="250"/>
      <c r="AK574" s="256"/>
      <c r="AL574" s="256"/>
      <c r="AM574" s="256"/>
      <c r="AN574" s="256"/>
      <c r="AO574" s="41"/>
      <c r="AP574" s="250"/>
      <c r="AQ574" s="250"/>
      <c r="AR574" s="250"/>
      <c r="AS574" s="250"/>
      <c r="AT574" s="250"/>
      <c r="AU574" s="250"/>
      <c r="AV574" s="250"/>
      <c r="AW574" s="250"/>
      <c r="AX574" s="250"/>
      <c r="AY574" s="250"/>
      <c r="AZ574" s="250"/>
      <c r="BA574" s="250"/>
      <c r="BB574" s="250"/>
      <c r="BC574" s="250"/>
      <c r="BD574" s="250"/>
      <c r="BE574" s="250"/>
      <c r="BF574" s="250"/>
      <c r="BG574" s="250"/>
      <c r="BH574" s="250"/>
      <c r="BI574" s="250"/>
      <c r="BJ574" s="250"/>
      <c r="BK574" s="250"/>
      <c r="BL574" s="256"/>
      <c r="BM574" s="256"/>
      <c r="BN574" s="256"/>
      <c r="BO574" s="256"/>
      <c r="BP574" s="256"/>
      <c r="BQ574" s="256"/>
      <c r="BR574" s="256"/>
      <c r="BS574" s="256"/>
      <c r="BT574" s="41"/>
      <c r="BU574" s="41"/>
      <c r="BV574" s="41"/>
      <c r="BW574" s="41"/>
    </row>
    <row r="575" spans="1:128" ht="13.5" customHeight="1">
      <c r="A575" s="6" t="s">
        <v>242</v>
      </c>
      <c r="B575" s="41"/>
      <c r="C575" s="41"/>
      <c r="D575" s="41"/>
      <c r="E575" s="41"/>
      <c r="F575" s="250"/>
      <c r="G575" s="41"/>
      <c r="H575" s="41"/>
      <c r="I575" s="41"/>
      <c r="J575" s="41"/>
      <c r="K575" s="41"/>
      <c r="L575" s="41"/>
      <c r="M575" s="41"/>
      <c r="N575" s="41"/>
      <c r="O575" s="41"/>
      <c r="P575" s="41"/>
      <c r="Q575" s="41"/>
      <c r="R575" s="41"/>
      <c r="S575" s="41"/>
      <c r="T575" s="41"/>
      <c r="U575" s="41"/>
      <c r="V575" s="250"/>
      <c r="W575" s="41"/>
      <c r="X575" s="256"/>
      <c r="Y575" s="256"/>
      <c r="Z575" s="256"/>
      <c r="AA575" s="250"/>
      <c r="AB575" s="256"/>
      <c r="AC575" s="256"/>
      <c r="AD575" s="256"/>
      <c r="AE575" s="256"/>
      <c r="AF575" s="256"/>
      <c r="AG575" s="256"/>
      <c r="AH575" s="250"/>
      <c r="AI575" s="256"/>
      <c r="AJ575" s="256"/>
      <c r="AK575" s="256"/>
      <c r="AL575" s="256"/>
      <c r="AM575" s="256"/>
      <c r="AN575" s="256"/>
      <c r="AO575" s="41"/>
      <c r="AP575" s="41"/>
      <c r="AQ575" s="41"/>
      <c r="AR575" s="41"/>
      <c r="AS575" s="41"/>
      <c r="AT575" s="250"/>
      <c r="AU575" s="41"/>
      <c r="AV575" s="41"/>
      <c r="AW575" s="41"/>
      <c r="AX575" s="250"/>
      <c r="AY575" s="41"/>
      <c r="AZ575" s="41"/>
      <c r="BA575" s="41"/>
      <c r="BB575" s="41"/>
      <c r="BC575" s="41"/>
      <c r="BD575" s="41"/>
      <c r="BE575" s="41"/>
      <c r="BF575" s="41"/>
      <c r="BG575" s="1"/>
      <c r="BH575" s="256"/>
      <c r="BI575" s="256"/>
      <c r="BJ575" s="250"/>
      <c r="BK575" s="256"/>
      <c r="BL575" s="256"/>
      <c r="BM575" s="256"/>
      <c r="BN575" s="256"/>
      <c r="BO575" s="256"/>
      <c r="BP575" s="256"/>
      <c r="BQ575" s="256"/>
      <c r="BR575" s="256"/>
      <c r="BS575" s="41"/>
      <c r="BT575" s="41"/>
      <c r="BU575" s="41"/>
      <c r="BV575" s="41"/>
      <c r="BW575" s="41"/>
    </row>
    <row r="576" spans="1:128" ht="13.5" customHeight="1">
      <c r="A576" s="6" t="s">
        <v>243</v>
      </c>
      <c r="B576" s="41"/>
      <c r="C576" s="256"/>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250"/>
      <c r="AB576" s="41"/>
      <c r="AC576" s="41"/>
      <c r="AD576" s="41"/>
      <c r="AE576" s="256"/>
      <c r="AF576" s="256"/>
      <c r="AG576" s="256"/>
      <c r="AH576" s="256"/>
      <c r="AI576" s="256"/>
      <c r="AJ576" s="256"/>
      <c r="AK576" s="256"/>
      <c r="AL576" s="256"/>
      <c r="AM576" s="256"/>
      <c r="AN576" s="256"/>
      <c r="AO576" s="256"/>
      <c r="AP576" s="256"/>
      <c r="AQ576" s="256"/>
      <c r="AR576" s="256"/>
      <c r="AS576" s="256"/>
      <c r="AT576" s="256"/>
      <c r="AU576" s="256"/>
      <c r="AV576" s="256"/>
      <c r="AW576" s="256"/>
      <c r="AX576" s="250"/>
      <c r="AY576" s="256"/>
      <c r="AZ576" s="256"/>
      <c r="BA576" s="256"/>
      <c r="BB576" s="256"/>
      <c r="BC576" s="256"/>
      <c r="BD576" s="256"/>
      <c r="BE576" s="41"/>
      <c r="BF576" s="41"/>
      <c r="BG576" s="1"/>
      <c r="BH576" s="256"/>
      <c r="BI576" s="256"/>
      <c r="BJ576" s="250"/>
      <c r="BK576" s="256"/>
      <c r="BL576" s="256"/>
      <c r="BM576" s="256"/>
      <c r="BN576" s="256"/>
      <c r="BO576" s="256"/>
      <c r="BP576" s="256"/>
      <c r="BQ576" s="256"/>
      <c r="BR576" s="250"/>
      <c r="BS576" s="256"/>
      <c r="BT576" s="256"/>
      <c r="BU576" s="256"/>
      <c r="BV576" s="41"/>
      <c r="BW576" s="41"/>
      <c r="BX576" s="41"/>
      <c r="BY576" s="41"/>
      <c r="BZ576" s="41"/>
      <c r="CA576" s="41"/>
      <c r="CB576" s="41"/>
      <c r="CC576" s="41"/>
      <c r="CD576" s="41"/>
      <c r="CE576" s="41"/>
      <c r="CF576" s="41"/>
      <c r="CG576" s="41"/>
      <c r="CH576" s="41"/>
      <c r="CI576" s="41"/>
      <c r="CJ576" s="41"/>
      <c r="CK576" s="41"/>
      <c r="CL576" s="41"/>
      <c r="CM576" s="41"/>
      <c r="CN576" s="41"/>
      <c r="CO576" s="41"/>
      <c r="CP576" s="41"/>
      <c r="CQ576" s="41"/>
      <c r="CR576" s="41"/>
      <c r="CS576" s="41"/>
      <c r="CT576" s="41"/>
      <c r="CU576" s="41"/>
      <c r="CV576" s="41"/>
      <c r="CW576" s="41"/>
      <c r="CX576" s="41"/>
      <c r="CY576" s="41"/>
      <c r="CZ576" s="41"/>
      <c r="DA576" s="41"/>
      <c r="DB576" s="41"/>
      <c r="DC576" s="41"/>
      <c r="DD576" s="41"/>
      <c r="DE576" s="41"/>
      <c r="DF576" s="41"/>
      <c r="DG576" s="41"/>
      <c r="DH576" s="41"/>
      <c r="DI576" s="41"/>
      <c r="DJ576" s="41"/>
      <c r="DK576" s="41"/>
      <c r="DL576" s="41"/>
      <c r="DM576" s="41"/>
      <c r="DN576" s="41"/>
      <c r="DO576" s="41"/>
      <c r="DP576" s="41"/>
      <c r="DQ576" s="41"/>
      <c r="DR576" s="41"/>
      <c r="DS576" s="41"/>
      <c r="DT576" s="41"/>
      <c r="DU576" s="41"/>
      <c r="DV576" s="41"/>
      <c r="DW576" s="41"/>
      <c r="DX576" s="41"/>
    </row>
    <row r="577" spans="1:133" ht="13.5" customHeight="1">
      <c r="A577" s="268" t="s">
        <v>226</v>
      </c>
      <c r="B577" s="256"/>
      <c r="C577" s="276"/>
      <c r="D577" s="256"/>
      <c r="E577" s="256"/>
      <c r="F577" s="256"/>
      <c r="G577" s="256"/>
      <c r="H577" s="256"/>
      <c r="I577" s="256"/>
      <c r="J577" s="256"/>
      <c r="K577" s="256"/>
      <c r="L577" s="256"/>
      <c r="M577" s="256"/>
      <c r="N577" s="256"/>
      <c r="O577" s="256"/>
      <c r="P577" s="256"/>
      <c r="Q577" s="256"/>
      <c r="R577" s="256"/>
      <c r="S577" s="256"/>
      <c r="T577" s="256"/>
      <c r="U577" s="256"/>
      <c r="V577" s="256"/>
      <c r="W577" s="256"/>
      <c r="X577" s="256"/>
      <c r="Y577" s="256"/>
      <c r="Z577" s="256"/>
      <c r="AA577" s="250"/>
      <c r="AB577" s="256"/>
      <c r="AC577" s="256"/>
      <c r="AD577" s="256"/>
      <c r="AE577" s="256"/>
      <c r="AF577" s="256"/>
      <c r="AG577" s="256"/>
      <c r="AH577" s="256"/>
      <c r="AI577" s="256"/>
      <c r="AJ577" s="256"/>
      <c r="AK577" s="256"/>
      <c r="AL577" s="256"/>
      <c r="AM577" s="256"/>
      <c r="AN577" s="256"/>
      <c r="AO577" s="256"/>
      <c r="AP577" s="256"/>
      <c r="AQ577" s="256"/>
      <c r="AR577" s="256"/>
      <c r="AS577" s="256"/>
      <c r="AT577" s="256"/>
      <c r="AU577" s="256"/>
      <c r="AV577" s="256"/>
      <c r="AW577" s="256"/>
      <c r="AX577" s="250"/>
      <c r="AY577" s="256"/>
      <c r="AZ577" s="256"/>
      <c r="BA577" s="256"/>
      <c r="BB577" s="256"/>
      <c r="BC577" s="256"/>
      <c r="BD577" s="256"/>
      <c r="BE577" s="256"/>
      <c r="BF577" s="256"/>
      <c r="BG577" s="256"/>
      <c r="BH577" s="256"/>
      <c r="BI577" s="256"/>
      <c r="BJ577" s="250"/>
      <c r="BK577" s="256"/>
      <c r="BL577" s="256"/>
      <c r="BM577" s="256"/>
      <c r="BN577" s="256"/>
      <c r="BO577" s="256"/>
      <c r="BP577" s="256"/>
      <c r="BQ577" s="256"/>
      <c r="BR577" s="256"/>
      <c r="BS577" s="41"/>
      <c r="BT577" s="41"/>
      <c r="BU577" s="41"/>
      <c r="BV577" s="41"/>
      <c r="BW577" s="41"/>
      <c r="BX577" s="41"/>
      <c r="BY577" s="41"/>
      <c r="BZ577" s="41"/>
      <c r="CA577" s="41"/>
      <c r="CB577" s="41"/>
      <c r="CC577" s="41"/>
      <c r="CD577" s="41"/>
      <c r="CE577" s="41"/>
      <c r="CF577" s="41"/>
      <c r="CG577" s="41"/>
      <c r="CH577" s="41"/>
      <c r="CI577" s="41"/>
      <c r="CJ577" s="41"/>
      <c r="CK577" s="41"/>
      <c r="CL577" s="41"/>
      <c r="CM577" s="41"/>
      <c r="CN577" s="41"/>
      <c r="CO577" s="41"/>
      <c r="CP577" s="41"/>
      <c r="CQ577" s="41"/>
      <c r="CR577" s="41"/>
      <c r="CS577" s="41"/>
      <c r="CT577" s="41"/>
      <c r="CU577" s="41"/>
      <c r="CV577" s="41"/>
      <c r="CW577" s="41"/>
      <c r="CX577" s="41"/>
      <c r="CY577" s="41"/>
      <c r="CZ577" s="41"/>
      <c r="DA577" s="41"/>
      <c r="DB577" s="41"/>
      <c r="DC577" s="41"/>
      <c r="DD577" s="41"/>
      <c r="DE577" s="41"/>
      <c r="DF577" s="41"/>
      <c r="DG577" s="41"/>
      <c r="DH577" s="41"/>
      <c r="DI577" s="41"/>
      <c r="DJ577" s="41"/>
      <c r="DK577" s="41"/>
      <c r="DL577" s="41"/>
      <c r="DM577" s="41"/>
      <c r="DN577" s="41"/>
      <c r="DO577" s="41"/>
      <c r="DP577" s="41"/>
      <c r="DQ577" s="41"/>
      <c r="DR577" s="41"/>
      <c r="DS577" s="41"/>
      <c r="DT577" s="41"/>
      <c r="DU577" s="41"/>
      <c r="DV577" s="41"/>
      <c r="DW577" s="41"/>
      <c r="DX577" s="41"/>
    </row>
    <row r="578" spans="1:133" ht="13.5" customHeight="1">
      <c r="A578" s="6"/>
      <c r="B578" s="374"/>
      <c r="C578" s="374"/>
      <c r="D578" s="374"/>
      <c r="E578" s="374"/>
      <c r="F578" s="374"/>
      <c r="G578" s="374"/>
      <c r="H578" s="374"/>
      <c r="I578" s="374"/>
      <c r="J578" s="374"/>
      <c r="K578" s="374"/>
      <c r="L578" s="374"/>
      <c r="M578" s="374"/>
      <c r="N578" s="374"/>
      <c r="O578" s="374"/>
      <c r="P578" s="374"/>
      <c r="Q578" s="374"/>
      <c r="R578" s="374"/>
      <c r="S578" s="374"/>
      <c r="T578" s="374"/>
      <c r="U578" s="374"/>
      <c r="V578" s="374"/>
      <c r="W578" s="374"/>
      <c r="X578" s="374"/>
      <c r="Y578" s="374"/>
      <c r="Z578" s="374"/>
      <c r="AA578" s="374"/>
      <c r="AB578" s="374"/>
      <c r="AC578" s="374"/>
      <c r="AD578" s="374"/>
      <c r="AE578" s="374"/>
      <c r="AF578" s="374"/>
      <c r="AG578" s="374"/>
      <c r="AH578" s="374"/>
      <c r="AI578" s="374"/>
      <c r="AJ578" s="374"/>
      <c r="AK578" s="374"/>
      <c r="AL578" s="374"/>
      <c r="AM578" s="374"/>
      <c r="AN578" s="374"/>
      <c r="AO578" s="374"/>
      <c r="AP578" s="374"/>
      <c r="AQ578" s="374"/>
      <c r="AR578" s="374"/>
      <c r="AS578" s="374"/>
      <c r="AT578" s="374"/>
      <c r="AU578" s="374"/>
      <c r="AV578" s="374"/>
      <c r="AW578" s="374"/>
      <c r="AX578" s="374"/>
      <c r="AY578" s="374"/>
      <c r="AZ578" s="374"/>
      <c r="BA578" s="374"/>
      <c r="BB578" s="374"/>
      <c r="BC578" s="374"/>
      <c r="BD578" s="374"/>
      <c r="BE578" s="374"/>
      <c r="BF578" s="374"/>
      <c r="BG578" s="374"/>
      <c r="BH578" s="374"/>
      <c r="BI578" s="374"/>
      <c r="BJ578" s="374"/>
      <c r="BK578" s="374"/>
      <c r="BL578" s="374"/>
      <c r="BM578" s="374"/>
      <c r="BN578" s="374"/>
      <c r="BO578" s="374"/>
      <c r="BP578" s="375"/>
      <c r="BQ578" s="375"/>
      <c r="BR578" s="375"/>
      <c r="BS578" s="375"/>
      <c r="BT578" s="375"/>
      <c r="BU578" s="375"/>
      <c r="BV578" s="373"/>
      <c r="BW578" s="373"/>
      <c r="BX578" s="373"/>
      <c r="BY578" s="373"/>
      <c r="BZ578" s="373"/>
      <c r="CA578" s="373"/>
      <c r="CB578" s="373"/>
      <c r="CC578" s="373"/>
      <c r="CD578" s="373"/>
      <c r="CE578" s="373"/>
      <c r="CF578" s="373"/>
      <c r="CG578" s="373"/>
      <c r="CH578" s="373"/>
      <c r="CI578" s="373"/>
      <c r="CJ578" s="373"/>
      <c r="CK578" s="373"/>
      <c r="CL578" s="373"/>
      <c r="CM578" s="373"/>
      <c r="CN578" s="373"/>
      <c r="CO578" s="373"/>
      <c r="CP578" s="373"/>
      <c r="CQ578" s="373"/>
      <c r="CR578" s="373"/>
      <c r="CS578" s="373"/>
      <c r="CT578" s="373"/>
      <c r="CU578" s="373"/>
      <c r="CV578" s="373"/>
      <c r="CW578" s="373"/>
      <c r="CX578" s="373"/>
      <c r="CY578" s="373"/>
      <c r="CZ578" s="373"/>
      <c r="DA578" s="373"/>
      <c r="DB578" s="373"/>
      <c r="DC578" s="373"/>
      <c r="DD578" s="373"/>
      <c r="DE578" s="373"/>
      <c r="DF578" s="373"/>
      <c r="DG578" s="373"/>
      <c r="DH578" s="373"/>
      <c r="DI578" s="373"/>
      <c r="DJ578" s="373"/>
      <c r="DK578" s="373"/>
      <c r="DL578" s="373"/>
      <c r="DM578" s="373"/>
      <c r="DN578" s="373"/>
      <c r="DO578" s="373"/>
      <c r="DP578" s="373"/>
      <c r="DQ578" s="373"/>
      <c r="DR578" s="373"/>
      <c r="DS578" s="373"/>
      <c r="DT578" s="373"/>
      <c r="DU578" s="1"/>
      <c r="DV578" s="1"/>
      <c r="DW578" s="1"/>
      <c r="DX578" s="1"/>
    </row>
    <row r="579" spans="1:133" ht="13.5" customHeight="1">
      <c r="A579" s="42" t="s">
        <v>264</v>
      </c>
      <c r="B579" s="43"/>
      <c r="C579" s="43"/>
      <c r="D579" s="43"/>
      <c r="E579" s="43"/>
      <c r="F579" s="43"/>
      <c r="G579" s="43"/>
      <c r="H579" s="43"/>
      <c r="I579" s="43"/>
      <c r="J579" s="43"/>
      <c r="K579" s="43"/>
      <c r="L579" s="43"/>
      <c r="M579" s="43"/>
      <c r="N579" s="43"/>
      <c r="O579" s="43"/>
      <c r="P579" s="43"/>
      <c r="Q579" s="43"/>
      <c r="R579" s="43"/>
      <c r="S579" s="43"/>
      <c r="T579" s="43"/>
      <c r="U579" s="43"/>
      <c r="V579" s="43"/>
      <c r="W579" s="43"/>
      <c r="X579" s="44"/>
      <c r="Y579" s="44"/>
      <c r="Z579" s="44"/>
      <c r="AA579" s="44"/>
      <c r="AB579" s="44"/>
      <c r="AC579" s="44"/>
      <c r="AD579" s="44"/>
      <c r="AE579" s="44"/>
      <c r="AF579" s="44"/>
      <c r="AG579" s="44"/>
      <c r="AH579" s="44"/>
      <c r="AI579" s="44"/>
      <c r="AJ579" s="44"/>
      <c r="AK579" s="44"/>
      <c r="AL579" s="44"/>
      <c r="AM579" s="44"/>
      <c r="AN579" s="44"/>
      <c r="AO579" s="44"/>
      <c r="AP579" s="44"/>
      <c r="AQ579" s="44"/>
      <c r="AR579" s="44"/>
      <c r="AS579" s="44"/>
      <c r="AT579" s="44"/>
      <c r="AU579" s="44"/>
      <c r="AV579" s="44"/>
      <c r="AW579" s="44"/>
      <c r="AX579" s="44"/>
      <c r="AY579" s="44"/>
      <c r="AZ579" s="44"/>
      <c r="BA579" s="44"/>
      <c r="BB579" s="44"/>
      <c r="BC579" s="44"/>
      <c r="BD579" s="44"/>
      <c r="BE579" s="44"/>
      <c r="BF579" s="44"/>
      <c r="BG579" s="44"/>
      <c r="BH579" s="44"/>
      <c r="BI579" s="44"/>
      <c r="BJ579" s="44"/>
      <c r="BK579" s="44"/>
      <c r="BL579" s="44"/>
      <c r="BM579" s="44"/>
      <c r="BN579" s="44"/>
      <c r="BO579" s="44"/>
      <c r="BP579" s="44"/>
      <c r="BQ579" s="44"/>
      <c r="BR579" s="44"/>
      <c r="BS579" s="44"/>
      <c r="BT579" s="44"/>
      <c r="BU579" s="44"/>
      <c r="BV579" s="44"/>
      <c r="BW579" s="44"/>
      <c r="BX579" s="44"/>
      <c r="BY579" s="44"/>
      <c r="BZ579" s="44"/>
      <c r="CA579" s="44"/>
      <c r="CB579" s="44"/>
      <c r="CC579" s="44"/>
      <c r="CD579" s="44"/>
      <c r="CE579" s="44"/>
      <c r="CF579" s="44"/>
      <c r="CG579" s="44"/>
      <c r="CH579" s="44"/>
      <c r="CI579" s="44"/>
      <c r="CJ579" s="44"/>
      <c r="CK579" s="44"/>
      <c r="CL579" s="44"/>
      <c r="CM579" s="44"/>
      <c r="CN579" s="44"/>
      <c r="CO579" s="44"/>
      <c r="CP579" s="44"/>
      <c r="CQ579" s="44"/>
      <c r="CR579" s="44"/>
      <c r="CS579" s="44"/>
      <c r="CT579" s="44"/>
      <c r="CU579" s="44"/>
      <c r="CV579" s="44"/>
      <c r="CW579" s="44"/>
      <c r="CX579" s="44"/>
      <c r="CY579" s="44"/>
      <c r="CZ579" s="44"/>
      <c r="DA579" s="44"/>
      <c r="DB579" s="44"/>
      <c r="DC579" s="44"/>
      <c r="DD579" s="44"/>
      <c r="DE579" s="44"/>
      <c r="DF579" s="44"/>
      <c r="DG579" s="44"/>
      <c r="DH579" s="44"/>
      <c r="DI579" s="44"/>
      <c r="DJ579" s="44"/>
      <c r="DK579" s="44"/>
      <c r="DL579" s="44"/>
      <c r="DM579" s="44"/>
      <c r="DN579" s="44"/>
      <c r="DO579" s="44"/>
      <c r="DP579" s="44"/>
      <c r="DQ579" s="44"/>
      <c r="DR579" s="44"/>
      <c r="DS579" s="44"/>
      <c r="DT579" s="44"/>
      <c r="DU579" s="44"/>
      <c r="DV579" s="44"/>
      <c r="DW579" s="44"/>
      <c r="DX579" s="44"/>
    </row>
    <row r="580" spans="1:133" s="1" customFormat="1">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BX580" s="9"/>
      <c r="BY580" s="9"/>
      <c r="BZ580" s="9"/>
      <c r="CA580" s="9"/>
      <c r="CB580" s="9"/>
      <c r="CC580" s="9"/>
      <c r="CD580" s="9"/>
      <c r="CE580" s="9"/>
      <c r="CF580" s="9"/>
      <c r="CG580" s="9"/>
      <c r="CH580" s="9"/>
      <c r="CI580" s="9"/>
      <c r="CJ580" s="9"/>
      <c r="CK580" s="9"/>
      <c r="CL580" s="9"/>
      <c r="CM580" s="9"/>
      <c r="CN580" s="9"/>
      <c r="CO580" s="9"/>
      <c r="CP580" s="9"/>
      <c r="CQ580" s="9"/>
      <c r="CR580" s="9"/>
      <c r="CS580" s="9"/>
      <c r="CT580" s="9"/>
      <c r="CU580" s="9"/>
      <c r="CV580" s="9"/>
      <c r="CW580" s="9"/>
      <c r="CX580" s="9"/>
      <c r="CY580" s="9"/>
      <c r="CZ580" s="9"/>
      <c r="DA580" s="9"/>
      <c r="DB580" s="9"/>
      <c r="DC580" s="9"/>
      <c r="DD580" s="9"/>
      <c r="DE580" s="9"/>
      <c r="DF580" s="9"/>
      <c r="DG580" s="9"/>
      <c r="DH580" s="9"/>
      <c r="DI580" s="9"/>
      <c r="DJ580" s="9"/>
      <c r="DK580" s="9"/>
      <c r="DL580" s="9"/>
      <c r="DM580" s="9"/>
      <c r="DN580" s="9"/>
      <c r="DO580" s="9"/>
      <c r="DP580" s="9"/>
      <c r="DQ580" s="9"/>
      <c r="DR580" s="9"/>
      <c r="DS580" s="9"/>
      <c r="DT580" s="9"/>
      <c r="DU580" s="9"/>
      <c r="DV580" s="9"/>
      <c r="DW580" s="9"/>
      <c r="DX580" s="9"/>
      <c r="EB580" s="567"/>
      <c r="EC580" s="373"/>
    </row>
    <row r="581" spans="1:133" s="1" customFormat="1" ht="13.5">
      <c r="A581" s="23" t="s">
        <v>412</v>
      </c>
      <c r="B581" s="8" t="s">
        <v>485</v>
      </c>
    </row>
    <row r="582" spans="1:133" s="1" customFormat="1" ht="14.25" thickBot="1">
      <c r="A582" s="41"/>
      <c r="D582" s="9"/>
      <c r="E582" s="9"/>
      <c r="F582" s="9"/>
    </row>
    <row r="583" spans="1:133" s="1" customFormat="1" ht="26.25" customHeight="1" thickBot="1">
      <c r="A583" s="6"/>
      <c r="B583" s="579" t="s">
        <v>265</v>
      </c>
      <c r="C583" s="580" t="s">
        <v>148</v>
      </c>
      <c r="F583" s="9"/>
    </row>
    <row r="584" spans="1:133" s="1" customFormat="1" ht="13.5">
      <c r="A584" s="581" t="s">
        <v>275</v>
      </c>
      <c r="B584" s="517">
        <v>9238</v>
      </c>
      <c r="C584" s="569">
        <f>B584/B590</f>
        <v>0.33551245732548851</v>
      </c>
      <c r="F584" s="9"/>
      <c r="G584" s="245"/>
    </row>
    <row r="585" spans="1:133" s="1" customFormat="1" ht="13.5">
      <c r="A585" s="519" t="s">
        <v>276</v>
      </c>
      <c r="B585" s="453">
        <v>9058</v>
      </c>
      <c r="C585" s="571">
        <f>B585/B590</f>
        <v>0.32897508534902303</v>
      </c>
      <c r="F585" s="9"/>
      <c r="G585" s="245"/>
    </row>
    <row r="586" spans="1:133" s="1" customFormat="1" ht="13.5">
      <c r="A586" s="519" t="s">
        <v>277</v>
      </c>
      <c r="B586" s="453">
        <v>4046</v>
      </c>
      <c r="C586" s="571">
        <f>B586/B590</f>
        <v>0.14694559453766254</v>
      </c>
      <c r="F586" s="9"/>
      <c r="G586" s="245"/>
    </row>
    <row r="587" spans="1:133" s="1" customFormat="1" ht="13.5">
      <c r="A587" s="519" t="s">
        <v>278</v>
      </c>
      <c r="B587" s="453">
        <v>3411</v>
      </c>
      <c r="C587" s="571">
        <f>B587/B590</f>
        <v>0.12388319895402049</v>
      </c>
      <c r="F587" s="9"/>
      <c r="G587" s="245"/>
    </row>
    <row r="588" spans="1:133" s="1" customFormat="1" ht="13.5">
      <c r="A588" s="519" t="s">
        <v>279</v>
      </c>
      <c r="B588" s="453">
        <v>1291</v>
      </c>
      <c r="C588" s="571">
        <f>B588/B590</f>
        <v>4.6887484564538388E-2</v>
      </c>
      <c r="F588" s="9"/>
      <c r="G588" s="245"/>
    </row>
    <row r="589" spans="1:133" s="1" customFormat="1" ht="13.5">
      <c r="A589" s="519" t="s">
        <v>280</v>
      </c>
      <c r="B589" s="453">
        <v>490</v>
      </c>
      <c r="C589" s="571">
        <f>B589/B590</f>
        <v>1.7796179269267087E-2</v>
      </c>
      <c r="F589" s="9"/>
      <c r="G589" s="245"/>
    </row>
    <row r="590" spans="1:133" s="1" customFormat="1" ht="13.5" thickBot="1">
      <c r="A590" s="520" t="s">
        <v>281</v>
      </c>
      <c r="B590" s="521">
        <f>B584+B585+B586+B587+B588+B589</f>
        <v>27534</v>
      </c>
      <c r="C590" s="575">
        <f>SUM(C584:C589)</f>
        <v>1</v>
      </c>
      <c r="F590" s="9"/>
      <c r="G590" s="245"/>
    </row>
    <row r="591" spans="1:133" s="1" customFormat="1" ht="13.5">
      <c r="A591" s="6" t="s">
        <v>282</v>
      </c>
      <c r="C591" s="245"/>
      <c r="D591" s="256"/>
      <c r="E591" s="582"/>
      <c r="F591" s="9"/>
    </row>
    <row r="592" spans="1:133" s="1" customFormat="1" ht="13.5">
      <c r="A592" s="6" t="s">
        <v>274</v>
      </c>
      <c r="D592" s="256"/>
      <c r="E592" s="582"/>
      <c r="F592" s="9"/>
    </row>
    <row r="593" spans="1:133" s="1" customFormat="1" ht="13.5">
      <c r="A593" s="6"/>
      <c r="D593" s="256"/>
      <c r="E593" s="582"/>
      <c r="F593" s="9"/>
    </row>
    <row r="594" spans="1:133" s="45" customFormat="1" ht="13.5" customHeight="1" thickBot="1"/>
    <row r="595" spans="1:133" s="15" customFormat="1" ht="13.5" customHeight="1"/>
    <row r="596" spans="1:133" s="1" customFormat="1" ht="13.5">
      <c r="A596" s="23" t="s">
        <v>413</v>
      </c>
      <c r="B596" s="8" t="s">
        <v>484</v>
      </c>
      <c r="EB596" s="567"/>
      <c r="EC596" s="373"/>
    </row>
    <row r="597" spans="1:133" s="1" customFormat="1" ht="14.25" thickBot="1">
      <c r="A597" s="23"/>
      <c r="B597" s="16"/>
      <c r="C597" s="15"/>
    </row>
    <row r="598" spans="1:133" s="1" customFormat="1" ht="42.75" customHeight="1" thickBot="1">
      <c r="A598" s="66"/>
      <c r="B598" s="263" t="s">
        <v>265</v>
      </c>
      <c r="C598" s="481" t="s">
        <v>148</v>
      </c>
      <c r="D598" s="74"/>
      <c r="E598" s="568" t="s">
        <v>457</v>
      </c>
      <c r="F598" s="74"/>
      <c r="G598" s="74"/>
      <c r="H598" s="9"/>
    </row>
    <row r="599" spans="1:133" s="1" customFormat="1" ht="13.5">
      <c r="A599" s="434" t="s">
        <v>266</v>
      </c>
      <c r="B599" s="517">
        <v>9238</v>
      </c>
      <c r="C599" s="569">
        <f>B599/B604</f>
        <v>0.33551611298154627</v>
      </c>
      <c r="D599" s="74"/>
      <c r="E599" s="570">
        <v>1</v>
      </c>
      <c r="F599" s="74"/>
      <c r="G599" s="74"/>
      <c r="H599" s="9"/>
    </row>
    <row r="600" spans="1:133" s="1" customFormat="1" ht="13.5">
      <c r="A600" s="438" t="s">
        <v>267</v>
      </c>
      <c r="B600" s="453">
        <v>7126.9</v>
      </c>
      <c r="C600" s="571">
        <f>B600/B604</f>
        <v>0.25884279991428688</v>
      </c>
      <c r="D600" s="572"/>
      <c r="E600" s="573">
        <v>2.0499999999999998</v>
      </c>
      <c r="F600" s="9"/>
      <c r="G600" s="74"/>
      <c r="H600" s="9"/>
    </row>
    <row r="601" spans="1:133" s="1" customFormat="1" ht="13.5">
      <c r="A601" s="438" t="s">
        <v>268</v>
      </c>
      <c r="B601" s="453">
        <v>7467.9</v>
      </c>
      <c r="C601" s="571">
        <f>B601/B604</f>
        <v>0.27122762287669294</v>
      </c>
      <c r="D601" s="572"/>
      <c r="E601" s="570">
        <v>3.8</v>
      </c>
      <c r="F601" s="9"/>
      <c r="G601" s="74"/>
      <c r="H601" s="9"/>
    </row>
    <row r="602" spans="1:133" s="1" customFormat="1" ht="13.5">
      <c r="A602" s="438" t="s">
        <v>269</v>
      </c>
      <c r="B602" s="453">
        <v>2263.1</v>
      </c>
      <c r="C602" s="571">
        <f>B602/B604</f>
        <v>8.219382066340522E-2</v>
      </c>
      <c r="D602" s="572"/>
      <c r="E602" s="573">
        <v>2.65</v>
      </c>
      <c r="F602" s="9"/>
      <c r="G602" s="74"/>
      <c r="H602" s="9"/>
    </row>
    <row r="603" spans="1:133" s="1" customFormat="1" ht="13.5">
      <c r="A603" s="438" t="s">
        <v>270</v>
      </c>
      <c r="B603" s="453">
        <v>1437.8</v>
      </c>
      <c r="C603" s="571">
        <f>B603/B604</f>
        <v>5.221964356406876E-2</v>
      </c>
      <c r="D603" s="572"/>
      <c r="E603" s="574" t="s">
        <v>20</v>
      </c>
      <c r="F603" s="9"/>
      <c r="G603" s="74"/>
      <c r="H603" s="9"/>
    </row>
    <row r="604" spans="1:133" s="1" customFormat="1" ht="13.5" thickBot="1">
      <c r="A604" s="442" t="s">
        <v>189</v>
      </c>
      <c r="B604" s="521">
        <f>B599+B600+B601+B602+B603</f>
        <v>27533.699999999997</v>
      </c>
      <c r="C604" s="575">
        <f>C599+C600+C601+C602+C603</f>
        <v>1</v>
      </c>
      <c r="D604" s="576"/>
      <c r="E604" s="577">
        <v>2.36</v>
      </c>
      <c r="F604" s="9"/>
      <c r="G604" s="74"/>
      <c r="H604" s="9"/>
    </row>
    <row r="605" spans="1:133" s="1" customFormat="1">
      <c r="A605" s="6" t="s">
        <v>271</v>
      </c>
      <c r="B605" s="6"/>
      <c r="C605" s="6"/>
      <c r="D605" s="6"/>
      <c r="E605" s="6"/>
      <c r="F605" s="6"/>
      <c r="G605" s="74"/>
      <c r="H605" s="9"/>
    </row>
    <row r="606" spans="1:133" s="1" customFormat="1">
      <c r="A606" s="6" t="s">
        <v>272</v>
      </c>
      <c r="B606" s="6"/>
      <c r="C606" s="6"/>
      <c r="D606" s="6"/>
      <c r="E606" s="6"/>
      <c r="F606" s="6"/>
    </row>
    <row r="607" spans="1:133" s="1" customFormat="1">
      <c r="A607" s="6" t="s">
        <v>273</v>
      </c>
      <c r="B607" s="6"/>
      <c r="C607" s="6"/>
      <c r="D607" s="6"/>
      <c r="E607" s="6"/>
      <c r="F607" s="6"/>
    </row>
    <row r="608" spans="1:133" s="1" customFormat="1">
      <c r="A608" s="6" t="s">
        <v>274</v>
      </c>
      <c r="B608" s="6"/>
      <c r="C608" s="6"/>
      <c r="D608" s="6"/>
      <c r="E608" s="6"/>
      <c r="F608" s="6"/>
      <c r="G608" s="578"/>
    </row>
    <row r="609" spans="1:128" s="1" customFormat="1" ht="13.5">
      <c r="A609" s="6"/>
      <c r="D609" s="256"/>
      <c r="E609" s="582"/>
      <c r="F609" s="9"/>
    </row>
    <row r="610" spans="1:128" s="45" customFormat="1" ht="13.5" customHeight="1" thickBot="1"/>
    <row r="611" spans="1:128" s="15" customFormat="1" ht="13.5" customHeight="1"/>
    <row r="612" spans="1:128" s="1" customFormat="1" ht="13.5">
      <c r="A612" s="23" t="s">
        <v>414</v>
      </c>
      <c r="B612" s="8" t="s">
        <v>486</v>
      </c>
      <c r="D612" s="15"/>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BX612" s="9"/>
      <c r="BY612" s="9"/>
      <c r="BZ612" s="9"/>
      <c r="CA612" s="9"/>
      <c r="CB612" s="9"/>
      <c r="CC612" s="9"/>
      <c r="CD612" s="9"/>
      <c r="CE612" s="9"/>
      <c r="CF612" s="9"/>
      <c r="CG612" s="9"/>
      <c r="CH612" s="9"/>
      <c r="CI612" s="9"/>
      <c r="CJ612" s="9"/>
      <c r="CK612" s="9"/>
      <c r="CL612" s="9"/>
      <c r="CM612" s="9"/>
      <c r="CN612" s="9"/>
      <c r="CO612" s="9"/>
      <c r="CP612" s="9"/>
      <c r="CQ612" s="9"/>
      <c r="CR612" s="9"/>
      <c r="CS612" s="9"/>
      <c r="CT612" s="9"/>
      <c r="CU612" s="9"/>
      <c r="CV612" s="9"/>
      <c r="CW612" s="9"/>
      <c r="CX612" s="9"/>
      <c r="CY612" s="9"/>
      <c r="CZ612" s="9"/>
      <c r="DA612" s="9"/>
      <c r="DB612" s="9"/>
      <c r="DC612" s="9"/>
      <c r="DD612" s="9"/>
      <c r="DE612" s="9"/>
      <c r="DF612" s="9"/>
      <c r="DG612" s="9"/>
      <c r="DH612" s="9"/>
      <c r="DI612" s="9"/>
      <c r="DJ612" s="9"/>
      <c r="DK612" s="9"/>
      <c r="DL612" s="9"/>
      <c r="DM612" s="9"/>
      <c r="DN612" s="9"/>
      <c r="DO612" s="9"/>
      <c r="DP612" s="9"/>
      <c r="DQ612" s="9"/>
      <c r="DR612" s="9"/>
      <c r="DS612" s="9"/>
      <c r="DT612" s="9"/>
      <c r="DU612" s="9"/>
      <c r="DV612" s="9"/>
      <c r="DW612" s="9"/>
      <c r="DX612" s="9"/>
    </row>
    <row r="613" spans="1:128" s="1" customFormat="1" ht="14.25" thickBot="1">
      <c r="D613" s="15"/>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BX613" s="9"/>
      <c r="BY613" s="9"/>
      <c r="BZ613" s="9"/>
      <c r="CA613" s="9"/>
      <c r="CB613" s="9"/>
      <c r="CC613" s="9"/>
      <c r="CD613" s="9"/>
      <c r="CE613" s="9"/>
      <c r="CF613" s="9"/>
      <c r="CG613" s="9"/>
      <c r="CH613" s="9"/>
      <c r="CI613" s="9"/>
      <c r="CJ613" s="9"/>
      <c r="CK613" s="9"/>
      <c r="CL613" s="9"/>
      <c r="CM613" s="9"/>
      <c r="CN613" s="9"/>
      <c r="CO613" s="9"/>
      <c r="CP613" s="9"/>
      <c r="CQ613" s="9"/>
      <c r="CR613" s="9"/>
      <c r="CS613" s="9"/>
      <c r="CT613" s="9"/>
      <c r="CU613" s="9"/>
      <c r="CV613" s="9"/>
      <c r="CW613" s="9"/>
      <c r="CX613" s="9"/>
      <c r="CY613" s="9"/>
      <c r="CZ613" s="9"/>
      <c r="DA613" s="9"/>
      <c r="DB613" s="9"/>
      <c r="DC613" s="9"/>
      <c r="DD613" s="9"/>
      <c r="DE613" s="9"/>
      <c r="DF613" s="9"/>
      <c r="DG613" s="9"/>
      <c r="DH613" s="9"/>
      <c r="DI613" s="9"/>
      <c r="DJ613" s="9"/>
      <c r="DK613" s="9"/>
      <c r="DL613" s="9"/>
      <c r="DM613" s="9"/>
      <c r="DN613" s="9"/>
      <c r="DO613" s="9"/>
      <c r="DP613" s="9"/>
      <c r="DQ613" s="9"/>
      <c r="DR613" s="9"/>
      <c r="DS613" s="9"/>
      <c r="DT613" s="9"/>
      <c r="DU613" s="9"/>
      <c r="DV613" s="9"/>
      <c r="DW613" s="9"/>
      <c r="DX613" s="9"/>
    </row>
    <row r="614" spans="1:128" s="1" customFormat="1" ht="13.5" thickBot="1">
      <c r="A614" s="9"/>
      <c r="B614" s="583" t="s">
        <v>283</v>
      </c>
      <c r="C614" s="584" t="s">
        <v>284</v>
      </c>
      <c r="D614" s="585" t="s">
        <v>189</v>
      </c>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BX614" s="9"/>
      <c r="BY614" s="9"/>
      <c r="BZ614" s="9"/>
      <c r="CA614" s="9"/>
      <c r="CB614" s="9"/>
      <c r="CC614" s="9"/>
      <c r="CD614" s="9"/>
      <c r="CE614" s="9"/>
      <c r="CF614" s="9"/>
      <c r="CG614" s="9"/>
      <c r="CH614" s="9"/>
      <c r="CI614" s="9"/>
      <c r="CJ614" s="9"/>
      <c r="CK614" s="9"/>
      <c r="CL614" s="9"/>
      <c r="CM614" s="9"/>
      <c r="CN614" s="9"/>
      <c r="CO614" s="9"/>
      <c r="CP614" s="9"/>
      <c r="CQ614" s="9"/>
      <c r="CR614" s="9"/>
      <c r="CS614" s="9"/>
      <c r="CT614" s="9"/>
      <c r="CU614" s="9"/>
      <c r="CV614" s="9"/>
      <c r="CW614" s="9"/>
      <c r="CX614" s="9"/>
      <c r="CY614" s="9"/>
      <c r="CZ614" s="9"/>
      <c r="DA614" s="9"/>
      <c r="DB614" s="9"/>
      <c r="DC614" s="9"/>
      <c r="DD614" s="9"/>
      <c r="DE614" s="9"/>
      <c r="DF614" s="9"/>
      <c r="DG614" s="9"/>
      <c r="DH614" s="9"/>
      <c r="DI614" s="9"/>
      <c r="DJ614" s="9"/>
      <c r="DK614" s="9"/>
      <c r="DL614" s="9"/>
      <c r="DM614" s="9"/>
      <c r="DN614" s="9"/>
      <c r="DO614" s="9"/>
      <c r="DP614" s="9"/>
      <c r="DQ614" s="9"/>
      <c r="DR614" s="9"/>
      <c r="DS614" s="9"/>
      <c r="DT614" s="9"/>
      <c r="DU614" s="9"/>
      <c r="DV614" s="9"/>
      <c r="DW614" s="9"/>
      <c r="DX614" s="9"/>
    </row>
    <row r="615" spans="1:128" s="1" customFormat="1" ht="13.5">
      <c r="A615" s="434" t="s">
        <v>458</v>
      </c>
      <c r="B615" s="586">
        <v>0.17630443205766103</v>
      </c>
      <c r="C615" s="587">
        <v>0.19611733335683659</v>
      </c>
      <c r="D615" s="569">
        <v>0.18590145128392543</v>
      </c>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D615" s="9"/>
      <c r="CE615" s="9"/>
      <c r="CF615" s="9"/>
      <c r="CG615" s="9"/>
      <c r="CH615" s="9"/>
      <c r="CI615" s="9"/>
      <c r="CJ615" s="9"/>
      <c r="CK615" s="9"/>
      <c r="CL615" s="9"/>
      <c r="CM615" s="9"/>
      <c r="CN615" s="9"/>
      <c r="CO615" s="9"/>
      <c r="CP615" s="9"/>
      <c r="CQ615" s="9"/>
      <c r="CR615" s="9"/>
      <c r="CS615" s="9"/>
      <c r="CT615" s="9"/>
      <c r="CU615" s="9"/>
      <c r="CV615" s="9"/>
      <c r="CW615" s="9"/>
      <c r="CX615" s="9"/>
      <c r="CY615" s="9"/>
      <c r="CZ615" s="9"/>
      <c r="DA615" s="9"/>
      <c r="DB615" s="9"/>
      <c r="DC615" s="9"/>
      <c r="DD615" s="9"/>
      <c r="DE615" s="9"/>
      <c r="DF615" s="9"/>
      <c r="DG615" s="9"/>
      <c r="DH615" s="9"/>
      <c r="DI615" s="9"/>
      <c r="DJ615" s="9"/>
      <c r="DK615" s="9"/>
      <c r="DL615" s="9"/>
      <c r="DM615" s="9"/>
      <c r="DN615" s="9"/>
      <c r="DO615" s="9"/>
      <c r="DP615" s="9"/>
      <c r="DQ615" s="9"/>
      <c r="DR615" s="9"/>
      <c r="DS615" s="9"/>
      <c r="DT615" s="9"/>
      <c r="DU615" s="9"/>
      <c r="DV615" s="9"/>
      <c r="DW615" s="9"/>
      <c r="DX615" s="9"/>
    </row>
    <row r="616" spans="1:128" s="1" customFormat="1" ht="13.5">
      <c r="A616" s="438" t="s">
        <v>459</v>
      </c>
      <c r="B616" s="588">
        <v>5.7502083183816347E-2</v>
      </c>
      <c r="C616" s="582">
        <v>6.4165499110285837E-2</v>
      </c>
      <c r="D616" s="571">
        <v>6.0729724092802508E-2</v>
      </c>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BX616" s="9"/>
      <c r="BY616" s="9"/>
      <c r="BZ616" s="9"/>
      <c r="CA616" s="9"/>
      <c r="CB616" s="9"/>
      <c r="CC616" s="9"/>
      <c r="CD616" s="9"/>
      <c r="CE616" s="9"/>
      <c r="CF616" s="9"/>
      <c r="CG616" s="9"/>
      <c r="CH616" s="9"/>
      <c r="CI616" s="9"/>
      <c r="CJ616" s="9"/>
      <c r="CK616" s="9"/>
      <c r="CL616" s="9"/>
      <c r="CM616" s="9"/>
      <c r="CN616" s="9"/>
      <c r="CO616" s="9"/>
      <c r="CP616" s="9"/>
      <c r="CQ616" s="9"/>
      <c r="CR616" s="9"/>
      <c r="CS616" s="9"/>
      <c r="CT616" s="9"/>
      <c r="CU616" s="9"/>
      <c r="CV616" s="9"/>
      <c r="CW616" s="9"/>
      <c r="CX616" s="9"/>
      <c r="CY616" s="9"/>
      <c r="CZ616" s="9"/>
      <c r="DA616" s="9"/>
      <c r="DB616" s="9"/>
      <c r="DC616" s="9"/>
      <c r="DD616" s="9"/>
      <c r="DE616" s="9"/>
      <c r="DF616" s="9"/>
      <c r="DG616" s="9"/>
      <c r="DH616" s="9"/>
      <c r="DI616" s="9"/>
      <c r="DJ616" s="9"/>
      <c r="DK616" s="9"/>
      <c r="DL616" s="9"/>
      <c r="DM616" s="9"/>
      <c r="DN616" s="9"/>
      <c r="DO616" s="9"/>
      <c r="DP616" s="9"/>
      <c r="DQ616" s="9"/>
      <c r="DR616" s="9"/>
      <c r="DS616" s="9"/>
      <c r="DT616" s="9"/>
      <c r="DU616" s="9"/>
      <c r="DV616" s="9"/>
      <c r="DW616" s="9"/>
      <c r="DX616" s="9"/>
    </row>
    <row r="617" spans="1:128" s="1" customFormat="1" ht="13.5">
      <c r="A617" s="438" t="s">
        <v>460</v>
      </c>
      <c r="B617" s="588">
        <v>5.8363715037900651E-2</v>
      </c>
      <c r="C617" s="582">
        <v>6.3130799156274606E-2</v>
      </c>
      <c r="D617" s="571">
        <v>6.0672806333841152E-2</v>
      </c>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BX617" s="9"/>
      <c r="BY617" s="9"/>
      <c r="BZ617" s="9"/>
      <c r="CA617" s="9"/>
      <c r="CB617" s="9"/>
      <c r="CC617" s="9"/>
      <c r="CD617" s="9"/>
      <c r="CE617" s="9"/>
      <c r="CF617" s="9"/>
      <c r="CG617" s="9"/>
      <c r="CH617" s="9"/>
      <c r="CI617" s="9"/>
      <c r="CJ617" s="9"/>
      <c r="CK617" s="9"/>
      <c r="CL617" s="9"/>
      <c r="CM617" s="9"/>
      <c r="CN617" s="9"/>
      <c r="CO617" s="9"/>
      <c r="CP617" s="9"/>
      <c r="CQ617" s="9"/>
      <c r="CR617" s="9"/>
      <c r="CS617" s="9"/>
      <c r="CT617" s="9"/>
      <c r="CU617" s="9"/>
      <c r="CV617" s="9"/>
      <c r="CW617" s="9"/>
      <c r="CX617" s="9"/>
      <c r="CY617" s="9"/>
      <c r="CZ617" s="9"/>
      <c r="DA617" s="9"/>
      <c r="DB617" s="9"/>
      <c r="DC617" s="9"/>
      <c r="DD617" s="9"/>
      <c r="DE617" s="9"/>
      <c r="DF617" s="9"/>
      <c r="DG617" s="9"/>
      <c r="DH617" s="9"/>
      <c r="DI617" s="9"/>
      <c r="DJ617" s="9"/>
      <c r="DK617" s="9"/>
      <c r="DL617" s="9"/>
      <c r="DM617" s="9"/>
      <c r="DN617" s="9"/>
      <c r="DO617" s="9"/>
      <c r="DP617" s="9"/>
      <c r="DQ617" s="9"/>
      <c r="DR617" s="9"/>
      <c r="DS617" s="9"/>
      <c r="DT617" s="9"/>
      <c r="DU617" s="9"/>
      <c r="DV617" s="9"/>
      <c r="DW617" s="9"/>
      <c r="DX617" s="9"/>
    </row>
    <row r="618" spans="1:128" s="1" customFormat="1" ht="13.5">
      <c r="A618" s="438" t="s">
        <v>461</v>
      </c>
      <c r="B618" s="588">
        <v>5.8831878793610126E-2</v>
      </c>
      <c r="C618" s="582">
        <v>6.0974300748883409E-2</v>
      </c>
      <c r="D618" s="571">
        <v>5.9869630124677636E-2</v>
      </c>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BX618" s="9"/>
      <c r="BY618" s="9"/>
      <c r="BZ618" s="9"/>
      <c r="CA618" s="9"/>
      <c r="CB618" s="9"/>
      <c r="CC618" s="9"/>
      <c r="CD618" s="9"/>
      <c r="CE618" s="9"/>
      <c r="CF618" s="9"/>
      <c r="CG618" s="9"/>
      <c r="CH618" s="9"/>
      <c r="CI618" s="9"/>
      <c r="CJ618" s="9"/>
      <c r="CK618" s="9"/>
      <c r="CL618" s="9"/>
      <c r="CM618" s="9"/>
      <c r="CN618" s="9"/>
      <c r="CO618" s="9"/>
      <c r="CP618" s="9"/>
      <c r="CQ618" s="9"/>
      <c r="CR618" s="9"/>
      <c r="CS618" s="9"/>
      <c r="CT618" s="9"/>
      <c r="CU618" s="9"/>
      <c r="CV618" s="9"/>
      <c r="CW618" s="9"/>
      <c r="CX618" s="9"/>
      <c r="CY618" s="9"/>
      <c r="CZ618" s="9"/>
      <c r="DA618" s="9"/>
      <c r="DB618" s="9"/>
      <c r="DC618" s="9"/>
      <c r="DD618" s="9"/>
      <c r="DE618" s="9"/>
      <c r="DF618" s="9"/>
      <c r="DG618" s="9"/>
      <c r="DH618" s="9"/>
      <c r="DI618" s="9"/>
      <c r="DJ618" s="9"/>
      <c r="DK618" s="9"/>
      <c r="DL618" s="9"/>
      <c r="DM618" s="9"/>
      <c r="DN618" s="9"/>
      <c r="DO618" s="9"/>
      <c r="DP618" s="9"/>
      <c r="DQ618" s="9"/>
      <c r="DR618" s="9"/>
      <c r="DS618" s="9"/>
      <c r="DT618" s="9"/>
      <c r="DU618" s="9"/>
      <c r="DV618" s="9"/>
      <c r="DW618" s="9"/>
      <c r="DX618" s="9"/>
    </row>
    <row r="619" spans="1:128" s="1" customFormat="1" ht="13.5">
      <c r="A619" s="438" t="s">
        <v>462</v>
      </c>
      <c r="B619" s="588">
        <v>6.1608688376489293E-2</v>
      </c>
      <c r="C619" s="582">
        <v>6.3532768016751118E-2</v>
      </c>
      <c r="D619" s="571">
        <v>6.2540678549035347E-2</v>
      </c>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BX619" s="9"/>
      <c r="BY619" s="9"/>
      <c r="BZ619" s="9"/>
      <c r="CA619" s="9"/>
      <c r="CB619" s="9"/>
      <c r="CC619" s="9"/>
      <c r="CD619" s="9"/>
      <c r="CE619" s="9"/>
      <c r="CF619" s="9"/>
      <c r="CG619" s="9"/>
      <c r="CH619" s="9"/>
      <c r="CI619" s="9"/>
      <c r="CJ619" s="9"/>
      <c r="CK619" s="9"/>
      <c r="CL619" s="9"/>
      <c r="CM619" s="9"/>
      <c r="CN619" s="9"/>
      <c r="CO619" s="9"/>
      <c r="CP619" s="9"/>
      <c r="CQ619" s="9"/>
      <c r="CR619" s="9"/>
      <c r="CS619" s="9"/>
      <c r="CT619" s="9"/>
      <c r="CU619" s="9"/>
      <c r="CV619" s="9"/>
      <c r="CW619" s="9"/>
      <c r="CX619" s="9"/>
      <c r="CY619" s="9"/>
      <c r="CZ619" s="9"/>
      <c r="DA619" s="9"/>
      <c r="DB619" s="9"/>
      <c r="DC619" s="9"/>
      <c r="DD619" s="9"/>
      <c r="DE619" s="9"/>
      <c r="DF619" s="9"/>
      <c r="DG619" s="9"/>
      <c r="DH619" s="9"/>
      <c r="DI619" s="9"/>
      <c r="DJ619" s="9"/>
      <c r="DK619" s="9"/>
      <c r="DL619" s="9"/>
      <c r="DM619" s="9"/>
      <c r="DN619" s="9"/>
      <c r="DO619" s="9"/>
      <c r="DP619" s="9"/>
      <c r="DQ619" s="9"/>
      <c r="DR619" s="9"/>
      <c r="DS619" s="9"/>
      <c r="DT619" s="9"/>
      <c r="DU619" s="9"/>
      <c r="DV619" s="9"/>
      <c r="DW619" s="9"/>
      <c r="DX619" s="9"/>
    </row>
    <row r="620" spans="1:128" s="1" customFormat="1" ht="13.5">
      <c r="A620" s="438" t="s">
        <v>463</v>
      </c>
      <c r="B620" s="588">
        <v>6.2042136098267316E-2</v>
      </c>
      <c r="C620" s="582">
        <v>6.5181029210261823E-2</v>
      </c>
      <c r="D620" s="571">
        <v>6.3562560446530414E-2</v>
      </c>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9"/>
      <c r="BX620" s="9"/>
      <c r="BY620" s="9"/>
      <c r="BZ620" s="9"/>
      <c r="CA620" s="9"/>
      <c r="CB620" s="9"/>
      <c r="CC620" s="9"/>
      <c r="CD620" s="9"/>
      <c r="CE620" s="9"/>
      <c r="CF620" s="9"/>
      <c r="CG620" s="9"/>
      <c r="CH620" s="9"/>
      <c r="CI620" s="9"/>
      <c r="CJ620" s="9"/>
      <c r="CK620" s="9"/>
      <c r="CL620" s="9"/>
      <c r="CM620" s="9"/>
      <c r="CN620" s="9"/>
      <c r="CO620" s="9"/>
      <c r="CP620" s="9"/>
      <c r="CQ620" s="9"/>
      <c r="CR620" s="9"/>
      <c r="CS620" s="9"/>
      <c r="CT620" s="9"/>
      <c r="CU620" s="9"/>
      <c r="CV620" s="9"/>
      <c r="CW620" s="9"/>
      <c r="CX620" s="9"/>
      <c r="CY620" s="9"/>
      <c r="CZ620" s="9"/>
      <c r="DA620" s="9"/>
      <c r="DB620" s="9"/>
      <c r="DC620" s="9"/>
      <c r="DD620" s="9"/>
      <c r="DE620" s="9"/>
      <c r="DF620" s="9"/>
      <c r="DG620" s="9"/>
      <c r="DH620" s="9"/>
      <c r="DI620" s="9"/>
      <c r="DJ620" s="9"/>
      <c r="DK620" s="9"/>
      <c r="DL620" s="9"/>
      <c r="DM620" s="9"/>
      <c r="DN620" s="9"/>
      <c r="DO620" s="9"/>
      <c r="DP620" s="9"/>
      <c r="DQ620" s="9"/>
      <c r="DR620" s="9"/>
      <c r="DS620" s="9"/>
      <c r="DT620" s="9"/>
      <c r="DU620" s="9"/>
      <c r="DV620" s="9"/>
      <c r="DW620" s="9"/>
      <c r="DX620" s="9"/>
    </row>
    <row r="621" spans="1:128" s="1" customFormat="1" ht="13.5">
      <c r="A621" s="438" t="s">
        <v>464</v>
      </c>
      <c r="B621" s="588">
        <v>6.7921151547996536E-2</v>
      </c>
      <c r="C621" s="582">
        <v>7.1190070204475292E-2</v>
      </c>
      <c r="D621" s="571">
        <v>6.9504557972003014E-2</v>
      </c>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9"/>
      <c r="BX621" s="9"/>
      <c r="BY621" s="9"/>
      <c r="BZ621" s="9"/>
      <c r="CA621" s="9"/>
      <c r="CB621" s="9"/>
      <c r="CC621" s="9"/>
      <c r="CD621" s="9"/>
      <c r="CE621" s="9"/>
      <c r="CF621" s="9"/>
      <c r="CG621" s="9"/>
      <c r="CH621" s="9"/>
      <c r="CI621" s="9"/>
      <c r="CJ621" s="9"/>
      <c r="CK621" s="9"/>
      <c r="CL621" s="9"/>
      <c r="CM621" s="9"/>
      <c r="CN621" s="9"/>
      <c r="CO621" s="9"/>
      <c r="CP621" s="9"/>
      <c r="CQ621" s="9"/>
      <c r="CR621" s="9"/>
      <c r="CS621" s="9"/>
      <c r="CT621" s="9"/>
      <c r="CU621" s="9"/>
      <c r="CV621" s="9"/>
      <c r="CW621" s="9"/>
      <c r="CX621" s="9"/>
      <c r="CY621" s="9"/>
      <c r="CZ621" s="9"/>
      <c r="DA621" s="9"/>
      <c r="DB621" s="9"/>
      <c r="DC621" s="9"/>
      <c r="DD621" s="9"/>
      <c r="DE621" s="9"/>
      <c r="DF621" s="9"/>
      <c r="DG621" s="9"/>
      <c r="DH621" s="9"/>
      <c r="DI621" s="9"/>
      <c r="DJ621" s="9"/>
      <c r="DK621" s="9"/>
      <c r="DL621" s="9"/>
      <c r="DM621" s="9"/>
      <c r="DN621" s="9"/>
      <c r="DO621" s="9"/>
      <c r="DP621" s="9"/>
      <c r="DQ621" s="9"/>
      <c r="DR621" s="9"/>
      <c r="DS621" s="9"/>
      <c r="DT621" s="9"/>
      <c r="DU621" s="9"/>
      <c r="DV621" s="9"/>
      <c r="DW621" s="9"/>
      <c r="DX621" s="9"/>
    </row>
    <row r="622" spans="1:128" s="1" customFormat="1" ht="13.5">
      <c r="A622" s="438" t="s">
        <v>465</v>
      </c>
      <c r="B622" s="588">
        <v>6.803485099473118E-2</v>
      </c>
      <c r="C622" s="582">
        <v>7.056004618392421E-2</v>
      </c>
      <c r="D622" s="571">
        <v>6.9258010915371593E-2</v>
      </c>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9"/>
      <c r="BX622" s="9"/>
      <c r="BY622" s="9"/>
      <c r="BZ622" s="9"/>
      <c r="CA622" s="9"/>
      <c r="CB622" s="9"/>
      <c r="CC622" s="9"/>
      <c r="CD622" s="9"/>
      <c r="CE622" s="9"/>
      <c r="CF622" s="9"/>
      <c r="CG622" s="9"/>
      <c r="CH622" s="9"/>
      <c r="CI622" s="9"/>
      <c r="CJ622" s="9"/>
      <c r="CK622" s="9"/>
      <c r="CL622" s="9"/>
      <c r="CM622" s="9"/>
      <c r="CN622" s="9"/>
      <c r="CO622" s="9"/>
      <c r="CP622" s="9"/>
      <c r="CQ622" s="9"/>
      <c r="CR622" s="9"/>
      <c r="CS622" s="9"/>
      <c r="CT622" s="9"/>
      <c r="CU622" s="9"/>
      <c r="CV622" s="9"/>
      <c r="CW622" s="9"/>
      <c r="CX622" s="9"/>
      <c r="CY622" s="9"/>
      <c r="CZ622" s="9"/>
      <c r="DA622" s="9"/>
      <c r="DB622" s="9"/>
      <c r="DC622" s="9"/>
      <c r="DD622" s="9"/>
      <c r="DE622" s="9"/>
      <c r="DF622" s="9"/>
      <c r="DG622" s="9"/>
      <c r="DH622" s="9"/>
      <c r="DI622" s="9"/>
      <c r="DJ622" s="9"/>
      <c r="DK622" s="9"/>
      <c r="DL622" s="9"/>
      <c r="DM622" s="9"/>
      <c r="DN622" s="9"/>
      <c r="DO622" s="9"/>
      <c r="DP622" s="9"/>
      <c r="DQ622" s="9"/>
      <c r="DR622" s="9"/>
      <c r="DS622" s="9"/>
      <c r="DT622" s="9"/>
      <c r="DU622" s="9"/>
      <c r="DV622" s="9"/>
      <c r="DW622" s="9"/>
      <c r="DX622" s="9"/>
    </row>
    <row r="623" spans="1:128" s="1" customFormat="1" ht="13.5">
      <c r="A623" s="438" t="s">
        <v>466</v>
      </c>
      <c r="B623" s="588">
        <v>6.5873142111859143E-2</v>
      </c>
      <c r="C623" s="582">
        <v>6.7314737840441966E-2</v>
      </c>
      <c r="D623" s="571">
        <v>6.6571425604761106E-2</v>
      </c>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BX623" s="9"/>
      <c r="BY623" s="9"/>
      <c r="BZ623" s="9"/>
      <c r="CA623" s="9"/>
      <c r="CB623" s="9"/>
      <c r="CC623" s="9"/>
      <c r="CD623" s="9"/>
      <c r="CE623" s="9"/>
      <c r="CF623" s="9"/>
      <c r="CG623" s="9"/>
      <c r="CH623" s="9"/>
      <c r="CI623" s="9"/>
      <c r="CJ623" s="9"/>
      <c r="CK623" s="9"/>
      <c r="CL623" s="9"/>
      <c r="CM623" s="9"/>
      <c r="CN623" s="9"/>
      <c r="CO623" s="9"/>
      <c r="CP623" s="9"/>
      <c r="CQ623" s="9"/>
      <c r="CR623" s="9"/>
      <c r="CS623" s="9"/>
      <c r="CT623" s="9"/>
      <c r="CU623" s="9"/>
      <c r="CV623" s="9"/>
      <c r="CW623" s="9"/>
      <c r="CX623" s="9"/>
      <c r="CY623" s="9"/>
      <c r="CZ623" s="9"/>
      <c r="DA623" s="9"/>
      <c r="DB623" s="9"/>
      <c r="DC623" s="9"/>
      <c r="DD623" s="9"/>
      <c r="DE623" s="9"/>
      <c r="DF623" s="9"/>
      <c r="DG623" s="9"/>
      <c r="DH623" s="9"/>
      <c r="DI623" s="9"/>
      <c r="DJ623" s="9"/>
      <c r="DK623" s="9"/>
      <c r="DL623" s="9"/>
      <c r="DM623" s="9"/>
      <c r="DN623" s="9"/>
      <c r="DO623" s="9"/>
      <c r="DP623" s="9"/>
      <c r="DQ623" s="9"/>
      <c r="DR623" s="9"/>
      <c r="DS623" s="9"/>
      <c r="DT623" s="9"/>
      <c r="DU623" s="9"/>
      <c r="DV623" s="9"/>
      <c r="DW623" s="9"/>
      <c r="DX623" s="9"/>
    </row>
    <row r="624" spans="1:128" s="1" customFormat="1" ht="13.5">
      <c r="A624" s="438" t="s">
        <v>467</v>
      </c>
      <c r="B624" s="588">
        <v>6.359069594913859E-2</v>
      </c>
      <c r="C624" s="582">
        <v>6.3384162300986854E-2</v>
      </c>
      <c r="D624" s="571">
        <v>6.3490654700143659E-2</v>
      </c>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9"/>
      <c r="BX624" s="9"/>
      <c r="BY624" s="9"/>
      <c r="BZ624" s="9"/>
      <c r="CA624" s="9"/>
      <c r="CB624" s="9"/>
      <c r="CC624" s="9"/>
      <c r="CD624" s="9"/>
      <c r="CE624" s="9"/>
      <c r="CF624" s="9"/>
      <c r="CG624" s="9"/>
      <c r="CH624" s="9"/>
      <c r="CI624" s="9"/>
      <c r="CJ624" s="9"/>
      <c r="CK624" s="9"/>
      <c r="CL624" s="9"/>
      <c r="CM624" s="9"/>
      <c r="CN624" s="9"/>
      <c r="CO624" s="9"/>
      <c r="CP624" s="9"/>
      <c r="CQ624" s="9"/>
      <c r="CR624" s="9"/>
      <c r="CS624" s="9"/>
      <c r="CT624" s="9"/>
      <c r="CU624" s="9"/>
      <c r="CV624" s="9"/>
      <c r="CW624" s="9"/>
      <c r="CX624" s="9"/>
      <c r="CY624" s="9"/>
      <c r="CZ624" s="9"/>
      <c r="DA624" s="9"/>
      <c r="DB624" s="9"/>
      <c r="DC624" s="9"/>
      <c r="DD624" s="9"/>
      <c r="DE624" s="9"/>
      <c r="DF624" s="9"/>
      <c r="DG624" s="9"/>
      <c r="DH624" s="9"/>
      <c r="DI624" s="9"/>
      <c r="DJ624" s="9"/>
      <c r="DK624" s="9"/>
      <c r="DL624" s="9"/>
      <c r="DM624" s="9"/>
      <c r="DN624" s="9"/>
      <c r="DO624" s="9"/>
      <c r="DP624" s="9"/>
      <c r="DQ624" s="9"/>
      <c r="DR624" s="9"/>
      <c r="DS624" s="9"/>
      <c r="DT624" s="9"/>
      <c r="DU624" s="9"/>
      <c r="DV624" s="9"/>
      <c r="DW624" s="9"/>
      <c r="DX624" s="9"/>
    </row>
    <row r="625" spans="1:128" s="1" customFormat="1" ht="13.5">
      <c r="A625" s="438" t="s">
        <v>468</v>
      </c>
      <c r="B625" s="588">
        <v>6.3007413351780728E-2</v>
      </c>
      <c r="C625" s="582">
        <v>6.2204476554387142E-2</v>
      </c>
      <c r="D625" s="571">
        <v>6.2618484957816439E-2</v>
      </c>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BX625" s="9"/>
      <c r="BY625" s="9"/>
      <c r="BZ625" s="9"/>
      <c r="CA625" s="9"/>
      <c r="CB625" s="9"/>
      <c r="CC625" s="9"/>
      <c r="CD625" s="9"/>
      <c r="CE625" s="9"/>
      <c r="CF625" s="9"/>
      <c r="CG625" s="9"/>
      <c r="CH625" s="9"/>
      <c r="CI625" s="9"/>
      <c r="CJ625" s="9"/>
      <c r="CK625" s="9"/>
      <c r="CL625" s="9"/>
      <c r="CM625" s="9"/>
      <c r="CN625" s="9"/>
      <c r="CO625" s="9"/>
      <c r="CP625" s="9"/>
      <c r="CQ625" s="9"/>
      <c r="CR625" s="9"/>
      <c r="CS625" s="9"/>
      <c r="CT625" s="9"/>
      <c r="CU625" s="9"/>
      <c r="CV625" s="9"/>
      <c r="CW625" s="9"/>
      <c r="CX625" s="9"/>
      <c r="CY625" s="9"/>
      <c r="CZ625" s="9"/>
      <c r="DA625" s="9"/>
      <c r="DB625" s="9"/>
      <c r="DC625" s="9"/>
      <c r="DD625" s="9"/>
      <c r="DE625" s="9"/>
      <c r="DF625" s="9"/>
      <c r="DG625" s="9"/>
      <c r="DH625" s="9"/>
      <c r="DI625" s="9"/>
      <c r="DJ625" s="9"/>
      <c r="DK625" s="9"/>
      <c r="DL625" s="9"/>
      <c r="DM625" s="9"/>
      <c r="DN625" s="9"/>
      <c r="DO625" s="9"/>
      <c r="DP625" s="9"/>
      <c r="DQ625" s="9"/>
      <c r="DR625" s="9"/>
      <c r="DS625" s="9"/>
      <c r="DT625" s="9"/>
      <c r="DU625" s="9"/>
      <c r="DV625" s="9"/>
      <c r="DW625" s="9"/>
      <c r="DX625" s="9"/>
    </row>
    <row r="626" spans="1:128" s="1" customFormat="1" ht="13.5">
      <c r="A626" s="438" t="s">
        <v>469</v>
      </c>
      <c r="B626" s="588">
        <v>4.9802871181602211E-2</v>
      </c>
      <c r="C626" s="582">
        <v>4.810912525972949E-2</v>
      </c>
      <c r="D626" s="571">
        <v>4.8982450591443821E-2</v>
      </c>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9"/>
      <c r="CH626" s="9"/>
      <c r="CI626" s="9"/>
      <c r="CJ626" s="9"/>
      <c r="CK626" s="9"/>
      <c r="CL626" s="9"/>
      <c r="CM626" s="9"/>
      <c r="CN626" s="9"/>
      <c r="CO626" s="9"/>
      <c r="CP626" s="9"/>
      <c r="CQ626" s="9"/>
      <c r="CR626" s="9"/>
      <c r="CS626" s="9"/>
      <c r="CT626" s="9"/>
      <c r="CU626" s="9"/>
      <c r="CV626" s="9"/>
      <c r="CW626" s="9"/>
      <c r="CX626" s="9"/>
      <c r="CY626" s="9"/>
      <c r="CZ626" s="9"/>
      <c r="DA626" s="9"/>
      <c r="DB626" s="9"/>
      <c r="DC626" s="9"/>
      <c r="DD626" s="9"/>
      <c r="DE626" s="9"/>
      <c r="DF626" s="9"/>
      <c r="DG626" s="9"/>
      <c r="DH626" s="9"/>
      <c r="DI626" s="9"/>
      <c r="DJ626" s="9"/>
      <c r="DK626" s="9"/>
      <c r="DL626" s="9"/>
      <c r="DM626" s="9"/>
      <c r="DN626" s="9"/>
      <c r="DO626" s="9"/>
      <c r="DP626" s="9"/>
      <c r="DQ626" s="9"/>
      <c r="DR626" s="9"/>
      <c r="DS626" s="9"/>
      <c r="DT626" s="9"/>
      <c r="DU626" s="9"/>
      <c r="DV626" s="9"/>
      <c r="DW626" s="9"/>
      <c r="DX626" s="9"/>
    </row>
    <row r="627" spans="1:128" s="1" customFormat="1" ht="13.5">
      <c r="A627" s="438" t="s">
        <v>470</v>
      </c>
      <c r="B627" s="588">
        <v>3.7965295025520575E-2</v>
      </c>
      <c r="C627" s="582">
        <v>3.4156619281347667E-2</v>
      </c>
      <c r="D627" s="571">
        <v>3.6120439807624985E-2</v>
      </c>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9"/>
      <c r="BX627" s="9"/>
      <c r="BY627" s="9"/>
      <c r="BZ627" s="9"/>
      <c r="CA627" s="9"/>
      <c r="CB627" s="9"/>
      <c r="CC627" s="9"/>
      <c r="CD627" s="9"/>
      <c r="CE627" s="9"/>
      <c r="CF627" s="9"/>
      <c r="CG627" s="9"/>
      <c r="CH627" s="9"/>
      <c r="CI627" s="9"/>
      <c r="CJ627" s="9"/>
      <c r="CK627" s="9"/>
      <c r="CL627" s="9"/>
      <c r="CM627" s="9"/>
      <c r="CN627" s="9"/>
      <c r="CO627" s="9"/>
      <c r="CP627" s="9"/>
      <c r="CQ627" s="9"/>
      <c r="CR627" s="9"/>
      <c r="CS627" s="9"/>
      <c r="CT627" s="9"/>
      <c r="CU627" s="9"/>
      <c r="CV627" s="9"/>
      <c r="CW627" s="9"/>
      <c r="CX627" s="9"/>
      <c r="CY627" s="9"/>
      <c r="CZ627" s="9"/>
      <c r="DA627" s="9"/>
      <c r="DB627" s="9"/>
      <c r="DC627" s="9"/>
      <c r="DD627" s="9"/>
      <c r="DE627" s="9"/>
      <c r="DF627" s="9"/>
      <c r="DG627" s="9"/>
      <c r="DH627" s="9"/>
      <c r="DI627" s="9"/>
      <c r="DJ627" s="9"/>
      <c r="DK627" s="9"/>
      <c r="DL627" s="9"/>
      <c r="DM627" s="9"/>
      <c r="DN627" s="9"/>
      <c r="DO627" s="9"/>
      <c r="DP627" s="9"/>
      <c r="DQ627" s="9"/>
      <c r="DR627" s="9"/>
      <c r="DS627" s="9"/>
      <c r="DT627" s="9"/>
      <c r="DU627" s="9"/>
      <c r="DV627" s="9"/>
      <c r="DW627" s="9"/>
      <c r="DX627" s="9"/>
    </row>
    <row r="628" spans="1:128" s="1" customFormat="1" ht="13.5">
      <c r="A628" s="438" t="s">
        <v>471</v>
      </c>
      <c r="B628" s="588">
        <v>0.1091516462896263</v>
      </c>
      <c r="C628" s="582">
        <v>6.9979032775413993E-2</v>
      </c>
      <c r="D628" s="571">
        <v>9.0177124620022864E-2</v>
      </c>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BX628" s="9"/>
      <c r="BY628" s="9"/>
      <c r="BZ628" s="9"/>
      <c r="CA628" s="9"/>
      <c r="CB628" s="9"/>
      <c r="CC628" s="9"/>
      <c r="CD628" s="9"/>
      <c r="CE628" s="9"/>
      <c r="CF628" s="9"/>
      <c r="CG628" s="9"/>
      <c r="CH628" s="9"/>
      <c r="CI628" s="9"/>
      <c r="CJ628" s="9"/>
      <c r="CK628" s="9"/>
      <c r="CL628" s="9"/>
      <c r="CM628" s="9"/>
      <c r="CN628" s="9"/>
      <c r="CO628" s="9"/>
      <c r="CP628" s="9"/>
      <c r="CQ628" s="9"/>
      <c r="CR628" s="9"/>
      <c r="CS628" s="9"/>
      <c r="CT628" s="9"/>
      <c r="CU628" s="9"/>
      <c r="CV628" s="9"/>
      <c r="CW628" s="9"/>
      <c r="CX628" s="9"/>
      <c r="CY628" s="9"/>
      <c r="CZ628" s="9"/>
      <c r="DA628" s="9"/>
      <c r="DB628" s="9"/>
      <c r="DC628" s="9"/>
      <c r="DD628" s="9"/>
      <c r="DE628" s="9"/>
      <c r="DF628" s="9"/>
      <c r="DG628" s="9"/>
      <c r="DH628" s="9"/>
      <c r="DI628" s="9"/>
      <c r="DJ628" s="9"/>
      <c r="DK628" s="9"/>
      <c r="DL628" s="9"/>
      <c r="DM628" s="9"/>
      <c r="DN628" s="9"/>
      <c r="DO628" s="9"/>
      <c r="DP628" s="9"/>
      <c r="DQ628" s="9"/>
      <c r="DR628" s="9"/>
      <c r="DS628" s="9"/>
      <c r="DT628" s="9"/>
      <c r="DU628" s="9"/>
      <c r="DV628" s="9"/>
      <c r="DW628" s="9"/>
      <c r="DX628" s="9"/>
    </row>
    <row r="629" spans="1:128" s="1" customFormat="1" ht="13.5" thickBot="1">
      <c r="A629" s="442" t="s">
        <v>472</v>
      </c>
      <c r="B629" s="589">
        <v>1</v>
      </c>
      <c r="C629" s="590">
        <v>1</v>
      </c>
      <c r="D629" s="575">
        <v>1</v>
      </c>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9"/>
      <c r="BX629" s="9"/>
      <c r="BY629" s="9"/>
      <c r="BZ629" s="9"/>
      <c r="CA629" s="9"/>
      <c r="CB629" s="9"/>
      <c r="CC629" s="9"/>
      <c r="CD629" s="9"/>
      <c r="CE629" s="9"/>
      <c r="CF629" s="9"/>
      <c r="CG629" s="9"/>
      <c r="CH629" s="9"/>
      <c r="CI629" s="9"/>
      <c r="CJ629" s="9"/>
      <c r="CK629" s="9"/>
      <c r="CL629" s="9"/>
      <c r="CM629" s="9"/>
      <c r="CN629" s="9"/>
      <c r="CO629" s="9"/>
      <c r="CP629" s="9"/>
      <c r="CQ629" s="9"/>
      <c r="CR629" s="9"/>
      <c r="CS629" s="9"/>
      <c r="CT629" s="9"/>
      <c r="CU629" s="9"/>
      <c r="CV629" s="9"/>
      <c r="CW629" s="9"/>
      <c r="CX629" s="9"/>
      <c r="CY629" s="9"/>
      <c r="CZ629" s="9"/>
      <c r="DA629" s="9"/>
      <c r="DB629" s="9"/>
      <c r="DC629" s="9"/>
      <c r="DD629" s="9"/>
      <c r="DE629" s="9"/>
      <c r="DF629" s="9"/>
      <c r="DG629" s="9"/>
      <c r="DH629" s="9"/>
      <c r="DI629" s="9"/>
      <c r="DJ629" s="9"/>
      <c r="DK629" s="9"/>
      <c r="DL629" s="9"/>
      <c r="DM629" s="9"/>
      <c r="DN629" s="9"/>
      <c r="DO629" s="9"/>
      <c r="DP629" s="9"/>
      <c r="DQ629" s="9"/>
      <c r="DR629" s="9"/>
      <c r="DS629" s="9"/>
      <c r="DT629" s="9"/>
      <c r="DU629" s="9"/>
      <c r="DV629" s="9"/>
      <c r="DW629" s="9"/>
      <c r="DX629" s="9"/>
    </row>
    <row r="630" spans="1:128" s="1" customFormat="1">
      <c r="A630" s="6" t="s">
        <v>285</v>
      </c>
      <c r="B630" s="591"/>
      <c r="C630" s="591"/>
      <c r="D630" s="591"/>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9"/>
      <c r="BX630" s="9"/>
      <c r="BY630" s="9"/>
      <c r="BZ630" s="9"/>
      <c r="CA630" s="9"/>
      <c r="CB630" s="9"/>
      <c r="CC630" s="9"/>
      <c r="CD630" s="9"/>
      <c r="CE630" s="9"/>
      <c r="CF630" s="9"/>
      <c r="CG630" s="9"/>
      <c r="CH630" s="9"/>
      <c r="CI630" s="9"/>
      <c r="CJ630" s="9"/>
      <c r="CK630" s="9"/>
      <c r="CL630" s="9"/>
      <c r="CM630" s="9"/>
      <c r="CN630" s="9"/>
      <c r="CO630" s="9"/>
      <c r="CP630" s="9"/>
      <c r="CQ630" s="9"/>
      <c r="CR630" s="9"/>
      <c r="CS630" s="9"/>
      <c r="CT630" s="9"/>
      <c r="CU630" s="9"/>
      <c r="CV630" s="9"/>
      <c r="CW630" s="9"/>
      <c r="CX630" s="9"/>
      <c r="CY630" s="9"/>
      <c r="CZ630" s="9"/>
      <c r="DA630" s="9"/>
      <c r="DB630" s="9"/>
      <c r="DC630" s="9"/>
      <c r="DD630" s="9"/>
      <c r="DE630" s="9"/>
      <c r="DF630" s="9"/>
      <c r="DG630" s="9"/>
      <c r="DH630" s="9"/>
      <c r="DI630" s="9"/>
      <c r="DJ630" s="9"/>
      <c r="DK630" s="9"/>
      <c r="DL630" s="9"/>
      <c r="DM630" s="9"/>
      <c r="DN630" s="9"/>
      <c r="DO630" s="9"/>
      <c r="DP630" s="9"/>
      <c r="DQ630" s="9"/>
      <c r="DR630" s="9"/>
      <c r="DS630" s="9"/>
      <c r="DT630" s="9"/>
      <c r="DU630" s="9"/>
      <c r="DV630" s="9"/>
      <c r="DW630" s="9"/>
      <c r="DX630" s="9"/>
    </row>
    <row r="631" spans="1:128" s="1" customFormat="1">
      <c r="A631" s="6" t="s">
        <v>286</v>
      </c>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9"/>
      <c r="BX631" s="9"/>
      <c r="BY631" s="9"/>
      <c r="BZ631" s="9"/>
      <c r="CA631" s="9"/>
      <c r="CB631" s="9"/>
      <c r="CC631" s="9"/>
      <c r="CD631" s="9"/>
      <c r="CE631" s="9"/>
      <c r="CF631" s="9"/>
      <c r="CG631" s="9"/>
      <c r="CH631" s="9"/>
      <c r="CI631" s="9"/>
      <c r="CJ631" s="9"/>
      <c r="CK631" s="9"/>
      <c r="CL631" s="9"/>
      <c r="CM631" s="9"/>
      <c r="CN631" s="9"/>
      <c r="CO631" s="9"/>
      <c r="CP631" s="9"/>
      <c r="CQ631" s="9"/>
      <c r="CR631" s="9"/>
      <c r="CS631" s="9"/>
      <c r="CT631" s="9"/>
      <c r="CU631" s="9"/>
      <c r="CV631" s="9"/>
      <c r="CW631" s="9"/>
      <c r="CX631" s="9"/>
      <c r="CY631" s="9"/>
      <c r="CZ631" s="9"/>
      <c r="DA631" s="9"/>
      <c r="DB631" s="9"/>
      <c r="DC631" s="9"/>
      <c r="DD631" s="9"/>
      <c r="DE631" s="9"/>
      <c r="DF631" s="9"/>
      <c r="DG631" s="9"/>
      <c r="DH631" s="9"/>
      <c r="DI631" s="9"/>
      <c r="DJ631" s="9"/>
      <c r="DK631" s="9"/>
      <c r="DL631" s="9"/>
      <c r="DM631" s="9"/>
      <c r="DN631" s="9"/>
      <c r="DO631" s="9"/>
      <c r="DP631" s="9"/>
      <c r="DQ631" s="9"/>
      <c r="DR631" s="9"/>
      <c r="DS631" s="9"/>
      <c r="DT631" s="9"/>
      <c r="DU631" s="9"/>
      <c r="DV631" s="9"/>
      <c r="DW631" s="9"/>
      <c r="DX631" s="9"/>
    </row>
    <row r="632" spans="1:128" s="1" customFormat="1">
      <c r="A632" s="6" t="s">
        <v>473</v>
      </c>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9"/>
      <c r="BX632" s="9"/>
      <c r="BY632" s="9"/>
      <c r="BZ632" s="9"/>
      <c r="CA632" s="9"/>
      <c r="CB632" s="9"/>
      <c r="CC632" s="9"/>
      <c r="CD632" s="9"/>
      <c r="CE632" s="9"/>
      <c r="CF632" s="9"/>
      <c r="CG632" s="9"/>
      <c r="CH632" s="9"/>
      <c r="CI632" s="9"/>
      <c r="CJ632" s="9"/>
      <c r="CK632" s="9"/>
      <c r="CL632" s="9"/>
      <c r="CM632" s="9"/>
      <c r="CN632" s="9"/>
      <c r="CO632" s="9"/>
      <c r="CP632" s="9"/>
      <c r="CQ632" s="9"/>
      <c r="CR632" s="9"/>
      <c r="CS632" s="9"/>
      <c r="CT632" s="9"/>
      <c r="CU632" s="9"/>
      <c r="CV632" s="9"/>
      <c r="CW632" s="9"/>
      <c r="CX632" s="9"/>
      <c r="CY632" s="9"/>
      <c r="CZ632" s="9"/>
      <c r="DA632" s="9"/>
      <c r="DB632" s="9"/>
      <c r="DC632" s="9"/>
      <c r="DD632" s="9"/>
      <c r="DE632" s="9"/>
      <c r="DF632" s="9"/>
      <c r="DG632" s="9"/>
      <c r="DH632" s="9"/>
      <c r="DI632" s="9"/>
      <c r="DJ632" s="9"/>
      <c r="DK632" s="9"/>
      <c r="DL632" s="9"/>
      <c r="DM632" s="9"/>
      <c r="DN632" s="9"/>
      <c r="DO632" s="9"/>
      <c r="DP632" s="9"/>
      <c r="DQ632" s="9"/>
      <c r="DR632" s="9"/>
      <c r="DS632" s="9"/>
      <c r="DT632" s="9"/>
      <c r="DU632" s="9"/>
      <c r="DV632" s="9"/>
      <c r="DW632" s="9"/>
      <c r="DX632" s="9"/>
    </row>
    <row r="633" spans="1:128" s="1" customFormat="1">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9"/>
      <c r="BX633" s="9"/>
      <c r="BY633" s="9"/>
      <c r="BZ633" s="9"/>
      <c r="CA633" s="9"/>
      <c r="CB633" s="9"/>
      <c r="CC633" s="9"/>
      <c r="CD633" s="9"/>
      <c r="CE633" s="9"/>
      <c r="CF633" s="9"/>
      <c r="CG633" s="9"/>
      <c r="CH633" s="9"/>
      <c r="CI633" s="9"/>
      <c r="CJ633" s="9"/>
      <c r="CK633" s="9"/>
      <c r="CL633" s="9"/>
      <c r="CM633" s="9"/>
      <c r="CN633" s="9"/>
      <c r="CO633" s="9"/>
      <c r="CP633" s="9"/>
      <c r="CQ633" s="9"/>
      <c r="CR633" s="9"/>
      <c r="CS633" s="9"/>
      <c r="CT633" s="9"/>
      <c r="CU633" s="9"/>
      <c r="CV633" s="9"/>
      <c r="CW633" s="9"/>
      <c r="CX633" s="9"/>
      <c r="CY633" s="9"/>
      <c r="CZ633" s="9"/>
      <c r="DA633" s="9"/>
      <c r="DB633" s="9"/>
      <c r="DC633" s="9"/>
      <c r="DD633" s="9"/>
      <c r="DE633" s="9"/>
      <c r="DF633" s="9"/>
      <c r="DG633" s="9"/>
      <c r="DH633" s="9"/>
      <c r="DI633" s="9"/>
      <c r="DJ633" s="9"/>
      <c r="DK633" s="9"/>
      <c r="DL633" s="9"/>
      <c r="DM633" s="9"/>
      <c r="DN633" s="9"/>
      <c r="DO633" s="9"/>
      <c r="DP633" s="9"/>
      <c r="DQ633" s="9"/>
      <c r="DR633" s="9"/>
      <c r="DS633" s="9"/>
      <c r="DT633" s="9"/>
      <c r="DU633" s="9"/>
      <c r="DV633" s="9"/>
      <c r="DW633" s="9"/>
      <c r="DX633" s="9"/>
    </row>
    <row r="634" spans="1:128" s="1" customFormat="1">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c r="BW634" s="9"/>
      <c r="BX634" s="9"/>
      <c r="BY634" s="9"/>
      <c r="BZ634" s="9"/>
      <c r="CA634" s="9"/>
      <c r="CB634" s="9"/>
      <c r="CC634" s="9"/>
      <c r="CD634" s="9"/>
      <c r="CE634" s="9"/>
      <c r="CF634" s="9"/>
      <c r="CG634" s="9"/>
      <c r="CH634" s="9"/>
      <c r="CI634" s="9"/>
      <c r="CJ634" s="9"/>
      <c r="CK634" s="9"/>
      <c r="CL634" s="9"/>
      <c r="CM634" s="9"/>
      <c r="CN634" s="9"/>
      <c r="CO634" s="9"/>
      <c r="CP634" s="9"/>
      <c r="CQ634" s="9"/>
      <c r="CR634" s="9"/>
      <c r="CS634" s="9"/>
      <c r="CT634" s="9"/>
      <c r="CU634" s="9"/>
      <c r="CV634" s="9"/>
      <c r="CW634" s="9"/>
      <c r="CX634" s="9"/>
      <c r="CY634" s="9"/>
      <c r="CZ634" s="9"/>
      <c r="DA634" s="9"/>
      <c r="DB634" s="9"/>
      <c r="DC634" s="9"/>
      <c r="DD634" s="9"/>
      <c r="DE634" s="9"/>
      <c r="DF634" s="9"/>
      <c r="DG634" s="9"/>
      <c r="DH634" s="9"/>
      <c r="DI634" s="9"/>
      <c r="DJ634" s="9"/>
      <c r="DK634" s="9"/>
      <c r="DL634" s="9"/>
      <c r="DM634" s="9"/>
      <c r="DN634" s="9"/>
      <c r="DO634" s="9"/>
      <c r="DP634" s="9"/>
      <c r="DQ634" s="9"/>
      <c r="DR634" s="9"/>
      <c r="DS634" s="9"/>
      <c r="DT634" s="9"/>
      <c r="DU634" s="9"/>
      <c r="DV634" s="9"/>
      <c r="DW634" s="9"/>
      <c r="DX634" s="9"/>
    </row>
    <row r="635" spans="1:128" s="1" customFormat="1">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c r="BW635" s="9"/>
      <c r="BX635" s="9"/>
      <c r="BY635" s="9"/>
      <c r="BZ635" s="9"/>
      <c r="CA635" s="9"/>
      <c r="CB635" s="9"/>
      <c r="CC635" s="9"/>
      <c r="CD635" s="9"/>
      <c r="CE635" s="9"/>
      <c r="CF635" s="9"/>
      <c r="CG635" s="9"/>
      <c r="CH635" s="9"/>
      <c r="CI635" s="9"/>
      <c r="CJ635" s="9"/>
      <c r="CK635" s="9"/>
      <c r="CL635" s="9"/>
      <c r="CM635" s="9"/>
      <c r="CN635" s="9"/>
      <c r="CO635" s="9"/>
      <c r="CP635" s="9"/>
      <c r="CQ635" s="9"/>
      <c r="CR635" s="9"/>
      <c r="CS635" s="9"/>
      <c r="CT635" s="9"/>
      <c r="CU635" s="9"/>
      <c r="CV635" s="9"/>
      <c r="CW635" s="9"/>
      <c r="CX635" s="9"/>
      <c r="CY635" s="9"/>
      <c r="CZ635" s="9"/>
      <c r="DA635" s="9"/>
      <c r="DB635" s="9"/>
      <c r="DC635" s="9"/>
      <c r="DD635" s="9"/>
      <c r="DE635" s="9"/>
      <c r="DF635" s="9"/>
      <c r="DG635" s="9"/>
      <c r="DH635" s="9"/>
      <c r="DI635" s="9"/>
      <c r="DJ635" s="9"/>
      <c r="DK635" s="9"/>
      <c r="DL635" s="9"/>
      <c r="DM635" s="9"/>
      <c r="DN635" s="9"/>
      <c r="DO635" s="9"/>
      <c r="DP635" s="9"/>
      <c r="DQ635" s="9"/>
      <c r="DR635" s="9"/>
      <c r="DS635" s="9"/>
      <c r="DT635" s="9"/>
      <c r="DU635" s="9"/>
      <c r="DV635" s="9"/>
      <c r="DW635" s="9"/>
      <c r="DX635" s="9"/>
    </row>
    <row r="636" spans="1:128" s="1" customFormat="1">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c r="BV636" s="9"/>
      <c r="BW636" s="9"/>
      <c r="BX636" s="9"/>
      <c r="BY636" s="9"/>
      <c r="BZ636" s="9"/>
      <c r="CA636" s="9"/>
      <c r="CB636" s="9"/>
      <c r="CC636" s="9"/>
      <c r="CD636" s="9"/>
      <c r="CE636" s="9"/>
      <c r="CF636" s="9"/>
      <c r="CG636" s="9"/>
      <c r="CH636" s="9"/>
      <c r="CI636" s="9"/>
      <c r="CJ636" s="9"/>
      <c r="CK636" s="9"/>
      <c r="CL636" s="9"/>
      <c r="CM636" s="9"/>
      <c r="CN636" s="9"/>
      <c r="CO636" s="9"/>
      <c r="CP636" s="9"/>
      <c r="CQ636" s="9"/>
      <c r="CR636" s="9"/>
      <c r="CS636" s="9"/>
      <c r="CT636" s="9"/>
      <c r="CU636" s="9"/>
      <c r="CV636" s="9"/>
      <c r="CW636" s="9"/>
      <c r="CX636" s="9"/>
      <c r="CY636" s="9"/>
      <c r="CZ636" s="9"/>
      <c r="DA636" s="9"/>
      <c r="DB636" s="9"/>
      <c r="DC636" s="9"/>
      <c r="DD636" s="9"/>
      <c r="DE636" s="9"/>
      <c r="DF636" s="9"/>
      <c r="DG636" s="9"/>
      <c r="DH636" s="9"/>
      <c r="DI636" s="9"/>
      <c r="DJ636" s="9"/>
      <c r="DK636" s="9"/>
      <c r="DL636" s="9"/>
      <c r="DM636" s="9"/>
      <c r="DN636" s="9"/>
      <c r="DO636" s="9"/>
      <c r="DP636" s="9"/>
      <c r="DQ636" s="9"/>
      <c r="DR636" s="9"/>
      <c r="DS636" s="9"/>
      <c r="DT636" s="9"/>
      <c r="DU636" s="9"/>
      <c r="DV636" s="9"/>
      <c r="DW636" s="9"/>
      <c r="DX636" s="9"/>
    </row>
  </sheetData>
  <sheetProtection algorithmName="SHA-512" hashValue="LpAy2nGZu8uaeagAyJnSSXDuYSptC2QHTf3NG3l1lHmLnvWjuHyhVATIXPYFYGav/dKwgVvE7+Yve+HKbyht9A==" saltValue="4SB58oVSYwyrU+VccgNYSw==" spinCount="100000" sheet="1" formatCells="0" formatColumns="0" formatRows="0" insertColumns="0" insertRows="0" insertHyperlinks="0" deleteColumns="0" deleteRows="0" sort="0" autoFilter="0" pivotTables="0"/>
  <pageMargins left="0.51181102362204722" right="0.51181102362204722" top="0.74803149606299213" bottom="0.74803149606299213" header="0.31496062992125984" footer="0.31496062992125984"/>
  <pageSetup paperSize="9" scale="65" orientation="landscape" r:id="rId1"/>
  <headerFooter>
    <oddHeader>&amp;CPEISR</oddHeader>
    <oddFooter>&amp;L&amp;"StopD,Normal"&amp;26MSI&amp;"Arial,Normal"&amp;10 Reports
www.msi-reports.com&amp;RMarché de la Robinetterie Sanitaire  en France
Novembre 2015</oddFooter>
  </headerFooter>
  <rowBreaks count="16" manualBreakCount="16">
    <brk id="36" max="16383" man="1"/>
    <brk id="86" max="16383" man="1"/>
    <brk id="117" max="16383" man="1"/>
    <brk id="161" max="16383" man="1"/>
    <brk id="183" max="16383" man="1"/>
    <brk id="225" max="16383" man="1"/>
    <brk id="247" max="16383" man="1"/>
    <brk id="289" max="16383" man="1"/>
    <brk id="323" max="16383" man="1"/>
    <brk id="355" max="16383" man="1"/>
    <brk id="392" max="16383" man="1"/>
    <brk id="433" max="16383" man="1"/>
    <brk id="488" max="16383" man="1"/>
    <brk id="539" max="16383" man="1"/>
    <brk id="577" max="16383" man="1"/>
    <brk id="61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H313"/>
  <sheetViews>
    <sheetView tabSelected="1" zoomScaleNormal="100" workbookViewId="0"/>
  </sheetViews>
  <sheetFormatPr baseColWidth="10" defaultColWidth="9.140625" defaultRowHeight="13.5"/>
  <cols>
    <col min="1" max="1" width="35.5703125" style="19" customWidth="1"/>
    <col min="2" max="2" width="9.140625" style="19" customWidth="1"/>
    <col min="3" max="3" width="10.28515625" style="19" customWidth="1"/>
    <col min="4" max="6" width="9.140625" style="19" customWidth="1"/>
    <col min="7" max="7" width="10.28515625" style="19" bestFit="1" customWidth="1"/>
    <col min="8" max="11" width="9.140625" style="19" customWidth="1"/>
    <col min="12" max="21" width="7.28515625" style="19" customWidth="1"/>
    <col min="22" max="86" width="9.140625" style="18" customWidth="1"/>
    <col min="87" max="16384" width="9.140625" style="19"/>
  </cols>
  <sheetData>
    <row r="2" spans="1:86" s="15" customFormat="1">
      <c r="A2" s="41" t="s">
        <v>364</v>
      </c>
      <c r="B2" s="8" t="s">
        <v>164</v>
      </c>
      <c r="J2" s="16"/>
      <c r="K2" s="16"/>
      <c r="L2" s="16"/>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row>
    <row r="3" spans="1:86" s="17" customFormat="1" ht="14.25" thickBot="1">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row>
    <row r="4" spans="1:86" s="120" customFormat="1" ht="14.25" thickBot="1">
      <c r="A4" s="113"/>
      <c r="B4" s="222">
        <v>2010</v>
      </c>
      <c r="C4" s="47">
        <v>2011</v>
      </c>
      <c r="D4" s="47">
        <v>2012</v>
      </c>
      <c r="E4" s="47">
        <v>2013</v>
      </c>
      <c r="F4" s="47">
        <v>2014</v>
      </c>
      <c r="G4" s="232">
        <v>2015</v>
      </c>
      <c r="H4" s="232">
        <v>2016</v>
      </c>
      <c r="I4" s="232">
        <v>2017</v>
      </c>
      <c r="J4" s="232">
        <v>2018</v>
      </c>
      <c r="K4" s="233">
        <v>2019</v>
      </c>
      <c r="L4" s="115"/>
      <c r="M4" s="116" t="s">
        <v>31</v>
      </c>
      <c r="N4" s="3" t="s">
        <v>32</v>
      </c>
      <c r="O4" s="3" t="s">
        <v>33</v>
      </c>
      <c r="P4" s="3" t="s">
        <v>34</v>
      </c>
      <c r="Q4" s="117" t="s">
        <v>35</v>
      </c>
      <c r="R4" s="117" t="s">
        <v>36</v>
      </c>
      <c r="S4" s="117" t="s">
        <v>160</v>
      </c>
      <c r="T4" s="117" t="s">
        <v>169</v>
      </c>
      <c r="U4" s="118" t="s">
        <v>170</v>
      </c>
      <c r="V4" s="88"/>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row>
    <row r="5" spans="1:86" s="125" customFormat="1">
      <c r="A5" s="121" t="s">
        <v>154</v>
      </c>
      <c r="B5" s="122">
        <f>B48</f>
        <v>349.59999999999997</v>
      </c>
      <c r="C5" s="123">
        <f t="shared" ref="C5:K5" si="0">C48</f>
        <v>365.90000000000003</v>
      </c>
      <c r="D5" s="123">
        <f t="shared" si="0"/>
        <v>373.7</v>
      </c>
      <c r="E5" s="123">
        <f t="shared" si="0"/>
        <v>358.70000000000005</v>
      </c>
      <c r="F5" s="123">
        <f t="shared" si="0"/>
        <v>350.5</v>
      </c>
      <c r="G5" s="123">
        <f t="shared" si="0"/>
        <v>353.70000000000005</v>
      </c>
      <c r="H5" s="123">
        <f t="shared" si="0"/>
        <v>361.19999999999993</v>
      </c>
      <c r="I5" s="123">
        <f t="shared" si="0"/>
        <v>370.19999999999993</v>
      </c>
      <c r="J5" s="123">
        <f t="shared" si="0"/>
        <v>378</v>
      </c>
      <c r="K5" s="124">
        <f t="shared" si="0"/>
        <v>385.1</v>
      </c>
      <c r="M5" s="126">
        <f t="shared" ref="M5" si="1">(C5-B5)/B5</f>
        <v>4.6624713958810265E-2</v>
      </c>
      <c r="N5" s="127">
        <f t="shared" ref="N5:N6" si="2">(D5-C5)/C5</f>
        <v>2.1317299808690772E-2</v>
      </c>
      <c r="O5" s="127">
        <f t="shared" ref="O5:O6" si="3">(E5-D5)/D5</f>
        <v>-4.0139149050039985E-2</v>
      </c>
      <c r="P5" s="127">
        <f t="shared" ref="P5:P6" si="4">(F5-E5)/E5</f>
        <v>-2.286032896570963E-2</v>
      </c>
      <c r="Q5" s="127">
        <f t="shared" ref="Q5:Q6" si="5">(G5-F5)/F5</f>
        <v>9.1298145506420701E-3</v>
      </c>
      <c r="R5" s="127">
        <f t="shared" ref="R5:R6" si="6">(H5-G5)/G5</f>
        <v>2.1204410517387293E-2</v>
      </c>
      <c r="S5" s="127">
        <f t="shared" ref="S5:S6" si="7">(I5-H5)/H5</f>
        <v>2.4916943521594688E-2</v>
      </c>
      <c r="T5" s="127">
        <f t="shared" ref="T5:T6" si="8">(J5-I5)/I5</f>
        <v>2.1069692058347026E-2</v>
      </c>
      <c r="U5" s="128">
        <f t="shared" ref="U5:U6" si="9">(K5-J5)/J5</f>
        <v>1.8783068783068842E-2</v>
      </c>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108"/>
      <c r="BO5" s="108"/>
      <c r="BP5" s="108"/>
      <c r="BQ5" s="108"/>
      <c r="BR5" s="108"/>
      <c r="BS5" s="108"/>
      <c r="BT5" s="108"/>
      <c r="BU5" s="108"/>
      <c r="BV5" s="108"/>
      <c r="BW5" s="108"/>
      <c r="BX5" s="108"/>
      <c r="BY5" s="108"/>
      <c r="BZ5" s="108"/>
      <c r="CA5" s="108"/>
      <c r="CB5" s="108"/>
      <c r="CC5" s="108"/>
      <c r="CD5" s="108"/>
      <c r="CE5" s="108"/>
      <c r="CF5" s="108"/>
      <c r="CG5" s="108"/>
      <c r="CH5" s="108"/>
    </row>
    <row r="6" spans="1:86" s="125" customFormat="1">
      <c r="A6" s="129" t="s">
        <v>155</v>
      </c>
      <c r="B6" s="91">
        <f>B23</f>
        <v>7100</v>
      </c>
      <c r="C6" s="52">
        <f t="shared" ref="C6:K6" si="10">C23</f>
        <v>7305.8</v>
      </c>
      <c r="D6" s="52">
        <f t="shared" si="10"/>
        <v>7510.4999999999991</v>
      </c>
      <c r="E6" s="52">
        <f t="shared" si="10"/>
        <v>7285.3</v>
      </c>
      <c r="F6" s="52">
        <f t="shared" si="10"/>
        <v>7146.7000000000007</v>
      </c>
      <c r="G6" s="52">
        <f t="shared" si="10"/>
        <v>7211.1</v>
      </c>
      <c r="H6" s="52">
        <f t="shared" si="10"/>
        <v>7362.5</v>
      </c>
      <c r="I6" s="52">
        <f t="shared" si="10"/>
        <v>7546.4</v>
      </c>
      <c r="J6" s="52">
        <f t="shared" si="10"/>
        <v>7704.9000000000005</v>
      </c>
      <c r="K6" s="93">
        <f t="shared" si="10"/>
        <v>7851.3</v>
      </c>
      <c r="M6" s="130">
        <f>(C6-B6)/B6</f>
        <v>2.8985915492957773E-2</v>
      </c>
      <c r="N6" s="131">
        <f t="shared" si="2"/>
        <v>2.8018834350789633E-2</v>
      </c>
      <c r="O6" s="131">
        <f t="shared" si="3"/>
        <v>-2.9984688103321874E-2</v>
      </c>
      <c r="P6" s="131">
        <f t="shared" si="4"/>
        <v>-1.9024611203382079E-2</v>
      </c>
      <c r="Q6" s="131">
        <f t="shared" si="5"/>
        <v>9.0111520002238276E-3</v>
      </c>
      <c r="R6" s="131">
        <f t="shared" si="6"/>
        <v>2.0995409854252422E-2</v>
      </c>
      <c r="S6" s="131">
        <f t="shared" si="7"/>
        <v>2.4977928692699443E-2</v>
      </c>
      <c r="T6" s="131">
        <f t="shared" si="8"/>
        <v>2.1003392346019417E-2</v>
      </c>
      <c r="U6" s="132">
        <f t="shared" si="9"/>
        <v>1.9000895534010777E-2</v>
      </c>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108"/>
      <c r="BO6" s="108"/>
      <c r="BP6" s="108"/>
      <c r="BQ6" s="108"/>
      <c r="BR6" s="108"/>
      <c r="BS6" s="108"/>
      <c r="BT6" s="108"/>
      <c r="BU6" s="108"/>
      <c r="BV6" s="108"/>
      <c r="BW6" s="108"/>
      <c r="BX6" s="108"/>
      <c r="BY6" s="108"/>
      <c r="BZ6" s="108"/>
      <c r="CA6" s="108"/>
      <c r="CB6" s="108"/>
      <c r="CC6" s="108"/>
      <c r="CD6" s="108"/>
      <c r="CE6" s="108"/>
      <c r="CF6" s="108"/>
      <c r="CG6" s="108"/>
      <c r="CH6" s="108"/>
    </row>
    <row r="7" spans="1:86" s="125" customFormat="1" ht="14.25" thickBot="1">
      <c r="A7" s="133" t="s">
        <v>156</v>
      </c>
      <c r="B7" s="134">
        <f t="shared" ref="B7:F7" si="11">B5*1000000/(B6*1000)</f>
        <v>49.239436619718305</v>
      </c>
      <c r="C7" s="135">
        <f t="shared" si="11"/>
        <v>50.083495305100065</v>
      </c>
      <c r="D7" s="135">
        <f t="shared" si="11"/>
        <v>49.757006857066777</v>
      </c>
      <c r="E7" s="135">
        <f t="shared" si="11"/>
        <v>49.236133035015726</v>
      </c>
      <c r="F7" s="135">
        <f t="shared" si="11"/>
        <v>49.043614535379959</v>
      </c>
      <c r="G7" s="135">
        <v>49</v>
      </c>
      <c r="H7" s="135">
        <v>49</v>
      </c>
      <c r="I7" s="135">
        <v>49</v>
      </c>
      <c r="J7" s="135">
        <v>49</v>
      </c>
      <c r="K7" s="136">
        <v>49</v>
      </c>
      <c r="M7" s="137">
        <f>(C7-B7)/B7</f>
        <v>1.7141924102432784E-2</v>
      </c>
      <c r="N7" s="138">
        <f t="shared" ref="N7:U7" si="12">(D7-C7)/C7</f>
        <v>-6.5188830381022033E-3</v>
      </c>
      <c r="O7" s="138">
        <f t="shared" si="12"/>
        <v>-1.0468351192171313E-2</v>
      </c>
      <c r="P7" s="138">
        <f t="shared" si="12"/>
        <v>-3.910106008911219E-3</v>
      </c>
      <c r="Q7" s="138">
        <f t="shared" si="12"/>
        <v>-8.8930099857332948E-4</v>
      </c>
      <c r="R7" s="138">
        <f t="shared" si="12"/>
        <v>0</v>
      </c>
      <c r="S7" s="138">
        <f t="shared" si="12"/>
        <v>0</v>
      </c>
      <c r="T7" s="138">
        <f t="shared" si="12"/>
        <v>0</v>
      </c>
      <c r="U7" s="139">
        <f t="shared" si="12"/>
        <v>0</v>
      </c>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c r="BH7" s="108"/>
      <c r="BI7" s="108"/>
      <c r="BJ7" s="108"/>
      <c r="BK7" s="108"/>
      <c r="BL7" s="108"/>
      <c r="BM7" s="108"/>
      <c r="BN7" s="108"/>
      <c r="BO7" s="108"/>
      <c r="BP7" s="108"/>
      <c r="BQ7" s="108"/>
      <c r="BR7" s="108"/>
      <c r="BS7" s="108"/>
      <c r="BT7" s="108"/>
      <c r="BU7" s="108"/>
      <c r="BV7" s="108"/>
      <c r="BW7" s="108"/>
      <c r="BX7" s="108"/>
      <c r="BY7" s="108"/>
      <c r="BZ7" s="108"/>
      <c r="CA7" s="108"/>
      <c r="CB7" s="108"/>
      <c r="CC7" s="108"/>
      <c r="CD7" s="108"/>
      <c r="CE7" s="108"/>
      <c r="CF7" s="108"/>
      <c r="CG7" s="108"/>
      <c r="CH7" s="108"/>
    </row>
    <row r="8" spans="1:86">
      <c r="A8" s="6" t="s">
        <v>157</v>
      </c>
      <c r="B8" s="12"/>
      <c r="C8" s="12"/>
      <c r="D8" s="12"/>
      <c r="E8" s="12"/>
      <c r="F8" s="12"/>
      <c r="G8" s="12"/>
      <c r="H8" s="18"/>
      <c r="I8" s="18"/>
      <c r="J8" s="18"/>
      <c r="K8" s="18"/>
    </row>
    <row r="9" spans="1:86">
      <c r="A9" s="6" t="s">
        <v>172</v>
      </c>
      <c r="B9" s="11"/>
      <c r="C9" s="11"/>
      <c r="D9" s="60"/>
      <c r="E9" s="61"/>
      <c r="F9" s="61"/>
      <c r="G9" s="61"/>
      <c r="H9" s="62"/>
      <c r="I9" s="62"/>
      <c r="J9" s="62"/>
      <c r="K9" s="62"/>
      <c r="L9" s="62"/>
      <c r="M9" s="62"/>
      <c r="N9" s="62"/>
    </row>
    <row r="10" spans="1:86" s="17" customFormat="1">
      <c r="A10" s="14" t="s">
        <v>38</v>
      </c>
      <c r="B10" s="20"/>
      <c r="C10" s="20"/>
      <c r="D10" s="60"/>
      <c r="E10" s="86"/>
      <c r="F10" s="20"/>
      <c r="G10" s="20"/>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row>
    <row r="11" spans="1:86">
      <c r="A11" s="59"/>
      <c r="F11" s="81"/>
      <c r="K11" s="21"/>
    </row>
    <row r="12" spans="1:86" s="22" customFormat="1" ht="14.25" thickBot="1">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row>
    <row r="14" spans="1:86" s="15" customFormat="1">
      <c r="A14" s="41" t="s">
        <v>365</v>
      </c>
      <c r="B14" s="8" t="s">
        <v>165</v>
      </c>
      <c r="J14" s="16"/>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row>
    <row r="15" spans="1:86" ht="14.25" thickBot="1"/>
    <row r="16" spans="1:86" s="120" customFormat="1" ht="14.25" thickBot="1">
      <c r="A16" s="113"/>
      <c r="B16" s="222">
        <v>2010</v>
      </c>
      <c r="C16" s="47">
        <v>2011</v>
      </c>
      <c r="D16" s="47">
        <v>2012</v>
      </c>
      <c r="E16" s="47">
        <v>2013</v>
      </c>
      <c r="F16" s="47">
        <v>2014</v>
      </c>
      <c r="G16" s="232">
        <v>2015</v>
      </c>
      <c r="H16" s="232">
        <v>2016</v>
      </c>
      <c r="I16" s="232">
        <v>2017</v>
      </c>
      <c r="J16" s="232">
        <v>2018</v>
      </c>
      <c r="K16" s="233">
        <v>2019</v>
      </c>
      <c r="L16" s="115"/>
      <c r="M16" s="116" t="s">
        <v>31</v>
      </c>
      <c r="N16" s="3" t="s">
        <v>32</v>
      </c>
      <c r="O16" s="3" t="s">
        <v>33</v>
      </c>
      <c r="P16" s="3" t="s">
        <v>34</v>
      </c>
      <c r="Q16" s="117" t="s">
        <v>35</v>
      </c>
      <c r="R16" s="117" t="s">
        <v>36</v>
      </c>
      <c r="S16" s="117" t="s">
        <v>160</v>
      </c>
      <c r="T16" s="117" t="s">
        <v>169</v>
      </c>
      <c r="U16" s="118" t="s">
        <v>170</v>
      </c>
      <c r="V16" s="88"/>
      <c r="W16" s="119"/>
      <c r="X16" s="119"/>
      <c r="Y16" s="119"/>
      <c r="Z16" s="119"/>
      <c r="AA16" s="119"/>
      <c r="AB16" s="119"/>
      <c r="AC16" s="119"/>
      <c r="AD16" s="119"/>
      <c r="AE16" s="119"/>
      <c r="AF16" s="119"/>
      <c r="AG16" s="119"/>
      <c r="AH16" s="119"/>
      <c r="AI16" s="119"/>
      <c r="AJ16" s="119"/>
      <c r="AK16" s="119"/>
      <c r="AL16" s="119"/>
      <c r="AM16" s="119"/>
      <c r="AN16" s="119"/>
      <c r="AO16" s="119"/>
      <c r="AP16" s="119"/>
      <c r="AQ16" s="119"/>
      <c r="AR16" s="119"/>
      <c r="AS16" s="119"/>
      <c r="AT16" s="119"/>
      <c r="AU16" s="119"/>
      <c r="AV16" s="119"/>
      <c r="AW16" s="119"/>
      <c r="AX16" s="119"/>
      <c r="AY16" s="119"/>
      <c r="AZ16" s="119"/>
      <c r="BA16" s="119"/>
      <c r="BB16" s="119"/>
      <c r="BC16" s="119"/>
      <c r="BD16" s="119"/>
      <c r="BE16" s="119"/>
      <c r="BF16" s="119"/>
      <c r="BG16" s="119"/>
      <c r="BH16" s="119"/>
      <c r="BI16" s="119"/>
      <c r="BJ16" s="119"/>
      <c r="BK16" s="119"/>
      <c r="BL16" s="119"/>
      <c r="BM16" s="119"/>
      <c r="BN16" s="119"/>
      <c r="BO16" s="119"/>
      <c r="BP16" s="119"/>
      <c r="BQ16" s="119"/>
      <c r="BR16" s="119"/>
      <c r="BS16" s="119"/>
      <c r="BT16" s="119"/>
      <c r="BU16" s="119"/>
      <c r="BV16" s="119"/>
      <c r="BW16" s="119"/>
      <c r="BX16" s="119"/>
      <c r="BY16" s="119"/>
      <c r="BZ16" s="119"/>
      <c r="CA16" s="119"/>
      <c r="CB16" s="119"/>
      <c r="CC16" s="119"/>
      <c r="CD16" s="119"/>
      <c r="CE16" s="119"/>
      <c r="CF16" s="119"/>
      <c r="CG16" s="119"/>
      <c r="CH16" s="119"/>
    </row>
    <row r="17" spans="1:86" s="145" customFormat="1">
      <c r="A17" s="141" t="s">
        <v>312</v>
      </c>
      <c r="B17" s="150">
        <f>B18+B19+B20+B21</f>
        <v>6169.9</v>
      </c>
      <c r="C17" s="109">
        <f t="shared" ref="C17:K17" si="13">C18+C19+C20+C21</f>
        <v>6363.3</v>
      </c>
      <c r="D17" s="109">
        <f t="shared" si="13"/>
        <v>6519.0999999999995</v>
      </c>
      <c r="E17" s="109">
        <f t="shared" si="13"/>
        <v>6294.5</v>
      </c>
      <c r="F17" s="109">
        <f t="shared" si="13"/>
        <v>6181.9000000000005</v>
      </c>
      <c r="G17" s="109">
        <f t="shared" si="13"/>
        <v>6302.5</v>
      </c>
      <c r="H17" s="109">
        <f t="shared" si="13"/>
        <v>6471.6</v>
      </c>
      <c r="I17" s="109">
        <f t="shared" si="13"/>
        <v>6648.4</v>
      </c>
      <c r="J17" s="109">
        <f t="shared" si="13"/>
        <v>6795.7000000000007</v>
      </c>
      <c r="K17" s="151">
        <f t="shared" si="13"/>
        <v>6901.3</v>
      </c>
      <c r="M17" s="126">
        <f t="shared" ref="M17:U23" si="14">(C17-B17)/B17</f>
        <v>3.1345726835118971E-2</v>
      </c>
      <c r="N17" s="127">
        <f t="shared" si="14"/>
        <v>2.4484151305140301E-2</v>
      </c>
      <c r="O17" s="127">
        <f t="shared" si="14"/>
        <v>-3.4452608488901762E-2</v>
      </c>
      <c r="P17" s="127">
        <f t="shared" si="14"/>
        <v>-1.7888632933513299E-2</v>
      </c>
      <c r="Q17" s="127">
        <f t="shared" si="14"/>
        <v>1.9508565327811749E-2</v>
      </c>
      <c r="R17" s="127">
        <f t="shared" si="14"/>
        <v>2.683062276874262E-2</v>
      </c>
      <c r="S17" s="127">
        <f t="shared" si="14"/>
        <v>2.731936460844293E-2</v>
      </c>
      <c r="T17" s="127">
        <f t="shared" si="14"/>
        <v>2.2155706636183308E-2</v>
      </c>
      <c r="U17" s="128">
        <f t="shared" si="14"/>
        <v>1.5539238047588834E-2</v>
      </c>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row>
    <row r="18" spans="1:86" s="125" customFormat="1">
      <c r="A18" s="129" t="s">
        <v>82</v>
      </c>
      <c r="B18" s="91">
        <f>B109</f>
        <v>2702.4</v>
      </c>
      <c r="C18" s="52">
        <f t="shared" ref="C18:K18" si="15">C109</f>
        <v>2768.1</v>
      </c>
      <c r="D18" s="52">
        <f t="shared" si="15"/>
        <v>2835.7999999999997</v>
      </c>
      <c r="E18" s="52">
        <f t="shared" si="15"/>
        <v>2744.4</v>
      </c>
      <c r="F18" s="52">
        <f t="shared" si="15"/>
        <v>2707.7000000000003</v>
      </c>
      <c r="G18" s="52">
        <f t="shared" si="15"/>
        <v>2798.2999999999997</v>
      </c>
      <c r="H18" s="52">
        <f t="shared" si="15"/>
        <v>2886.4</v>
      </c>
      <c r="I18" s="52">
        <f t="shared" si="15"/>
        <v>2965.2</v>
      </c>
      <c r="J18" s="52">
        <f t="shared" si="15"/>
        <v>3024.1</v>
      </c>
      <c r="K18" s="93">
        <f t="shared" si="15"/>
        <v>3064.2000000000003</v>
      </c>
      <c r="M18" s="130">
        <f t="shared" si="14"/>
        <v>2.4311722912966183E-2</v>
      </c>
      <c r="N18" s="131">
        <f t="shared" si="14"/>
        <v>2.44572089158628E-2</v>
      </c>
      <c r="O18" s="131">
        <f t="shared" si="14"/>
        <v>-3.2230763805627914E-2</v>
      </c>
      <c r="P18" s="131">
        <f t="shared" si="14"/>
        <v>-1.3372686197347258E-2</v>
      </c>
      <c r="Q18" s="131">
        <f t="shared" si="14"/>
        <v>3.3460132215533275E-2</v>
      </c>
      <c r="R18" s="131">
        <f t="shared" si="14"/>
        <v>3.1483400636100625E-2</v>
      </c>
      <c r="S18" s="131">
        <f t="shared" si="14"/>
        <v>2.7300443458979948E-2</v>
      </c>
      <c r="T18" s="131">
        <f t="shared" si="14"/>
        <v>1.986375286658576E-2</v>
      </c>
      <c r="U18" s="132">
        <f t="shared" si="14"/>
        <v>1.3260143513772813E-2</v>
      </c>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c r="AX18" s="108"/>
      <c r="AY18" s="108"/>
      <c r="AZ18" s="108"/>
      <c r="BA18" s="108"/>
      <c r="BB18" s="108"/>
      <c r="BC18" s="108"/>
      <c r="BD18" s="108"/>
      <c r="BE18" s="108"/>
      <c r="BF18" s="108"/>
      <c r="BG18" s="108"/>
      <c r="BH18" s="108"/>
      <c r="BI18" s="108"/>
      <c r="BJ18" s="108"/>
      <c r="BK18" s="108"/>
      <c r="BL18" s="108"/>
      <c r="BM18" s="108"/>
      <c r="BN18" s="108"/>
      <c r="BO18" s="108"/>
      <c r="BP18" s="108"/>
      <c r="BQ18" s="108"/>
      <c r="BR18" s="108"/>
      <c r="BS18" s="108"/>
      <c r="BT18" s="108"/>
      <c r="BU18" s="108"/>
      <c r="BV18" s="108"/>
      <c r="BW18" s="108"/>
      <c r="BX18" s="108"/>
      <c r="BY18" s="108"/>
      <c r="BZ18" s="108"/>
      <c r="CA18" s="108"/>
      <c r="CB18" s="108"/>
      <c r="CC18" s="108"/>
      <c r="CD18" s="108"/>
      <c r="CE18" s="108"/>
      <c r="CF18" s="108"/>
      <c r="CG18" s="108"/>
      <c r="CH18" s="108"/>
    </row>
    <row r="19" spans="1:86" s="125" customFormat="1">
      <c r="A19" s="129" t="s">
        <v>80</v>
      </c>
      <c r="B19" s="91">
        <v>1314.2</v>
      </c>
      <c r="C19" s="52">
        <v>1349</v>
      </c>
      <c r="D19" s="52">
        <v>1375.5</v>
      </c>
      <c r="E19" s="52">
        <v>1347</v>
      </c>
      <c r="F19" s="52">
        <v>1335.3</v>
      </c>
      <c r="G19" s="52">
        <v>1399.1</v>
      </c>
      <c r="H19" s="52">
        <v>1456.1</v>
      </c>
      <c r="I19" s="52">
        <v>1509.2</v>
      </c>
      <c r="J19" s="52">
        <v>1549.4</v>
      </c>
      <c r="K19" s="93">
        <v>1573.5</v>
      </c>
      <c r="M19" s="130">
        <f t="shared" si="14"/>
        <v>2.6479987825292917E-2</v>
      </c>
      <c r="N19" s="131">
        <f t="shared" si="14"/>
        <v>1.9644180874722018E-2</v>
      </c>
      <c r="O19" s="131">
        <f t="shared" si="14"/>
        <v>-2.0719738276990186E-2</v>
      </c>
      <c r="P19" s="131">
        <f t="shared" si="14"/>
        <v>-8.6859688195991425E-3</v>
      </c>
      <c r="Q19" s="131">
        <f t="shared" si="14"/>
        <v>4.7779525200329478E-2</v>
      </c>
      <c r="R19" s="131">
        <f t="shared" si="14"/>
        <v>4.0740476020298767E-2</v>
      </c>
      <c r="S19" s="131">
        <f t="shared" si="14"/>
        <v>3.6467275599203444E-2</v>
      </c>
      <c r="T19" s="131">
        <f t="shared" si="14"/>
        <v>2.6636628677445033E-2</v>
      </c>
      <c r="U19" s="132">
        <f t="shared" si="14"/>
        <v>1.5554408157996585E-2</v>
      </c>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c r="AU19" s="108"/>
      <c r="AV19" s="108"/>
      <c r="AW19" s="108"/>
      <c r="AX19" s="108"/>
      <c r="AY19" s="108"/>
      <c r="AZ19" s="108"/>
      <c r="BA19" s="108"/>
      <c r="BB19" s="108"/>
      <c r="BC19" s="108"/>
      <c r="BD19" s="108"/>
      <c r="BE19" s="108"/>
      <c r="BF19" s="108"/>
      <c r="BG19" s="108"/>
      <c r="BH19" s="108"/>
      <c r="BI19" s="108"/>
      <c r="BJ19" s="108"/>
      <c r="BK19" s="108"/>
      <c r="BL19" s="108"/>
      <c r="BM19" s="108"/>
      <c r="BN19" s="108"/>
      <c r="BO19" s="108"/>
      <c r="BP19" s="108"/>
      <c r="BQ19" s="108"/>
      <c r="BR19" s="108"/>
      <c r="BS19" s="108"/>
      <c r="BT19" s="108"/>
      <c r="BU19" s="108"/>
      <c r="BV19" s="108"/>
      <c r="BW19" s="108"/>
      <c r="BX19" s="108"/>
      <c r="BY19" s="108"/>
      <c r="BZ19" s="108"/>
      <c r="CA19" s="108"/>
      <c r="CB19" s="108"/>
      <c r="CC19" s="108"/>
      <c r="CD19" s="108"/>
      <c r="CE19" s="108"/>
      <c r="CF19" s="108"/>
      <c r="CG19" s="108"/>
      <c r="CH19" s="108"/>
    </row>
    <row r="20" spans="1:86" s="125" customFormat="1">
      <c r="A20" s="129" t="s">
        <v>163</v>
      </c>
      <c r="B20" s="91">
        <v>684.9</v>
      </c>
      <c r="C20" s="52">
        <v>706.3</v>
      </c>
      <c r="D20" s="52">
        <v>717.1</v>
      </c>
      <c r="E20" s="52">
        <v>686.1</v>
      </c>
      <c r="F20" s="52">
        <v>667.6</v>
      </c>
      <c r="G20" s="52">
        <v>655.5</v>
      </c>
      <c r="H20" s="52">
        <v>653.6</v>
      </c>
      <c r="I20" s="52">
        <v>644.9</v>
      </c>
      <c r="J20" s="52">
        <v>645.6</v>
      </c>
      <c r="K20" s="93">
        <v>648.70000000000005</v>
      </c>
      <c r="M20" s="130">
        <f t="shared" si="14"/>
        <v>3.1245437290115315E-2</v>
      </c>
      <c r="N20" s="131">
        <f t="shared" si="14"/>
        <v>1.5290952852895468E-2</v>
      </c>
      <c r="O20" s="131">
        <f t="shared" si="14"/>
        <v>-4.3229675080184077E-2</v>
      </c>
      <c r="P20" s="131">
        <f t="shared" si="14"/>
        <v>-2.6963999416994608E-2</v>
      </c>
      <c r="Q20" s="131">
        <f t="shared" si="14"/>
        <v>-1.8124625524266059E-2</v>
      </c>
      <c r="R20" s="131">
        <f t="shared" si="14"/>
        <v>-2.8985507246376465E-3</v>
      </c>
      <c r="S20" s="131">
        <f t="shared" si="14"/>
        <v>-1.3310893512851966E-2</v>
      </c>
      <c r="T20" s="131">
        <f t="shared" si="14"/>
        <v>1.0854396030393015E-3</v>
      </c>
      <c r="U20" s="132">
        <f t="shared" si="14"/>
        <v>4.8017348203222157E-3</v>
      </c>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108"/>
      <c r="BO20" s="108"/>
      <c r="BP20" s="108"/>
      <c r="BQ20" s="108"/>
      <c r="BR20" s="108"/>
      <c r="BS20" s="108"/>
      <c r="BT20" s="108"/>
      <c r="BU20" s="108"/>
      <c r="BV20" s="108"/>
      <c r="BW20" s="108"/>
      <c r="BX20" s="108"/>
      <c r="BY20" s="108"/>
      <c r="BZ20" s="108"/>
      <c r="CA20" s="108"/>
      <c r="CB20" s="108"/>
      <c r="CC20" s="108"/>
      <c r="CD20" s="108"/>
      <c r="CE20" s="108"/>
      <c r="CF20" s="108"/>
      <c r="CG20" s="108"/>
      <c r="CH20" s="108"/>
    </row>
    <row r="21" spans="1:86" s="125" customFormat="1">
      <c r="A21" s="129" t="s">
        <v>14</v>
      </c>
      <c r="B21" s="91">
        <f>B233</f>
        <v>1468.4</v>
      </c>
      <c r="C21" s="52">
        <f t="shared" ref="C21:K21" si="16">C233</f>
        <v>1539.8999999999999</v>
      </c>
      <c r="D21" s="52">
        <f t="shared" si="16"/>
        <v>1590.6999999999998</v>
      </c>
      <c r="E21" s="52">
        <f t="shared" si="16"/>
        <v>1517</v>
      </c>
      <c r="F21" s="52">
        <f t="shared" si="16"/>
        <v>1471.3</v>
      </c>
      <c r="G21" s="52">
        <f t="shared" si="16"/>
        <v>1449.6000000000001</v>
      </c>
      <c r="H21" s="52">
        <f t="shared" si="16"/>
        <v>1475.5</v>
      </c>
      <c r="I21" s="52">
        <f t="shared" si="16"/>
        <v>1529.1000000000001</v>
      </c>
      <c r="J21" s="52">
        <f t="shared" si="16"/>
        <v>1576.6000000000001</v>
      </c>
      <c r="K21" s="93">
        <f t="shared" si="16"/>
        <v>1614.8999999999999</v>
      </c>
      <c r="M21" s="130">
        <f t="shared" si="14"/>
        <v>4.8692454372105537E-2</v>
      </c>
      <c r="N21" s="131">
        <f t="shared" si="14"/>
        <v>3.2989155139944125E-2</v>
      </c>
      <c r="O21" s="131">
        <f t="shared" si="14"/>
        <v>-4.6331803608474151E-2</v>
      </c>
      <c r="P21" s="131">
        <f t="shared" si="14"/>
        <v>-3.012524719841796E-2</v>
      </c>
      <c r="Q21" s="131">
        <f t="shared" si="14"/>
        <v>-1.4748861551009188E-2</v>
      </c>
      <c r="R21" s="131">
        <f t="shared" si="14"/>
        <v>1.7866997792494385E-2</v>
      </c>
      <c r="S21" s="131">
        <f t="shared" si="14"/>
        <v>3.632666892578796E-2</v>
      </c>
      <c r="T21" s="131">
        <f t="shared" si="14"/>
        <v>3.1064024589627884E-2</v>
      </c>
      <c r="U21" s="132">
        <f t="shared" si="14"/>
        <v>2.4292781935811063E-2</v>
      </c>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108"/>
      <c r="BO21" s="108"/>
      <c r="BP21" s="108"/>
      <c r="BQ21" s="108"/>
      <c r="BR21" s="108"/>
      <c r="BS21" s="108"/>
      <c r="BT21" s="108"/>
      <c r="BU21" s="108"/>
      <c r="BV21" s="108"/>
      <c r="BW21" s="108"/>
      <c r="BX21" s="108"/>
      <c r="BY21" s="108"/>
      <c r="BZ21" s="108"/>
      <c r="CA21" s="108"/>
      <c r="CB21" s="108"/>
      <c r="CC21" s="108"/>
      <c r="CD21" s="108"/>
      <c r="CE21" s="108"/>
      <c r="CF21" s="108"/>
      <c r="CG21" s="108"/>
      <c r="CH21" s="108"/>
    </row>
    <row r="22" spans="1:86" s="145" customFormat="1">
      <c r="A22" s="149" t="s">
        <v>313</v>
      </c>
      <c r="B22" s="150">
        <f>B307</f>
        <v>930.1</v>
      </c>
      <c r="C22" s="109">
        <f t="shared" ref="C22:K22" si="17">C307</f>
        <v>942.5</v>
      </c>
      <c r="D22" s="109">
        <f t="shared" si="17"/>
        <v>991.4</v>
      </c>
      <c r="E22" s="109">
        <f t="shared" si="17"/>
        <v>990.8</v>
      </c>
      <c r="F22" s="109">
        <f t="shared" si="17"/>
        <v>964.8</v>
      </c>
      <c r="G22" s="109">
        <f t="shared" si="17"/>
        <v>908.6</v>
      </c>
      <c r="H22" s="109">
        <f t="shared" si="17"/>
        <v>890.9</v>
      </c>
      <c r="I22" s="109">
        <f t="shared" si="17"/>
        <v>898</v>
      </c>
      <c r="J22" s="109">
        <f t="shared" si="17"/>
        <v>909.2</v>
      </c>
      <c r="K22" s="151">
        <f t="shared" si="17"/>
        <v>950</v>
      </c>
      <c r="M22" s="130">
        <f t="shared" ref="M22" si="18">(C22-B22)/B22</f>
        <v>1.3331899795720865E-2</v>
      </c>
      <c r="N22" s="131">
        <f t="shared" ref="N22" si="19">(D22-C22)/C22</f>
        <v>5.1883289124668414E-2</v>
      </c>
      <c r="O22" s="131">
        <f t="shared" ref="O22" si="20">(E22-D22)/D22</f>
        <v>-6.0520476094414236E-4</v>
      </c>
      <c r="P22" s="131">
        <f t="shared" ref="P22" si="21">(F22-E22)/E22</f>
        <v>-2.6241421073879695E-2</v>
      </c>
      <c r="Q22" s="131">
        <f t="shared" ref="Q22" si="22">(G22-F22)/F22</f>
        <v>-5.8250414593698105E-2</v>
      </c>
      <c r="R22" s="131">
        <f t="shared" ref="R22" si="23">(H22-G22)/G22</f>
        <v>-1.9480519480519529E-2</v>
      </c>
      <c r="S22" s="131">
        <f t="shared" ref="S22" si="24">(I22-H22)/H22</f>
        <v>7.9694690762150897E-3</v>
      </c>
      <c r="T22" s="131">
        <f t="shared" ref="T22" si="25">(J22-I22)/I22</f>
        <v>1.2472160356347489E-2</v>
      </c>
      <c r="U22" s="132">
        <f t="shared" ref="U22" si="26">(K22-J22)/J22</f>
        <v>4.4874615046194402E-2</v>
      </c>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0"/>
      <c r="CD22" s="110"/>
      <c r="CE22" s="110"/>
      <c r="CF22" s="110"/>
      <c r="CG22" s="110"/>
      <c r="CH22" s="110"/>
    </row>
    <row r="23" spans="1:86" s="145" customFormat="1" thickBot="1">
      <c r="A23" s="155" t="s">
        <v>18</v>
      </c>
      <c r="B23" s="94">
        <f t="shared" ref="B23:K23" si="27">B22+B17</f>
        <v>7100</v>
      </c>
      <c r="C23" s="95">
        <f t="shared" si="27"/>
        <v>7305.8</v>
      </c>
      <c r="D23" s="95">
        <f t="shared" si="27"/>
        <v>7510.4999999999991</v>
      </c>
      <c r="E23" s="95">
        <f t="shared" si="27"/>
        <v>7285.3</v>
      </c>
      <c r="F23" s="95">
        <f t="shared" si="27"/>
        <v>7146.7000000000007</v>
      </c>
      <c r="G23" s="95">
        <f t="shared" si="27"/>
        <v>7211.1</v>
      </c>
      <c r="H23" s="95">
        <f t="shared" si="27"/>
        <v>7362.5</v>
      </c>
      <c r="I23" s="95">
        <f t="shared" si="27"/>
        <v>7546.4</v>
      </c>
      <c r="J23" s="95">
        <f t="shared" si="27"/>
        <v>7704.9000000000005</v>
      </c>
      <c r="K23" s="96">
        <f t="shared" si="27"/>
        <v>7851.3</v>
      </c>
      <c r="M23" s="156">
        <f t="shared" si="14"/>
        <v>2.8985915492957773E-2</v>
      </c>
      <c r="N23" s="157">
        <f t="shared" si="14"/>
        <v>2.8018834350789633E-2</v>
      </c>
      <c r="O23" s="157">
        <f t="shared" si="14"/>
        <v>-2.9984688103321874E-2</v>
      </c>
      <c r="P23" s="157">
        <f t="shared" si="14"/>
        <v>-1.9024611203382079E-2</v>
      </c>
      <c r="Q23" s="157">
        <f t="shared" si="14"/>
        <v>9.0111520002238276E-3</v>
      </c>
      <c r="R23" s="157">
        <f t="shared" si="14"/>
        <v>2.0995409854252422E-2</v>
      </c>
      <c r="S23" s="157">
        <f t="shared" si="14"/>
        <v>2.4977928692699443E-2</v>
      </c>
      <c r="T23" s="157">
        <f t="shared" si="14"/>
        <v>2.1003392346019417E-2</v>
      </c>
      <c r="U23" s="158">
        <f t="shared" si="14"/>
        <v>1.9000895534010777E-2</v>
      </c>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0"/>
      <c r="CD23" s="110"/>
      <c r="CE23" s="110"/>
      <c r="CF23" s="110"/>
      <c r="CG23" s="110"/>
      <c r="CH23" s="110"/>
    </row>
    <row r="24" spans="1:86">
      <c r="A24" s="6" t="s">
        <v>37</v>
      </c>
    </row>
    <row r="25" spans="1:86">
      <c r="A25" s="6" t="s">
        <v>173</v>
      </c>
      <c r="B25" s="82"/>
      <c r="C25" s="82"/>
      <c r="D25" s="82"/>
      <c r="E25" s="82"/>
      <c r="F25" s="82"/>
      <c r="G25" s="82"/>
      <c r="H25" s="82"/>
      <c r="I25" s="82"/>
      <c r="J25" s="82"/>
      <c r="K25" s="82"/>
      <c r="M25" s="21"/>
      <c r="N25" s="21"/>
      <c r="O25" s="21"/>
      <c r="P25" s="306"/>
      <c r="Q25" s="21"/>
      <c r="R25" s="21"/>
      <c r="S25" s="24"/>
      <c r="T25" s="24"/>
      <c r="U25" s="24"/>
    </row>
    <row r="26" spans="1:86">
      <c r="A26" s="14" t="s">
        <v>38</v>
      </c>
      <c r="B26" s="85"/>
      <c r="C26" s="85"/>
      <c r="D26" s="85"/>
      <c r="E26" s="85"/>
      <c r="F26" s="70"/>
      <c r="G26" s="70"/>
      <c r="H26" s="13"/>
      <c r="I26" s="13"/>
      <c r="J26" s="13"/>
      <c r="K26" s="13"/>
      <c r="L26" s="13"/>
      <c r="M26" s="13"/>
      <c r="N26" s="13"/>
      <c r="O26" s="24"/>
      <c r="P26" s="24"/>
      <c r="Q26" s="24"/>
    </row>
    <row r="27" spans="1:86">
      <c r="A27" s="14"/>
      <c r="K27" s="24"/>
      <c r="L27" s="13"/>
      <c r="M27" s="13"/>
      <c r="N27" s="13"/>
      <c r="O27" s="13"/>
      <c r="P27" s="13"/>
      <c r="Q27" s="70"/>
    </row>
    <row r="28" spans="1:86" ht="14.25" thickBot="1">
      <c r="A28" s="14"/>
      <c r="B28" s="70"/>
      <c r="C28" s="70"/>
      <c r="D28" s="70"/>
      <c r="E28" s="70"/>
      <c r="L28" s="15"/>
      <c r="M28" s="15"/>
      <c r="N28" s="15"/>
      <c r="O28" s="13"/>
      <c r="P28" s="13"/>
      <c r="Q28" s="70"/>
    </row>
    <row r="29" spans="1:86" s="125" customFormat="1" ht="13.5" customHeight="1" thickBot="1">
      <c r="B29" s="116" t="s">
        <v>39</v>
      </c>
      <c r="C29" s="3" t="s">
        <v>19</v>
      </c>
      <c r="D29" s="3" t="s">
        <v>40</v>
      </c>
      <c r="E29" s="3" t="s">
        <v>41</v>
      </c>
      <c r="F29" s="3" t="s">
        <v>42</v>
      </c>
      <c r="G29" s="117" t="s">
        <v>43</v>
      </c>
      <c r="H29" s="117" t="s">
        <v>44</v>
      </c>
      <c r="I29" s="117" t="s">
        <v>158</v>
      </c>
      <c r="J29" s="117" t="s">
        <v>167</v>
      </c>
      <c r="K29" s="118" t="s">
        <v>168</v>
      </c>
      <c r="O29" s="52"/>
      <c r="P29" s="52"/>
      <c r="Q29" s="159"/>
      <c r="R29" s="160"/>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108"/>
      <c r="BO29" s="108"/>
      <c r="BP29" s="108"/>
      <c r="BQ29" s="108"/>
      <c r="BR29" s="108"/>
      <c r="BS29" s="108"/>
      <c r="BT29" s="108"/>
      <c r="BU29" s="108"/>
      <c r="BV29" s="108"/>
      <c r="BW29" s="108"/>
      <c r="BX29" s="108"/>
      <c r="BY29" s="108"/>
      <c r="BZ29" s="108"/>
      <c r="CA29" s="108"/>
      <c r="CB29" s="108"/>
      <c r="CC29" s="108"/>
      <c r="CD29" s="108"/>
      <c r="CE29" s="108"/>
      <c r="CF29" s="108"/>
      <c r="CG29" s="108"/>
      <c r="CH29" s="108"/>
    </row>
    <row r="30" spans="1:86" s="125" customFormat="1" ht="13.5" customHeight="1">
      <c r="A30" s="141" t="s">
        <v>312</v>
      </c>
      <c r="B30" s="312">
        <f>B17/B23</f>
        <v>0.86899999999999999</v>
      </c>
      <c r="C30" s="313">
        <f t="shared" ref="C30:K30" si="28">C17/C23</f>
        <v>0.87099290974294397</v>
      </c>
      <c r="D30" s="313">
        <f t="shared" si="28"/>
        <v>0.86799813594301312</v>
      </c>
      <c r="E30" s="313">
        <f t="shared" si="28"/>
        <v>0.86400010981016562</v>
      </c>
      <c r="F30" s="313">
        <f t="shared" si="28"/>
        <v>0.86500062966124225</v>
      </c>
      <c r="G30" s="313">
        <f t="shared" si="28"/>
        <v>0.87399980585486259</v>
      </c>
      <c r="H30" s="313">
        <f t="shared" si="28"/>
        <v>0.87899490662139224</v>
      </c>
      <c r="I30" s="313">
        <f t="shared" si="28"/>
        <v>0.88100286229195379</v>
      </c>
      <c r="J30" s="313">
        <f t="shared" si="28"/>
        <v>0.88199717063167593</v>
      </c>
      <c r="K30" s="314">
        <f t="shared" si="28"/>
        <v>0.87900092978232902</v>
      </c>
      <c r="M30" s="52"/>
      <c r="N30" s="52"/>
      <c r="O30" s="52"/>
      <c r="P30" s="52"/>
      <c r="Q30" s="159"/>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108"/>
      <c r="BO30" s="108"/>
      <c r="BP30" s="108"/>
      <c r="BQ30" s="108"/>
      <c r="BR30" s="108"/>
      <c r="BS30" s="108"/>
      <c r="BT30" s="108"/>
      <c r="BU30" s="108"/>
      <c r="BV30" s="108"/>
      <c r="BW30" s="108"/>
      <c r="BX30" s="108"/>
      <c r="BY30" s="108"/>
      <c r="BZ30" s="108"/>
      <c r="CA30" s="108"/>
      <c r="CB30" s="108"/>
      <c r="CC30" s="108"/>
      <c r="CD30" s="108"/>
      <c r="CE30" s="108"/>
      <c r="CF30" s="108"/>
      <c r="CG30" s="108"/>
      <c r="CH30" s="108"/>
    </row>
    <row r="31" spans="1:86" s="125" customFormat="1" ht="13.5" customHeight="1">
      <c r="A31" s="129" t="s">
        <v>82</v>
      </c>
      <c r="B31" s="315">
        <f>B18/B$17</f>
        <v>0.43799737434966535</v>
      </c>
      <c r="C31" s="316">
        <f t="shared" ref="C31:K31" si="29">C18/C$17</f>
        <v>0.43501013625005891</v>
      </c>
      <c r="D31" s="316">
        <f t="shared" si="29"/>
        <v>0.43499869613903758</v>
      </c>
      <c r="E31" s="316">
        <f t="shared" si="29"/>
        <v>0.43599968226229247</v>
      </c>
      <c r="F31" s="316">
        <f t="shared" si="29"/>
        <v>0.43800449699930444</v>
      </c>
      <c r="G31" s="316">
        <f t="shared" si="29"/>
        <v>0.44399841332804441</v>
      </c>
      <c r="H31" s="316">
        <f t="shared" si="29"/>
        <v>0.44601026021385748</v>
      </c>
      <c r="I31" s="316">
        <f t="shared" si="29"/>
        <v>0.4460020456049576</v>
      </c>
      <c r="J31" s="316">
        <f t="shared" si="29"/>
        <v>0.44500198655031853</v>
      </c>
      <c r="K31" s="317">
        <f t="shared" si="29"/>
        <v>0.4440033037253851</v>
      </c>
      <c r="M31" s="52"/>
      <c r="N31" s="52"/>
      <c r="O31" s="52"/>
      <c r="P31" s="52"/>
      <c r="Q31" s="159"/>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108"/>
      <c r="BO31" s="108"/>
      <c r="BP31" s="108"/>
      <c r="BQ31" s="108"/>
      <c r="BR31" s="108"/>
      <c r="BS31" s="108"/>
      <c r="BT31" s="108"/>
      <c r="BU31" s="108"/>
      <c r="BV31" s="108"/>
      <c r="BW31" s="108"/>
      <c r="BX31" s="108"/>
      <c r="BY31" s="108"/>
      <c r="BZ31" s="108"/>
      <c r="CA31" s="108"/>
      <c r="CB31" s="108"/>
      <c r="CC31" s="108"/>
      <c r="CD31" s="108"/>
      <c r="CE31" s="108"/>
      <c r="CF31" s="108"/>
      <c r="CG31" s="108"/>
      <c r="CH31" s="108"/>
    </row>
    <row r="32" spans="1:86" s="125" customFormat="1" ht="13.5" customHeight="1">
      <c r="A32" s="129" t="s">
        <v>80</v>
      </c>
      <c r="B32" s="315">
        <f t="shared" ref="B32:B33" si="30">B19/B$17</f>
        <v>0.21300183147214705</v>
      </c>
      <c r="C32" s="316">
        <f t="shared" ref="C32:K32" si="31">C19/C$17</f>
        <v>0.21199691983719138</v>
      </c>
      <c r="D32" s="316">
        <f t="shared" si="31"/>
        <v>0.21099538279823904</v>
      </c>
      <c r="E32" s="316">
        <f t="shared" si="31"/>
        <v>0.2139963460163635</v>
      </c>
      <c r="F32" s="316">
        <f t="shared" si="31"/>
        <v>0.21600155292062309</v>
      </c>
      <c r="G32" s="316">
        <f t="shared" si="31"/>
        <v>0.22199127330424434</v>
      </c>
      <c r="H32" s="316">
        <f t="shared" si="31"/>
        <v>0.22499845478706962</v>
      </c>
      <c r="I32" s="316">
        <f t="shared" si="31"/>
        <v>0.22700198544010591</v>
      </c>
      <c r="J32" s="316">
        <f t="shared" si="31"/>
        <v>0.22799711582324117</v>
      </c>
      <c r="K32" s="317">
        <f t="shared" si="31"/>
        <v>0.22800052164085027</v>
      </c>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108"/>
      <c r="BO32" s="108"/>
      <c r="BP32" s="108"/>
      <c r="BQ32" s="108"/>
      <c r="BR32" s="108"/>
      <c r="BS32" s="108"/>
      <c r="BT32" s="108"/>
      <c r="BU32" s="108"/>
      <c r="BV32" s="108"/>
      <c r="BW32" s="108"/>
      <c r="BX32" s="108"/>
      <c r="BY32" s="108"/>
      <c r="BZ32" s="108"/>
      <c r="CA32" s="108"/>
      <c r="CB32" s="108"/>
      <c r="CC32" s="108"/>
      <c r="CD32" s="108"/>
      <c r="CE32" s="108"/>
      <c r="CF32" s="108"/>
      <c r="CG32" s="108"/>
      <c r="CH32" s="108"/>
    </row>
    <row r="33" spans="1:86" s="125" customFormat="1" ht="13.5" customHeight="1">
      <c r="A33" s="129" t="s">
        <v>163</v>
      </c>
      <c r="B33" s="315">
        <f t="shared" si="30"/>
        <v>0.11100666137214542</v>
      </c>
      <c r="C33" s="316">
        <f t="shared" ref="C33:K33" si="32">C20/C$17</f>
        <v>0.11099586692439456</v>
      </c>
      <c r="D33" s="316">
        <f t="shared" si="32"/>
        <v>0.10999984660459267</v>
      </c>
      <c r="E33" s="316">
        <f t="shared" si="32"/>
        <v>0.10899992056557312</v>
      </c>
      <c r="F33" s="316">
        <f t="shared" si="32"/>
        <v>0.10799268833206618</v>
      </c>
      <c r="G33" s="316">
        <f t="shared" si="32"/>
        <v>0.1040063466878223</v>
      </c>
      <c r="H33" s="316">
        <f t="shared" si="32"/>
        <v>0.10099511712714011</v>
      </c>
      <c r="I33" s="316">
        <f t="shared" si="32"/>
        <v>9.700078214307202E-2</v>
      </c>
      <c r="J33" s="316">
        <f t="shared" si="32"/>
        <v>9.5001250790941322E-2</v>
      </c>
      <c r="K33" s="317">
        <f t="shared" si="32"/>
        <v>9.3996783214756643E-2</v>
      </c>
      <c r="V33" s="108"/>
      <c r="W33" s="108"/>
      <c r="X33" s="108"/>
      <c r="Y33" s="108"/>
      <c r="Z33" s="108"/>
      <c r="AA33" s="108"/>
      <c r="AB33" s="108"/>
      <c r="AC33" s="108"/>
      <c r="AD33" s="108"/>
      <c r="AE33" s="108"/>
      <c r="AF33" s="108"/>
      <c r="AG33" s="108"/>
      <c r="AH33" s="108"/>
      <c r="AI33" s="108"/>
      <c r="AJ33" s="108"/>
      <c r="AK33" s="108"/>
      <c r="AL33" s="108"/>
      <c r="AM33" s="108"/>
      <c r="AN33" s="108"/>
      <c r="AO33" s="108"/>
      <c r="AP33" s="108"/>
      <c r="AQ33" s="108"/>
      <c r="AR33" s="108"/>
      <c r="AS33" s="108"/>
      <c r="AT33" s="108"/>
      <c r="AU33" s="108"/>
      <c r="AV33" s="108"/>
      <c r="AW33" s="108"/>
      <c r="AX33" s="108"/>
      <c r="AY33" s="108"/>
      <c r="AZ33" s="108"/>
      <c r="BA33" s="108"/>
      <c r="BB33" s="108"/>
      <c r="BC33" s="108"/>
      <c r="BD33" s="108"/>
      <c r="BE33" s="108"/>
      <c r="BF33" s="108"/>
      <c r="BG33" s="108"/>
      <c r="BH33" s="108"/>
      <c r="BI33" s="108"/>
      <c r="BJ33" s="108"/>
      <c r="BK33" s="108"/>
      <c r="BL33" s="108"/>
      <c r="BM33" s="108"/>
      <c r="BN33" s="108"/>
      <c r="BO33" s="108"/>
      <c r="BP33" s="108"/>
      <c r="BQ33" s="108"/>
      <c r="BR33" s="108"/>
      <c r="BS33" s="108"/>
      <c r="BT33" s="108"/>
      <c r="BU33" s="108"/>
      <c r="BV33" s="108"/>
      <c r="BW33" s="108"/>
      <c r="BX33" s="108"/>
      <c r="BY33" s="108"/>
      <c r="BZ33" s="108"/>
      <c r="CA33" s="108"/>
      <c r="CB33" s="108"/>
      <c r="CC33" s="108"/>
      <c r="CD33" s="108"/>
      <c r="CE33" s="108"/>
      <c r="CF33" s="108"/>
      <c r="CG33" s="108"/>
      <c r="CH33" s="108"/>
    </row>
    <row r="34" spans="1:86" s="125" customFormat="1" ht="13.5" customHeight="1">
      <c r="A34" s="129" t="s">
        <v>14</v>
      </c>
      <c r="B34" s="315">
        <f>B21/B$17</f>
        <v>0.23799413280604226</v>
      </c>
      <c r="C34" s="316">
        <f t="shared" ref="C34:K34" si="33">C21/C$17</f>
        <v>0.24199707698835507</v>
      </c>
      <c r="D34" s="316">
        <f t="shared" si="33"/>
        <v>0.24400607445813072</v>
      </c>
      <c r="E34" s="316">
        <f t="shared" si="33"/>
        <v>0.24100405115577092</v>
      </c>
      <c r="F34" s="316">
        <f t="shared" si="33"/>
        <v>0.23800126174800626</v>
      </c>
      <c r="G34" s="316">
        <f t="shared" si="33"/>
        <v>0.23000396667988895</v>
      </c>
      <c r="H34" s="316">
        <f t="shared" si="33"/>
        <v>0.22799616787193275</v>
      </c>
      <c r="I34" s="316">
        <f t="shared" si="33"/>
        <v>0.22999518681186454</v>
      </c>
      <c r="J34" s="316">
        <f t="shared" si="33"/>
        <v>0.23199964683549892</v>
      </c>
      <c r="K34" s="317">
        <f t="shared" si="33"/>
        <v>0.233999391419008</v>
      </c>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08"/>
      <c r="BA34" s="108"/>
      <c r="BB34" s="108"/>
      <c r="BC34" s="108"/>
      <c r="BD34" s="108"/>
      <c r="BE34" s="108"/>
      <c r="BF34" s="108"/>
      <c r="BG34" s="108"/>
      <c r="BH34" s="108"/>
      <c r="BI34" s="108"/>
      <c r="BJ34" s="108"/>
      <c r="BK34" s="108"/>
      <c r="BL34" s="108"/>
      <c r="BM34" s="108"/>
      <c r="BN34" s="108"/>
      <c r="BO34" s="108"/>
      <c r="BP34" s="108"/>
      <c r="BQ34" s="108"/>
      <c r="BR34" s="108"/>
      <c r="BS34" s="108"/>
      <c r="BT34" s="108"/>
      <c r="BU34" s="108"/>
      <c r="BV34" s="108"/>
      <c r="BW34" s="108"/>
      <c r="BX34" s="108"/>
      <c r="BY34" s="108"/>
      <c r="BZ34" s="108"/>
      <c r="CA34" s="108"/>
      <c r="CB34" s="108"/>
      <c r="CC34" s="108"/>
      <c r="CD34" s="108"/>
      <c r="CE34" s="108"/>
      <c r="CF34" s="108"/>
      <c r="CG34" s="108"/>
      <c r="CH34" s="108"/>
    </row>
    <row r="35" spans="1:86" s="125" customFormat="1" ht="13.5" customHeight="1">
      <c r="A35" s="149" t="s">
        <v>313</v>
      </c>
      <c r="B35" s="312">
        <f>B22/B23</f>
        <v>0.13100000000000001</v>
      </c>
      <c r="C35" s="313">
        <f t="shared" ref="C35:K35" si="34">C22/C23</f>
        <v>0.12900709025705603</v>
      </c>
      <c r="D35" s="313">
        <f t="shared" si="34"/>
        <v>0.13200186405698691</v>
      </c>
      <c r="E35" s="313">
        <f t="shared" si="34"/>
        <v>0.13599989018983433</v>
      </c>
      <c r="F35" s="313">
        <f t="shared" si="34"/>
        <v>0.13499937033875772</v>
      </c>
      <c r="G35" s="313">
        <f t="shared" si="34"/>
        <v>0.12600019414513736</v>
      </c>
      <c r="H35" s="313">
        <f t="shared" si="34"/>
        <v>0.12100509337860781</v>
      </c>
      <c r="I35" s="313">
        <f t="shared" si="34"/>
        <v>0.11899713770804622</v>
      </c>
      <c r="J35" s="313">
        <f t="shared" si="34"/>
        <v>0.11800282936832406</v>
      </c>
      <c r="K35" s="314">
        <f t="shared" si="34"/>
        <v>0.12099907021767095</v>
      </c>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08"/>
      <c r="BA35" s="108"/>
      <c r="BB35" s="108"/>
      <c r="BC35" s="108"/>
      <c r="BD35" s="108"/>
      <c r="BE35" s="108"/>
      <c r="BF35" s="108"/>
      <c r="BG35" s="108"/>
      <c r="BH35" s="108"/>
      <c r="BI35" s="108"/>
      <c r="BJ35" s="108"/>
      <c r="BK35" s="108"/>
      <c r="BL35" s="108"/>
      <c r="BM35" s="108"/>
      <c r="BN35" s="108"/>
      <c r="BO35" s="108"/>
      <c r="BP35" s="108"/>
      <c r="BQ35" s="108"/>
      <c r="BR35" s="108"/>
      <c r="BS35" s="108"/>
      <c r="BT35" s="108"/>
      <c r="BU35" s="108"/>
      <c r="BV35" s="108"/>
      <c r="BW35" s="108"/>
      <c r="BX35" s="108"/>
      <c r="BY35" s="108"/>
      <c r="BZ35" s="108"/>
      <c r="CA35" s="108"/>
      <c r="CB35" s="108"/>
      <c r="CC35" s="108"/>
      <c r="CD35" s="108"/>
      <c r="CE35" s="108"/>
      <c r="CF35" s="108"/>
      <c r="CG35" s="108"/>
      <c r="CH35" s="108"/>
    </row>
    <row r="36" spans="1:86" s="125" customFormat="1" ht="13.5" customHeight="1" thickBot="1">
      <c r="A36" s="155" t="s">
        <v>18</v>
      </c>
      <c r="B36" s="318">
        <f t="shared" ref="B36:K36" si="35">B35+B30</f>
        <v>1</v>
      </c>
      <c r="C36" s="319">
        <f t="shared" si="35"/>
        <v>1</v>
      </c>
      <c r="D36" s="319">
        <f t="shared" si="35"/>
        <v>1</v>
      </c>
      <c r="E36" s="319">
        <f t="shared" si="35"/>
        <v>1</v>
      </c>
      <c r="F36" s="319">
        <f t="shared" si="35"/>
        <v>1</v>
      </c>
      <c r="G36" s="319">
        <f t="shared" si="35"/>
        <v>1</v>
      </c>
      <c r="H36" s="319">
        <f t="shared" si="35"/>
        <v>1</v>
      </c>
      <c r="I36" s="319">
        <f t="shared" si="35"/>
        <v>1</v>
      </c>
      <c r="J36" s="319">
        <f t="shared" si="35"/>
        <v>1</v>
      </c>
      <c r="K36" s="320">
        <f t="shared" si="35"/>
        <v>1</v>
      </c>
      <c r="M36" s="162"/>
      <c r="N36" s="162"/>
      <c r="O36" s="162"/>
      <c r="P36" s="162"/>
      <c r="Q36" s="162"/>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8"/>
      <c r="AU36" s="108"/>
      <c r="AV36" s="108"/>
      <c r="AW36" s="108"/>
      <c r="AX36" s="108"/>
      <c r="AY36" s="108"/>
      <c r="AZ36" s="108"/>
      <c r="BA36" s="108"/>
      <c r="BB36" s="108"/>
      <c r="BC36" s="108"/>
      <c r="BD36" s="108"/>
      <c r="BE36" s="108"/>
      <c r="BF36" s="108"/>
      <c r="BG36" s="108"/>
      <c r="BH36" s="108"/>
      <c r="BI36" s="108"/>
      <c r="BJ36" s="108"/>
      <c r="BK36" s="108"/>
      <c r="BL36" s="108"/>
      <c r="BM36" s="108"/>
      <c r="BN36" s="108"/>
      <c r="BO36" s="108"/>
      <c r="BP36" s="108"/>
      <c r="BQ36" s="108"/>
      <c r="BR36" s="108"/>
      <c r="BS36" s="108"/>
      <c r="BT36" s="108"/>
      <c r="BU36" s="108"/>
      <c r="BV36" s="108"/>
      <c r="BW36" s="108"/>
      <c r="BX36" s="108"/>
      <c r="BY36" s="108"/>
      <c r="BZ36" s="108"/>
      <c r="CA36" s="108"/>
      <c r="CB36" s="108"/>
      <c r="CC36" s="108"/>
      <c r="CD36" s="108"/>
      <c r="CE36" s="108"/>
      <c r="CF36" s="108"/>
      <c r="CG36" s="108"/>
      <c r="CH36" s="108"/>
    </row>
    <row r="37" spans="1:86">
      <c r="B37" s="21"/>
      <c r="C37" s="21"/>
      <c r="D37" s="21"/>
      <c r="E37" s="21"/>
      <c r="F37" s="21"/>
      <c r="G37" s="21"/>
      <c r="H37" s="21"/>
      <c r="I37" s="21"/>
      <c r="J37" s="21"/>
      <c r="K37" s="21"/>
    </row>
    <row r="38" spans="1:86" s="22" customFormat="1" ht="14.25" thickBot="1">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row>
    <row r="40" spans="1:86" s="15" customFormat="1">
      <c r="A40" s="41" t="s">
        <v>366</v>
      </c>
      <c r="B40" s="8" t="s">
        <v>166</v>
      </c>
      <c r="J40" s="16"/>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1"/>
      <c r="BZ40" s="41"/>
      <c r="CA40" s="41"/>
      <c r="CB40" s="41"/>
      <c r="CC40" s="41"/>
      <c r="CD40" s="41"/>
      <c r="CE40" s="41"/>
      <c r="CF40" s="41"/>
      <c r="CG40" s="41"/>
      <c r="CH40" s="41"/>
    </row>
    <row r="41" spans="1:86" ht="14.25" thickBot="1"/>
    <row r="42" spans="1:86" s="120" customFormat="1" ht="14.25" thickBot="1">
      <c r="A42" s="113"/>
      <c r="B42" s="223">
        <v>2010</v>
      </c>
      <c r="C42" s="224">
        <v>2011</v>
      </c>
      <c r="D42" s="224">
        <v>2012</v>
      </c>
      <c r="E42" s="224">
        <v>2013</v>
      </c>
      <c r="F42" s="224">
        <v>2014</v>
      </c>
      <c r="G42" s="303">
        <v>2015</v>
      </c>
      <c r="H42" s="303">
        <v>2016</v>
      </c>
      <c r="I42" s="303">
        <v>2017</v>
      </c>
      <c r="J42" s="303">
        <v>2018</v>
      </c>
      <c r="K42" s="304">
        <v>2019</v>
      </c>
      <c r="L42" s="115"/>
      <c r="M42" s="116" t="s">
        <v>31</v>
      </c>
      <c r="N42" s="3" t="s">
        <v>32</v>
      </c>
      <c r="O42" s="3" t="s">
        <v>33</v>
      </c>
      <c r="P42" s="3" t="s">
        <v>34</v>
      </c>
      <c r="Q42" s="117" t="s">
        <v>35</v>
      </c>
      <c r="R42" s="117" t="s">
        <v>36</v>
      </c>
      <c r="S42" s="117" t="s">
        <v>160</v>
      </c>
      <c r="T42" s="117" t="s">
        <v>169</v>
      </c>
      <c r="U42" s="118" t="s">
        <v>170</v>
      </c>
      <c r="V42" s="88"/>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19"/>
      <c r="CC42" s="119"/>
      <c r="CD42" s="119"/>
      <c r="CE42" s="119"/>
      <c r="CF42" s="119"/>
      <c r="CG42" s="119"/>
      <c r="CH42" s="119"/>
    </row>
    <row r="43" spans="1:86" s="145" customFormat="1">
      <c r="A43" s="141" t="s">
        <v>312</v>
      </c>
      <c r="B43" s="163">
        <f>B44+B45+B46</f>
        <v>319.89999999999998</v>
      </c>
      <c r="C43" s="164">
        <f t="shared" ref="C43:K43" si="36">C44+C45+C46</f>
        <v>335.20000000000005</v>
      </c>
      <c r="D43" s="164">
        <f t="shared" si="36"/>
        <v>340.8</v>
      </c>
      <c r="E43" s="164">
        <f t="shared" si="36"/>
        <v>324.60000000000002</v>
      </c>
      <c r="F43" s="164">
        <f t="shared" si="36"/>
        <v>317.89999999999998</v>
      </c>
      <c r="G43" s="164">
        <f t="shared" si="36"/>
        <v>322.90000000000003</v>
      </c>
      <c r="H43" s="164">
        <f t="shared" si="36"/>
        <v>331.19999999999993</v>
      </c>
      <c r="I43" s="164">
        <f t="shared" si="36"/>
        <v>339.79999999999995</v>
      </c>
      <c r="J43" s="164">
        <f t="shared" si="36"/>
        <v>347.4</v>
      </c>
      <c r="K43" s="165">
        <f t="shared" si="36"/>
        <v>353.1</v>
      </c>
      <c r="M43" s="126">
        <f t="shared" ref="M43:U48" si="37">(C43-B43)/B43</f>
        <v>4.7827446076899247E-2</v>
      </c>
      <c r="N43" s="127">
        <f t="shared" si="37"/>
        <v>1.6706443914081041E-2</v>
      </c>
      <c r="O43" s="127">
        <f t="shared" si="37"/>
        <v>-4.7535211267605598E-2</v>
      </c>
      <c r="P43" s="127">
        <f t="shared" si="37"/>
        <v>-2.0640788662969946E-2</v>
      </c>
      <c r="Q43" s="127">
        <f t="shared" si="37"/>
        <v>1.5728216420258123E-2</v>
      </c>
      <c r="R43" s="127">
        <f t="shared" si="37"/>
        <v>2.5704552493031579E-2</v>
      </c>
      <c r="S43" s="127">
        <f t="shared" si="37"/>
        <v>2.5966183574879301E-2</v>
      </c>
      <c r="T43" s="127">
        <f t="shared" si="37"/>
        <v>2.2366097704532146E-2</v>
      </c>
      <c r="U43" s="128">
        <f t="shared" si="37"/>
        <v>1.6407599309153847E-2</v>
      </c>
      <c r="V43" s="110"/>
      <c r="W43" s="110"/>
      <c r="X43" s="110"/>
      <c r="Y43" s="110"/>
      <c r="Z43" s="110"/>
      <c r="AA43" s="110"/>
      <c r="AB43" s="110"/>
      <c r="AC43" s="110"/>
      <c r="AD43" s="110"/>
      <c r="AE43" s="110"/>
      <c r="AF43" s="110"/>
      <c r="AG43" s="110"/>
      <c r="AH43" s="110"/>
      <c r="AI43" s="110"/>
      <c r="AJ43" s="110"/>
      <c r="AK43" s="110"/>
      <c r="AL43" s="110"/>
      <c r="AM43" s="110"/>
      <c r="AN43" s="110"/>
      <c r="AO43" s="110"/>
      <c r="AP43" s="110"/>
      <c r="AQ43" s="110"/>
      <c r="AR43" s="110"/>
      <c r="AS43" s="110"/>
      <c r="AT43" s="110"/>
      <c r="AU43" s="110"/>
      <c r="AV43" s="110"/>
      <c r="AW43" s="110"/>
      <c r="AX43" s="110"/>
      <c r="AY43" s="110"/>
      <c r="AZ43" s="110"/>
      <c r="BA43" s="110"/>
      <c r="BB43" s="110"/>
      <c r="BC43" s="110"/>
      <c r="BD43" s="110"/>
      <c r="BE43" s="110"/>
      <c r="BF43" s="110"/>
      <c r="BG43" s="110"/>
      <c r="BH43" s="110"/>
      <c r="BI43" s="110"/>
      <c r="BJ43" s="110"/>
      <c r="BK43" s="110"/>
      <c r="BL43" s="110"/>
      <c r="BM43" s="110"/>
      <c r="BN43" s="110"/>
      <c r="BO43" s="110"/>
      <c r="BP43" s="110"/>
      <c r="BQ43" s="110"/>
      <c r="BR43" s="110"/>
      <c r="BS43" s="110"/>
      <c r="BT43" s="110"/>
      <c r="BU43" s="110"/>
      <c r="BV43" s="110"/>
      <c r="BW43" s="110"/>
      <c r="BX43" s="110"/>
      <c r="BY43" s="110"/>
      <c r="BZ43" s="110"/>
      <c r="CA43" s="110"/>
      <c r="CB43" s="110"/>
      <c r="CC43" s="110"/>
      <c r="CD43" s="110"/>
      <c r="CE43" s="110"/>
      <c r="CF43" s="110"/>
      <c r="CG43" s="110"/>
      <c r="CH43" s="110"/>
    </row>
    <row r="44" spans="1:86" s="125" customFormat="1">
      <c r="A44" s="129" t="s">
        <v>82</v>
      </c>
      <c r="B44" s="103">
        <v>109.1</v>
      </c>
      <c r="C44" s="104">
        <v>114.3</v>
      </c>
      <c r="D44" s="104">
        <v>115.9</v>
      </c>
      <c r="E44" s="104">
        <v>111</v>
      </c>
      <c r="F44" s="104">
        <v>109</v>
      </c>
      <c r="G44" s="104">
        <v>112.4</v>
      </c>
      <c r="H44" s="104">
        <v>115.6</v>
      </c>
      <c r="I44" s="104">
        <v>118.6</v>
      </c>
      <c r="J44" s="104">
        <v>120.9</v>
      </c>
      <c r="K44" s="166">
        <v>122.9</v>
      </c>
      <c r="M44" s="130">
        <f t="shared" si="37"/>
        <v>4.7662694775435409E-2</v>
      </c>
      <c r="N44" s="131">
        <f t="shared" si="37"/>
        <v>1.3998250218722735E-2</v>
      </c>
      <c r="O44" s="131">
        <f t="shared" si="37"/>
        <v>-4.227782571182058E-2</v>
      </c>
      <c r="P44" s="131">
        <f t="shared" si="37"/>
        <v>-1.8018018018018018E-2</v>
      </c>
      <c r="Q44" s="131">
        <f t="shared" si="37"/>
        <v>3.1192660550458769E-2</v>
      </c>
      <c r="R44" s="131">
        <f t="shared" si="37"/>
        <v>2.8469750889679613E-2</v>
      </c>
      <c r="S44" s="131">
        <f t="shared" si="37"/>
        <v>2.5951557093425608E-2</v>
      </c>
      <c r="T44" s="131">
        <f t="shared" si="37"/>
        <v>1.9392917369308697E-2</v>
      </c>
      <c r="U44" s="132">
        <f t="shared" si="37"/>
        <v>1.6542597187758478E-2</v>
      </c>
      <c r="V44" s="108"/>
      <c r="W44" s="108"/>
      <c r="X44" s="108"/>
      <c r="Y44" s="108"/>
      <c r="Z44" s="108"/>
      <c r="AA44" s="108"/>
      <c r="AB44" s="108"/>
      <c r="AC44" s="108"/>
      <c r="AD44" s="108"/>
      <c r="AE44" s="108"/>
      <c r="AF44" s="108"/>
      <c r="AG44" s="108"/>
      <c r="AH44" s="108"/>
      <c r="AI44" s="108"/>
      <c r="AJ44" s="108"/>
      <c r="AK44" s="108"/>
      <c r="AL44" s="108"/>
      <c r="AM44" s="108"/>
      <c r="AN44" s="108"/>
      <c r="AO44" s="108"/>
      <c r="AP44" s="108"/>
      <c r="AQ44" s="108"/>
      <c r="AR44" s="108"/>
      <c r="AS44" s="108"/>
      <c r="AT44" s="108"/>
      <c r="AU44" s="108"/>
      <c r="AV44" s="108"/>
      <c r="AW44" s="108"/>
      <c r="AX44" s="108"/>
      <c r="AY44" s="108"/>
      <c r="AZ44" s="108"/>
      <c r="BA44" s="108"/>
      <c r="BB44" s="108"/>
      <c r="BC44" s="108"/>
      <c r="BD44" s="108"/>
      <c r="BE44" s="108"/>
      <c r="BF44" s="108"/>
      <c r="BG44" s="108"/>
      <c r="BH44" s="108"/>
      <c r="BI44" s="108"/>
      <c r="BJ44" s="108"/>
      <c r="BK44" s="108"/>
      <c r="BL44" s="108"/>
      <c r="BM44" s="108"/>
      <c r="BN44" s="108"/>
      <c r="BO44" s="108"/>
      <c r="BP44" s="108"/>
      <c r="BQ44" s="108"/>
      <c r="BR44" s="108"/>
      <c r="BS44" s="108"/>
      <c r="BT44" s="108"/>
      <c r="BU44" s="108"/>
      <c r="BV44" s="108"/>
      <c r="BW44" s="108"/>
      <c r="BX44" s="108"/>
      <c r="BY44" s="108"/>
      <c r="BZ44" s="108"/>
      <c r="CA44" s="108"/>
      <c r="CB44" s="108"/>
      <c r="CC44" s="108"/>
      <c r="CD44" s="108"/>
      <c r="CE44" s="108"/>
      <c r="CF44" s="108"/>
      <c r="CG44" s="108"/>
      <c r="CH44" s="108"/>
    </row>
    <row r="45" spans="1:86" s="125" customFormat="1">
      <c r="A45" s="129" t="s">
        <v>83</v>
      </c>
      <c r="B45" s="103">
        <v>138.5</v>
      </c>
      <c r="C45" s="104">
        <v>145.80000000000001</v>
      </c>
      <c r="D45" s="104">
        <v>147.9</v>
      </c>
      <c r="E45" s="104">
        <v>141.19999999999999</v>
      </c>
      <c r="F45" s="104">
        <v>138</v>
      </c>
      <c r="G45" s="104">
        <v>140.80000000000001</v>
      </c>
      <c r="H45" s="104">
        <v>144.69999999999999</v>
      </c>
      <c r="I45" s="104">
        <v>147.80000000000001</v>
      </c>
      <c r="J45" s="104">
        <v>151.1</v>
      </c>
      <c r="K45" s="166">
        <v>152.9</v>
      </c>
      <c r="M45" s="130">
        <f t="shared" si="37"/>
        <v>5.2707581227436906E-2</v>
      </c>
      <c r="N45" s="131">
        <f t="shared" si="37"/>
        <v>1.4403292181069919E-2</v>
      </c>
      <c r="O45" s="131">
        <f t="shared" si="37"/>
        <v>-4.5300878972278677E-2</v>
      </c>
      <c r="P45" s="131">
        <f t="shared" si="37"/>
        <v>-2.2662889518413519E-2</v>
      </c>
      <c r="Q45" s="131">
        <f t="shared" si="37"/>
        <v>2.028985507246385E-2</v>
      </c>
      <c r="R45" s="131">
        <f t="shared" si="37"/>
        <v>2.7698863636363473E-2</v>
      </c>
      <c r="S45" s="131">
        <f t="shared" si="37"/>
        <v>2.1423635107118335E-2</v>
      </c>
      <c r="T45" s="131">
        <f t="shared" si="37"/>
        <v>2.2327469553450493E-2</v>
      </c>
      <c r="U45" s="132">
        <f t="shared" si="37"/>
        <v>1.1912640635340909E-2</v>
      </c>
      <c r="V45" s="108"/>
      <c r="W45" s="108"/>
      <c r="X45" s="108"/>
      <c r="Y45" s="108"/>
      <c r="Z45" s="108"/>
      <c r="AA45" s="108"/>
      <c r="AB45" s="108"/>
      <c r="AC45" s="108"/>
      <c r="AD45" s="108"/>
      <c r="AE45" s="108"/>
      <c r="AF45" s="108"/>
      <c r="AG45" s="108"/>
      <c r="AH45" s="108"/>
      <c r="AI45" s="108"/>
      <c r="AJ45" s="108"/>
      <c r="AK45" s="108"/>
      <c r="AL45" s="108"/>
      <c r="AM45" s="108"/>
      <c r="AN45" s="108"/>
      <c r="AO45" s="108"/>
      <c r="AP45" s="108"/>
      <c r="AQ45" s="108"/>
      <c r="AR45" s="108"/>
      <c r="AS45" s="108"/>
      <c r="AT45" s="108"/>
      <c r="AU45" s="108"/>
      <c r="AV45" s="108"/>
      <c r="AW45" s="108"/>
      <c r="AX45" s="108"/>
      <c r="AY45" s="108"/>
      <c r="AZ45" s="108"/>
      <c r="BA45" s="108"/>
      <c r="BB45" s="108"/>
      <c r="BC45" s="108"/>
      <c r="BD45" s="108"/>
      <c r="BE45" s="108"/>
      <c r="BF45" s="108"/>
      <c r="BG45" s="108"/>
      <c r="BH45" s="108"/>
      <c r="BI45" s="108"/>
      <c r="BJ45" s="108"/>
      <c r="BK45" s="108"/>
      <c r="BL45" s="108"/>
      <c r="BM45" s="108"/>
      <c r="BN45" s="108"/>
      <c r="BO45" s="108"/>
      <c r="BP45" s="108"/>
      <c r="BQ45" s="108"/>
      <c r="BR45" s="108"/>
      <c r="BS45" s="108"/>
      <c r="BT45" s="108"/>
      <c r="BU45" s="108"/>
      <c r="BV45" s="108"/>
      <c r="BW45" s="108"/>
      <c r="BX45" s="108"/>
      <c r="BY45" s="108"/>
      <c r="BZ45" s="108"/>
      <c r="CA45" s="108"/>
      <c r="CB45" s="108"/>
      <c r="CC45" s="108"/>
      <c r="CD45" s="108"/>
      <c r="CE45" s="108"/>
      <c r="CF45" s="108"/>
      <c r="CG45" s="108"/>
      <c r="CH45" s="108"/>
    </row>
    <row r="46" spans="1:86" s="125" customFormat="1">
      <c r="A46" s="129" t="s">
        <v>14</v>
      </c>
      <c r="B46" s="103">
        <v>72.3</v>
      </c>
      <c r="C46" s="104">
        <v>75.099999999999994</v>
      </c>
      <c r="D46" s="104">
        <v>77</v>
      </c>
      <c r="E46" s="104">
        <v>72.400000000000006</v>
      </c>
      <c r="F46" s="104">
        <v>70.900000000000006</v>
      </c>
      <c r="G46" s="104">
        <v>69.7</v>
      </c>
      <c r="H46" s="104">
        <v>70.900000000000006</v>
      </c>
      <c r="I46" s="104">
        <v>73.400000000000006</v>
      </c>
      <c r="J46" s="104">
        <v>75.400000000000006</v>
      </c>
      <c r="K46" s="166">
        <v>77.3</v>
      </c>
      <c r="M46" s="130">
        <f t="shared" si="37"/>
        <v>3.8727524204702587E-2</v>
      </c>
      <c r="N46" s="131">
        <f t="shared" si="37"/>
        <v>2.5299600532623246E-2</v>
      </c>
      <c r="O46" s="131">
        <f t="shared" si="37"/>
        <v>-5.9740259740259663E-2</v>
      </c>
      <c r="P46" s="131">
        <f t="shared" si="37"/>
        <v>-2.0718232044198894E-2</v>
      </c>
      <c r="Q46" s="131">
        <f t="shared" si="37"/>
        <v>-1.692524682651626E-2</v>
      </c>
      <c r="R46" s="131">
        <f t="shared" si="37"/>
        <v>1.7216642754662882E-2</v>
      </c>
      <c r="S46" s="131">
        <f t="shared" si="37"/>
        <v>3.5260930888575452E-2</v>
      </c>
      <c r="T46" s="131">
        <f t="shared" si="37"/>
        <v>2.7247956403269751E-2</v>
      </c>
      <c r="U46" s="132">
        <f t="shared" si="37"/>
        <v>2.5198938992042324E-2</v>
      </c>
      <c r="V46" s="108"/>
      <c r="W46" s="108"/>
      <c r="X46" s="108"/>
      <c r="Y46" s="108"/>
      <c r="Z46" s="108"/>
      <c r="AA46" s="108"/>
      <c r="AB46" s="108"/>
      <c r="AC46" s="108"/>
      <c r="AD46" s="108"/>
      <c r="AE46" s="108"/>
      <c r="AF46" s="108"/>
      <c r="AG46" s="108"/>
      <c r="AH46" s="108"/>
      <c r="AI46" s="108"/>
      <c r="AJ46" s="108"/>
      <c r="AK46" s="108"/>
      <c r="AL46" s="108"/>
      <c r="AM46" s="108"/>
      <c r="AN46" s="108"/>
      <c r="AO46" s="108"/>
      <c r="AP46" s="108"/>
      <c r="AQ46" s="108"/>
      <c r="AR46" s="108"/>
      <c r="AS46" s="108"/>
      <c r="AT46" s="108"/>
      <c r="AU46" s="108"/>
      <c r="AV46" s="108"/>
      <c r="AW46" s="108"/>
      <c r="AX46" s="108"/>
      <c r="AY46" s="108"/>
      <c r="AZ46" s="108"/>
      <c r="BA46" s="108"/>
      <c r="BB46" s="108"/>
      <c r="BC46" s="108"/>
      <c r="BD46" s="108"/>
      <c r="BE46" s="108"/>
      <c r="BF46" s="108"/>
      <c r="BG46" s="108"/>
      <c r="BH46" s="108"/>
      <c r="BI46" s="108"/>
      <c r="BJ46" s="108"/>
      <c r="BK46" s="108"/>
      <c r="BL46" s="108"/>
      <c r="BM46" s="108"/>
      <c r="BN46" s="108"/>
      <c r="BO46" s="108"/>
      <c r="BP46" s="108"/>
      <c r="BQ46" s="108"/>
      <c r="BR46" s="108"/>
      <c r="BS46" s="108"/>
      <c r="BT46" s="108"/>
      <c r="BU46" s="108"/>
      <c r="BV46" s="108"/>
      <c r="BW46" s="108"/>
      <c r="BX46" s="108"/>
      <c r="BY46" s="108"/>
      <c r="BZ46" s="108"/>
      <c r="CA46" s="108"/>
      <c r="CB46" s="108"/>
      <c r="CC46" s="108"/>
      <c r="CD46" s="108"/>
      <c r="CE46" s="108"/>
      <c r="CF46" s="108"/>
      <c r="CG46" s="108"/>
      <c r="CH46" s="108"/>
    </row>
    <row r="47" spans="1:86" s="145" customFormat="1">
      <c r="A47" s="149" t="s">
        <v>313</v>
      </c>
      <c r="B47" s="167">
        <f>B306</f>
        <v>29.7</v>
      </c>
      <c r="C47" s="168">
        <f t="shared" ref="C47:K47" si="38">C306</f>
        <v>30.7</v>
      </c>
      <c r="D47" s="168">
        <f t="shared" si="38"/>
        <v>32.9</v>
      </c>
      <c r="E47" s="168">
        <f t="shared" si="38"/>
        <v>34.1</v>
      </c>
      <c r="F47" s="168">
        <f t="shared" si="38"/>
        <v>32.6</v>
      </c>
      <c r="G47" s="168">
        <f t="shared" si="38"/>
        <v>30.8</v>
      </c>
      <c r="H47" s="168">
        <f t="shared" si="38"/>
        <v>30</v>
      </c>
      <c r="I47" s="168">
        <f t="shared" si="38"/>
        <v>30.4</v>
      </c>
      <c r="J47" s="168">
        <f t="shared" si="38"/>
        <v>30.6</v>
      </c>
      <c r="K47" s="169">
        <f t="shared" si="38"/>
        <v>32</v>
      </c>
      <c r="M47" s="130">
        <f t="shared" si="37"/>
        <v>3.3670033670033669E-2</v>
      </c>
      <c r="N47" s="131">
        <f t="shared" si="37"/>
        <v>7.1661237785016263E-2</v>
      </c>
      <c r="O47" s="131">
        <f t="shared" si="37"/>
        <v>3.647416413373869E-2</v>
      </c>
      <c r="P47" s="131">
        <f t="shared" si="37"/>
        <v>-4.3988269794721403E-2</v>
      </c>
      <c r="Q47" s="131">
        <f t="shared" si="37"/>
        <v>-5.5214723926380389E-2</v>
      </c>
      <c r="R47" s="131">
        <f t="shared" si="37"/>
        <v>-2.5974025974025997E-2</v>
      </c>
      <c r="S47" s="131">
        <f t="shared" si="37"/>
        <v>1.3333333333333286E-2</v>
      </c>
      <c r="T47" s="131">
        <f t="shared" si="37"/>
        <v>6.5789473684211468E-3</v>
      </c>
      <c r="U47" s="132">
        <f t="shared" si="37"/>
        <v>4.5751633986928053E-2</v>
      </c>
      <c r="V47" s="110"/>
      <c r="W47" s="110"/>
      <c r="X47" s="110"/>
      <c r="Y47" s="110"/>
      <c r="Z47" s="110"/>
      <c r="AA47" s="110"/>
      <c r="AB47" s="110"/>
      <c r="AC47" s="110"/>
      <c r="AD47" s="110"/>
      <c r="AE47" s="110"/>
      <c r="AF47" s="110"/>
      <c r="AG47" s="110"/>
      <c r="AH47" s="110"/>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0"/>
      <c r="CD47" s="110"/>
      <c r="CE47" s="110"/>
      <c r="CF47" s="110"/>
      <c r="CG47" s="110"/>
      <c r="CH47" s="110"/>
    </row>
    <row r="48" spans="1:86" s="145" customFormat="1" thickBot="1">
      <c r="A48" s="155" t="s">
        <v>18</v>
      </c>
      <c r="B48" s="170">
        <f t="shared" ref="B48:K48" si="39">B47+B43</f>
        <v>349.59999999999997</v>
      </c>
      <c r="C48" s="171">
        <f t="shared" si="39"/>
        <v>365.90000000000003</v>
      </c>
      <c r="D48" s="171">
        <f t="shared" si="39"/>
        <v>373.7</v>
      </c>
      <c r="E48" s="171">
        <f t="shared" si="39"/>
        <v>358.70000000000005</v>
      </c>
      <c r="F48" s="171">
        <f t="shared" si="39"/>
        <v>350.5</v>
      </c>
      <c r="G48" s="171">
        <f t="shared" si="39"/>
        <v>353.70000000000005</v>
      </c>
      <c r="H48" s="171">
        <f t="shared" si="39"/>
        <v>361.19999999999993</v>
      </c>
      <c r="I48" s="171">
        <f t="shared" si="39"/>
        <v>370.19999999999993</v>
      </c>
      <c r="J48" s="171">
        <f t="shared" si="39"/>
        <v>378</v>
      </c>
      <c r="K48" s="172">
        <f t="shared" si="39"/>
        <v>385.1</v>
      </c>
      <c r="M48" s="156">
        <f t="shared" si="37"/>
        <v>4.6624713958810265E-2</v>
      </c>
      <c r="N48" s="157">
        <f t="shared" si="37"/>
        <v>2.1317299808690772E-2</v>
      </c>
      <c r="O48" s="157">
        <f t="shared" si="37"/>
        <v>-4.0139149050039985E-2</v>
      </c>
      <c r="P48" s="157">
        <f t="shared" si="37"/>
        <v>-2.286032896570963E-2</v>
      </c>
      <c r="Q48" s="157">
        <f t="shared" si="37"/>
        <v>9.1298145506420701E-3</v>
      </c>
      <c r="R48" s="157">
        <f t="shared" si="37"/>
        <v>2.1204410517387293E-2</v>
      </c>
      <c r="S48" s="157">
        <f t="shared" si="37"/>
        <v>2.4916943521594688E-2</v>
      </c>
      <c r="T48" s="157">
        <f t="shared" si="37"/>
        <v>2.1069692058347026E-2</v>
      </c>
      <c r="U48" s="158">
        <f t="shared" si="37"/>
        <v>1.8783068783068842E-2</v>
      </c>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0"/>
      <c r="CD48" s="110"/>
      <c r="CE48" s="110"/>
      <c r="CF48" s="110"/>
      <c r="CG48" s="110"/>
      <c r="CH48" s="110"/>
    </row>
    <row r="49" spans="1:86">
      <c r="A49" s="6" t="s">
        <v>50</v>
      </c>
      <c r="N49" s="108"/>
      <c r="O49" s="108"/>
      <c r="P49" s="108"/>
      <c r="Q49" s="108"/>
      <c r="R49" s="108"/>
      <c r="S49" s="108"/>
      <c r="T49" s="108"/>
      <c r="U49" s="108"/>
      <c r="V49" s="108"/>
    </row>
    <row r="50" spans="1:86">
      <c r="A50" s="6" t="s">
        <v>171</v>
      </c>
      <c r="B50" s="83"/>
      <c r="C50" s="83"/>
      <c r="D50" s="83"/>
      <c r="E50" s="83"/>
      <c r="F50" s="83"/>
      <c r="G50" s="83"/>
      <c r="H50" s="83"/>
      <c r="I50" s="83"/>
      <c r="J50" s="83"/>
      <c r="K50" s="83"/>
      <c r="N50" s="108"/>
      <c r="O50" s="108"/>
      <c r="P50" s="108"/>
      <c r="Q50" s="108"/>
      <c r="R50" s="108"/>
      <c r="S50" s="108"/>
      <c r="T50" s="108"/>
      <c r="U50" s="108"/>
      <c r="V50" s="108"/>
    </row>
    <row r="51" spans="1:86">
      <c r="A51" s="6" t="s">
        <v>3</v>
      </c>
      <c r="B51" s="83"/>
      <c r="C51" s="83"/>
      <c r="D51" s="83"/>
      <c r="E51" s="83"/>
      <c r="F51" s="83"/>
      <c r="G51" s="83"/>
      <c r="H51" s="83"/>
      <c r="I51" s="83"/>
      <c r="J51" s="83"/>
      <c r="K51" s="83"/>
      <c r="N51" s="108"/>
      <c r="O51" s="108"/>
      <c r="P51" s="108"/>
      <c r="Q51" s="108"/>
      <c r="R51" s="108"/>
      <c r="S51" s="108"/>
      <c r="T51" s="108"/>
      <c r="U51" s="108"/>
      <c r="V51" s="108"/>
    </row>
    <row r="52" spans="1:86">
      <c r="A52" s="14" t="s">
        <v>38</v>
      </c>
      <c r="C52" s="87"/>
      <c r="D52" s="87"/>
      <c r="E52" s="87"/>
      <c r="F52" s="87"/>
      <c r="G52" s="87"/>
      <c r="H52" s="87"/>
      <c r="I52" s="87"/>
      <c r="J52" s="87"/>
      <c r="K52" s="87"/>
      <c r="N52" s="108"/>
      <c r="O52" s="108"/>
      <c r="P52" s="108"/>
      <c r="Q52" s="108"/>
      <c r="R52" s="108"/>
      <c r="S52" s="108"/>
      <c r="T52" s="108"/>
      <c r="U52" s="108"/>
      <c r="V52" s="108"/>
    </row>
    <row r="53" spans="1:86">
      <c r="A53" s="14"/>
      <c r="C53" s="21"/>
      <c r="D53" s="21"/>
      <c r="E53" s="21"/>
      <c r="N53" s="108"/>
      <c r="O53" s="108"/>
      <c r="P53" s="108"/>
      <c r="Q53" s="108"/>
      <c r="R53" s="108"/>
      <c r="S53" s="108"/>
      <c r="T53" s="108"/>
      <c r="U53" s="108"/>
      <c r="V53" s="108"/>
    </row>
    <row r="54" spans="1:86" ht="14.25" thickBot="1">
      <c r="A54" s="14"/>
      <c r="D54" s="21"/>
      <c r="E54" s="21"/>
      <c r="F54" s="21"/>
      <c r="G54" s="21"/>
      <c r="H54" s="21"/>
      <c r="I54" s="21"/>
      <c r="J54" s="21"/>
      <c r="K54" s="21"/>
      <c r="N54" s="108"/>
      <c r="O54" s="108"/>
      <c r="P54" s="108"/>
      <c r="Q54" s="108"/>
      <c r="R54" s="108"/>
      <c r="S54" s="108"/>
      <c r="T54" s="108"/>
      <c r="U54" s="108"/>
      <c r="V54" s="108"/>
    </row>
    <row r="55" spans="1:86" s="125" customFormat="1" ht="13.5" customHeight="1" thickBot="1">
      <c r="B55" s="116" t="s">
        <v>39</v>
      </c>
      <c r="C55" s="3" t="s">
        <v>19</v>
      </c>
      <c r="D55" s="3" t="s">
        <v>40</v>
      </c>
      <c r="E55" s="3" t="s">
        <v>41</v>
      </c>
      <c r="F55" s="3" t="s">
        <v>42</v>
      </c>
      <c r="G55" s="117" t="s">
        <v>43</v>
      </c>
      <c r="H55" s="117" t="s">
        <v>44</v>
      </c>
      <c r="I55" s="117" t="s">
        <v>158</v>
      </c>
      <c r="J55" s="117" t="s">
        <v>167</v>
      </c>
      <c r="K55" s="118" t="s">
        <v>168</v>
      </c>
      <c r="M55" s="108"/>
      <c r="N55" s="108"/>
      <c r="O55" s="108"/>
      <c r="P55" s="108"/>
      <c r="Q55" s="108"/>
      <c r="R55" s="108"/>
      <c r="S55" s="108"/>
      <c r="T55" s="108"/>
      <c r="U55" s="108"/>
      <c r="V55" s="108"/>
      <c r="W55" s="108"/>
      <c r="X55" s="108"/>
      <c r="Y55" s="108"/>
      <c r="Z55" s="108"/>
      <c r="AA55" s="108"/>
      <c r="AB55" s="108"/>
      <c r="AC55" s="108"/>
      <c r="AD55" s="108"/>
      <c r="AE55" s="108"/>
      <c r="AF55" s="108"/>
      <c r="AG55" s="108"/>
      <c r="AH55" s="108"/>
      <c r="AI55" s="108"/>
      <c r="AJ55" s="108"/>
      <c r="AK55" s="108"/>
      <c r="AL55" s="108"/>
      <c r="AM55" s="108"/>
      <c r="AN55" s="108"/>
      <c r="AO55" s="108"/>
      <c r="AP55" s="108"/>
      <c r="AQ55" s="108"/>
      <c r="AR55" s="108"/>
      <c r="AS55" s="108"/>
      <c r="AT55" s="108"/>
      <c r="AU55" s="108"/>
      <c r="AV55" s="108"/>
      <c r="AW55" s="108"/>
      <c r="AX55" s="108"/>
      <c r="AY55" s="108"/>
      <c r="AZ55" s="108"/>
      <c r="BA55" s="108"/>
      <c r="BB55" s="108"/>
      <c r="BC55" s="108"/>
      <c r="BD55" s="108"/>
      <c r="BE55" s="108"/>
      <c r="BF55" s="108"/>
      <c r="BG55" s="108"/>
      <c r="BH55" s="108"/>
    </row>
    <row r="56" spans="1:86" s="125" customFormat="1" ht="13.5" customHeight="1">
      <c r="A56" s="141" t="s">
        <v>312</v>
      </c>
      <c r="B56" s="324">
        <f>B43/B48</f>
        <v>0.91504576659038905</v>
      </c>
      <c r="C56" s="325">
        <f t="shared" ref="C56:K56" si="40">C43/C48</f>
        <v>0.91609729434271658</v>
      </c>
      <c r="D56" s="325">
        <f t="shared" si="40"/>
        <v>0.911961466416912</v>
      </c>
      <c r="E56" s="325">
        <f t="shared" si="40"/>
        <v>0.90493448564259826</v>
      </c>
      <c r="F56" s="325">
        <f t="shared" si="40"/>
        <v>0.90699001426533521</v>
      </c>
      <c r="G56" s="325">
        <f t="shared" si="40"/>
        <v>0.91292055414192819</v>
      </c>
      <c r="H56" s="325">
        <f t="shared" si="40"/>
        <v>0.9169435215946844</v>
      </c>
      <c r="I56" s="325">
        <f t="shared" si="40"/>
        <v>0.91788222582387902</v>
      </c>
      <c r="J56" s="325">
        <f t="shared" si="40"/>
        <v>0.919047619047619</v>
      </c>
      <c r="K56" s="326">
        <f t="shared" si="40"/>
        <v>0.91690470007790181</v>
      </c>
      <c r="M56" s="108"/>
      <c r="W56" s="108"/>
      <c r="X56" s="108"/>
      <c r="Y56" s="108"/>
      <c r="Z56" s="108"/>
      <c r="AA56" s="108"/>
      <c r="AB56" s="108"/>
      <c r="AC56" s="108"/>
      <c r="AD56" s="108"/>
      <c r="AE56" s="108"/>
      <c r="AF56" s="108"/>
      <c r="AG56" s="108"/>
      <c r="AH56" s="108"/>
      <c r="AI56" s="108"/>
      <c r="AJ56" s="108"/>
      <c r="AK56" s="108"/>
      <c r="AL56" s="108"/>
      <c r="AM56" s="108"/>
      <c r="AN56" s="108"/>
      <c r="AO56" s="108"/>
      <c r="AP56" s="108"/>
      <c r="AQ56" s="108"/>
      <c r="AR56" s="108"/>
      <c r="AS56" s="108"/>
      <c r="AT56" s="108"/>
      <c r="AU56" s="108"/>
      <c r="AV56" s="108"/>
      <c r="AW56" s="108"/>
      <c r="AX56" s="108"/>
      <c r="AY56" s="108"/>
      <c r="AZ56" s="108"/>
      <c r="BA56" s="108"/>
      <c r="BB56" s="108"/>
      <c r="BC56" s="108"/>
      <c r="BD56" s="108"/>
      <c r="BE56" s="108"/>
      <c r="BF56" s="108"/>
      <c r="BG56" s="108"/>
      <c r="BH56" s="108"/>
    </row>
    <row r="57" spans="1:86" s="125" customFormat="1" ht="13.5" customHeight="1">
      <c r="A57" s="129" t="s">
        <v>82</v>
      </c>
      <c r="B57" s="315">
        <f>B44/B$43</f>
        <v>0.34104407627383559</v>
      </c>
      <c r="C57" s="316">
        <f t="shared" ref="C57:K57" si="41">C44/C$43</f>
        <v>0.34099045346062046</v>
      </c>
      <c r="D57" s="316">
        <f t="shared" si="41"/>
        <v>0.34008215962441313</v>
      </c>
      <c r="E57" s="316">
        <f t="shared" si="41"/>
        <v>0.34195933456561922</v>
      </c>
      <c r="F57" s="316">
        <f t="shared" si="41"/>
        <v>0.34287511796162318</v>
      </c>
      <c r="G57" s="316">
        <f t="shared" si="41"/>
        <v>0.3480953855682874</v>
      </c>
      <c r="H57" s="316">
        <f t="shared" si="41"/>
        <v>0.34903381642512082</v>
      </c>
      <c r="I57" s="316">
        <f t="shared" si="41"/>
        <v>0.34902884049440852</v>
      </c>
      <c r="J57" s="316">
        <f t="shared" si="41"/>
        <v>0.34801381692573408</v>
      </c>
      <c r="K57" s="317">
        <f t="shared" si="41"/>
        <v>0.3480600396488247</v>
      </c>
      <c r="M57" s="108"/>
      <c r="W57" s="108"/>
      <c r="X57" s="108"/>
      <c r="Y57" s="108"/>
      <c r="Z57" s="108"/>
      <c r="AA57" s="108"/>
      <c r="AB57" s="108"/>
      <c r="AC57" s="108"/>
      <c r="AD57" s="108"/>
      <c r="AE57" s="108"/>
      <c r="AF57" s="108"/>
      <c r="AG57" s="108"/>
      <c r="AH57" s="108"/>
      <c r="AI57" s="108"/>
      <c r="AJ57" s="108"/>
      <c r="AK57" s="108"/>
      <c r="AL57" s="108"/>
      <c r="AM57" s="108"/>
      <c r="AN57" s="108"/>
      <c r="AO57" s="108"/>
      <c r="AP57" s="108"/>
      <c r="AQ57" s="108"/>
      <c r="AR57" s="108"/>
      <c r="AS57" s="108"/>
      <c r="AT57" s="108"/>
      <c r="AU57" s="108"/>
      <c r="AV57" s="108"/>
      <c r="AW57" s="108"/>
      <c r="AX57" s="108"/>
      <c r="AY57" s="108"/>
      <c r="AZ57" s="108"/>
      <c r="BA57" s="108"/>
      <c r="BB57" s="108"/>
      <c r="BC57" s="108"/>
      <c r="BD57" s="108"/>
      <c r="BE57" s="108"/>
      <c r="BF57" s="108"/>
      <c r="BG57" s="108"/>
      <c r="BH57" s="108"/>
    </row>
    <row r="58" spans="1:86" s="125" customFormat="1" ht="13.5" customHeight="1">
      <c r="A58" s="129" t="s">
        <v>83</v>
      </c>
      <c r="B58" s="315">
        <f t="shared" ref="B58:B59" si="42">B45/B$43</f>
        <v>0.43294779618630824</v>
      </c>
      <c r="C58" s="316">
        <f t="shared" ref="C58:K58" si="43">C45/C$43</f>
        <v>0.43496420047732692</v>
      </c>
      <c r="D58" s="316">
        <f t="shared" si="43"/>
        <v>0.43397887323943662</v>
      </c>
      <c r="E58" s="316">
        <f t="shared" si="43"/>
        <v>0.43499691928527412</v>
      </c>
      <c r="F58" s="316">
        <f t="shared" si="43"/>
        <v>0.43409877319911927</v>
      </c>
      <c r="G58" s="316">
        <f t="shared" si="43"/>
        <v>0.43604831217095075</v>
      </c>
      <c r="H58" s="316">
        <f t="shared" si="43"/>
        <v>0.43689613526570054</v>
      </c>
      <c r="I58" s="316">
        <f t="shared" si="43"/>
        <v>0.43496174220129497</v>
      </c>
      <c r="J58" s="316">
        <f t="shared" si="43"/>
        <v>0.43494530800230286</v>
      </c>
      <c r="K58" s="317">
        <f t="shared" si="43"/>
        <v>0.43302180685358255</v>
      </c>
      <c r="M58" s="108"/>
      <c r="W58" s="108"/>
      <c r="X58" s="108"/>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8"/>
      <c r="AU58" s="108"/>
      <c r="AV58" s="108"/>
      <c r="AW58" s="108"/>
      <c r="AX58" s="108"/>
      <c r="AY58" s="108"/>
      <c r="AZ58" s="108"/>
      <c r="BA58" s="108"/>
      <c r="BB58" s="108"/>
      <c r="BC58" s="108"/>
      <c r="BD58" s="108"/>
      <c r="BE58" s="108"/>
      <c r="BF58" s="108"/>
      <c r="BG58" s="108"/>
      <c r="BH58" s="108"/>
    </row>
    <row r="59" spans="1:86" s="125" customFormat="1" ht="13.5" customHeight="1">
      <c r="A59" s="129" t="s">
        <v>14</v>
      </c>
      <c r="B59" s="315">
        <f t="shared" si="42"/>
        <v>0.22600812753985622</v>
      </c>
      <c r="C59" s="316">
        <f t="shared" ref="C59:K59" si="44">C46/C$43</f>
        <v>0.22404534606205245</v>
      </c>
      <c r="D59" s="316">
        <f t="shared" si="44"/>
        <v>0.22593896713615022</v>
      </c>
      <c r="E59" s="316">
        <f t="shared" si="44"/>
        <v>0.2230437461491066</v>
      </c>
      <c r="F59" s="316">
        <f t="shared" si="44"/>
        <v>0.22302610883925766</v>
      </c>
      <c r="G59" s="316">
        <f t="shared" si="44"/>
        <v>0.21585630226076183</v>
      </c>
      <c r="H59" s="316">
        <f t="shared" si="44"/>
        <v>0.21407004830917881</v>
      </c>
      <c r="I59" s="316">
        <f t="shared" si="44"/>
        <v>0.21600941730429668</v>
      </c>
      <c r="J59" s="316">
        <f t="shared" si="44"/>
        <v>0.21704087507196318</v>
      </c>
      <c r="K59" s="317">
        <f t="shared" si="44"/>
        <v>0.21891815349759272</v>
      </c>
      <c r="M59" s="108"/>
      <c r="W59" s="108"/>
      <c r="X59" s="108"/>
      <c r="Y59" s="108"/>
      <c r="Z59" s="108"/>
      <c r="AA59" s="108"/>
      <c r="AB59" s="108"/>
      <c r="AC59" s="108"/>
      <c r="AD59" s="108"/>
      <c r="AE59" s="108"/>
      <c r="AF59" s="108"/>
      <c r="AG59" s="108"/>
      <c r="AH59" s="108"/>
      <c r="AI59" s="108"/>
      <c r="AJ59" s="108"/>
      <c r="AK59" s="108"/>
      <c r="AL59" s="108"/>
      <c r="AM59" s="108"/>
      <c r="AN59" s="108"/>
      <c r="AO59" s="108"/>
      <c r="AP59" s="108"/>
      <c r="AQ59" s="108"/>
      <c r="AR59" s="108"/>
      <c r="AS59" s="108"/>
      <c r="AT59" s="108"/>
      <c r="AU59" s="108"/>
      <c r="AV59" s="108"/>
      <c r="AW59" s="108"/>
      <c r="AX59" s="108"/>
      <c r="AY59" s="108"/>
      <c r="AZ59" s="108"/>
      <c r="BA59" s="108"/>
      <c r="BB59" s="108"/>
      <c r="BC59" s="108"/>
      <c r="BD59" s="108"/>
      <c r="BE59" s="108"/>
      <c r="BF59" s="108"/>
      <c r="BG59" s="108"/>
      <c r="BH59" s="108"/>
    </row>
    <row r="60" spans="1:86" s="125" customFormat="1" ht="13.5" customHeight="1">
      <c r="A60" s="149" t="s">
        <v>313</v>
      </c>
      <c r="B60" s="312">
        <f>B47/B48</f>
        <v>8.4954233409610988E-2</v>
      </c>
      <c r="C60" s="313">
        <f t="shared" ref="C60:K60" si="45">C47/C48</f>
        <v>8.3902705657283402E-2</v>
      </c>
      <c r="D60" s="313">
        <f t="shared" si="45"/>
        <v>8.8038533583088038E-2</v>
      </c>
      <c r="E60" s="313">
        <f t="shared" si="45"/>
        <v>9.5065514357401723E-2</v>
      </c>
      <c r="F60" s="313">
        <f t="shared" si="45"/>
        <v>9.3009985734664763E-2</v>
      </c>
      <c r="G60" s="313">
        <f t="shared" si="45"/>
        <v>8.7079445858071799E-2</v>
      </c>
      <c r="H60" s="313">
        <f t="shared" si="45"/>
        <v>8.3056478405315631E-2</v>
      </c>
      <c r="I60" s="313">
        <f t="shared" si="45"/>
        <v>8.2117774176121025E-2</v>
      </c>
      <c r="J60" s="313">
        <f t="shared" si="45"/>
        <v>8.0952380952380956E-2</v>
      </c>
      <c r="K60" s="314">
        <f t="shared" si="45"/>
        <v>8.3095299922098145E-2</v>
      </c>
      <c r="M60" s="108"/>
      <c r="W60" s="108"/>
      <c r="X60" s="108"/>
      <c r="Y60" s="108"/>
      <c r="Z60" s="108"/>
      <c r="AA60" s="108"/>
      <c r="AB60" s="108"/>
      <c r="AC60" s="108"/>
      <c r="AD60" s="108"/>
      <c r="AE60" s="108"/>
      <c r="AF60" s="108"/>
      <c r="AG60" s="108"/>
      <c r="AH60" s="108"/>
      <c r="AI60" s="108"/>
      <c r="AJ60" s="108"/>
      <c r="AK60" s="108"/>
      <c r="AL60" s="108"/>
      <c r="AM60" s="108"/>
      <c r="AN60" s="108"/>
      <c r="AO60" s="108"/>
      <c r="AP60" s="108"/>
      <c r="AQ60" s="108"/>
      <c r="AR60" s="108"/>
      <c r="AS60" s="108"/>
      <c r="AT60" s="108"/>
      <c r="AU60" s="108"/>
      <c r="AV60" s="108"/>
      <c r="AW60" s="108"/>
      <c r="AX60" s="108"/>
      <c r="AY60" s="108"/>
      <c r="AZ60" s="108"/>
      <c r="BA60" s="108"/>
      <c r="BB60" s="108"/>
      <c r="BC60" s="108"/>
      <c r="BD60" s="108"/>
      <c r="BE60" s="108"/>
      <c r="BF60" s="108"/>
      <c r="BG60" s="108"/>
      <c r="BH60" s="108"/>
    </row>
    <row r="61" spans="1:86" s="125" customFormat="1" ht="13.5" customHeight="1" thickBot="1">
      <c r="A61" s="155" t="s">
        <v>18</v>
      </c>
      <c r="B61" s="318">
        <f t="shared" ref="B61:K61" si="46">B60+B56</f>
        <v>1</v>
      </c>
      <c r="C61" s="319">
        <f t="shared" si="46"/>
        <v>1</v>
      </c>
      <c r="D61" s="319">
        <f t="shared" si="46"/>
        <v>1</v>
      </c>
      <c r="E61" s="319">
        <f t="shared" si="46"/>
        <v>1</v>
      </c>
      <c r="F61" s="319">
        <f t="shared" si="46"/>
        <v>1</v>
      </c>
      <c r="G61" s="319">
        <f t="shared" si="46"/>
        <v>1</v>
      </c>
      <c r="H61" s="319">
        <f t="shared" si="46"/>
        <v>1</v>
      </c>
      <c r="I61" s="319">
        <f t="shared" si="46"/>
        <v>1</v>
      </c>
      <c r="J61" s="319">
        <f t="shared" si="46"/>
        <v>1</v>
      </c>
      <c r="K61" s="320">
        <f t="shared" si="46"/>
        <v>1</v>
      </c>
      <c r="M61" s="108"/>
      <c r="W61" s="108"/>
      <c r="X61" s="108"/>
      <c r="Y61" s="108"/>
      <c r="Z61" s="108"/>
      <c r="AA61" s="108"/>
      <c r="AB61" s="108"/>
      <c r="AC61" s="108"/>
      <c r="AD61" s="108"/>
      <c r="AE61" s="108"/>
      <c r="AF61" s="108"/>
      <c r="AG61" s="108"/>
      <c r="AH61" s="108"/>
      <c r="AI61" s="108"/>
      <c r="AJ61" s="108"/>
      <c r="AK61" s="108"/>
      <c r="AL61" s="108"/>
      <c r="AM61" s="108"/>
      <c r="AN61" s="108"/>
      <c r="AO61" s="108"/>
      <c r="AP61" s="108"/>
      <c r="AQ61" s="108"/>
      <c r="AR61" s="108"/>
      <c r="AS61" s="108"/>
      <c r="AT61" s="108"/>
      <c r="AU61" s="108"/>
      <c r="AV61" s="108"/>
      <c r="AW61" s="108"/>
      <c r="AX61" s="108"/>
      <c r="AY61" s="108"/>
      <c r="AZ61" s="108"/>
      <c r="BA61" s="108"/>
      <c r="BB61" s="108"/>
      <c r="BC61" s="108"/>
      <c r="BD61" s="108"/>
      <c r="BE61" s="108"/>
      <c r="BF61" s="108"/>
      <c r="BG61" s="108"/>
      <c r="BH61" s="108"/>
    </row>
    <row r="62" spans="1:86" s="15" customFormat="1">
      <c r="B62" s="305"/>
      <c r="C62" s="305"/>
      <c r="D62" s="305"/>
      <c r="E62" s="305"/>
      <c r="F62" s="305"/>
      <c r="G62" s="305"/>
      <c r="H62" s="305"/>
      <c r="I62" s="305"/>
      <c r="J62" s="305"/>
      <c r="K62" s="305"/>
      <c r="N62" s="10"/>
      <c r="O62" s="10"/>
      <c r="P62" s="10"/>
      <c r="Q62" s="10"/>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c r="CC62" s="41"/>
      <c r="CD62" s="41"/>
      <c r="CE62" s="41"/>
      <c r="CF62" s="41"/>
      <c r="CG62" s="41"/>
      <c r="CH62" s="41"/>
    </row>
    <row r="63" spans="1:86" s="22" customFormat="1" ht="14.25" thickBot="1">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row>
    <row r="65" spans="1:86" s="15" customFormat="1">
      <c r="A65" s="41" t="s">
        <v>367</v>
      </c>
      <c r="B65" s="8" t="s">
        <v>314</v>
      </c>
      <c r="N65" s="10"/>
      <c r="O65" s="10"/>
      <c r="P65" s="10"/>
      <c r="Q65" s="10"/>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c r="CD65" s="41"/>
      <c r="CE65" s="41"/>
      <c r="CF65" s="41"/>
      <c r="CG65" s="41"/>
      <c r="CH65" s="41"/>
    </row>
    <row r="66" spans="1:86" s="15" customFormat="1" ht="14.25" thickBot="1">
      <c r="A66" s="17"/>
      <c r="B66" s="17"/>
      <c r="C66" s="17"/>
      <c r="D66" s="17"/>
      <c r="E66" s="17"/>
      <c r="F66" s="17"/>
      <c r="N66" s="10"/>
      <c r="O66" s="10"/>
      <c r="P66" s="10"/>
      <c r="Q66" s="10"/>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1"/>
      <c r="BZ66" s="41"/>
      <c r="CA66" s="41"/>
      <c r="CB66" s="41"/>
      <c r="CC66" s="41"/>
      <c r="CD66" s="41"/>
      <c r="CE66" s="41"/>
      <c r="CF66" s="41"/>
      <c r="CG66" s="41"/>
      <c r="CH66" s="41"/>
    </row>
    <row r="67" spans="1:86" s="125" customFormat="1" ht="14.25" thickBot="1">
      <c r="A67" s="113"/>
      <c r="B67" s="222">
        <v>2010</v>
      </c>
      <c r="C67" s="47">
        <v>2011</v>
      </c>
      <c r="D67" s="47">
        <v>2012</v>
      </c>
      <c r="E67" s="47">
        <v>2013</v>
      </c>
      <c r="F67" s="48">
        <v>2014</v>
      </c>
      <c r="H67" s="116" t="s">
        <v>31</v>
      </c>
      <c r="I67" s="3" t="s">
        <v>32</v>
      </c>
      <c r="J67" s="3" t="s">
        <v>33</v>
      </c>
      <c r="K67" s="183" t="s">
        <v>34</v>
      </c>
      <c r="V67" s="108"/>
      <c r="W67" s="108"/>
      <c r="X67" s="108"/>
      <c r="Y67" s="108"/>
      <c r="Z67" s="108"/>
      <c r="AA67" s="108"/>
      <c r="AB67" s="108"/>
      <c r="AC67" s="108"/>
      <c r="AD67" s="108"/>
      <c r="AE67" s="108"/>
      <c r="AF67" s="108"/>
      <c r="AG67" s="108"/>
      <c r="AH67" s="108"/>
      <c r="AI67" s="108"/>
      <c r="AJ67" s="108"/>
      <c r="AK67" s="108"/>
      <c r="AL67" s="108"/>
      <c r="AM67" s="108"/>
      <c r="AN67" s="108"/>
      <c r="AO67" s="108"/>
      <c r="AP67" s="108"/>
      <c r="AQ67" s="108"/>
      <c r="AR67" s="108"/>
      <c r="AS67" s="108"/>
      <c r="AT67" s="108"/>
      <c r="AU67" s="108"/>
      <c r="AV67" s="108"/>
      <c r="AW67" s="108"/>
      <c r="AX67" s="108"/>
      <c r="AY67" s="108"/>
      <c r="AZ67" s="108"/>
      <c r="BA67" s="108"/>
      <c r="BB67" s="108"/>
      <c r="BC67" s="108"/>
      <c r="BD67" s="108"/>
      <c r="BE67" s="108"/>
      <c r="BF67" s="108"/>
      <c r="BG67" s="108"/>
      <c r="BH67" s="108"/>
      <c r="BI67" s="108"/>
      <c r="BJ67" s="108"/>
      <c r="BK67" s="108"/>
      <c r="BL67" s="108"/>
      <c r="BM67" s="108"/>
      <c r="BN67" s="108"/>
      <c r="BO67" s="108"/>
      <c r="BP67" s="108"/>
      <c r="BQ67" s="108"/>
      <c r="BR67" s="108"/>
      <c r="BS67" s="108"/>
      <c r="BT67" s="108"/>
      <c r="BU67" s="108"/>
      <c r="BV67" s="108"/>
      <c r="BW67" s="108"/>
      <c r="BX67" s="108"/>
      <c r="BY67" s="108"/>
      <c r="BZ67" s="108"/>
      <c r="CA67" s="108"/>
      <c r="CB67" s="108"/>
      <c r="CC67" s="108"/>
      <c r="CD67" s="108"/>
      <c r="CE67" s="108"/>
      <c r="CF67" s="108"/>
      <c r="CG67" s="108"/>
      <c r="CH67" s="108"/>
    </row>
    <row r="68" spans="1:86" s="125" customFormat="1">
      <c r="A68" s="141" t="s">
        <v>81</v>
      </c>
      <c r="B68" s="142">
        <f>B69+B70</f>
        <v>5491.2</v>
      </c>
      <c r="C68" s="143">
        <f t="shared" ref="C68:F68" si="47">C69+C70</f>
        <v>5682.4</v>
      </c>
      <c r="D68" s="143">
        <f t="shared" si="47"/>
        <v>5762.9</v>
      </c>
      <c r="E68" s="143">
        <f t="shared" si="47"/>
        <v>5545.5</v>
      </c>
      <c r="F68" s="144">
        <f t="shared" si="47"/>
        <v>5433.9</v>
      </c>
      <c r="H68" s="146">
        <f t="shared" ref="H68:K72" si="48">(C68-B68)/B68</f>
        <v>3.4819347319347285E-2</v>
      </c>
      <c r="I68" s="147">
        <f t="shared" si="48"/>
        <v>1.4166549345347038E-2</v>
      </c>
      <c r="J68" s="147">
        <f t="shared" si="48"/>
        <v>-3.7724062537958257E-2</v>
      </c>
      <c r="K68" s="148">
        <f t="shared" si="48"/>
        <v>-2.0124425209629496E-2</v>
      </c>
      <c r="V68" s="108"/>
      <c r="W68" s="108"/>
      <c r="X68" s="108"/>
      <c r="Y68" s="108"/>
      <c r="Z68" s="108"/>
      <c r="AA68" s="108"/>
      <c r="AB68" s="108"/>
      <c r="AC68" s="108"/>
      <c r="AD68" s="108"/>
      <c r="AE68" s="108"/>
      <c r="AF68" s="108"/>
      <c r="AG68" s="108"/>
      <c r="AH68" s="108"/>
      <c r="AI68" s="108"/>
      <c r="AJ68" s="108"/>
      <c r="AK68" s="108"/>
      <c r="AL68" s="108"/>
      <c r="AM68" s="108"/>
      <c r="AN68" s="108"/>
      <c r="AO68" s="108"/>
      <c r="AP68" s="108"/>
      <c r="AQ68" s="108"/>
      <c r="AR68" s="108"/>
      <c r="AS68" s="108"/>
      <c r="AT68" s="108"/>
      <c r="AU68" s="108"/>
      <c r="AV68" s="108"/>
      <c r="AW68" s="108"/>
      <c r="AX68" s="108"/>
      <c r="AY68" s="108"/>
      <c r="AZ68" s="108"/>
      <c r="BA68" s="108"/>
      <c r="BB68" s="108"/>
      <c r="BC68" s="108"/>
      <c r="BD68" s="108"/>
      <c r="BE68" s="108"/>
      <c r="BF68" s="108"/>
      <c r="BG68" s="108"/>
      <c r="BH68" s="108"/>
      <c r="BI68" s="108"/>
      <c r="BJ68" s="108"/>
      <c r="BK68" s="108"/>
      <c r="BL68" s="108"/>
      <c r="BM68" s="108"/>
      <c r="BN68" s="108"/>
      <c r="BO68" s="108"/>
      <c r="BP68" s="108"/>
      <c r="BQ68" s="108"/>
      <c r="BR68" s="108"/>
      <c r="BS68" s="108"/>
      <c r="BT68" s="108"/>
      <c r="BU68" s="108"/>
      <c r="BV68" s="108"/>
      <c r="BW68" s="108"/>
      <c r="BX68" s="108"/>
      <c r="BY68" s="108"/>
      <c r="BZ68" s="108"/>
      <c r="CA68" s="108"/>
      <c r="CB68" s="108"/>
      <c r="CC68" s="108"/>
      <c r="CD68" s="108"/>
      <c r="CE68" s="108"/>
      <c r="CF68" s="108"/>
      <c r="CG68" s="108"/>
      <c r="CH68" s="108"/>
    </row>
    <row r="69" spans="1:86" s="125" customFormat="1">
      <c r="A69" s="129" t="s">
        <v>1</v>
      </c>
      <c r="B69" s="102">
        <v>3992.1</v>
      </c>
      <c r="C69" s="92">
        <v>4114</v>
      </c>
      <c r="D69" s="92">
        <v>4126.3</v>
      </c>
      <c r="E69" s="92">
        <v>3942.9</v>
      </c>
      <c r="F69" s="97">
        <v>3961.3</v>
      </c>
      <c r="H69" s="130">
        <f t="shared" si="48"/>
        <v>3.0535307231782795E-2</v>
      </c>
      <c r="I69" s="131">
        <f t="shared" si="48"/>
        <v>2.9897909577054405E-3</v>
      </c>
      <c r="J69" s="131">
        <f t="shared" si="48"/>
        <v>-4.4446598647698926E-2</v>
      </c>
      <c r="K69" s="132">
        <f t="shared" si="48"/>
        <v>4.6666159425803573E-3</v>
      </c>
      <c r="V69" s="108"/>
      <c r="W69" s="108"/>
      <c r="X69" s="108"/>
      <c r="Y69" s="108"/>
      <c r="Z69" s="108"/>
      <c r="AA69" s="108"/>
      <c r="AB69" s="108"/>
      <c r="AC69" s="108"/>
      <c r="AD69" s="108"/>
      <c r="AE69" s="108"/>
      <c r="AF69" s="108"/>
      <c r="AG69" s="108"/>
      <c r="AH69" s="108"/>
      <c r="AI69" s="108"/>
      <c r="AJ69" s="108"/>
      <c r="AK69" s="108"/>
      <c r="AL69" s="108"/>
      <c r="AM69" s="108"/>
      <c r="AN69" s="108"/>
      <c r="AO69" s="108"/>
      <c r="AP69" s="108"/>
      <c r="AQ69" s="108"/>
      <c r="AR69" s="108"/>
      <c r="AS69" s="108"/>
      <c r="AT69" s="108"/>
      <c r="AU69" s="108"/>
      <c r="AV69" s="108"/>
      <c r="AW69" s="108"/>
      <c r="AX69" s="108"/>
      <c r="AY69" s="108"/>
      <c r="AZ69" s="108"/>
      <c r="BA69" s="108"/>
      <c r="BB69" s="108"/>
      <c r="BC69" s="108"/>
      <c r="BD69" s="108"/>
      <c r="BE69" s="108"/>
      <c r="BF69" s="108"/>
      <c r="BG69" s="108"/>
      <c r="BH69" s="108"/>
      <c r="BI69" s="108"/>
      <c r="BJ69" s="108"/>
      <c r="BK69" s="108"/>
      <c r="BL69" s="108"/>
      <c r="BM69" s="108"/>
      <c r="BN69" s="108"/>
      <c r="BO69" s="108"/>
      <c r="BP69" s="108"/>
      <c r="BQ69" s="108"/>
      <c r="BR69" s="108"/>
      <c r="BS69" s="108"/>
      <c r="BT69" s="108"/>
      <c r="BU69" s="108"/>
      <c r="BV69" s="108"/>
      <c r="BW69" s="108"/>
      <c r="BX69" s="108"/>
      <c r="BY69" s="108"/>
      <c r="BZ69" s="108"/>
      <c r="CA69" s="108"/>
      <c r="CB69" s="108"/>
      <c r="CC69" s="108"/>
      <c r="CD69" s="108"/>
      <c r="CE69" s="108"/>
      <c r="CF69" s="108"/>
      <c r="CG69" s="108"/>
      <c r="CH69" s="108"/>
    </row>
    <row r="70" spans="1:86" s="125" customFormat="1">
      <c r="A70" s="129" t="s">
        <v>2</v>
      </c>
      <c r="B70" s="102">
        <v>1499.1</v>
      </c>
      <c r="C70" s="92">
        <v>1568.4</v>
      </c>
      <c r="D70" s="92">
        <v>1636.6</v>
      </c>
      <c r="E70" s="92">
        <v>1602.6</v>
      </c>
      <c r="F70" s="97">
        <v>1472.6</v>
      </c>
      <c r="H70" s="130">
        <f t="shared" si="48"/>
        <v>4.6227736641985318E-2</v>
      </c>
      <c r="I70" s="131">
        <f t="shared" si="48"/>
        <v>4.3483805151746886E-2</v>
      </c>
      <c r="J70" s="131">
        <f t="shared" si="48"/>
        <v>-2.0774776976658929E-2</v>
      </c>
      <c r="K70" s="132">
        <f t="shared" si="48"/>
        <v>-8.1118182952701859E-2</v>
      </c>
      <c r="V70" s="108"/>
      <c r="W70" s="108"/>
      <c r="X70" s="108"/>
      <c r="Y70" s="108"/>
      <c r="Z70" s="108"/>
      <c r="AA70" s="108"/>
      <c r="AB70" s="108"/>
      <c r="AC70" s="108"/>
      <c r="AD70" s="108"/>
      <c r="AE70" s="108"/>
      <c r="AF70" s="108"/>
      <c r="AG70" s="108"/>
      <c r="AH70" s="108"/>
      <c r="AI70" s="108"/>
      <c r="AJ70" s="108"/>
      <c r="AK70" s="108"/>
      <c r="AL70" s="108"/>
      <c r="AM70" s="108"/>
      <c r="AN70" s="108"/>
      <c r="AO70" s="108"/>
      <c r="AP70" s="108"/>
      <c r="AQ70" s="108"/>
      <c r="AR70" s="108"/>
      <c r="AS70" s="108"/>
      <c r="AT70" s="108"/>
      <c r="AU70" s="108"/>
      <c r="AV70" s="108"/>
      <c r="AW70" s="108"/>
      <c r="AX70" s="108"/>
      <c r="AY70" s="108"/>
      <c r="AZ70" s="108"/>
      <c r="BA70" s="108"/>
      <c r="BB70" s="108"/>
      <c r="BC70" s="108"/>
      <c r="BD70" s="108"/>
      <c r="BE70" s="108"/>
      <c r="BF70" s="108"/>
      <c r="BG70" s="108"/>
      <c r="BH70" s="108"/>
      <c r="BI70" s="108"/>
      <c r="BJ70" s="108"/>
      <c r="BK70" s="108"/>
      <c r="BL70" s="108"/>
      <c r="BM70" s="108"/>
      <c r="BN70" s="108"/>
      <c r="BO70" s="108"/>
      <c r="BP70" s="108"/>
      <c r="BQ70" s="108"/>
      <c r="BR70" s="108"/>
      <c r="BS70" s="108"/>
      <c r="BT70" s="108"/>
      <c r="BU70" s="108"/>
      <c r="BV70" s="108"/>
      <c r="BW70" s="108"/>
      <c r="BX70" s="108"/>
      <c r="BY70" s="108"/>
      <c r="BZ70" s="108"/>
      <c r="CA70" s="108"/>
      <c r="CB70" s="108"/>
      <c r="CC70" s="108"/>
      <c r="CD70" s="108"/>
      <c r="CE70" s="108"/>
      <c r="CF70" s="108"/>
      <c r="CG70" s="108"/>
      <c r="CH70" s="108"/>
    </row>
    <row r="71" spans="1:86" s="125" customFormat="1">
      <c r="A71" s="149" t="s">
        <v>79</v>
      </c>
      <c r="B71" s="150">
        <v>678.7</v>
      </c>
      <c r="C71" s="109">
        <v>680.9</v>
      </c>
      <c r="D71" s="109">
        <v>756.2</v>
      </c>
      <c r="E71" s="109">
        <v>749</v>
      </c>
      <c r="F71" s="151">
        <v>748</v>
      </c>
      <c r="H71" s="152">
        <f t="shared" si="48"/>
        <v>3.241491085899413E-3</v>
      </c>
      <c r="I71" s="153">
        <f t="shared" si="48"/>
        <v>0.1105889264209136</v>
      </c>
      <c r="J71" s="153">
        <f t="shared" si="48"/>
        <v>-9.5212906638456034E-3</v>
      </c>
      <c r="K71" s="154">
        <f t="shared" si="48"/>
        <v>-1.3351134846461949E-3</v>
      </c>
      <c r="V71" s="108"/>
      <c r="W71" s="108"/>
      <c r="X71" s="108"/>
      <c r="Y71" s="108"/>
      <c r="Z71" s="108"/>
      <c r="AA71" s="108"/>
      <c r="AB71" s="108"/>
      <c r="AC71" s="108"/>
      <c r="AD71" s="108"/>
      <c r="AE71" s="108"/>
      <c r="AF71" s="108"/>
      <c r="AG71" s="108"/>
      <c r="AH71" s="108"/>
      <c r="AI71" s="108"/>
      <c r="AJ71" s="108"/>
      <c r="AK71" s="108"/>
      <c r="AL71" s="108"/>
      <c r="AM71" s="108"/>
      <c r="AN71" s="108"/>
      <c r="AO71" s="108"/>
      <c r="AP71" s="108"/>
      <c r="AQ71" s="108"/>
      <c r="AR71" s="108"/>
      <c r="AS71" s="108"/>
      <c r="AT71" s="108"/>
      <c r="AU71" s="108"/>
      <c r="AV71" s="108"/>
      <c r="AW71" s="108"/>
      <c r="AX71" s="108"/>
      <c r="AY71" s="108"/>
      <c r="AZ71" s="108"/>
      <c r="BA71" s="108"/>
      <c r="BB71" s="108"/>
      <c r="BC71" s="108"/>
      <c r="BD71" s="108"/>
      <c r="BE71" s="108"/>
      <c r="BF71" s="108"/>
      <c r="BG71" s="108"/>
      <c r="BH71" s="108"/>
      <c r="BI71" s="108"/>
      <c r="BJ71" s="108"/>
      <c r="BK71" s="108"/>
      <c r="BL71" s="108"/>
      <c r="BM71" s="108"/>
      <c r="BN71" s="108"/>
      <c r="BO71" s="108"/>
      <c r="BP71" s="108"/>
      <c r="BQ71" s="108"/>
      <c r="BR71" s="108"/>
      <c r="BS71" s="108"/>
      <c r="BT71" s="108"/>
      <c r="BU71" s="108"/>
      <c r="BV71" s="108"/>
      <c r="BW71" s="108"/>
      <c r="BX71" s="108"/>
      <c r="BY71" s="108"/>
      <c r="BZ71" s="108"/>
      <c r="CA71" s="108"/>
      <c r="CB71" s="108"/>
      <c r="CC71" s="108"/>
      <c r="CD71" s="108"/>
      <c r="CE71" s="108"/>
      <c r="CF71" s="108"/>
      <c r="CG71" s="108"/>
      <c r="CH71" s="108"/>
    </row>
    <row r="72" spans="1:86" s="125" customFormat="1" ht="14.25" thickBot="1">
      <c r="A72" s="155" t="s">
        <v>18</v>
      </c>
      <c r="B72" s="98">
        <f>B71+B68</f>
        <v>6169.9</v>
      </c>
      <c r="C72" s="99">
        <f>C71+C68</f>
        <v>6363.2999999999993</v>
      </c>
      <c r="D72" s="99">
        <f>D71+D68</f>
        <v>6519.0999999999995</v>
      </c>
      <c r="E72" s="99">
        <f>E71+E68</f>
        <v>6294.5</v>
      </c>
      <c r="F72" s="100">
        <f>F71+F68</f>
        <v>6181.9</v>
      </c>
      <c r="H72" s="156">
        <f t="shared" si="48"/>
        <v>3.1345726835118826E-2</v>
      </c>
      <c r="I72" s="157">
        <f t="shared" si="48"/>
        <v>2.4484151305140447E-2</v>
      </c>
      <c r="J72" s="157">
        <f t="shared" si="48"/>
        <v>-3.4452608488901762E-2</v>
      </c>
      <c r="K72" s="158">
        <f t="shared" si="48"/>
        <v>-1.7888632933513442E-2</v>
      </c>
      <c r="N72" s="176"/>
      <c r="V72" s="108"/>
      <c r="W72" s="108"/>
      <c r="X72" s="108"/>
      <c r="Y72" s="108"/>
      <c r="Z72" s="108"/>
      <c r="AA72" s="108"/>
      <c r="AB72" s="108"/>
      <c r="AC72" s="108"/>
      <c r="AD72" s="108"/>
      <c r="AE72" s="108"/>
      <c r="AF72" s="108"/>
      <c r="AG72" s="108"/>
      <c r="AH72" s="108"/>
      <c r="AI72" s="108"/>
      <c r="AJ72" s="108"/>
      <c r="AK72" s="108"/>
      <c r="AL72" s="108"/>
      <c r="AM72" s="108"/>
      <c r="AN72" s="108"/>
      <c r="AO72" s="108"/>
      <c r="AP72" s="108"/>
      <c r="AQ72" s="108"/>
      <c r="AR72" s="108"/>
      <c r="AS72" s="108"/>
      <c r="AT72" s="108"/>
      <c r="AU72" s="108"/>
      <c r="AV72" s="108"/>
      <c r="AW72" s="108"/>
      <c r="AX72" s="108"/>
      <c r="AY72" s="108"/>
      <c r="AZ72" s="108"/>
      <c r="BA72" s="108"/>
      <c r="BB72" s="108"/>
      <c r="BC72" s="108"/>
      <c r="BD72" s="108"/>
      <c r="BE72" s="108"/>
      <c r="BF72" s="108"/>
      <c r="BG72" s="108"/>
      <c r="BH72" s="108"/>
      <c r="BI72" s="108"/>
      <c r="BJ72" s="108"/>
      <c r="BK72" s="108"/>
      <c r="BL72" s="108"/>
      <c r="BM72" s="108"/>
      <c r="BN72" s="108"/>
      <c r="BO72" s="108"/>
      <c r="BP72" s="108"/>
      <c r="BQ72" s="108"/>
      <c r="BR72" s="108"/>
      <c r="BS72" s="108"/>
      <c r="BT72" s="108"/>
      <c r="BU72" s="108"/>
      <c r="BV72" s="108"/>
      <c r="BW72" s="108"/>
      <c r="BX72" s="108"/>
      <c r="BY72" s="108"/>
      <c r="BZ72" s="108"/>
      <c r="CA72" s="108"/>
      <c r="CB72" s="108"/>
      <c r="CC72" s="108"/>
      <c r="CD72" s="108"/>
      <c r="CE72" s="108"/>
      <c r="CF72" s="108"/>
      <c r="CG72" s="108"/>
      <c r="CH72" s="108"/>
    </row>
    <row r="73" spans="1:86" s="15" customFormat="1">
      <c r="A73" s="6" t="s">
        <v>37</v>
      </c>
      <c r="B73" s="401"/>
      <c r="C73" s="401"/>
      <c r="D73" s="401"/>
      <c r="E73" s="401"/>
      <c r="F73" s="401"/>
      <c r="G73" s="84"/>
      <c r="N73" s="10"/>
      <c r="O73" s="10"/>
      <c r="P73" s="10"/>
      <c r="Q73" s="10"/>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41"/>
      <c r="BV73" s="41"/>
      <c r="BW73" s="41"/>
      <c r="BX73" s="41"/>
      <c r="BY73" s="41"/>
      <c r="BZ73" s="41"/>
      <c r="CA73" s="41"/>
      <c r="CB73" s="41"/>
      <c r="CC73" s="41"/>
      <c r="CD73" s="41"/>
      <c r="CE73" s="41"/>
      <c r="CF73" s="41"/>
      <c r="CG73" s="41"/>
      <c r="CH73" s="41"/>
    </row>
    <row r="74" spans="1:86" s="15" customFormat="1">
      <c r="A74" s="6" t="s">
        <v>29</v>
      </c>
      <c r="B74" s="82"/>
      <c r="C74" s="82"/>
      <c r="D74" s="82"/>
      <c r="E74" s="82"/>
      <c r="F74" s="82"/>
      <c r="N74" s="10"/>
      <c r="O74" s="10"/>
      <c r="P74" s="10"/>
      <c r="Q74" s="10"/>
      <c r="R74" s="10"/>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41"/>
      <c r="BV74" s="41"/>
      <c r="BW74" s="41"/>
      <c r="BX74" s="41"/>
      <c r="BY74" s="41"/>
      <c r="BZ74" s="41"/>
      <c r="CA74" s="41"/>
      <c r="CB74" s="41"/>
      <c r="CC74" s="41"/>
      <c r="CD74" s="41"/>
      <c r="CE74" s="41"/>
      <c r="CF74" s="41"/>
      <c r="CG74" s="41"/>
      <c r="CH74" s="41"/>
    </row>
    <row r="75" spans="1:86">
      <c r="A75" s="6"/>
      <c r="B75" s="82"/>
      <c r="C75" s="82"/>
      <c r="D75" s="82"/>
      <c r="E75" s="82"/>
      <c r="F75" s="82"/>
    </row>
    <row r="76" spans="1:86" ht="14.25" thickBot="1">
      <c r="A76" s="6"/>
      <c r="B76" s="82"/>
      <c r="C76" s="82"/>
      <c r="D76" s="82"/>
      <c r="E76" s="82"/>
      <c r="F76" s="82"/>
      <c r="G76" s="82"/>
    </row>
    <row r="77" spans="1:86" s="162" customFormat="1" ht="14.25" thickBot="1">
      <c r="A77" s="177"/>
      <c r="B77" s="116" t="s">
        <v>39</v>
      </c>
      <c r="C77" s="140" t="s">
        <v>324</v>
      </c>
      <c r="D77" s="140" t="s">
        <v>40</v>
      </c>
      <c r="E77" s="140" t="s">
        <v>41</v>
      </c>
      <c r="F77" s="175" t="s">
        <v>42</v>
      </c>
      <c r="V77" s="178"/>
      <c r="W77" s="178"/>
      <c r="X77" s="178"/>
      <c r="Y77" s="178"/>
      <c r="Z77" s="178"/>
      <c r="AA77" s="178"/>
      <c r="AB77" s="178"/>
      <c r="AC77" s="178"/>
      <c r="AD77" s="178"/>
      <c r="AE77" s="178"/>
      <c r="AF77" s="178"/>
      <c r="AG77" s="178"/>
      <c r="AH77" s="178"/>
      <c r="AI77" s="178"/>
      <c r="AJ77" s="178"/>
      <c r="AK77" s="178"/>
      <c r="AL77" s="178"/>
      <c r="AM77" s="178"/>
      <c r="AN77" s="178"/>
      <c r="AO77" s="178"/>
      <c r="AP77" s="178"/>
      <c r="AQ77" s="178"/>
      <c r="AR77" s="178"/>
      <c r="AS77" s="178"/>
      <c r="AT77" s="178"/>
      <c r="AU77" s="178"/>
      <c r="AV77" s="178"/>
      <c r="AW77" s="178"/>
      <c r="AX77" s="178"/>
      <c r="AY77" s="178"/>
      <c r="AZ77" s="178"/>
      <c r="BA77" s="178"/>
      <c r="BB77" s="178"/>
      <c r="BC77" s="178"/>
      <c r="BD77" s="178"/>
      <c r="BE77" s="178"/>
      <c r="BF77" s="178"/>
      <c r="BG77" s="178"/>
      <c r="BH77" s="178"/>
      <c r="BI77" s="178"/>
      <c r="BJ77" s="178"/>
      <c r="BK77" s="178"/>
      <c r="BL77" s="178"/>
      <c r="BM77" s="178"/>
      <c r="BN77" s="178"/>
      <c r="BO77" s="178"/>
      <c r="BP77" s="178"/>
      <c r="BQ77" s="178"/>
      <c r="BR77" s="178"/>
      <c r="BS77" s="178"/>
      <c r="BT77" s="178"/>
      <c r="BU77" s="178"/>
      <c r="BV77" s="178"/>
      <c r="BW77" s="178"/>
      <c r="BX77" s="178"/>
      <c r="BY77" s="178"/>
      <c r="BZ77" s="178"/>
      <c r="CA77" s="178"/>
      <c r="CB77" s="178"/>
      <c r="CC77" s="178"/>
      <c r="CD77" s="178"/>
      <c r="CE77" s="178"/>
      <c r="CF77" s="178"/>
      <c r="CG77" s="178"/>
      <c r="CH77" s="178"/>
    </row>
    <row r="78" spans="1:86" s="162" customFormat="1">
      <c r="A78" s="141" t="s">
        <v>81</v>
      </c>
      <c r="B78" s="324">
        <f>B68/B72</f>
        <v>0.88999821715100735</v>
      </c>
      <c r="C78" s="325">
        <f t="shared" ref="C78:F78" si="49">C68/C72</f>
        <v>0.89299577263369645</v>
      </c>
      <c r="D78" s="325">
        <f t="shared" si="49"/>
        <v>0.88400239296835459</v>
      </c>
      <c r="E78" s="325">
        <f t="shared" si="49"/>
        <v>0.88100722853284619</v>
      </c>
      <c r="F78" s="326">
        <f t="shared" si="49"/>
        <v>0.87900160144939254</v>
      </c>
      <c r="V78" s="178"/>
      <c r="W78" s="178"/>
      <c r="X78" s="178"/>
      <c r="Y78" s="178"/>
      <c r="Z78" s="178"/>
      <c r="AA78" s="178"/>
      <c r="AB78" s="178"/>
      <c r="AC78" s="178"/>
      <c r="AD78" s="178"/>
      <c r="AE78" s="178"/>
      <c r="AF78" s="178"/>
      <c r="AG78" s="178"/>
      <c r="AH78" s="178"/>
      <c r="AI78" s="178"/>
      <c r="AJ78" s="178"/>
      <c r="AK78" s="178"/>
      <c r="AL78" s="178"/>
      <c r="AM78" s="178"/>
      <c r="AN78" s="178"/>
      <c r="AO78" s="178"/>
      <c r="AP78" s="178"/>
      <c r="AQ78" s="178"/>
      <c r="AR78" s="178"/>
      <c r="AS78" s="178"/>
      <c r="AT78" s="178"/>
      <c r="AU78" s="178"/>
      <c r="AV78" s="178"/>
      <c r="AW78" s="178"/>
      <c r="AX78" s="178"/>
      <c r="AY78" s="178"/>
      <c r="AZ78" s="178"/>
      <c r="BA78" s="178"/>
      <c r="BB78" s="178"/>
      <c r="BC78" s="178"/>
      <c r="BD78" s="178"/>
      <c r="BE78" s="178"/>
      <c r="BF78" s="178"/>
      <c r="BG78" s="178"/>
      <c r="BH78" s="178"/>
      <c r="BI78" s="178"/>
      <c r="BJ78" s="178"/>
      <c r="BK78" s="178"/>
      <c r="BL78" s="178"/>
      <c r="BM78" s="178"/>
      <c r="BN78" s="178"/>
      <c r="BO78" s="178"/>
      <c r="BP78" s="178"/>
      <c r="BQ78" s="178"/>
      <c r="BR78" s="178"/>
      <c r="BS78" s="178"/>
      <c r="BT78" s="178"/>
      <c r="BU78" s="178"/>
      <c r="BV78" s="178"/>
      <c r="BW78" s="178"/>
      <c r="BX78" s="178"/>
      <c r="BY78" s="178"/>
      <c r="BZ78" s="178"/>
      <c r="CA78" s="178"/>
      <c r="CB78" s="178"/>
      <c r="CC78" s="178"/>
      <c r="CD78" s="178"/>
      <c r="CE78" s="178"/>
      <c r="CF78" s="178"/>
      <c r="CG78" s="178"/>
      <c r="CH78" s="178"/>
    </row>
    <row r="79" spans="1:86" s="162" customFormat="1">
      <c r="A79" s="129" t="s">
        <v>1</v>
      </c>
      <c r="B79" s="315">
        <f>B69/B$68</f>
        <v>0.72699956293706292</v>
      </c>
      <c r="C79" s="316">
        <f t="shared" ref="C79:F79" si="50">C69/C$68</f>
        <v>0.72398986343798399</v>
      </c>
      <c r="D79" s="316">
        <f t="shared" si="50"/>
        <v>0.71601103611029182</v>
      </c>
      <c r="E79" s="316">
        <f t="shared" si="50"/>
        <v>0.71100892615634304</v>
      </c>
      <c r="F79" s="317">
        <f t="shared" si="50"/>
        <v>0.72899758920848756</v>
      </c>
      <c r="V79" s="178"/>
      <c r="W79" s="178"/>
      <c r="X79" s="178"/>
      <c r="Y79" s="178"/>
      <c r="Z79" s="178"/>
      <c r="AA79" s="178"/>
      <c r="AB79" s="178"/>
      <c r="AC79" s="178"/>
      <c r="AD79" s="178"/>
      <c r="AE79" s="178"/>
      <c r="AF79" s="178"/>
      <c r="AG79" s="178"/>
      <c r="AH79" s="178"/>
      <c r="AI79" s="178"/>
      <c r="AJ79" s="178"/>
      <c r="AK79" s="178"/>
      <c r="AL79" s="178"/>
      <c r="AM79" s="178"/>
      <c r="AN79" s="178"/>
      <c r="AO79" s="178"/>
      <c r="AP79" s="178"/>
      <c r="AQ79" s="178"/>
      <c r="AR79" s="178"/>
      <c r="AS79" s="178"/>
      <c r="AT79" s="178"/>
      <c r="AU79" s="178"/>
      <c r="AV79" s="178"/>
      <c r="AW79" s="178"/>
      <c r="AX79" s="178"/>
      <c r="AY79" s="178"/>
      <c r="AZ79" s="178"/>
      <c r="BA79" s="178"/>
      <c r="BB79" s="178"/>
      <c r="BC79" s="178"/>
      <c r="BD79" s="178"/>
      <c r="BE79" s="178"/>
      <c r="BF79" s="178"/>
      <c r="BG79" s="178"/>
      <c r="BH79" s="178"/>
      <c r="BI79" s="178"/>
      <c r="BJ79" s="178"/>
      <c r="BK79" s="178"/>
      <c r="BL79" s="178"/>
      <c r="BM79" s="178"/>
      <c r="BN79" s="178"/>
      <c r="BO79" s="178"/>
      <c r="BP79" s="178"/>
      <c r="BQ79" s="178"/>
      <c r="BR79" s="178"/>
      <c r="BS79" s="178"/>
      <c r="BT79" s="178"/>
      <c r="BU79" s="178"/>
      <c r="BV79" s="178"/>
      <c r="BW79" s="178"/>
      <c r="BX79" s="178"/>
      <c r="BY79" s="178"/>
      <c r="BZ79" s="178"/>
      <c r="CA79" s="178"/>
      <c r="CB79" s="178"/>
      <c r="CC79" s="178"/>
      <c r="CD79" s="178"/>
      <c r="CE79" s="178"/>
      <c r="CF79" s="178"/>
      <c r="CG79" s="178"/>
      <c r="CH79" s="178"/>
    </row>
    <row r="80" spans="1:86" s="162" customFormat="1">
      <c r="A80" s="129" t="s">
        <v>2</v>
      </c>
      <c r="B80" s="315">
        <f>B70/B$68</f>
        <v>0.27300043706293703</v>
      </c>
      <c r="C80" s="316">
        <f t="shared" ref="C80:F80" si="51">C70/C$68</f>
        <v>0.27601013656201606</v>
      </c>
      <c r="D80" s="316">
        <f t="shared" si="51"/>
        <v>0.28398896388970829</v>
      </c>
      <c r="E80" s="316">
        <f t="shared" si="51"/>
        <v>0.28899107384365702</v>
      </c>
      <c r="F80" s="317">
        <f t="shared" si="51"/>
        <v>0.27100241079151255</v>
      </c>
      <c r="V80" s="178"/>
      <c r="W80" s="178"/>
      <c r="X80" s="178"/>
      <c r="Y80" s="178"/>
      <c r="Z80" s="178"/>
      <c r="AA80" s="178"/>
      <c r="AB80" s="178"/>
      <c r="AC80" s="178"/>
      <c r="AD80" s="178"/>
      <c r="AE80" s="178"/>
      <c r="AF80" s="178"/>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8"/>
      <c r="BK80" s="178"/>
      <c r="BL80" s="178"/>
      <c r="BM80" s="178"/>
      <c r="BN80" s="178"/>
      <c r="BO80" s="178"/>
      <c r="BP80" s="178"/>
      <c r="BQ80" s="178"/>
      <c r="BR80" s="178"/>
      <c r="BS80" s="178"/>
      <c r="BT80" s="178"/>
      <c r="BU80" s="178"/>
      <c r="BV80" s="178"/>
      <c r="BW80" s="178"/>
      <c r="BX80" s="178"/>
      <c r="BY80" s="178"/>
      <c r="BZ80" s="178"/>
      <c r="CA80" s="178"/>
      <c r="CB80" s="178"/>
      <c r="CC80" s="178"/>
      <c r="CD80" s="178"/>
      <c r="CE80" s="178"/>
      <c r="CF80" s="178"/>
      <c r="CG80" s="178"/>
      <c r="CH80" s="178"/>
    </row>
    <row r="81" spans="1:86" s="162" customFormat="1">
      <c r="A81" s="149" t="s">
        <v>79</v>
      </c>
      <c r="B81" s="312">
        <f>B71/B72</f>
        <v>0.1100017828489927</v>
      </c>
      <c r="C81" s="313">
        <f t="shared" ref="C81:F81" si="52">C71/C72</f>
        <v>0.10700422736630366</v>
      </c>
      <c r="D81" s="313">
        <f t="shared" si="52"/>
        <v>0.11599760703164549</v>
      </c>
      <c r="E81" s="313">
        <f t="shared" si="52"/>
        <v>0.11899277146715387</v>
      </c>
      <c r="F81" s="314">
        <f t="shared" si="52"/>
        <v>0.12099839855060743</v>
      </c>
      <c r="V81" s="178"/>
      <c r="W81" s="178"/>
      <c r="X81" s="178"/>
      <c r="Y81" s="178"/>
      <c r="Z81" s="178"/>
      <c r="AA81" s="178"/>
      <c r="AB81" s="178"/>
      <c r="AC81" s="178"/>
      <c r="AD81" s="178"/>
      <c r="AE81" s="178"/>
      <c r="AF81" s="178"/>
      <c r="AG81" s="178"/>
      <c r="AH81" s="178"/>
      <c r="AI81" s="178"/>
      <c r="AJ81" s="178"/>
      <c r="AK81" s="178"/>
      <c r="AL81" s="178"/>
      <c r="AM81" s="178"/>
      <c r="AN81" s="178"/>
      <c r="AO81" s="178"/>
      <c r="AP81" s="178"/>
      <c r="AQ81" s="178"/>
      <c r="AR81" s="178"/>
      <c r="AS81" s="178"/>
      <c r="AT81" s="178"/>
      <c r="AU81" s="178"/>
      <c r="AV81" s="178"/>
      <c r="AW81" s="178"/>
      <c r="AX81" s="178"/>
      <c r="AY81" s="178"/>
      <c r="AZ81" s="178"/>
      <c r="BA81" s="178"/>
      <c r="BB81" s="178"/>
      <c r="BC81" s="178"/>
      <c r="BD81" s="178"/>
      <c r="BE81" s="178"/>
      <c r="BF81" s="178"/>
      <c r="BG81" s="178"/>
      <c r="BH81" s="178"/>
      <c r="BI81" s="178"/>
      <c r="BJ81" s="178"/>
      <c r="BK81" s="178"/>
      <c r="BL81" s="178"/>
      <c r="BM81" s="178"/>
      <c r="BN81" s="178"/>
      <c r="BO81" s="178"/>
      <c r="BP81" s="178"/>
      <c r="BQ81" s="178"/>
      <c r="BR81" s="178"/>
      <c r="BS81" s="178"/>
      <c r="BT81" s="178"/>
      <c r="BU81" s="178"/>
      <c r="BV81" s="178"/>
      <c r="BW81" s="178"/>
      <c r="BX81" s="178"/>
      <c r="BY81" s="178"/>
      <c r="BZ81" s="178"/>
      <c r="CA81" s="178"/>
      <c r="CB81" s="178"/>
      <c r="CC81" s="178"/>
      <c r="CD81" s="178"/>
      <c r="CE81" s="178"/>
      <c r="CF81" s="178"/>
      <c r="CG81" s="178"/>
      <c r="CH81" s="178"/>
    </row>
    <row r="82" spans="1:86" s="162" customFormat="1" ht="14.25" thickBot="1">
      <c r="A82" s="155" t="s">
        <v>18</v>
      </c>
      <c r="B82" s="179">
        <f>B78+B81</f>
        <v>1</v>
      </c>
      <c r="C82" s="180">
        <f>C78+C81</f>
        <v>1</v>
      </c>
      <c r="D82" s="180">
        <f>D78+D81</f>
        <v>1</v>
      </c>
      <c r="E82" s="180">
        <f>E78+E81</f>
        <v>1</v>
      </c>
      <c r="F82" s="181">
        <f>F78+F81</f>
        <v>1</v>
      </c>
      <c r="V82" s="178"/>
      <c r="W82" s="178"/>
      <c r="X82" s="178"/>
      <c r="Y82" s="178"/>
      <c r="Z82" s="178"/>
      <c r="AA82" s="178"/>
      <c r="AB82" s="178"/>
      <c r="AC82" s="178"/>
      <c r="AD82" s="178"/>
      <c r="AE82" s="178"/>
      <c r="AF82" s="178"/>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8"/>
      <c r="BK82" s="178"/>
      <c r="BL82" s="178"/>
      <c r="BM82" s="178"/>
      <c r="BN82" s="178"/>
      <c r="BO82" s="178"/>
      <c r="BP82" s="178"/>
      <c r="BQ82" s="178"/>
      <c r="BR82" s="178"/>
      <c r="BS82" s="178"/>
      <c r="BT82" s="178"/>
      <c r="BU82" s="178"/>
      <c r="BV82" s="178"/>
      <c r="BW82" s="178"/>
      <c r="BX82" s="178"/>
      <c r="BY82" s="178"/>
      <c r="BZ82" s="178"/>
      <c r="CA82" s="178"/>
      <c r="CB82" s="178"/>
      <c r="CC82" s="178"/>
      <c r="CD82" s="178"/>
      <c r="CE82" s="178"/>
      <c r="CF82" s="178"/>
      <c r="CG82" s="178"/>
      <c r="CH82" s="178"/>
    </row>
    <row r="83" spans="1:86">
      <c r="A83" s="6"/>
      <c r="B83" s="82"/>
      <c r="C83" s="82"/>
      <c r="D83" s="82"/>
      <c r="E83" s="82"/>
      <c r="F83" s="82"/>
      <c r="G83" s="82"/>
    </row>
    <row r="84" spans="1:86" s="22" customFormat="1" ht="14.25" thickBot="1">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row>
    <row r="86" spans="1:86" s="15" customFormat="1">
      <c r="A86" s="41" t="s">
        <v>368</v>
      </c>
      <c r="B86" s="8" t="s">
        <v>369</v>
      </c>
      <c r="L86" s="16"/>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c r="BS86" s="41"/>
      <c r="BT86" s="41"/>
      <c r="BU86" s="41"/>
      <c r="BV86" s="41"/>
      <c r="BW86" s="41"/>
      <c r="BX86" s="41"/>
      <c r="BY86" s="41"/>
      <c r="BZ86" s="41"/>
      <c r="CA86" s="41"/>
      <c r="CB86" s="41"/>
      <c r="CC86" s="41"/>
      <c r="CD86" s="41"/>
      <c r="CE86" s="41"/>
      <c r="CF86" s="41"/>
      <c r="CG86" s="41"/>
      <c r="CH86" s="41"/>
    </row>
    <row r="87" spans="1:86" s="16" customFormat="1" ht="14.25" thickBot="1">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row>
    <row r="88" spans="1:86" s="125" customFormat="1" ht="14.25" thickBot="1">
      <c r="B88" s="182" t="s">
        <v>301</v>
      </c>
      <c r="C88" s="183" t="s">
        <v>148</v>
      </c>
      <c r="L88" s="184"/>
      <c r="M88" s="184"/>
      <c r="N88" s="184"/>
      <c r="O88" s="184"/>
      <c r="P88" s="184"/>
      <c r="Q88" s="184"/>
      <c r="R88" s="185"/>
      <c r="S88" s="185"/>
      <c r="V88" s="108"/>
      <c r="W88" s="108"/>
      <c r="X88" s="108"/>
      <c r="Y88" s="108"/>
      <c r="Z88" s="108"/>
      <c r="AA88" s="108"/>
      <c r="AB88" s="108"/>
      <c r="AC88" s="108"/>
      <c r="AD88" s="108"/>
      <c r="AE88" s="108"/>
      <c r="AF88" s="108"/>
      <c r="AG88" s="108"/>
      <c r="AH88" s="108"/>
      <c r="AI88" s="108"/>
      <c r="AJ88" s="108"/>
      <c r="AK88" s="108"/>
      <c r="AL88" s="108"/>
      <c r="AM88" s="108"/>
      <c r="AN88" s="108"/>
      <c r="AO88" s="108"/>
      <c r="AP88" s="108"/>
      <c r="AQ88" s="108"/>
      <c r="AR88" s="108"/>
      <c r="AS88" s="108"/>
      <c r="AT88" s="108"/>
      <c r="AU88" s="108"/>
      <c r="AV88" s="108"/>
      <c r="AW88" s="108"/>
      <c r="AX88" s="108"/>
      <c r="AY88" s="108"/>
      <c r="AZ88" s="108"/>
      <c r="BA88" s="108"/>
      <c r="BB88" s="108"/>
      <c r="BC88" s="108"/>
      <c r="BD88" s="108"/>
      <c r="BE88" s="108"/>
      <c r="BF88" s="108"/>
      <c r="BG88" s="108"/>
      <c r="BH88" s="108"/>
      <c r="BI88" s="108"/>
      <c r="BJ88" s="108"/>
      <c r="BK88" s="108"/>
      <c r="BL88" s="108"/>
      <c r="BM88" s="108"/>
      <c r="BN88" s="108"/>
      <c r="BO88" s="108"/>
      <c r="BP88" s="108"/>
      <c r="BQ88" s="108"/>
      <c r="BR88" s="108"/>
      <c r="BS88" s="108"/>
      <c r="BT88" s="108"/>
      <c r="BU88" s="108"/>
      <c r="BV88" s="108"/>
      <c r="BW88" s="108"/>
      <c r="BX88" s="108"/>
      <c r="BY88" s="108"/>
      <c r="BZ88" s="108"/>
      <c r="CA88" s="108"/>
      <c r="CB88" s="108"/>
      <c r="CC88" s="108"/>
      <c r="CD88" s="108"/>
      <c r="CE88" s="108"/>
      <c r="CF88" s="108"/>
      <c r="CG88" s="108"/>
      <c r="CH88" s="108"/>
    </row>
    <row r="89" spans="1:86" s="125" customFormat="1">
      <c r="A89" s="186" t="s">
        <v>77</v>
      </c>
      <c r="B89" s="187">
        <f>B90+B91</f>
        <v>3961.3</v>
      </c>
      <c r="C89" s="188">
        <f>B89/B$95</f>
        <v>0.72899758920848756</v>
      </c>
      <c r="D89" s="402"/>
      <c r="E89" s="184"/>
      <c r="F89" s="184"/>
      <c r="G89" s="184"/>
      <c r="H89" s="184"/>
      <c r="I89" s="184"/>
      <c r="J89" s="184"/>
      <c r="K89" s="184"/>
      <c r="R89" s="108"/>
      <c r="S89" s="108"/>
      <c r="V89" s="108"/>
      <c r="W89" s="108"/>
      <c r="X89" s="108"/>
      <c r="Y89" s="108"/>
      <c r="Z89" s="108"/>
      <c r="AA89" s="108"/>
      <c r="AB89" s="108"/>
      <c r="AC89" s="108"/>
      <c r="AD89" s="108"/>
      <c r="AE89" s="108"/>
      <c r="AF89" s="108"/>
      <c r="AG89" s="108"/>
      <c r="AH89" s="108"/>
      <c r="AI89" s="108"/>
      <c r="AJ89" s="108"/>
      <c r="AK89" s="108"/>
      <c r="AL89" s="108"/>
      <c r="AM89" s="108"/>
      <c r="AN89" s="108"/>
      <c r="AO89" s="108"/>
      <c r="AP89" s="108"/>
      <c r="AQ89" s="108"/>
      <c r="AR89" s="108"/>
      <c r="AS89" s="108"/>
      <c r="AT89" s="108"/>
      <c r="AU89" s="108"/>
      <c r="AV89" s="108"/>
      <c r="AW89" s="108"/>
      <c r="AX89" s="108"/>
      <c r="AY89" s="108"/>
      <c r="AZ89" s="108"/>
      <c r="BA89" s="108"/>
      <c r="BB89" s="108"/>
      <c r="BC89" s="108"/>
      <c r="BD89" s="108"/>
      <c r="BE89" s="108"/>
      <c r="BF89" s="108"/>
      <c r="BG89" s="108"/>
      <c r="BH89" s="108"/>
      <c r="BI89" s="108"/>
      <c r="BJ89" s="108"/>
      <c r="BK89" s="108"/>
      <c r="BL89" s="108"/>
      <c r="BM89" s="108"/>
      <c r="BN89" s="108"/>
      <c r="BO89" s="108"/>
      <c r="BP89" s="108"/>
      <c r="BQ89" s="108"/>
      <c r="BR89" s="108"/>
      <c r="BS89" s="108"/>
      <c r="BT89" s="108"/>
      <c r="BU89" s="108"/>
      <c r="BV89" s="108"/>
      <c r="BW89" s="108"/>
      <c r="BX89" s="108"/>
      <c r="BY89" s="108"/>
      <c r="BZ89" s="108"/>
      <c r="CA89" s="108"/>
      <c r="CB89" s="108"/>
      <c r="CC89" s="108"/>
      <c r="CD89" s="108"/>
      <c r="CE89" s="108"/>
      <c r="CF89" s="108"/>
      <c r="CG89" s="108"/>
      <c r="CH89" s="108"/>
    </row>
    <row r="90" spans="1:86" s="125" customFormat="1">
      <c r="A90" s="189" t="s">
        <v>76</v>
      </c>
      <c r="B90" s="102">
        <v>2456</v>
      </c>
      <c r="C90" s="190">
        <f>B90/B$89</f>
        <v>0.61999848534571977</v>
      </c>
      <c r="D90" s="403"/>
      <c r="E90" s="184"/>
      <c r="F90" s="184"/>
      <c r="G90" s="184"/>
      <c r="H90" s="184"/>
      <c r="I90" s="184"/>
      <c r="J90" s="184"/>
      <c r="K90" s="184"/>
      <c r="R90" s="108"/>
      <c r="S90" s="108"/>
      <c r="V90" s="108"/>
      <c r="W90" s="108"/>
      <c r="X90" s="108"/>
      <c r="Y90" s="108"/>
      <c r="Z90" s="108"/>
      <c r="AA90" s="108"/>
      <c r="AB90" s="108"/>
      <c r="AC90" s="108"/>
      <c r="AD90" s="108"/>
      <c r="AE90" s="108"/>
      <c r="AF90" s="108"/>
      <c r="AG90" s="108"/>
      <c r="AH90" s="108"/>
      <c r="AI90" s="108"/>
      <c r="AJ90" s="108"/>
      <c r="AK90" s="108"/>
      <c r="AL90" s="108"/>
      <c r="AM90" s="108"/>
      <c r="AN90" s="108"/>
      <c r="AO90" s="108"/>
      <c r="AP90" s="108"/>
      <c r="AQ90" s="108"/>
      <c r="AR90" s="108"/>
      <c r="AS90" s="108"/>
      <c r="AT90" s="108"/>
      <c r="AU90" s="108"/>
      <c r="AV90" s="108"/>
      <c r="AW90" s="108"/>
      <c r="AX90" s="108"/>
      <c r="AY90" s="108"/>
      <c r="AZ90" s="108"/>
      <c r="BA90" s="108"/>
      <c r="BB90" s="108"/>
      <c r="BC90" s="108"/>
      <c r="BD90" s="108"/>
      <c r="BE90" s="108"/>
      <c r="BF90" s="108"/>
      <c r="BG90" s="108"/>
      <c r="BH90" s="108"/>
      <c r="BI90" s="108"/>
      <c r="BJ90" s="108"/>
      <c r="BK90" s="108"/>
      <c r="BL90" s="108"/>
      <c r="BM90" s="108"/>
      <c r="BN90" s="108"/>
      <c r="BO90" s="108"/>
      <c r="BP90" s="108"/>
      <c r="BQ90" s="108"/>
      <c r="BR90" s="108"/>
      <c r="BS90" s="108"/>
      <c r="BT90" s="108"/>
      <c r="BU90" s="108"/>
      <c r="BV90" s="108"/>
      <c r="BW90" s="108"/>
      <c r="BX90" s="108"/>
      <c r="BY90" s="108"/>
      <c r="BZ90" s="108"/>
      <c r="CA90" s="108"/>
      <c r="CB90" s="108"/>
      <c r="CC90" s="108"/>
      <c r="CD90" s="108"/>
      <c r="CE90" s="108"/>
      <c r="CF90" s="108"/>
      <c r="CG90" s="108"/>
      <c r="CH90" s="108"/>
    </row>
    <row r="91" spans="1:86" s="125" customFormat="1">
      <c r="A91" s="189" t="s">
        <v>136</v>
      </c>
      <c r="B91" s="102">
        <v>1505.3</v>
      </c>
      <c r="C91" s="190">
        <f>B91/B$89</f>
        <v>0.38000151465428011</v>
      </c>
      <c r="D91" s="404"/>
      <c r="R91" s="108"/>
      <c r="S91" s="108"/>
      <c r="V91" s="108"/>
      <c r="W91" s="108"/>
      <c r="X91" s="108"/>
      <c r="Y91" s="108"/>
      <c r="Z91" s="108"/>
      <c r="AA91" s="108"/>
      <c r="AB91" s="108"/>
      <c r="AC91" s="108"/>
      <c r="AD91" s="108"/>
      <c r="AE91" s="108"/>
      <c r="AF91" s="108"/>
      <c r="AG91" s="108"/>
      <c r="AH91" s="108"/>
      <c r="AI91" s="108"/>
      <c r="AJ91" s="108"/>
      <c r="AK91" s="108"/>
      <c r="AL91" s="108"/>
      <c r="AM91" s="108"/>
      <c r="AN91" s="108"/>
      <c r="AO91" s="108"/>
      <c r="AP91" s="108"/>
      <c r="AQ91" s="108"/>
      <c r="AR91" s="108"/>
      <c r="AS91" s="108"/>
      <c r="AT91" s="108"/>
      <c r="AU91" s="108"/>
      <c r="AV91" s="108"/>
      <c r="AW91" s="108"/>
      <c r="AX91" s="108"/>
      <c r="AY91" s="108"/>
      <c r="AZ91" s="108"/>
      <c r="BA91" s="108"/>
      <c r="BB91" s="108"/>
      <c r="BC91" s="108"/>
      <c r="BD91" s="108"/>
      <c r="BE91" s="108"/>
      <c r="BF91" s="108"/>
      <c r="BG91" s="108"/>
      <c r="BH91" s="108"/>
      <c r="BI91" s="108"/>
      <c r="BJ91" s="108"/>
      <c r="BK91" s="108"/>
      <c r="BL91" s="108"/>
      <c r="BM91" s="108"/>
      <c r="BN91" s="108"/>
      <c r="BO91" s="108"/>
      <c r="BP91" s="108"/>
      <c r="BQ91" s="108"/>
      <c r="BR91" s="108"/>
      <c r="BS91" s="108"/>
      <c r="BT91" s="108"/>
      <c r="BU91" s="108"/>
      <c r="BV91" s="108"/>
      <c r="BW91" s="108"/>
      <c r="BX91" s="108"/>
      <c r="BY91" s="108"/>
      <c r="BZ91" s="108"/>
      <c r="CA91" s="108"/>
      <c r="CB91" s="108"/>
      <c r="CC91" s="108"/>
      <c r="CD91" s="108"/>
      <c r="CE91" s="108"/>
      <c r="CF91" s="108"/>
      <c r="CG91" s="108"/>
      <c r="CH91" s="108"/>
    </row>
    <row r="92" spans="1:86" s="125" customFormat="1">
      <c r="A92" s="191" t="s">
        <v>78</v>
      </c>
      <c r="B92" s="192">
        <f>B93+B94</f>
        <v>1472.6</v>
      </c>
      <c r="C92" s="193">
        <f>B92/B$95</f>
        <v>0.27100241079151255</v>
      </c>
      <c r="D92" s="405"/>
      <c r="R92" s="108"/>
      <c r="S92" s="108"/>
      <c r="V92" s="108"/>
      <c r="W92" s="108"/>
      <c r="X92" s="108"/>
      <c r="Y92" s="108"/>
      <c r="Z92" s="108"/>
      <c r="AA92" s="108"/>
      <c r="AB92" s="108"/>
      <c r="AC92" s="108"/>
      <c r="AD92" s="108"/>
      <c r="AE92" s="108"/>
      <c r="AF92" s="108"/>
      <c r="AG92" s="108"/>
      <c r="AH92" s="108"/>
      <c r="AI92" s="108"/>
      <c r="AJ92" s="108"/>
      <c r="AK92" s="108"/>
      <c r="AL92" s="108"/>
      <c r="AM92" s="108"/>
      <c r="AN92" s="108"/>
      <c r="AO92" s="108"/>
      <c r="AP92" s="108"/>
      <c r="AQ92" s="108"/>
      <c r="AR92" s="108"/>
      <c r="AS92" s="108"/>
      <c r="AT92" s="108"/>
      <c r="AU92" s="108"/>
      <c r="AV92" s="108"/>
      <c r="AW92" s="108"/>
      <c r="AX92" s="108"/>
      <c r="AY92" s="108"/>
      <c r="AZ92" s="108"/>
      <c r="BA92" s="108"/>
      <c r="BB92" s="108"/>
      <c r="BC92" s="108"/>
      <c r="BD92" s="108"/>
      <c r="BE92" s="108"/>
      <c r="BF92" s="108"/>
      <c r="BG92" s="108"/>
      <c r="BH92" s="108"/>
      <c r="BI92" s="108"/>
      <c r="BJ92" s="108"/>
      <c r="BK92" s="108"/>
      <c r="BL92" s="108"/>
      <c r="BM92" s="108"/>
      <c r="BN92" s="108"/>
      <c r="BO92" s="108"/>
      <c r="BP92" s="108"/>
      <c r="BQ92" s="108"/>
      <c r="BR92" s="108"/>
      <c r="BS92" s="108"/>
      <c r="BT92" s="108"/>
      <c r="BU92" s="108"/>
      <c r="BV92" s="108"/>
      <c r="BW92" s="108"/>
      <c r="BX92" s="108"/>
      <c r="BY92" s="108"/>
      <c r="BZ92" s="108"/>
      <c r="CA92" s="108"/>
      <c r="CB92" s="108"/>
      <c r="CC92" s="108"/>
      <c r="CD92" s="108"/>
      <c r="CE92" s="108"/>
      <c r="CF92" s="108"/>
      <c r="CG92" s="108"/>
      <c r="CH92" s="108"/>
    </row>
    <row r="93" spans="1:86" s="125" customFormat="1">
      <c r="A93" s="189" t="s">
        <v>76</v>
      </c>
      <c r="B93" s="102">
        <v>824.7</v>
      </c>
      <c r="C93" s="190">
        <f>B93/B$92</f>
        <v>0.56002987912535662</v>
      </c>
      <c r="D93" s="404"/>
      <c r="R93" s="108"/>
      <c r="S93" s="108"/>
      <c r="V93" s="108"/>
      <c r="W93" s="108"/>
      <c r="X93" s="108"/>
      <c r="Y93" s="108"/>
      <c r="Z93" s="108"/>
      <c r="AA93" s="108"/>
      <c r="AB93" s="108"/>
      <c r="AC93" s="108"/>
      <c r="AD93" s="108"/>
      <c r="AE93" s="108"/>
      <c r="AF93" s="108"/>
      <c r="AG93" s="108"/>
      <c r="AH93" s="108"/>
      <c r="AI93" s="108"/>
      <c r="AJ93" s="108"/>
      <c r="AK93" s="108"/>
      <c r="AL93" s="108"/>
      <c r="AM93" s="108"/>
      <c r="AN93" s="108"/>
      <c r="AO93" s="108"/>
      <c r="AP93" s="108"/>
      <c r="AQ93" s="108"/>
      <c r="AR93" s="108"/>
      <c r="AS93" s="108"/>
      <c r="AT93" s="108"/>
      <c r="AU93" s="108"/>
      <c r="AV93" s="108"/>
      <c r="AW93" s="108"/>
      <c r="AX93" s="108"/>
      <c r="AY93" s="108"/>
      <c r="AZ93" s="108"/>
      <c r="BA93" s="108"/>
      <c r="BB93" s="108"/>
      <c r="BC93" s="108"/>
      <c r="BD93" s="108"/>
      <c r="BE93" s="108"/>
      <c r="BF93" s="108"/>
      <c r="BG93" s="108"/>
      <c r="BH93" s="108"/>
      <c r="BI93" s="108"/>
      <c r="BJ93" s="108"/>
      <c r="BK93" s="108"/>
      <c r="BL93" s="108"/>
      <c r="BM93" s="108"/>
      <c r="BN93" s="108"/>
      <c r="BO93" s="108"/>
      <c r="BP93" s="108"/>
      <c r="BQ93" s="108"/>
      <c r="BR93" s="108"/>
      <c r="BS93" s="108"/>
      <c r="BT93" s="108"/>
      <c r="BU93" s="108"/>
      <c r="BV93" s="108"/>
      <c r="BW93" s="108"/>
      <c r="BX93" s="108"/>
      <c r="BY93" s="108"/>
      <c r="BZ93" s="108"/>
      <c r="CA93" s="108"/>
      <c r="CB93" s="108"/>
      <c r="CC93" s="108"/>
      <c r="CD93" s="108"/>
      <c r="CE93" s="108"/>
      <c r="CF93" s="108"/>
      <c r="CG93" s="108"/>
      <c r="CH93" s="108"/>
    </row>
    <row r="94" spans="1:86" s="125" customFormat="1">
      <c r="A94" s="189" t="s">
        <v>136</v>
      </c>
      <c r="B94" s="102">
        <v>647.9</v>
      </c>
      <c r="C94" s="190">
        <f>B94/B$92</f>
        <v>0.43997012087464349</v>
      </c>
      <c r="D94" s="404"/>
      <c r="R94" s="108"/>
      <c r="S94" s="108"/>
      <c r="V94" s="108"/>
      <c r="W94" s="108"/>
      <c r="X94" s="108"/>
      <c r="Y94" s="108"/>
      <c r="Z94" s="108"/>
      <c r="AA94" s="108"/>
      <c r="AB94" s="108"/>
      <c r="AC94" s="108"/>
      <c r="AD94" s="108"/>
      <c r="AE94" s="108"/>
      <c r="AF94" s="108"/>
      <c r="AG94" s="108"/>
      <c r="AH94" s="108"/>
      <c r="AI94" s="108"/>
      <c r="AJ94" s="108"/>
      <c r="AK94" s="108"/>
      <c r="AL94" s="108"/>
      <c r="AM94" s="108"/>
      <c r="AN94" s="108"/>
      <c r="AO94" s="108"/>
      <c r="AP94" s="108"/>
      <c r="AQ94" s="108"/>
      <c r="AR94" s="108"/>
      <c r="AS94" s="108"/>
      <c r="AT94" s="108"/>
      <c r="AU94" s="108"/>
      <c r="AV94" s="108"/>
      <c r="AW94" s="108"/>
      <c r="AX94" s="108"/>
      <c r="AY94" s="108"/>
      <c r="AZ94" s="108"/>
      <c r="BA94" s="108"/>
      <c r="BB94" s="108"/>
      <c r="BC94" s="108"/>
      <c r="BD94" s="108"/>
      <c r="BE94" s="108"/>
      <c r="BF94" s="108"/>
      <c r="BG94" s="108"/>
      <c r="BH94" s="108"/>
      <c r="BI94" s="108"/>
      <c r="BJ94" s="108"/>
      <c r="BK94" s="108"/>
      <c r="BL94" s="108"/>
      <c r="BM94" s="108"/>
      <c r="BN94" s="108"/>
      <c r="BO94" s="108"/>
      <c r="BP94" s="108"/>
      <c r="BQ94" s="108"/>
      <c r="BR94" s="108"/>
      <c r="BS94" s="108"/>
      <c r="BT94" s="108"/>
      <c r="BU94" s="108"/>
      <c r="BV94" s="108"/>
      <c r="BW94" s="108"/>
      <c r="BX94" s="108"/>
      <c r="BY94" s="108"/>
      <c r="BZ94" s="108"/>
      <c r="CA94" s="108"/>
      <c r="CB94" s="108"/>
      <c r="CC94" s="108"/>
      <c r="CD94" s="108"/>
      <c r="CE94" s="108"/>
      <c r="CF94" s="108"/>
      <c r="CG94" s="108"/>
      <c r="CH94" s="108"/>
    </row>
    <row r="95" spans="1:86" s="145" customFormat="1">
      <c r="A95" s="191" t="s">
        <v>137</v>
      </c>
      <c r="B95" s="192">
        <f>B89+B92</f>
        <v>5433.9</v>
      </c>
      <c r="C95" s="193">
        <f>C96+C97</f>
        <v>1</v>
      </c>
      <c r="D95" s="405"/>
      <c r="E95" s="125"/>
      <c r="F95" s="125"/>
      <c r="G95" s="125"/>
      <c r="H95" s="125"/>
      <c r="I95" s="125"/>
      <c r="J95" s="125"/>
      <c r="K95" s="125"/>
      <c r="L95" s="125"/>
      <c r="M95" s="125"/>
      <c r="N95" s="125"/>
      <c r="O95" s="125"/>
      <c r="P95" s="125"/>
      <c r="Q95" s="125"/>
      <c r="R95" s="108"/>
      <c r="S95" s="108"/>
      <c r="V95" s="110"/>
      <c r="W95" s="110"/>
      <c r="X95" s="110"/>
      <c r="Y95" s="110"/>
      <c r="Z95" s="110"/>
      <c r="AA95" s="110"/>
      <c r="AB95" s="110"/>
      <c r="AC95" s="110"/>
      <c r="AD95" s="110"/>
      <c r="AE95" s="110"/>
      <c r="AF95" s="110"/>
      <c r="AG95" s="110"/>
      <c r="AH95" s="110"/>
      <c r="AI95" s="110"/>
      <c r="AJ95" s="110"/>
      <c r="AK95" s="110"/>
      <c r="AL95" s="110"/>
      <c r="AM95" s="110"/>
      <c r="AN95" s="110"/>
      <c r="AO95" s="110"/>
      <c r="AP95" s="110"/>
      <c r="AQ95" s="110"/>
      <c r="AR95" s="110"/>
      <c r="AS95" s="110"/>
      <c r="AT95" s="110"/>
      <c r="AU95" s="110"/>
      <c r="AV95" s="110"/>
      <c r="AW95" s="110"/>
      <c r="AX95" s="110"/>
      <c r="AY95" s="110"/>
      <c r="AZ95" s="110"/>
      <c r="BA95" s="110"/>
      <c r="BB95" s="110"/>
      <c r="BC95" s="110"/>
      <c r="BD95" s="110"/>
      <c r="BE95" s="110"/>
      <c r="BF95" s="110"/>
      <c r="BG95" s="110"/>
      <c r="BH95" s="110"/>
      <c r="BI95" s="110"/>
      <c r="BJ95" s="110"/>
      <c r="BK95" s="110"/>
      <c r="BL95" s="110"/>
      <c r="BM95" s="110"/>
      <c r="BN95" s="110"/>
      <c r="BO95" s="110"/>
      <c r="BP95" s="110"/>
      <c r="BQ95" s="110"/>
      <c r="BR95" s="110"/>
      <c r="BS95" s="110"/>
      <c r="BT95" s="110"/>
      <c r="BU95" s="110"/>
      <c r="BV95" s="110"/>
      <c r="BW95" s="110"/>
      <c r="BX95" s="110"/>
      <c r="BY95" s="110"/>
      <c r="BZ95" s="110"/>
      <c r="CA95" s="110"/>
      <c r="CB95" s="110"/>
      <c r="CC95" s="110"/>
      <c r="CD95" s="110"/>
      <c r="CE95" s="110"/>
      <c r="CF95" s="110"/>
      <c r="CG95" s="110"/>
      <c r="CH95" s="110"/>
    </row>
    <row r="96" spans="1:86" s="145" customFormat="1">
      <c r="A96" s="189" t="s">
        <v>76</v>
      </c>
      <c r="B96" s="102">
        <f>B90+B93</f>
        <v>3280.7</v>
      </c>
      <c r="C96" s="190">
        <f>B96/B95</f>
        <v>0.60374684848819449</v>
      </c>
      <c r="D96" s="125"/>
      <c r="E96" s="125"/>
      <c r="F96" s="125"/>
      <c r="G96" s="125"/>
      <c r="H96" s="125"/>
      <c r="I96" s="125"/>
      <c r="J96" s="125"/>
      <c r="K96" s="125"/>
      <c r="R96" s="110"/>
      <c r="S96" s="110"/>
      <c r="V96" s="110"/>
      <c r="W96" s="110"/>
      <c r="X96" s="110"/>
      <c r="Y96" s="110"/>
      <c r="Z96" s="110"/>
      <c r="AA96" s="110"/>
      <c r="AB96" s="110"/>
      <c r="AC96" s="110"/>
      <c r="AD96" s="110"/>
      <c r="AE96" s="110"/>
      <c r="AF96" s="110"/>
      <c r="AG96" s="110"/>
      <c r="AH96" s="110"/>
      <c r="AI96" s="110"/>
      <c r="AJ96" s="110"/>
      <c r="AK96" s="110"/>
      <c r="AL96" s="110"/>
      <c r="AM96" s="110"/>
      <c r="AN96" s="110"/>
      <c r="AO96" s="110"/>
      <c r="AP96" s="110"/>
      <c r="AQ96" s="110"/>
      <c r="AR96" s="110"/>
      <c r="AS96" s="110"/>
      <c r="AT96" s="110"/>
      <c r="AU96" s="110"/>
      <c r="AV96" s="110"/>
      <c r="AW96" s="110"/>
      <c r="AX96" s="110"/>
      <c r="AY96" s="110"/>
      <c r="AZ96" s="110"/>
      <c r="BA96" s="110"/>
      <c r="BB96" s="110"/>
      <c r="BC96" s="110"/>
      <c r="BD96" s="110"/>
      <c r="BE96" s="110"/>
      <c r="BF96" s="110"/>
      <c r="BG96" s="110"/>
      <c r="BH96" s="110"/>
      <c r="BI96" s="110"/>
      <c r="BJ96" s="110"/>
      <c r="BK96" s="110"/>
      <c r="BL96" s="110"/>
      <c r="BM96" s="110"/>
      <c r="BN96" s="110"/>
      <c r="BO96" s="110"/>
      <c r="BP96" s="110"/>
      <c r="BQ96" s="110"/>
      <c r="BR96" s="110"/>
      <c r="BS96" s="110"/>
      <c r="BT96" s="110"/>
      <c r="BU96" s="110"/>
      <c r="BV96" s="110"/>
      <c r="BW96" s="110"/>
      <c r="BX96" s="110"/>
      <c r="BY96" s="110"/>
      <c r="BZ96" s="110"/>
      <c r="CA96" s="110"/>
      <c r="CB96" s="110"/>
      <c r="CC96" s="110"/>
      <c r="CD96" s="110"/>
      <c r="CE96" s="110"/>
      <c r="CF96" s="110"/>
      <c r="CG96" s="110"/>
      <c r="CH96" s="110"/>
    </row>
    <row r="97" spans="1:86" s="145" customFormat="1" ht="14.25" thickBot="1">
      <c r="A97" s="194" t="s">
        <v>136</v>
      </c>
      <c r="B97" s="195">
        <f>B91+B94</f>
        <v>2153.1999999999998</v>
      </c>
      <c r="C97" s="196">
        <f>B97/B95</f>
        <v>0.39625315151180551</v>
      </c>
      <c r="D97" s="125"/>
      <c r="E97" s="125"/>
      <c r="F97" s="125"/>
      <c r="G97" s="125"/>
      <c r="H97" s="125"/>
      <c r="I97" s="125"/>
      <c r="J97" s="125"/>
      <c r="K97" s="125"/>
      <c r="R97" s="110"/>
      <c r="S97" s="110"/>
      <c r="V97" s="110"/>
      <c r="W97" s="110"/>
      <c r="X97" s="110"/>
      <c r="Y97" s="110"/>
      <c r="Z97" s="110"/>
      <c r="AA97" s="110"/>
      <c r="AB97" s="110"/>
      <c r="AC97" s="110"/>
      <c r="AD97" s="110"/>
      <c r="AE97" s="110"/>
      <c r="AF97" s="110"/>
      <c r="AG97" s="110"/>
      <c r="AH97" s="110"/>
      <c r="AI97" s="110"/>
      <c r="AJ97" s="110"/>
      <c r="AK97" s="110"/>
      <c r="AL97" s="110"/>
      <c r="AM97" s="110"/>
      <c r="AN97" s="110"/>
      <c r="AO97" s="110"/>
      <c r="AP97" s="110"/>
      <c r="AQ97" s="110"/>
      <c r="AR97" s="110"/>
      <c r="AS97" s="110"/>
      <c r="AT97" s="110"/>
      <c r="AU97" s="110"/>
      <c r="AV97" s="110"/>
      <c r="AW97" s="110"/>
      <c r="AX97" s="110"/>
      <c r="AY97" s="110"/>
      <c r="AZ97" s="110"/>
      <c r="BA97" s="110"/>
      <c r="BB97" s="110"/>
      <c r="BC97" s="110"/>
      <c r="BD97" s="110"/>
      <c r="BE97" s="110"/>
      <c r="BF97" s="110"/>
      <c r="BG97" s="110"/>
      <c r="BH97" s="110"/>
      <c r="BI97" s="110"/>
      <c r="BJ97" s="110"/>
      <c r="BK97" s="110"/>
      <c r="BL97" s="110"/>
      <c r="BM97" s="110"/>
      <c r="BN97" s="110"/>
      <c r="BO97" s="110"/>
      <c r="BP97" s="110"/>
      <c r="BQ97" s="110"/>
      <c r="BR97" s="110"/>
      <c r="BS97" s="110"/>
      <c r="BT97" s="110"/>
      <c r="BU97" s="110"/>
      <c r="BV97" s="110"/>
      <c r="BW97" s="110"/>
      <c r="BX97" s="110"/>
      <c r="BY97" s="110"/>
      <c r="BZ97" s="110"/>
      <c r="CA97" s="110"/>
      <c r="CB97" s="110"/>
      <c r="CC97" s="110"/>
      <c r="CD97" s="110"/>
      <c r="CE97" s="110"/>
      <c r="CF97" s="110"/>
      <c r="CG97" s="110"/>
      <c r="CH97" s="110"/>
    </row>
    <row r="98" spans="1:86" s="7" customFormat="1" ht="12.75" customHeight="1">
      <c r="A98" s="6" t="s">
        <v>161</v>
      </c>
      <c r="B98" s="6"/>
      <c r="C98" s="6"/>
      <c r="D98" s="6"/>
      <c r="L98" s="29"/>
      <c r="M98" s="29"/>
      <c r="N98" s="29"/>
      <c r="O98" s="29"/>
      <c r="P98" s="29"/>
      <c r="Q98" s="29"/>
      <c r="R98" s="66"/>
      <c r="S98" s="66"/>
      <c r="V98" s="67"/>
      <c r="W98" s="67"/>
      <c r="X98" s="67"/>
      <c r="Y98" s="67"/>
      <c r="Z98" s="67"/>
      <c r="AA98" s="67"/>
      <c r="AB98" s="67"/>
      <c r="AC98" s="67"/>
      <c r="AD98" s="67"/>
      <c r="AE98" s="67"/>
      <c r="AF98" s="67"/>
      <c r="AG98" s="67"/>
      <c r="AH98" s="67"/>
      <c r="AI98" s="67"/>
      <c r="AJ98" s="67"/>
      <c r="AK98" s="67"/>
      <c r="AL98" s="67"/>
      <c r="AM98" s="67"/>
      <c r="AN98" s="67"/>
      <c r="AO98" s="67"/>
      <c r="AP98" s="67"/>
      <c r="AQ98" s="67"/>
      <c r="AR98" s="67"/>
      <c r="AS98" s="67"/>
      <c r="AT98" s="67"/>
      <c r="AU98" s="67"/>
      <c r="AV98" s="67"/>
      <c r="AW98" s="67"/>
      <c r="AX98" s="67"/>
      <c r="AY98" s="67"/>
      <c r="AZ98" s="67"/>
      <c r="BA98" s="67"/>
      <c r="BB98" s="67"/>
      <c r="BC98" s="67"/>
      <c r="BD98" s="67"/>
      <c r="BE98" s="67"/>
      <c r="BF98" s="67"/>
      <c r="BG98" s="67"/>
      <c r="BH98" s="67"/>
      <c r="BI98" s="67"/>
      <c r="BJ98" s="67"/>
      <c r="BK98" s="67"/>
      <c r="BL98" s="67"/>
      <c r="BM98" s="67"/>
      <c r="BN98" s="67"/>
      <c r="BO98" s="67"/>
      <c r="BP98" s="67"/>
      <c r="BQ98" s="67"/>
      <c r="BR98" s="67"/>
      <c r="BS98" s="67"/>
      <c r="BT98" s="67"/>
      <c r="BU98" s="67"/>
      <c r="BV98" s="67"/>
      <c r="BW98" s="67"/>
      <c r="BX98" s="67"/>
      <c r="BY98" s="67"/>
      <c r="BZ98" s="67"/>
      <c r="CA98" s="67"/>
      <c r="CB98" s="67"/>
      <c r="CC98" s="67"/>
      <c r="CD98" s="67"/>
      <c r="CE98" s="67"/>
      <c r="CF98" s="67"/>
      <c r="CG98" s="67"/>
      <c r="CH98" s="67"/>
    </row>
    <row r="99" spans="1:86" s="7" customFormat="1" ht="12.75" customHeight="1">
      <c r="A99" s="6" t="s">
        <v>29</v>
      </c>
      <c r="B99" s="82"/>
      <c r="C99" s="6"/>
      <c r="D99" s="6"/>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c r="BA99" s="67"/>
      <c r="BB99" s="67"/>
      <c r="BC99" s="67"/>
      <c r="BD99" s="67"/>
      <c r="BE99" s="67"/>
      <c r="BF99" s="67"/>
      <c r="BG99" s="67"/>
      <c r="BH99" s="67"/>
      <c r="BI99" s="67"/>
      <c r="BJ99" s="67"/>
      <c r="BK99" s="67"/>
      <c r="BL99" s="67"/>
      <c r="BM99" s="67"/>
      <c r="BN99" s="67"/>
      <c r="BO99" s="67"/>
      <c r="BP99" s="67"/>
      <c r="BQ99" s="67"/>
      <c r="BR99" s="67"/>
      <c r="BS99" s="67"/>
      <c r="BT99" s="67"/>
      <c r="BU99" s="67"/>
      <c r="BV99" s="67"/>
      <c r="BW99" s="67"/>
      <c r="BX99" s="67"/>
      <c r="BY99" s="67"/>
      <c r="BZ99" s="67"/>
      <c r="CA99" s="67"/>
      <c r="CB99" s="67"/>
      <c r="CC99" s="67"/>
      <c r="CD99" s="67"/>
      <c r="CE99" s="67"/>
      <c r="CF99" s="67"/>
      <c r="CG99" s="67"/>
      <c r="CH99" s="67"/>
    </row>
    <row r="100" spans="1:86" s="7" customFormat="1" ht="12.75" customHeight="1">
      <c r="B100" s="82"/>
      <c r="C100" s="6"/>
      <c r="D100" s="6"/>
      <c r="E100" s="6"/>
      <c r="F100" s="6"/>
      <c r="V100" s="67"/>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c r="AV100" s="67"/>
      <c r="AW100" s="67"/>
      <c r="AX100" s="67"/>
      <c r="AY100" s="67"/>
      <c r="AZ100" s="67"/>
      <c r="BA100" s="67"/>
      <c r="BB100" s="67"/>
      <c r="BC100" s="67"/>
      <c r="BD100" s="67"/>
      <c r="BE100" s="67"/>
      <c r="BF100" s="67"/>
      <c r="BG100" s="67"/>
      <c r="BH100" s="67"/>
      <c r="BI100" s="67"/>
      <c r="BJ100" s="67"/>
      <c r="BK100" s="67"/>
      <c r="BL100" s="67"/>
      <c r="BM100" s="67"/>
      <c r="BN100" s="67"/>
      <c r="BO100" s="67"/>
      <c r="BP100" s="67"/>
      <c r="BQ100" s="67"/>
      <c r="BR100" s="67"/>
      <c r="BS100" s="67"/>
      <c r="BT100" s="67"/>
      <c r="BU100" s="67"/>
      <c r="BV100" s="67"/>
      <c r="BW100" s="67"/>
      <c r="BX100" s="67"/>
      <c r="BY100" s="67"/>
      <c r="BZ100" s="67"/>
      <c r="CA100" s="67"/>
      <c r="CB100" s="67"/>
      <c r="CC100" s="67"/>
      <c r="CD100" s="67"/>
      <c r="CE100" s="67"/>
      <c r="CF100" s="67"/>
      <c r="CG100" s="67"/>
      <c r="CH100" s="67"/>
    </row>
    <row r="101" spans="1:86">
      <c r="A101" s="6"/>
      <c r="B101" s="82"/>
      <c r="C101" s="11"/>
      <c r="D101" s="11"/>
      <c r="E101" s="11"/>
      <c r="F101" s="11"/>
      <c r="G101" s="11"/>
    </row>
    <row r="102" spans="1:86" s="44" customFormat="1" ht="21.75" customHeight="1">
      <c r="A102" s="337" t="s">
        <v>8</v>
      </c>
      <c r="B102" s="338"/>
      <c r="C102" s="338"/>
      <c r="D102" s="338"/>
      <c r="E102" s="338"/>
      <c r="F102" s="338"/>
      <c r="G102" s="338"/>
      <c r="H102" s="338"/>
      <c r="I102" s="338"/>
      <c r="J102" s="338"/>
      <c r="K102" s="338"/>
      <c r="L102" s="338"/>
      <c r="M102" s="338"/>
      <c r="N102" s="338"/>
      <c r="O102" s="338"/>
      <c r="P102" s="338"/>
      <c r="Q102" s="338"/>
      <c r="R102" s="338"/>
      <c r="S102" s="338"/>
      <c r="T102" s="338"/>
      <c r="U102" s="338"/>
    </row>
    <row r="103" spans="1:86" s="18" customFormat="1"/>
    <row r="104" spans="1:86" s="15" customFormat="1">
      <c r="A104" s="41" t="s">
        <v>370</v>
      </c>
      <c r="B104" s="8" t="s">
        <v>378</v>
      </c>
      <c r="L104" s="16"/>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1"/>
      <c r="BR104" s="41"/>
      <c r="BS104" s="41"/>
      <c r="BT104" s="41"/>
      <c r="BU104" s="41"/>
      <c r="BV104" s="41"/>
      <c r="BW104" s="41"/>
      <c r="BX104" s="41"/>
      <c r="BY104" s="41"/>
      <c r="BZ104" s="41"/>
      <c r="CA104" s="41"/>
      <c r="CB104" s="41"/>
      <c r="CC104" s="41"/>
      <c r="CD104" s="41"/>
      <c r="CE104" s="41"/>
      <c r="CF104" s="41"/>
      <c r="CG104" s="41"/>
      <c r="CH104" s="41"/>
    </row>
    <row r="105" spans="1:86" s="17" customFormat="1" ht="14.25" thickBot="1">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59"/>
      <c r="BX105" s="59"/>
      <c r="BY105" s="59"/>
      <c r="BZ105" s="59"/>
      <c r="CA105" s="59"/>
      <c r="CB105" s="59"/>
      <c r="CC105" s="59"/>
      <c r="CD105" s="59"/>
      <c r="CE105" s="59"/>
      <c r="CF105" s="59"/>
      <c r="CG105" s="59"/>
      <c r="CH105" s="59"/>
    </row>
    <row r="106" spans="1:86" s="120" customFormat="1" ht="14.25" thickBot="1">
      <c r="A106" s="113"/>
      <c r="B106" s="222">
        <v>2010</v>
      </c>
      <c r="C106" s="47">
        <v>2011</v>
      </c>
      <c r="D106" s="47">
        <v>2012</v>
      </c>
      <c r="E106" s="47">
        <v>2013</v>
      </c>
      <c r="F106" s="47">
        <v>2014</v>
      </c>
      <c r="G106" s="232">
        <v>2015</v>
      </c>
      <c r="H106" s="232">
        <v>2016</v>
      </c>
      <c r="I106" s="232">
        <v>2017</v>
      </c>
      <c r="J106" s="232">
        <v>2018</v>
      </c>
      <c r="K106" s="233">
        <v>2019</v>
      </c>
      <c r="M106" s="116" t="s">
        <v>31</v>
      </c>
      <c r="N106" s="3" t="s">
        <v>32</v>
      </c>
      <c r="O106" s="3" t="s">
        <v>33</v>
      </c>
      <c r="P106" s="3" t="s">
        <v>34</v>
      </c>
      <c r="Q106" s="117" t="s">
        <v>35</v>
      </c>
      <c r="R106" s="117" t="s">
        <v>36</v>
      </c>
      <c r="S106" s="117" t="s">
        <v>160</v>
      </c>
      <c r="T106" s="117" t="s">
        <v>169</v>
      </c>
      <c r="U106" s="118" t="s">
        <v>170</v>
      </c>
      <c r="V106" s="88"/>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119"/>
      <c r="AY106" s="119"/>
      <c r="AZ106" s="119"/>
      <c r="BA106" s="119"/>
      <c r="BB106" s="119"/>
      <c r="BC106" s="119"/>
      <c r="BD106" s="119"/>
      <c r="BE106" s="119"/>
      <c r="BF106" s="119"/>
      <c r="BG106" s="119"/>
      <c r="BH106" s="119"/>
      <c r="BI106" s="119"/>
      <c r="BJ106" s="119"/>
      <c r="BK106" s="119"/>
      <c r="BL106" s="119"/>
      <c r="BM106" s="119"/>
      <c r="BN106" s="119"/>
      <c r="BO106" s="119"/>
      <c r="BP106" s="119"/>
      <c r="BQ106" s="119"/>
      <c r="BR106" s="119"/>
      <c r="BS106" s="119"/>
      <c r="BT106" s="119"/>
      <c r="BU106" s="119"/>
      <c r="BV106" s="119"/>
      <c r="BW106" s="119"/>
      <c r="BX106" s="119"/>
      <c r="BY106" s="119"/>
      <c r="BZ106" s="119"/>
      <c r="CA106" s="119"/>
      <c r="CB106" s="119"/>
      <c r="CC106" s="119"/>
      <c r="CD106" s="119"/>
      <c r="CE106" s="119"/>
      <c r="CF106" s="119"/>
      <c r="CG106" s="119"/>
      <c r="CH106" s="119"/>
    </row>
    <row r="107" spans="1:86" s="125" customFormat="1">
      <c r="A107" s="209" t="s">
        <v>24</v>
      </c>
      <c r="B107" s="112">
        <v>2140.3000000000002</v>
      </c>
      <c r="C107" s="112">
        <v>2267.1</v>
      </c>
      <c r="D107" s="112">
        <v>2345.1999999999998</v>
      </c>
      <c r="E107" s="112">
        <v>2283.3000000000002</v>
      </c>
      <c r="F107" s="112">
        <v>2266.3000000000002</v>
      </c>
      <c r="G107" s="112">
        <v>2364.6</v>
      </c>
      <c r="H107" s="112">
        <v>2456.3000000000002</v>
      </c>
      <c r="I107" s="112">
        <v>2538.1999999999998</v>
      </c>
      <c r="J107" s="112">
        <v>2597.6999999999998</v>
      </c>
      <c r="K107" s="197">
        <v>2638.3</v>
      </c>
      <c r="M107" s="126">
        <f t="shared" ref="M107:U109" si="53">(C107-B107)/B107</f>
        <v>5.9244031210577822E-2</v>
      </c>
      <c r="N107" s="127">
        <f t="shared" si="53"/>
        <v>3.4449296458030042E-2</v>
      </c>
      <c r="O107" s="127">
        <f t="shared" si="53"/>
        <v>-2.6394337369946973E-2</v>
      </c>
      <c r="P107" s="127">
        <f t="shared" si="53"/>
        <v>-7.4453641659002314E-3</v>
      </c>
      <c r="Q107" s="127">
        <f t="shared" si="53"/>
        <v>4.3374663548515074E-2</v>
      </c>
      <c r="R107" s="127">
        <f t="shared" si="53"/>
        <v>3.8780343398460745E-2</v>
      </c>
      <c r="S107" s="127">
        <f t="shared" si="53"/>
        <v>3.3342832715873315E-2</v>
      </c>
      <c r="T107" s="127">
        <f t="shared" si="53"/>
        <v>2.3441809156094871E-2</v>
      </c>
      <c r="U107" s="128">
        <f t="shared" si="53"/>
        <v>1.5629210455402998E-2</v>
      </c>
      <c r="V107" s="108"/>
      <c r="W107" s="108"/>
      <c r="X107" s="108"/>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08"/>
      <c r="BH107" s="108"/>
      <c r="BI107" s="108"/>
      <c r="BJ107" s="108"/>
      <c r="BK107" s="108"/>
      <c r="BL107" s="108"/>
      <c r="BM107" s="108"/>
      <c r="BN107" s="108"/>
      <c r="BO107" s="108"/>
      <c r="BP107" s="108"/>
      <c r="BQ107" s="108"/>
      <c r="BR107" s="108"/>
      <c r="BS107" s="108"/>
      <c r="BT107" s="108"/>
      <c r="BU107" s="108"/>
      <c r="BV107" s="108"/>
      <c r="BW107" s="108"/>
      <c r="BX107" s="108"/>
      <c r="BY107" s="108"/>
      <c r="BZ107" s="108"/>
      <c r="CA107" s="108"/>
      <c r="CB107" s="108"/>
      <c r="CC107" s="108"/>
      <c r="CD107" s="108"/>
      <c r="CE107" s="108"/>
      <c r="CF107" s="108"/>
      <c r="CG107" s="108"/>
      <c r="CH107" s="108"/>
    </row>
    <row r="108" spans="1:86" s="125" customFormat="1">
      <c r="A108" s="189" t="s">
        <v>25</v>
      </c>
      <c r="B108" s="92">
        <v>562.1</v>
      </c>
      <c r="C108" s="92">
        <v>501</v>
      </c>
      <c r="D108" s="92">
        <v>490.6</v>
      </c>
      <c r="E108" s="92">
        <v>461.1</v>
      </c>
      <c r="F108" s="92">
        <v>441.4</v>
      </c>
      <c r="G108" s="92">
        <v>433.7</v>
      </c>
      <c r="H108" s="92">
        <v>430.1</v>
      </c>
      <c r="I108" s="92">
        <v>427</v>
      </c>
      <c r="J108" s="92">
        <v>426.4</v>
      </c>
      <c r="K108" s="97">
        <v>425.9</v>
      </c>
      <c r="M108" s="130">
        <f t="shared" si="53"/>
        <v>-0.10869951965842381</v>
      </c>
      <c r="N108" s="131">
        <f t="shared" si="53"/>
        <v>-2.0758483033932091E-2</v>
      </c>
      <c r="O108" s="131">
        <f t="shared" si="53"/>
        <v>-6.013045250713412E-2</v>
      </c>
      <c r="P108" s="131">
        <f t="shared" si="53"/>
        <v>-4.2723921058338853E-2</v>
      </c>
      <c r="Q108" s="131">
        <f t="shared" si="53"/>
        <v>-1.7444494789306726E-2</v>
      </c>
      <c r="R108" s="131">
        <f t="shared" si="53"/>
        <v>-8.3006686649757105E-3</v>
      </c>
      <c r="S108" s="131">
        <f t="shared" si="53"/>
        <v>-7.2076261334573883E-3</v>
      </c>
      <c r="T108" s="131">
        <f t="shared" si="53"/>
        <v>-1.4051522248244093E-3</v>
      </c>
      <c r="U108" s="132">
        <f t="shared" si="53"/>
        <v>-1.1726078799249532E-3</v>
      </c>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8"/>
      <c r="BL108" s="108"/>
      <c r="BM108" s="108"/>
      <c r="BN108" s="108"/>
      <c r="BO108" s="108"/>
      <c r="BP108" s="108"/>
      <c r="BQ108" s="108"/>
      <c r="BR108" s="108"/>
      <c r="BS108" s="108"/>
      <c r="BT108" s="108"/>
      <c r="BU108" s="108"/>
      <c r="BV108" s="108"/>
      <c r="BW108" s="108"/>
      <c r="BX108" s="108"/>
      <c r="BY108" s="108"/>
      <c r="BZ108" s="108"/>
      <c r="CA108" s="108"/>
      <c r="CB108" s="108"/>
      <c r="CC108" s="108"/>
      <c r="CD108" s="108"/>
      <c r="CE108" s="108"/>
      <c r="CF108" s="108"/>
      <c r="CG108" s="108"/>
      <c r="CH108" s="108"/>
    </row>
    <row r="109" spans="1:86" s="145" customFormat="1" thickBot="1">
      <c r="A109" s="214" t="s">
        <v>18</v>
      </c>
      <c r="B109" s="99">
        <f t="shared" ref="B109:K109" si="54">SUM(B107:B108)</f>
        <v>2702.4</v>
      </c>
      <c r="C109" s="99">
        <f t="shared" si="54"/>
        <v>2768.1</v>
      </c>
      <c r="D109" s="99">
        <f t="shared" si="54"/>
        <v>2835.7999999999997</v>
      </c>
      <c r="E109" s="99">
        <f t="shared" si="54"/>
        <v>2744.4</v>
      </c>
      <c r="F109" s="99">
        <f t="shared" si="54"/>
        <v>2707.7000000000003</v>
      </c>
      <c r="G109" s="99">
        <f t="shared" si="54"/>
        <v>2798.2999999999997</v>
      </c>
      <c r="H109" s="99">
        <f t="shared" si="54"/>
        <v>2886.4</v>
      </c>
      <c r="I109" s="99">
        <f t="shared" si="54"/>
        <v>2965.2</v>
      </c>
      <c r="J109" s="99">
        <f t="shared" si="54"/>
        <v>3024.1</v>
      </c>
      <c r="K109" s="100">
        <f t="shared" si="54"/>
        <v>3064.2000000000003</v>
      </c>
      <c r="M109" s="156">
        <f t="shared" si="53"/>
        <v>2.4311722912966183E-2</v>
      </c>
      <c r="N109" s="157">
        <f t="shared" si="53"/>
        <v>2.44572089158628E-2</v>
      </c>
      <c r="O109" s="157">
        <f t="shared" si="53"/>
        <v>-3.2230763805627914E-2</v>
      </c>
      <c r="P109" s="157">
        <f t="shared" si="53"/>
        <v>-1.3372686197347258E-2</v>
      </c>
      <c r="Q109" s="157">
        <f t="shared" si="53"/>
        <v>3.3460132215533275E-2</v>
      </c>
      <c r="R109" s="157">
        <f t="shared" si="53"/>
        <v>3.1483400636100625E-2</v>
      </c>
      <c r="S109" s="157">
        <f t="shared" si="53"/>
        <v>2.7300443458979948E-2</v>
      </c>
      <c r="T109" s="157">
        <f t="shared" si="53"/>
        <v>1.986375286658576E-2</v>
      </c>
      <c r="U109" s="158">
        <f t="shared" si="53"/>
        <v>1.3260143513772813E-2</v>
      </c>
      <c r="V109" s="110"/>
      <c r="W109" s="110"/>
      <c r="X109" s="110"/>
      <c r="Y109" s="110"/>
      <c r="Z109" s="110"/>
      <c r="AA109" s="110"/>
      <c r="AB109" s="110"/>
      <c r="AC109" s="110"/>
      <c r="AD109" s="110"/>
      <c r="AE109" s="110"/>
      <c r="AF109" s="110"/>
      <c r="AG109" s="110"/>
      <c r="AH109" s="110"/>
      <c r="AI109" s="110"/>
      <c r="AJ109" s="110"/>
      <c r="AK109" s="110"/>
      <c r="AL109" s="110"/>
      <c r="AM109" s="110"/>
      <c r="AN109" s="110"/>
      <c r="AO109" s="110"/>
      <c r="AP109" s="110"/>
      <c r="AQ109" s="110"/>
      <c r="AR109" s="110"/>
      <c r="AS109" s="110"/>
      <c r="AT109" s="110"/>
      <c r="AU109" s="110"/>
      <c r="AV109" s="110"/>
      <c r="AW109" s="110"/>
      <c r="AX109" s="110"/>
      <c r="AY109" s="110"/>
      <c r="AZ109" s="110"/>
      <c r="BA109" s="110"/>
      <c r="BB109" s="110"/>
      <c r="BC109" s="110"/>
      <c r="BD109" s="110"/>
      <c r="BE109" s="110"/>
      <c r="BF109" s="110"/>
      <c r="BG109" s="110"/>
      <c r="BH109" s="110"/>
      <c r="BI109" s="110"/>
      <c r="BJ109" s="110"/>
      <c r="BK109" s="110"/>
      <c r="BL109" s="110"/>
      <c r="BM109" s="110"/>
      <c r="BN109" s="110"/>
      <c r="BO109" s="110"/>
      <c r="BP109" s="110"/>
      <c r="BQ109" s="110"/>
      <c r="BR109" s="110"/>
      <c r="BS109" s="110"/>
      <c r="BT109" s="110"/>
      <c r="BU109" s="110"/>
      <c r="BV109" s="110"/>
      <c r="BW109" s="110"/>
      <c r="BX109" s="110"/>
      <c r="BY109" s="110"/>
      <c r="BZ109" s="110"/>
      <c r="CA109" s="110"/>
      <c r="CB109" s="110"/>
      <c r="CC109" s="110"/>
      <c r="CD109" s="110"/>
      <c r="CE109" s="110"/>
      <c r="CF109" s="110"/>
      <c r="CG109" s="110"/>
      <c r="CH109" s="110"/>
    </row>
    <row r="110" spans="1:86">
      <c r="A110" s="6" t="s">
        <v>37</v>
      </c>
      <c r="B110" s="11"/>
      <c r="C110" s="11"/>
      <c r="D110" s="11"/>
      <c r="E110" s="11"/>
      <c r="F110" s="11"/>
      <c r="G110" s="11"/>
      <c r="M110" s="58"/>
      <c r="N110" s="58"/>
      <c r="O110" s="58"/>
      <c r="P110" s="58"/>
      <c r="Q110" s="58"/>
      <c r="R110" s="58"/>
      <c r="S110" s="58"/>
      <c r="T110" s="58"/>
      <c r="U110" s="58"/>
    </row>
    <row r="111" spans="1:86">
      <c r="A111" s="6" t="s">
        <v>174</v>
      </c>
      <c r="B111" s="82"/>
      <c r="C111" s="82"/>
      <c r="D111" s="82"/>
      <c r="E111" s="82"/>
      <c r="F111" s="82"/>
      <c r="G111" s="82"/>
      <c r="H111" s="82"/>
      <c r="I111" s="82"/>
      <c r="J111" s="82"/>
      <c r="K111" s="82"/>
      <c r="M111" s="58"/>
      <c r="N111" s="58"/>
      <c r="O111" s="58"/>
      <c r="P111" s="58"/>
      <c r="Q111" s="58"/>
      <c r="R111" s="58"/>
      <c r="S111" s="58"/>
      <c r="T111" s="58"/>
      <c r="U111" s="58"/>
    </row>
    <row r="112" spans="1:86">
      <c r="A112" s="6" t="s">
        <v>38</v>
      </c>
      <c r="B112" s="11"/>
      <c r="C112" s="11"/>
      <c r="D112" s="69"/>
      <c r="E112" s="69"/>
      <c r="F112" s="69"/>
      <c r="G112" s="69"/>
    </row>
    <row r="113" spans="1:86" s="15" customFormat="1" ht="13.5" customHeight="1" thickBot="1">
      <c r="B113" s="46"/>
      <c r="C113" s="46"/>
      <c r="D113" s="46"/>
      <c r="E113" s="46"/>
      <c r="F113" s="46"/>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c r="BR113" s="41"/>
      <c r="BS113" s="41"/>
      <c r="BT113" s="41"/>
      <c r="BU113" s="41"/>
      <c r="BV113" s="41"/>
      <c r="BW113" s="41"/>
      <c r="BX113" s="41"/>
      <c r="BY113" s="41"/>
      <c r="BZ113" s="41"/>
      <c r="CA113" s="41"/>
      <c r="CB113" s="41"/>
      <c r="CC113" s="41"/>
      <c r="CD113" s="41"/>
      <c r="CE113" s="41"/>
      <c r="CF113" s="41"/>
      <c r="CG113" s="41"/>
      <c r="CH113" s="41"/>
    </row>
    <row r="114" spans="1:86" s="125" customFormat="1" ht="13.5" customHeight="1" thickBot="1">
      <c r="B114" s="116" t="s">
        <v>39</v>
      </c>
      <c r="C114" s="3" t="s">
        <v>19</v>
      </c>
      <c r="D114" s="3" t="s">
        <v>40</v>
      </c>
      <c r="E114" s="3" t="s">
        <v>41</v>
      </c>
      <c r="F114" s="3" t="s">
        <v>42</v>
      </c>
      <c r="G114" s="117" t="s">
        <v>43</v>
      </c>
      <c r="H114" s="117" t="s">
        <v>44</v>
      </c>
      <c r="I114" s="117" t="s">
        <v>158</v>
      </c>
      <c r="J114" s="117" t="s">
        <v>167</v>
      </c>
      <c r="K114" s="118" t="s">
        <v>168</v>
      </c>
      <c r="M114" s="173"/>
      <c r="N114" s="173"/>
      <c r="O114" s="173"/>
      <c r="P114" s="173"/>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108"/>
      <c r="BC114" s="108"/>
      <c r="BD114" s="108"/>
      <c r="BE114" s="108"/>
      <c r="BF114" s="108"/>
      <c r="BG114" s="108"/>
      <c r="BH114" s="108"/>
      <c r="BI114" s="108"/>
      <c r="BJ114" s="108"/>
      <c r="BK114" s="108"/>
      <c r="BL114" s="108"/>
      <c r="BM114" s="108"/>
      <c r="BN114" s="108"/>
      <c r="BO114" s="108"/>
      <c r="BP114" s="108"/>
      <c r="BQ114" s="108"/>
      <c r="BR114" s="108"/>
      <c r="BS114" s="108"/>
      <c r="BT114" s="108"/>
      <c r="BU114" s="108"/>
      <c r="BV114" s="108"/>
      <c r="BW114" s="108"/>
      <c r="BX114" s="108"/>
      <c r="BY114" s="108"/>
      <c r="BZ114" s="108"/>
      <c r="CA114" s="108"/>
      <c r="CB114" s="108"/>
      <c r="CC114" s="108"/>
      <c r="CD114" s="108"/>
      <c r="CE114" s="108"/>
      <c r="CF114" s="108"/>
      <c r="CG114" s="108"/>
      <c r="CH114" s="108"/>
    </row>
    <row r="115" spans="1:86" s="125" customFormat="1" ht="13.5" customHeight="1">
      <c r="A115" s="121" t="s">
        <v>24</v>
      </c>
      <c r="B115" s="321">
        <f>B107/B$109</f>
        <v>0.79199970396684438</v>
      </c>
      <c r="C115" s="322">
        <f t="shared" ref="C115:K115" si="55">C107/C$109</f>
        <v>0.81900942885011374</v>
      </c>
      <c r="D115" s="322">
        <f t="shared" si="55"/>
        <v>0.8269976726144298</v>
      </c>
      <c r="E115" s="322">
        <f t="shared" si="55"/>
        <v>0.83198513336248359</v>
      </c>
      <c r="F115" s="322">
        <f t="shared" si="55"/>
        <v>0.83698341766074524</v>
      </c>
      <c r="G115" s="322">
        <f t="shared" si="55"/>
        <v>0.84501304363363472</v>
      </c>
      <c r="H115" s="322">
        <f t="shared" si="55"/>
        <v>0.85099085365853666</v>
      </c>
      <c r="I115" s="322">
        <f t="shared" si="55"/>
        <v>0.85599622285174692</v>
      </c>
      <c r="J115" s="322">
        <f t="shared" si="55"/>
        <v>0.85899937171389829</v>
      </c>
      <c r="K115" s="323">
        <f t="shared" si="55"/>
        <v>0.86100776711702887</v>
      </c>
      <c r="N115" s="173"/>
      <c r="O115" s="173"/>
      <c r="P115" s="173"/>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row>
    <row r="116" spans="1:86" s="125" customFormat="1" ht="13.5" customHeight="1">
      <c r="A116" s="129" t="s">
        <v>25</v>
      </c>
      <c r="B116" s="315">
        <f>B108/B$109</f>
        <v>0.2080002960331557</v>
      </c>
      <c r="C116" s="316">
        <f t="shared" ref="C116:K116" si="56">C108/C$109</f>
        <v>0.1809905711498862</v>
      </c>
      <c r="D116" s="316">
        <f t="shared" si="56"/>
        <v>0.17300232738557023</v>
      </c>
      <c r="E116" s="316">
        <f t="shared" si="56"/>
        <v>0.16801486663751641</v>
      </c>
      <c r="F116" s="316">
        <f t="shared" si="56"/>
        <v>0.1630165823392547</v>
      </c>
      <c r="G116" s="316">
        <f t="shared" si="56"/>
        <v>0.15498695636636531</v>
      </c>
      <c r="H116" s="316">
        <f t="shared" si="56"/>
        <v>0.14900914634146342</v>
      </c>
      <c r="I116" s="316">
        <f t="shared" si="56"/>
        <v>0.14400377714825308</v>
      </c>
      <c r="J116" s="316">
        <f t="shared" si="56"/>
        <v>0.14100062828610166</v>
      </c>
      <c r="K116" s="317">
        <f t="shared" si="56"/>
        <v>0.13899223288297108</v>
      </c>
      <c r="N116" s="173"/>
      <c r="O116" s="173"/>
      <c r="P116" s="173"/>
      <c r="V116" s="108"/>
      <c r="W116" s="108"/>
      <c r="X116" s="108"/>
      <c r="Y116" s="108"/>
      <c r="Z116" s="108"/>
      <c r="AA116" s="108"/>
      <c r="AB116" s="108"/>
      <c r="AC116" s="108"/>
      <c r="AD116" s="108"/>
      <c r="AE116" s="108"/>
      <c r="AF116" s="108"/>
      <c r="AG116" s="108"/>
      <c r="AH116" s="108"/>
      <c r="AI116" s="108"/>
      <c r="AJ116" s="108"/>
      <c r="AK116" s="108"/>
      <c r="AL116" s="108"/>
      <c r="AM116" s="108"/>
      <c r="AN116" s="108"/>
      <c r="AO116" s="108"/>
      <c r="AP116" s="108"/>
      <c r="AQ116" s="108"/>
      <c r="AR116" s="108"/>
      <c r="AS116" s="108"/>
      <c r="AT116" s="108"/>
      <c r="AU116" s="108"/>
      <c r="AV116" s="108"/>
      <c r="AW116" s="108"/>
      <c r="AX116" s="108"/>
      <c r="AY116" s="108"/>
      <c r="AZ116" s="108"/>
      <c r="BA116" s="108"/>
      <c r="BB116" s="108"/>
      <c r="BC116" s="108"/>
      <c r="BD116" s="108"/>
      <c r="BE116" s="108"/>
      <c r="BF116" s="108"/>
      <c r="BG116" s="108"/>
      <c r="BH116" s="108"/>
      <c r="BI116" s="108"/>
      <c r="BJ116" s="108"/>
      <c r="BK116" s="108"/>
      <c r="BL116" s="108"/>
      <c r="BM116" s="108"/>
      <c r="BN116" s="108"/>
      <c r="BO116" s="108"/>
      <c r="BP116" s="108"/>
      <c r="BQ116" s="108"/>
      <c r="BR116" s="108"/>
      <c r="BS116" s="108"/>
      <c r="BT116" s="108"/>
      <c r="BU116" s="108"/>
      <c r="BV116" s="108"/>
      <c r="BW116" s="108"/>
      <c r="BX116" s="108"/>
      <c r="BY116" s="108"/>
      <c r="BZ116" s="108"/>
      <c r="CA116" s="108"/>
      <c r="CB116" s="108"/>
      <c r="CC116" s="108"/>
      <c r="CD116" s="108"/>
      <c r="CE116" s="108"/>
      <c r="CF116" s="108"/>
      <c r="CG116" s="108"/>
      <c r="CH116" s="108"/>
    </row>
    <row r="117" spans="1:86" s="125" customFormat="1" ht="13.5" customHeight="1" thickBot="1">
      <c r="A117" s="155" t="s">
        <v>18</v>
      </c>
      <c r="B117" s="179">
        <f t="shared" ref="B117:K117" si="57">B115+B116</f>
        <v>1</v>
      </c>
      <c r="C117" s="180">
        <f t="shared" si="57"/>
        <v>1</v>
      </c>
      <c r="D117" s="180">
        <f t="shared" si="57"/>
        <v>1</v>
      </c>
      <c r="E117" s="180">
        <f t="shared" si="57"/>
        <v>1</v>
      </c>
      <c r="F117" s="180">
        <f t="shared" si="57"/>
        <v>1</v>
      </c>
      <c r="G117" s="180">
        <f t="shared" si="57"/>
        <v>1</v>
      </c>
      <c r="H117" s="180">
        <f t="shared" si="57"/>
        <v>1</v>
      </c>
      <c r="I117" s="180">
        <f t="shared" si="57"/>
        <v>1</v>
      </c>
      <c r="J117" s="180">
        <f t="shared" si="57"/>
        <v>1</v>
      </c>
      <c r="K117" s="181">
        <f t="shared" si="57"/>
        <v>1</v>
      </c>
      <c r="V117" s="108"/>
      <c r="W117" s="108"/>
      <c r="X117" s="108"/>
      <c r="Y117" s="108"/>
      <c r="Z117" s="108"/>
      <c r="AA117" s="108"/>
      <c r="AB117" s="108"/>
      <c r="AC117" s="108"/>
      <c r="AD117" s="108"/>
      <c r="AE117" s="108"/>
      <c r="AF117" s="108"/>
      <c r="AG117" s="108"/>
      <c r="AH117" s="108"/>
      <c r="AI117" s="108"/>
      <c r="AJ117" s="108"/>
      <c r="AK117" s="108"/>
      <c r="AL117" s="108"/>
      <c r="AM117" s="108"/>
      <c r="AN117" s="108"/>
      <c r="AO117" s="108"/>
      <c r="AP117" s="108"/>
      <c r="AQ117" s="108"/>
      <c r="AR117" s="108"/>
      <c r="AS117" s="108"/>
      <c r="AT117" s="108"/>
      <c r="AU117" s="108"/>
      <c r="AV117" s="108"/>
      <c r="AW117" s="108"/>
      <c r="AX117" s="108"/>
      <c r="AY117" s="108"/>
      <c r="AZ117" s="108"/>
      <c r="BA117" s="108"/>
      <c r="BB117" s="108"/>
      <c r="BC117" s="108"/>
      <c r="BD117" s="108"/>
      <c r="BE117" s="108"/>
      <c r="BF117" s="108"/>
      <c r="BG117" s="108"/>
      <c r="BH117" s="108"/>
      <c r="BI117" s="108"/>
      <c r="BJ117" s="108"/>
      <c r="BK117" s="108"/>
      <c r="BL117" s="108"/>
      <c r="BM117" s="108"/>
      <c r="BN117" s="108"/>
      <c r="BO117" s="108"/>
      <c r="BP117" s="108"/>
      <c r="BQ117" s="108"/>
      <c r="BR117" s="108"/>
      <c r="BS117" s="108"/>
      <c r="BT117" s="108"/>
      <c r="BU117" s="108"/>
      <c r="BV117" s="108"/>
      <c r="BW117" s="108"/>
      <c r="BX117" s="108"/>
      <c r="BY117" s="108"/>
      <c r="BZ117" s="108"/>
      <c r="CA117" s="108"/>
      <c r="CB117" s="108"/>
      <c r="CC117" s="108"/>
      <c r="CD117" s="108"/>
      <c r="CE117" s="108"/>
      <c r="CF117" s="108"/>
      <c r="CG117" s="108"/>
      <c r="CH117" s="108"/>
    </row>
    <row r="119" spans="1:86" ht="14.25" thickBot="1">
      <c r="A119" s="22"/>
      <c r="B119" s="22"/>
      <c r="C119" s="22"/>
      <c r="D119" s="22"/>
      <c r="E119" s="22"/>
      <c r="F119" s="22"/>
      <c r="G119" s="22"/>
      <c r="H119" s="22"/>
      <c r="I119" s="22"/>
      <c r="J119" s="22"/>
      <c r="K119" s="22"/>
      <c r="L119" s="22"/>
      <c r="M119" s="22"/>
      <c r="N119" s="22"/>
      <c r="O119" s="22"/>
      <c r="P119" s="22"/>
      <c r="Q119" s="22"/>
      <c r="R119" s="22"/>
      <c r="S119" s="22"/>
      <c r="T119" s="22"/>
      <c r="U119" s="22"/>
    </row>
    <row r="121" spans="1:86">
      <c r="A121" s="41" t="s">
        <v>371</v>
      </c>
      <c r="B121" s="8" t="s">
        <v>379</v>
      </c>
    </row>
    <row r="122" spans="1:86" s="16" customFormat="1" ht="14.25" thickBot="1">
      <c r="G122" s="23"/>
      <c r="H122" s="23"/>
      <c r="I122" s="23"/>
      <c r="J122" s="23"/>
      <c r="K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row>
    <row r="123" spans="1:86" s="125" customFormat="1" ht="14.25" thickBot="1">
      <c r="B123" s="182" t="s">
        <v>145</v>
      </c>
      <c r="C123" s="183" t="s">
        <v>148</v>
      </c>
      <c r="D123" s="185"/>
      <c r="E123" s="185"/>
      <c r="F123" s="185"/>
      <c r="G123" s="199"/>
      <c r="H123" s="200"/>
      <c r="I123" s="200"/>
      <c r="J123" s="200"/>
      <c r="K123" s="200"/>
      <c r="L123" s="185"/>
      <c r="M123" s="200"/>
      <c r="N123" s="200"/>
      <c r="O123" s="200"/>
      <c r="P123" s="200"/>
      <c r="Q123" s="200"/>
      <c r="R123" s="200"/>
      <c r="S123" s="200"/>
      <c r="T123" s="200"/>
      <c r="U123" s="200"/>
      <c r="V123" s="108"/>
      <c r="W123" s="108"/>
      <c r="X123" s="108"/>
      <c r="Y123" s="108"/>
      <c r="Z123" s="108"/>
      <c r="AA123" s="108"/>
      <c r="AB123" s="108"/>
      <c r="AC123" s="108"/>
      <c r="AD123" s="108"/>
      <c r="AE123" s="108"/>
      <c r="AF123" s="108"/>
      <c r="AG123" s="108"/>
      <c r="AH123" s="108"/>
      <c r="AI123" s="108"/>
      <c r="AJ123" s="108"/>
      <c r="AK123" s="108"/>
      <c r="AL123" s="108"/>
      <c r="AM123" s="108"/>
      <c r="AN123" s="108"/>
      <c r="AO123" s="108"/>
      <c r="AP123" s="108"/>
      <c r="AQ123" s="108"/>
      <c r="AR123" s="108"/>
      <c r="AS123" s="108"/>
      <c r="AT123" s="108"/>
      <c r="AU123" s="108"/>
      <c r="AV123" s="108"/>
      <c r="AW123" s="108"/>
      <c r="AX123" s="108"/>
      <c r="AY123" s="108"/>
      <c r="AZ123" s="108"/>
      <c r="BA123" s="108"/>
      <c r="BB123" s="108"/>
      <c r="BC123" s="108"/>
      <c r="BD123" s="108"/>
      <c r="BE123" s="108"/>
      <c r="BF123" s="108"/>
      <c r="BG123" s="108"/>
      <c r="BH123" s="108"/>
      <c r="BI123" s="108"/>
      <c r="BJ123" s="108"/>
      <c r="BK123" s="108"/>
      <c r="BL123" s="108"/>
      <c r="BM123" s="108"/>
      <c r="BN123" s="108"/>
      <c r="BO123" s="108"/>
      <c r="BP123" s="108"/>
      <c r="BQ123" s="108"/>
      <c r="BR123" s="108"/>
      <c r="BS123" s="108"/>
      <c r="BT123" s="108"/>
      <c r="BU123" s="108"/>
      <c r="BV123" s="108"/>
      <c r="BW123" s="108"/>
      <c r="BX123" s="108"/>
      <c r="BY123" s="108"/>
      <c r="BZ123" s="108"/>
      <c r="CA123" s="108"/>
      <c r="CB123" s="108"/>
      <c r="CC123" s="108"/>
      <c r="CD123" s="108"/>
      <c r="CE123" s="108"/>
      <c r="CF123" s="108"/>
      <c r="CG123" s="108"/>
      <c r="CH123" s="108"/>
    </row>
    <row r="124" spans="1:86" s="125" customFormat="1">
      <c r="A124" s="121" t="s">
        <v>24</v>
      </c>
      <c r="B124" s="307">
        <v>95.6</v>
      </c>
      <c r="C124" s="201">
        <f>B124/B$126</f>
        <v>0.87706422018348618</v>
      </c>
      <c r="D124" s="202"/>
      <c r="E124" s="310"/>
      <c r="F124" s="202"/>
      <c r="G124" s="92"/>
      <c r="H124" s="161"/>
      <c r="I124" s="161"/>
      <c r="J124" s="161"/>
      <c r="K124" s="161"/>
      <c r="L124" s="185"/>
      <c r="M124" s="161"/>
      <c r="N124" s="161"/>
      <c r="O124" s="161"/>
      <c r="P124" s="161"/>
      <c r="Q124" s="161"/>
      <c r="R124" s="203"/>
      <c r="S124" s="203"/>
      <c r="T124" s="203"/>
      <c r="U124" s="203"/>
      <c r="V124" s="108"/>
      <c r="W124" s="108"/>
      <c r="X124" s="108"/>
      <c r="Y124" s="108"/>
      <c r="Z124" s="108"/>
      <c r="AA124" s="108"/>
      <c r="AB124" s="108"/>
      <c r="AC124" s="108"/>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c r="AX124" s="108"/>
      <c r="AY124" s="108"/>
      <c r="AZ124" s="108"/>
      <c r="BA124" s="108"/>
      <c r="BB124" s="108"/>
      <c r="BC124" s="108"/>
      <c r="BD124" s="108"/>
      <c r="BE124" s="108"/>
      <c r="BF124" s="108"/>
      <c r="BG124" s="108"/>
      <c r="BH124" s="108"/>
      <c r="BI124" s="108"/>
      <c r="BJ124" s="108"/>
      <c r="BK124" s="108"/>
      <c r="BL124" s="108"/>
      <c r="BM124" s="108"/>
      <c r="BN124" s="108"/>
      <c r="BO124" s="108"/>
      <c r="BP124" s="108"/>
      <c r="BQ124" s="108"/>
      <c r="BR124" s="108"/>
      <c r="BS124" s="108"/>
      <c r="BT124" s="108"/>
      <c r="BU124" s="108"/>
      <c r="BV124" s="108"/>
      <c r="BW124" s="108"/>
      <c r="BX124" s="108"/>
      <c r="BY124" s="108"/>
      <c r="BZ124" s="108"/>
      <c r="CA124" s="108"/>
      <c r="CB124" s="108"/>
      <c r="CC124" s="108"/>
      <c r="CD124" s="108"/>
      <c r="CE124" s="108"/>
      <c r="CF124" s="108"/>
      <c r="CG124" s="108"/>
      <c r="CH124" s="108"/>
    </row>
    <row r="125" spans="1:86" s="125" customFormat="1">
      <c r="A125" s="129" t="s">
        <v>25</v>
      </c>
      <c r="B125" s="308">
        <v>13.4</v>
      </c>
      <c r="C125" s="204">
        <f>B125/B$126</f>
        <v>0.12293577981651377</v>
      </c>
      <c r="D125" s="202"/>
      <c r="E125" s="310"/>
      <c r="F125" s="202"/>
      <c r="G125" s="92"/>
      <c r="H125" s="161"/>
      <c r="I125" s="161"/>
      <c r="J125" s="161"/>
      <c r="K125" s="161"/>
      <c r="L125" s="185"/>
      <c r="M125" s="161"/>
      <c r="N125" s="161"/>
      <c r="O125" s="161"/>
      <c r="P125" s="161"/>
      <c r="Q125" s="161"/>
      <c r="R125" s="203"/>
      <c r="S125" s="203"/>
      <c r="T125" s="203"/>
      <c r="U125" s="203"/>
      <c r="V125" s="108"/>
      <c r="W125" s="108"/>
      <c r="X125" s="108"/>
      <c r="Y125" s="108"/>
      <c r="Z125" s="108"/>
      <c r="AA125" s="108"/>
      <c r="AB125" s="108"/>
      <c r="AC125" s="108"/>
      <c r="AD125" s="108"/>
      <c r="AE125" s="108"/>
      <c r="AF125" s="108"/>
      <c r="AG125" s="108"/>
      <c r="AH125" s="108"/>
      <c r="AI125" s="108"/>
      <c r="AJ125" s="108"/>
      <c r="AK125" s="108"/>
      <c r="AL125" s="108"/>
      <c r="AM125" s="108"/>
      <c r="AN125" s="108"/>
      <c r="AO125" s="108"/>
      <c r="AP125" s="108"/>
      <c r="AQ125" s="108"/>
      <c r="AR125" s="108"/>
      <c r="AS125" s="108"/>
      <c r="AT125" s="108"/>
      <c r="AU125" s="108"/>
      <c r="AV125" s="108"/>
      <c r="AW125" s="108"/>
      <c r="AX125" s="108"/>
      <c r="AY125" s="108"/>
      <c r="AZ125" s="108"/>
      <c r="BA125" s="108"/>
      <c r="BB125" s="108"/>
      <c r="BC125" s="108"/>
      <c r="BD125" s="108"/>
      <c r="BE125" s="108"/>
      <c r="BF125" s="108"/>
      <c r="BG125" s="108"/>
      <c r="BH125" s="108"/>
      <c r="BI125" s="108"/>
      <c r="BJ125" s="108"/>
      <c r="BK125" s="108"/>
      <c r="BL125" s="108"/>
      <c r="BM125" s="108"/>
      <c r="BN125" s="108"/>
      <c r="BO125" s="108"/>
      <c r="BP125" s="108"/>
      <c r="BQ125" s="108"/>
      <c r="BR125" s="108"/>
      <c r="BS125" s="108"/>
      <c r="BT125" s="108"/>
      <c r="BU125" s="108"/>
      <c r="BV125" s="108"/>
      <c r="BW125" s="108"/>
      <c r="BX125" s="108"/>
      <c r="BY125" s="108"/>
      <c r="BZ125" s="108"/>
      <c r="CA125" s="108"/>
      <c r="CB125" s="108"/>
      <c r="CC125" s="108"/>
      <c r="CD125" s="108"/>
      <c r="CE125" s="108"/>
      <c r="CF125" s="108"/>
      <c r="CG125" s="108"/>
      <c r="CH125" s="108"/>
    </row>
    <row r="126" spans="1:86" s="145" customFormat="1" thickBot="1">
      <c r="A126" s="155" t="s">
        <v>18</v>
      </c>
      <c r="B126" s="309">
        <f>SUM(B124:B125)</f>
        <v>109</v>
      </c>
      <c r="C126" s="181">
        <f>SUM(C124:C125)</f>
        <v>1</v>
      </c>
      <c r="D126" s="205"/>
      <c r="E126" s="205"/>
      <c r="F126" s="205"/>
      <c r="G126" s="101"/>
      <c r="H126" s="206"/>
      <c r="I126" s="206"/>
      <c r="J126" s="206"/>
      <c r="K126" s="206"/>
      <c r="L126" s="205"/>
      <c r="M126" s="206"/>
      <c r="N126" s="206"/>
      <c r="O126" s="206"/>
      <c r="P126" s="206"/>
      <c r="Q126" s="206"/>
      <c r="R126" s="207"/>
      <c r="S126" s="207"/>
      <c r="T126" s="207"/>
      <c r="U126" s="207"/>
      <c r="V126" s="110"/>
      <c r="W126" s="110"/>
      <c r="X126" s="110"/>
      <c r="Y126" s="110"/>
      <c r="Z126" s="110"/>
      <c r="AA126" s="110"/>
      <c r="AB126" s="110"/>
      <c r="AC126" s="110"/>
      <c r="AD126" s="110"/>
      <c r="AE126" s="110"/>
      <c r="AF126" s="110"/>
      <c r="AG126" s="110"/>
      <c r="AH126" s="110"/>
      <c r="AI126" s="110"/>
      <c r="AJ126" s="110"/>
      <c r="AK126" s="110"/>
      <c r="AL126" s="110"/>
      <c r="AM126" s="110"/>
      <c r="AN126" s="110"/>
      <c r="AO126" s="110"/>
      <c r="AP126" s="110"/>
      <c r="AQ126" s="110"/>
      <c r="AR126" s="110"/>
      <c r="AS126" s="110"/>
      <c r="AT126" s="110"/>
      <c r="AU126" s="110"/>
      <c r="AV126" s="110"/>
      <c r="AW126" s="110"/>
      <c r="AX126" s="110"/>
      <c r="AY126" s="110"/>
      <c r="AZ126" s="110"/>
      <c r="BA126" s="110"/>
      <c r="BB126" s="110"/>
      <c r="BC126" s="110"/>
      <c r="BD126" s="110"/>
      <c r="BE126" s="110"/>
      <c r="BF126" s="110"/>
      <c r="BG126" s="110"/>
      <c r="BH126" s="110"/>
      <c r="BI126" s="110"/>
      <c r="BJ126" s="110"/>
      <c r="BK126" s="110"/>
      <c r="BL126" s="110"/>
      <c r="BM126" s="110"/>
      <c r="BN126" s="110"/>
      <c r="BO126" s="110"/>
      <c r="BP126" s="110"/>
      <c r="BQ126" s="110"/>
      <c r="BR126" s="110"/>
      <c r="BS126" s="110"/>
      <c r="BT126" s="110"/>
      <c r="BU126" s="110"/>
      <c r="BV126" s="110"/>
      <c r="BW126" s="110"/>
      <c r="BX126" s="110"/>
      <c r="BY126" s="110"/>
      <c r="BZ126" s="110"/>
      <c r="CA126" s="110"/>
      <c r="CB126" s="110"/>
      <c r="CC126" s="110"/>
      <c r="CD126" s="110"/>
      <c r="CE126" s="110"/>
      <c r="CF126" s="110"/>
      <c r="CG126" s="110"/>
      <c r="CH126" s="110"/>
    </row>
    <row r="127" spans="1:86">
      <c r="A127" s="6" t="s">
        <v>315</v>
      </c>
      <c r="B127" s="401"/>
      <c r="C127" s="11"/>
      <c r="D127" s="11"/>
      <c r="E127" s="11"/>
      <c r="F127" s="11"/>
      <c r="G127" s="72"/>
      <c r="Q127" s="59"/>
      <c r="R127" s="59"/>
      <c r="S127" s="59"/>
      <c r="T127" s="59"/>
      <c r="U127" s="59"/>
    </row>
    <row r="128" spans="1:86">
      <c r="A128" s="6" t="s">
        <v>29</v>
      </c>
      <c r="B128" s="82"/>
      <c r="C128" s="11"/>
      <c r="D128" s="11"/>
      <c r="E128" s="11"/>
      <c r="F128" s="11"/>
      <c r="G128" s="72"/>
      <c r="H128" s="59"/>
      <c r="I128" s="59"/>
      <c r="J128" s="59"/>
      <c r="K128" s="59"/>
    </row>
    <row r="129" spans="1:86">
      <c r="G129" s="59"/>
      <c r="H129" s="59"/>
      <c r="I129" s="59"/>
      <c r="J129" s="59"/>
      <c r="K129" s="59"/>
    </row>
    <row r="130" spans="1:86" s="22" customFormat="1" ht="14.25" thickBot="1">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row>
    <row r="132" spans="1:86">
      <c r="A132" s="41" t="s">
        <v>372</v>
      </c>
      <c r="B132" s="8" t="s">
        <v>316</v>
      </c>
    </row>
    <row r="133" spans="1:86" s="16" customFormat="1" ht="14.25" thickBot="1">
      <c r="G133" s="23"/>
      <c r="H133" s="23"/>
      <c r="I133" s="23"/>
      <c r="J133" s="23"/>
      <c r="K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row>
    <row r="134" spans="1:86" s="125" customFormat="1" ht="14.25" thickBot="1">
      <c r="B134" s="182" t="s">
        <v>301</v>
      </c>
      <c r="C134" s="183" t="s">
        <v>148</v>
      </c>
      <c r="D134" s="185"/>
      <c r="E134" s="185"/>
      <c r="F134" s="185"/>
      <c r="G134" s="199"/>
      <c r="H134" s="200"/>
      <c r="I134" s="200"/>
      <c r="J134" s="200"/>
      <c r="K134" s="200"/>
      <c r="L134" s="185"/>
      <c r="M134" s="200"/>
      <c r="N134" s="200"/>
      <c r="O134" s="200"/>
      <c r="P134" s="200"/>
      <c r="Q134" s="200"/>
      <c r="R134" s="200"/>
      <c r="S134" s="200"/>
      <c r="T134" s="200"/>
      <c r="U134" s="200"/>
      <c r="V134" s="108"/>
      <c r="W134" s="108"/>
      <c r="X134" s="108"/>
      <c r="Y134" s="108"/>
      <c r="Z134" s="108"/>
      <c r="AA134" s="108"/>
      <c r="AB134" s="108"/>
      <c r="AC134" s="108"/>
      <c r="AD134" s="108"/>
      <c r="AE134" s="108"/>
      <c r="AF134" s="108"/>
      <c r="AG134" s="108"/>
      <c r="AH134" s="108"/>
      <c r="AI134" s="108"/>
      <c r="AJ134" s="108"/>
      <c r="AK134" s="108"/>
      <c r="AL134" s="108"/>
      <c r="AM134" s="108"/>
      <c r="AN134" s="108"/>
      <c r="AO134" s="108"/>
      <c r="AP134" s="108"/>
      <c r="AQ134" s="108"/>
      <c r="AR134" s="108"/>
      <c r="AS134" s="108"/>
      <c r="AT134" s="108"/>
      <c r="AU134" s="108"/>
      <c r="AV134" s="108"/>
      <c r="AW134" s="108"/>
      <c r="AX134" s="108"/>
      <c r="AY134" s="108"/>
      <c r="AZ134" s="108"/>
      <c r="BA134" s="108"/>
      <c r="BB134" s="108"/>
      <c r="BC134" s="108"/>
      <c r="BD134" s="108"/>
      <c r="BE134" s="108"/>
      <c r="BF134" s="108"/>
      <c r="BG134" s="108"/>
      <c r="BH134" s="108"/>
      <c r="BI134" s="108"/>
      <c r="BJ134" s="108"/>
      <c r="BK134" s="108"/>
      <c r="BL134" s="108"/>
      <c r="BM134" s="108"/>
      <c r="BN134" s="108"/>
      <c r="BO134" s="108"/>
      <c r="BP134" s="108"/>
      <c r="BQ134" s="108"/>
      <c r="BR134" s="108"/>
      <c r="BS134" s="108"/>
      <c r="BT134" s="108"/>
      <c r="BU134" s="108"/>
      <c r="BV134" s="108"/>
      <c r="BW134" s="108"/>
      <c r="BX134" s="108"/>
      <c r="BY134" s="108"/>
      <c r="BZ134" s="108"/>
      <c r="CA134" s="108"/>
      <c r="CB134" s="108"/>
      <c r="CC134" s="108"/>
      <c r="CD134" s="108"/>
      <c r="CE134" s="108"/>
      <c r="CF134" s="108"/>
      <c r="CG134" s="108"/>
      <c r="CH134" s="108"/>
    </row>
    <row r="135" spans="1:86" s="125" customFormat="1">
      <c r="A135" s="121" t="s">
        <v>150</v>
      </c>
      <c r="B135" s="111">
        <v>1121</v>
      </c>
      <c r="C135" s="201">
        <f>B135/B$139</f>
        <v>0.41400450566901792</v>
      </c>
      <c r="D135" s="202"/>
      <c r="E135" s="202"/>
      <c r="F135" s="202"/>
      <c r="G135" s="92"/>
      <c r="H135" s="161"/>
      <c r="I135" s="161"/>
      <c r="J135" s="161"/>
      <c r="K135" s="161"/>
      <c r="L135" s="185"/>
      <c r="M135" s="161"/>
      <c r="N135" s="161"/>
      <c r="O135" s="161"/>
      <c r="P135" s="161"/>
      <c r="Q135" s="161"/>
      <c r="R135" s="203"/>
      <c r="S135" s="203"/>
      <c r="T135" s="203"/>
      <c r="U135" s="203"/>
      <c r="V135" s="108"/>
      <c r="W135" s="108"/>
      <c r="X135" s="108"/>
      <c r="Y135" s="108"/>
      <c r="Z135" s="108"/>
      <c r="AA135" s="108"/>
      <c r="AB135" s="108"/>
      <c r="AC135" s="108"/>
      <c r="AD135" s="108"/>
      <c r="AE135" s="108"/>
      <c r="AF135" s="108"/>
      <c r="AG135" s="108"/>
      <c r="AH135" s="108"/>
      <c r="AI135" s="108"/>
      <c r="AJ135" s="108"/>
      <c r="AK135" s="108"/>
      <c r="AL135" s="108"/>
      <c r="AM135" s="108"/>
      <c r="AN135" s="108"/>
      <c r="AO135" s="108"/>
      <c r="AP135" s="108"/>
      <c r="AQ135" s="108"/>
      <c r="AR135" s="108"/>
      <c r="AS135" s="108"/>
      <c r="AT135" s="108"/>
      <c r="AU135" s="108"/>
      <c r="AV135" s="108"/>
      <c r="AW135" s="108"/>
      <c r="AX135" s="108"/>
      <c r="AY135" s="108"/>
      <c r="AZ135" s="108"/>
      <c r="BA135" s="108"/>
      <c r="BB135" s="108"/>
      <c r="BC135" s="108"/>
      <c r="BD135" s="108"/>
      <c r="BE135" s="108"/>
      <c r="BF135" s="108"/>
      <c r="BG135" s="108"/>
      <c r="BH135" s="108"/>
      <c r="BI135" s="108"/>
      <c r="BJ135" s="108"/>
      <c r="BK135" s="108"/>
      <c r="BL135" s="108"/>
      <c r="BM135" s="108"/>
      <c r="BN135" s="108"/>
      <c r="BO135" s="108"/>
      <c r="BP135" s="108"/>
      <c r="BQ135" s="108"/>
      <c r="BR135" s="108"/>
      <c r="BS135" s="108"/>
      <c r="BT135" s="108"/>
      <c r="BU135" s="108"/>
      <c r="BV135" s="108"/>
      <c r="BW135" s="108"/>
      <c r="BX135" s="108"/>
      <c r="BY135" s="108"/>
      <c r="BZ135" s="108"/>
      <c r="CA135" s="108"/>
      <c r="CB135" s="108"/>
      <c r="CC135" s="108"/>
      <c r="CD135" s="108"/>
      <c r="CE135" s="108"/>
      <c r="CF135" s="108"/>
      <c r="CG135" s="108"/>
      <c r="CH135" s="108"/>
    </row>
    <row r="136" spans="1:86" s="125" customFormat="1">
      <c r="A136" s="129" t="s">
        <v>117</v>
      </c>
      <c r="B136" s="102">
        <v>899</v>
      </c>
      <c r="C136" s="204">
        <f t="shared" ref="C136:C138" si="58">B136/B$139</f>
        <v>0.3320161022269823</v>
      </c>
      <c r="D136" s="202"/>
      <c r="E136" s="202"/>
      <c r="F136" s="202"/>
      <c r="G136" s="92"/>
      <c r="H136" s="161"/>
      <c r="I136" s="161"/>
      <c r="J136" s="161"/>
      <c r="K136" s="161"/>
      <c r="L136" s="185"/>
      <c r="M136" s="161"/>
      <c r="N136" s="161"/>
      <c r="O136" s="161"/>
      <c r="P136" s="161"/>
      <c r="Q136" s="161"/>
      <c r="R136" s="203"/>
      <c r="S136" s="203"/>
      <c r="T136" s="203"/>
      <c r="U136" s="203"/>
      <c r="V136" s="108"/>
      <c r="W136" s="108"/>
      <c r="X136" s="108"/>
      <c r="Y136" s="108"/>
      <c r="Z136" s="108"/>
      <c r="AA136" s="108"/>
      <c r="AB136" s="108"/>
      <c r="AC136" s="108"/>
      <c r="AD136" s="108"/>
      <c r="AE136" s="108"/>
      <c r="AF136" s="108"/>
      <c r="AG136" s="108"/>
      <c r="AH136" s="108"/>
      <c r="AI136" s="108"/>
      <c r="AJ136" s="108"/>
      <c r="AK136" s="108"/>
      <c r="AL136" s="108"/>
      <c r="AM136" s="108"/>
      <c r="AN136" s="108"/>
      <c r="AO136" s="108"/>
      <c r="AP136" s="108"/>
      <c r="AQ136" s="108"/>
      <c r="AR136" s="108"/>
      <c r="AS136" s="108"/>
      <c r="AT136" s="108"/>
      <c r="AU136" s="108"/>
      <c r="AV136" s="108"/>
      <c r="AW136" s="108"/>
      <c r="AX136" s="108"/>
      <c r="AY136" s="108"/>
      <c r="AZ136" s="108"/>
      <c r="BA136" s="108"/>
      <c r="BB136" s="108"/>
      <c r="BC136" s="108"/>
      <c r="BD136" s="108"/>
      <c r="BE136" s="108"/>
      <c r="BF136" s="108"/>
      <c r="BG136" s="108"/>
      <c r="BH136" s="108"/>
      <c r="BI136" s="108"/>
      <c r="BJ136" s="108"/>
      <c r="BK136" s="108"/>
      <c r="BL136" s="108"/>
      <c r="BM136" s="108"/>
      <c r="BN136" s="108"/>
      <c r="BO136" s="108"/>
      <c r="BP136" s="108"/>
      <c r="BQ136" s="108"/>
      <c r="BR136" s="108"/>
      <c r="BS136" s="108"/>
      <c r="BT136" s="108"/>
      <c r="BU136" s="108"/>
      <c r="BV136" s="108"/>
      <c r="BW136" s="108"/>
      <c r="BX136" s="108"/>
      <c r="BY136" s="108"/>
      <c r="BZ136" s="108"/>
      <c r="CA136" s="108"/>
      <c r="CB136" s="108"/>
      <c r="CC136" s="108"/>
      <c r="CD136" s="108"/>
      <c r="CE136" s="108"/>
      <c r="CF136" s="108"/>
      <c r="CG136" s="108"/>
      <c r="CH136" s="108"/>
    </row>
    <row r="137" spans="1:86" s="125" customFormat="1">
      <c r="A137" s="129" t="s">
        <v>118</v>
      </c>
      <c r="B137" s="102">
        <v>468.4</v>
      </c>
      <c r="C137" s="204">
        <f t="shared" si="58"/>
        <v>0.1729881449200428</v>
      </c>
      <c r="D137" s="202"/>
      <c r="E137" s="202"/>
      <c r="F137" s="202"/>
      <c r="G137" s="92"/>
      <c r="H137" s="161"/>
      <c r="I137" s="161"/>
      <c r="J137" s="161"/>
      <c r="K137" s="161"/>
      <c r="L137" s="185"/>
      <c r="M137" s="161"/>
      <c r="N137" s="161"/>
      <c r="O137" s="161"/>
      <c r="P137" s="161"/>
      <c r="Q137" s="161"/>
      <c r="R137" s="203"/>
      <c r="S137" s="203"/>
      <c r="T137" s="203"/>
      <c r="U137" s="203"/>
      <c r="V137" s="108"/>
      <c r="W137" s="108"/>
      <c r="X137" s="108"/>
      <c r="Y137" s="108"/>
      <c r="Z137" s="108"/>
      <c r="AA137" s="108"/>
      <c r="AB137" s="108"/>
      <c r="AC137" s="108"/>
      <c r="AD137" s="108"/>
      <c r="AE137" s="108"/>
      <c r="AF137" s="108"/>
      <c r="AG137" s="108"/>
      <c r="AH137" s="108"/>
      <c r="AI137" s="108"/>
      <c r="AJ137" s="108"/>
      <c r="AK137" s="108"/>
      <c r="AL137" s="108"/>
      <c r="AM137" s="108"/>
      <c r="AN137" s="108"/>
      <c r="AO137" s="108"/>
      <c r="AP137" s="108"/>
      <c r="AQ137" s="108"/>
      <c r="AR137" s="108"/>
      <c r="AS137" s="108"/>
      <c r="AT137" s="108"/>
      <c r="AU137" s="108"/>
      <c r="AV137" s="108"/>
      <c r="AW137" s="108"/>
      <c r="AX137" s="108"/>
      <c r="AY137" s="108"/>
      <c r="AZ137" s="108"/>
      <c r="BA137" s="108"/>
      <c r="BB137" s="108"/>
      <c r="BC137" s="108"/>
      <c r="BD137" s="108"/>
      <c r="BE137" s="108"/>
      <c r="BF137" s="108"/>
      <c r="BG137" s="108"/>
      <c r="BH137" s="108"/>
      <c r="BI137" s="108"/>
      <c r="BJ137" s="108"/>
      <c r="BK137" s="108"/>
      <c r="BL137" s="108"/>
      <c r="BM137" s="108"/>
      <c r="BN137" s="108"/>
      <c r="BO137" s="108"/>
      <c r="BP137" s="108"/>
      <c r="BQ137" s="108"/>
      <c r="BR137" s="108"/>
      <c r="BS137" s="108"/>
      <c r="BT137" s="108"/>
      <c r="BU137" s="108"/>
      <c r="BV137" s="108"/>
      <c r="BW137" s="108"/>
      <c r="BX137" s="108"/>
      <c r="BY137" s="108"/>
      <c r="BZ137" s="108"/>
      <c r="CA137" s="108"/>
      <c r="CB137" s="108"/>
      <c r="CC137" s="108"/>
      <c r="CD137" s="108"/>
      <c r="CE137" s="108"/>
      <c r="CF137" s="108"/>
      <c r="CG137" s="108"/>
      <c r="CH137" s="108"/>
    </row>
    <row r="138" spans="1:86" s="125" customFormat="1">
      <c r="A138" s="129" t="s">
        <v>131</v>
      </c>
      <c r="B138" s="102">
        <v>219.3</v>
      </c>
      <c r="C138" s="204">
        <f t="shared" si="58"/>
        <v>8.0991247183956866E-2</v>
      </c>
      <c r="D138" s="202"/>
      <c r="E138" s="202"/>
      <c r="F138" s="202"/>
      <c r="G138" s="92"/>
      <c r="H138" s="161"/>
      <c r="I138" s="161"/>
      <c r="J138" s="161"/>
      <c r="K138" s="161"/>
      <c r="L138" s="185"/>
      <c r="M138" s="161"/>
      <c r="N138" s="161"/>
      <c r="O138" s="161"/>
      <c r="P138" s="161"/>
      <c r="Q138" s="161"/>
      <c r="R138" s="203"/>
      <c r="S138" s="203"/>
      <c r="T138" s="203"/>
      <c r="U138" s="203"/>
      <c r="V138" s="108"/>
      <c r="W138" s="108"/>
      <c r="X138" s="108"/>
      <c r="Y138" s="108"/>
      <c r="Z138" s="108"/>
      <c r="AA138" s="108"/>
      <c r="AB138" s="108"/>
      <c r="AC138" s="108"/>
      <c r="AD138" s="108"/>
      <c r="AE138" s="108"/>
      <c r="AF138" s="108"/>
      <c r="AG138" s="108"/>
      <c r="AH138" s="108"/>
      <c r="AI138" s="108"/>
      <c r="AJ138" s="108"/>
      <c r="AK138" s="108"/>
      <c r="AL138" s="108"/>
      <c r="AM138" s="108"/>
      <c r="AN138" s="108"/>
      <c r="AO138" s="108"/>
      <c r="AP138" s="108"/>
      <c r="AQ138" s="108"/>
      <c r="AR138" s="108"/>
      <c r="AS138" s="108"/>
      <c r="AT138" s="108"/>
      <c r="AU138" s="108"/>
      <c r="AV138" s="108"/>
      <c r="AW138" s="108"/>
      <c r="AX138" s="108"/>
      <c r="AY138" s="108"/>
      <c r="AZ138" s="108"/>
      <c r="BA138" s="108"/>
      <c r="BB138" s="108"/>
      <c r="BC138" s="108"/>
      <c r="BD138" s="108"/>
      <c r="BE138" s="108"/>
      <c r="BF138" s="108"/>
      <c r="BG138" s="108"/>
      <c r="BH138" s="108"/>
      <c r="BI138" s="108"/>
      <c r="BJ138" s="108"/>
      <c r="BK138" s="108"/>
      <c r="BL138" s="108"/>
      <c r="BM138" s="108"/>
      <c r="BN138" s="108"/>
      <c r="BO138" s="108"/>
      <c r="BP138" s="108"/>
      <c r="BQ138" s="108"/>
      <c r="BR138" s="108"/>
      <c r="BS138" s="108"/>
      <c r="BT138" s="108"/>
      <c r="BU138" s="108"/>
      <c r="BV138" s="108"/>
      <c r="BW138" s="108"/>
      <c r="BX138" s="108"/>
      <c r="BY138" s="108"/>
      <c r="BZ138" s="108"/>
      <c r="CA138" s="108"/>
      <c r="CB138" s="108"/>
      <c r="CC138" s="108"/>
      <c r="CD138" s="108"/>
      <c r="CE138" s="108"/>
      <c r="CF138" s="108"/>
      <c r="CG138" s="108"/>
      <c r="CH138" s="108"/>
    </row>
    <row r="139" spans="1:86" s="145" customFormat="1" thickBot="1">
      <c r="A139" s="155" t="s">
        <v>18</v>
      </c>
      <c r="B139" s="94">
        <f>SUM(B135:B138)</f>
        <v>2707.7000000000003</v>
      </c>
      <c r="C139" s="181">
        <f>SUM(C135:C138)</f>
        <v>0.99999999999999989</v>
      </c>
      <c r="D139" s="205"/>
      <c r="E139" s="205"/>
      <c r="F139" s="205"/>
      <c r="G139" s="101"/>
      <c r="H139" s="206"/>
      <c r="I139" s="206"/>
      <c r="J139" s="206"/>
      <c r="K139" s="206"/>
      <c r="L139" s="205"/>
      <c r="M139" s="206"/>
      <c r="N139" s="206"/>
      <c r="O139" s="206"/>
      <c r="P139" s="206"/>
      <c r="Q139" s="206"/>
      <c r="R139" s="207"/>
      <c r="S139" s="207"/>
      <c r="T139" s="207"/>
      <c r="U139" s="207"/>
      <c r="V139" s="110"/>
      <c r="W139" s="110"/>
      <c r="X139" s="110"/>
      <c r="Y139" s="110"/>
      <c r="Z139" s="110"/>
      <c r="AA139" s="110"/>
      <c r="AB139" s="110"/>
      <c r="AC139" s="110"/>
      <c r="AD139" s="110"/>
      <c r="AE139" s="110"/>
      <c r="AF139" s="110"/>
      <c r="AG139" s="110"/>
      <c r="AH139" s="110"/>
      <c r="AI139" s="110"/>
      <c r="AJ139" s="110"/>
      <c r="AK139" s="110"/>
      <c r="AL139" s="110"/>
      <c r="AM139" s="110"/>
      <c r="AN139" s="110"/>
      <c r="AO139" s="110"/>
      <c r="AP139" s="110"/>
      <c r="AQ139" s="110"/>
      <c r="AR139" s="110"/>
      <c r="AS139" s="110"/>
      <c r="AT139" s="110"/>
      <c r="AU139" s="110"/>
      <c r="AV139" s="110"/>
      <c r="AW139" s="110"/>
      <c r="AX139" s="110"/>
      <c r="AY139" s="110"/>
      <c r="AZ139" s="110"/>
      <c r="BA139" s="110"/>
      <c r="BB139" s="110"/>
      <c r="BC139" s="110"/>
      <c r="BD139" s="110"/>
      <c r="BE139" s="110"/>
      <c r="BF139" s="110"/>
      <c r="BG139" s="110"/>
      <c r="BH139" s="110"/>
      <c r="BI139" s="110"/>
      <c r="BJ139" s="110"/>
      <c r="BK139" s="110"/>
      <c r="BL139" s="110"/>
      <c r="BM139" s="110"/>
      <c r="BN139" s="110"/>
      <c r="BO139" s="110"/>
      <c r="BP139" s="110"/>
      <c r="BQ139" s="110"/>
      <c r="BR139" s="110"/>
      <c r="BS139" s="110"/>
      <c r="BT139" s="110"/>
      <c r="BU139" s="110"/>
      <c r="BV139" s="110"/>
      <c r="BW139" s="110"/>
      <c r="BX139" s="110"/>
      <c r="BY139" s="110"/>
      <c r="BZ139" s="110"/>
      <c r="CA139" s="110"/>
      <c r="CB139" s="110"/>
      <c r="CC139" s="110"/>
      <c r="CD139" s="110"/>
      <c r="CE139" s="110"/>
      <c r="CF139" s="110"/>
      <c r="CG139" s="110"/>
      <c r="CH139" s="110"/>
    </row>
    <row r="140" spans="1:86">
      <c r="A140" s="6" t="s">
        <v>162</v>
      </c>
      <c r="B140" s="406"/>
      <c r="C140" s="11"/>
      <c r="D140" s="11"/>
      <c r="E140" s="11"/>
      <c r="F140" s="11"/>
      <c r="G140" s="72"/>
      <c r="Q140" s="59"/>
      <c r="R140" s="59"/>
      <c r="S140" s="59"/>
      <c r="T140" s="59"/>
      <c r="U140" s="59"/>
    </row>
    <row r="141" spans="1:86">
      <c r="A141" s="6" t="s">
        <v>29</v>
      </c>
      <c r="B141" s="82"/>
      <c r="C141" s="11"/>
      <c r="D141" s="11"/>
      <c r="E141" s="11"/>
      <c r="F141" s="11"/>
      <c r="G141" s="72"/>
      <c r="H141" s="59"/>
      <c r="I141" s="59"/>
      <c r="J141" s="59"/>
      <c r="K141" s="59"/>
    </row>
    <row r="142" spans="1:86">
      <c r="G142" s="59"/>
      <c r="H142" s="59"/>
      <c r="I142" s="59"/>
      <c r="J142" s="59"/>
      <c r="K142" s="59"/>
    </row>
    <row r="143" spans="1:86" s="22" customFormat="1" ht="14.25" thickBot="1">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row>
    <row r="145" spans="1:86">
      <c r="A145" s="41" t="s">
        <v>373</v>
      </c>
      <c r="B145" s="8" t="s">
        <v>374</v>
      </c>
    </row>
    <row r="146" spans="1:86" s="16" customFormat="1" ht="14.25" thickBot="1">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row>
    <row r="147" spans="1:86" s="125" customFormat="1" ht="14.25" thickBot="1">
      <c r="B147" s="182" t="s">
        <v>301</v>
      </c>
      <c r="C147" s="183" t="s">
        <v>148</v>
      </c>
      <c r="V147" s="108"/>
      <c r="W147" s="108"/>
      <c r="X147" s="108"/>
      <c r="Y147" s="108"/>
      <c r="Z147" s="108"/>
      <c r="AA147" s="108"/>
      <c r="AB147" s="108"/>
      <c r="AC147" s="108"/>
      <c r="AD147" s="108"/>
      <c r="AE147" s="108"/>
      <c r="AF147" s="108"/>
      <c r="AG147" s="108"/>
      <c r="AH147" s="108"/>
      <c r="AI147" s="108"/>
      <c r="AJ147" s="108"/>
      <c r="AK147" s="108"/>
      <c r="AL147" s="108"/>
      <c r="AM147" s="108"/>
      <c r="AN147" s="108"/>
      <c r="AO147" s="108"/>
      <c r="AP147" s="108"/>
      <c r="AQ147" s="108"/>
      <c r="AR147" s="108"/>
      <c r="AS147" s="108"/>
      <c r="AT147" s="108"/>
      <c r="AU147" s="108"/>
      <c r="AV147" s="108"/>
      <c r="AW147" s="108"/>
      <c r="AX147" s="108"/>
      <c r="AY147" s="108"/>
      <c r="AZ147" s="108"/>
      <c r="BA147" s="108"/>
      <c r="BB147" s="108"/>
      <c r="BC147" s="108"/>
      <c r="BD147" s="108"/>
      <c r="BE147" s="108"/>
      <c r="BF147" s="108"/>
      <c r="BG147" s="108"/>
      <c r="BH147" s="108"/>
      <c r="BI147" s="108"/>
      <c r="BJ147" s="108"/>
      <c r="BK147" s="108"/>
      <c r="BL147" s="108"/>
      <c r="BM147" s="108"/>
      <c r="BN147" s="108"/>
      <c r="BO147" s="108"/>
      <c r="BP147" s="108"/>
      <c r="BQ147" s="108"/>
      <c r="BR147" s="108"/>
      <c r="BS147" s="108"/>
      <c r="BT147" s="108"/>
      <c r="BU147" s="108"/>
      <c r="BV147" s="108"/>
      <c r="BW147" s="108"/>
      <c r="BX147" s="108"/>
      <c r="BY147" s="108"/>
      <c r="BZ147" s="108"/>
      <c r="CA147" s="108"/>
      <c r="CB147" s="108"/>
      <c r="CC147" s="108"/>
      <c r="CD147" s="108"/>
      <c r="CE147" s="108"/>
      <c r="CF147" s="108"/>
      <c r="CG147" s="108"/>
      <c r="CH147" s="108"/>
    </row>
    <row r="148" spans="1:86" s="125" customFormat="1">
      <c r="A148" s="209" t="s">
        <v>27</v>
      </c>
      <c r="B148" s="102">
        <v>1223.9000000000001</v>
      </c>
      <c r="C148" s="190">
        <f>B148/B$151</f>
        <v>0.45200723861579939</v>
      </c>
      <c r="V148" s="108"/>
      <c r="W148" s="108"/>
      <c r="X148" s="108"/>
      <c r="Y148" s="108"/>
      <c r="Z148" s="108"/>
      <c r="AA148" s="108"/>
      <c r="AB148" s="108"/>
      <c r="AC148" s="108"/>
      <c r="AD148" s="108"/>
      <c r="AE148" s="108"/>
      <c r="AF148" s="108"/>
      <c r="AG148" s="108"/>
      <c r="AH148" s="108"/>
      <c r="AI148" s="108"/>
      <c r="AJ148" s="108"/>
      <c r="AK148" s="108"/>
      <c r="AL148" s="108"/>
      <c r="AM148" s="108"/>
      <c r="AN148" s="108"/>
      <c r="AO148" s="108"/>
      <c r="AP148" s="108"/>
      <c r="AQ148" s="108"/>
      <c r="AR148" s="108"/>
      <c r="AS148" s="108"/>
      <c r="AT148" s="108"/>
      <c r="AU148" s="108"/>
      <c r="AV148" s="108"/>
      <c r="AW148" s="108"/>
      <c r="AX148" s="108"/>
      <c r="AY148" s="108"/>
      <c r="AZ148" s="108"/>
      <c r="BA148" s="108"/>
      <c r="BB148" s="108"/>
      <c r="BC148" s="108"/>
      <c r="BD148" s="108"/>
      <c r="BE148" s="108"/>
      <c r="BF148" s="108"/>
      <c r="BG148" s="108"/>
      <c r="BH148" s="108"/>
      <c r="BI148" s="108"/>
      <c r="BJ148" s="108"/>
      <c r="BK148" s="108"/>
      <c r="BL148" s="108"/>
      <c r="BM148" s="108"/>
      <c r="BN148" s="108"/>
      <c r="BO148" s="108"/>
      <c r="BP148" s="108"/>
      <c r="BQ148" s="108"/>
      <c r="BR148" s="108"/>
      <c r="BS148" s="108"/>
      <c r="BT148" s="108"/>
      <c r="BU148" s="108"/>
      <c r="BV148" s="108"/>
      <c r="BW148" s="108"/>
      <c r="BX148" s="108"/>
      <c r="BY148" s="108"/>
      <c r="BZ148" s="108"/>
      <c r="CA148" s="108"/>
      <c r="CB148" s="108"/>
      <c r="CC148" s="108"/>
      <c r="CD148" s="108"/>
      <c r="CE148" s="108"/>
      <c r="CF148" s="108"/>
      <c r="CG148" s="108"/>
      <c r="CH148" s="108"/>
    </row>
    <row r="149" spans="1:86" s="125" customFormat="1">
      <c r="A149" s="189" t="s">
        <v>26</v>
      </c>
      <c r="B149" s="102">
        <v>1153.5</v>
      </c>
      <c r="C149" s="190">
        <f t="shared" ref="C149:C150" si="59">B149/B$151</f>
        <v>0.42600731247922585</v>
      </c>
      <c r="V149" s="108"/>
      <c r="W149" s="108"/>
      <c r="X149" s="108"/>
      <c r="Y149" s="108"/>
      <c r="Z149" s="108"/>
      <c r="AA149" s="108"/>
      <c r="AB149" s="108"/>
      <c r="AC149" s="108"/>
      <c r="AD149" s="108"/>
      <c r="AE149" s="108"/>
      <c r="AF149" s="108"/>
      <c r="AG149" s="108"/>
      <c r="AH149" s="108"/>
      <c r="AI149" s="108"/>
      <c r="AJ149" s="108"/>
      <c r="AK149" s="108"/>
      <c r="AL149" s="108"/>
      <c r="AM149" s="108"/>
      <c r="AN149" s="108"/>
      <c r="AO149" s="108"/>
      <c r="AP149" s="108"/>
      <c r="AQ149" s="108"/>
      <c r="AR149" s="108"/>
      <c r="AS149" s="108"/>
      <c r="AT149" s="108"/>
      <c r="AU149" s="108"/>
      <c r="AV149" s="108"/>
      <c r="AW149" s="108"/>
      <c r="AX149" s="108"/>
      <c r="AY149" s="108"/>
      <c r="AZ149" s="108"/>
      <c r="BA149" s="108"/>
      <c r="BB149" s="108"/>
      <c r="BC149" s="108"/>
      <c r="BD149" s="108"/>
      <c r="BE149" s="108"/>
      <c r="BF149" s="108"/>
      <c r="BG149" s="108"/>
      <c r="BH149" s="108"/>
      <c r="BI149" s="108"/>
      <c r="BJ149" s="108"/>
      <c r="BK149" s="108"/>
      <c r="BL149" s="108"/>
      <c r="BM149" s="108"/>
      <c r="BN149" s="108"/>
      <c r="BO149" s="108"/>
      <c r="BP149" s="108"/>
      <c r="BQ149" s="108"/>
      <c r="BR149" s="108"/>
      <c r="BS149" s="108"/>
      <c r="BT149" s="108"/>
      <c r="BU149" s="108"/>
      <c r="BV149" s="108"/>
      <c r="BW149" s="108"/>
      <c r="BX149" s="108"/>
      <c r="BY149" s="108"/>
      <c r="BZ149" s="108"/>
      <c r="CA149" s="108"/>
      <c r="CB149" s="108"/>
      <c r="CC149" s="108"/>
      <c r="CD149" s="108"/>
      <c r="CE149" s="108"/>
      <c r="CF149" s="108"/>
      <c r="CG149" s="108"/>
      <c r="CH149" s="108"/>
    </row>
    <row r="150" spans="1:86" s="125" customFormat="1">
      <c r="A150" s="189" t="s">
        <v>28</v>
      </c>
      <c r="B150" s="102">
        <v>330.3</v>
      </c>
      <c r="C150" s="190">
        <f t="shared" si="59"/>
        <v>0.12198544890497469</v>
      </c>
      <c r="V150" s="108"/>
      <c r="W150" s="108"/>
      <c r="X150" s="108"/>
      <c r="Y150" s="108"/>
      <c r="Z150" s="108"/>
      <c r="AA150" s="108"/>
      <c r="AB150" s="108"/>
      <c r="AC150" s="108"/>
      <c r="AD150" s="108"/>
      <c r="AE150" s="108"/>
      <c r="AF150" s="108"/>
      <c r="AG150" s="108"/>
      <c r="AH150" s="108"/>
      <c r="AI150" s="108"/>
      <c r="AJ150" s="108"/>
      <c r="AK150" s="108"/>
      <c r="AL150" s="108"/>
      <c r="AM150" s="108"/>
      <c r="AN150" s="108"/>
      <c r="AO150" s="108"/>
      <c r="AP150" s="108"/>
      <c r="AQ150" s="108"/>
      <c r="AR150" s="108"/>
      <c r="AS150" s="108"/>
      <c r="AT150" s="108"/>
      <c r="AU150" s="108"/>
      <c r="AV150" s="108"/>
      <c r="AW150" s="108"/>
      <c r="AX150" s="108"/>
      <c r="AY150" s="108"/>
      <c r="AZ150" s="108"/>
      <c r="BA150" s="108"/>
      <c r="BB150" s="108"/>
      <c r="BC150" s="108"/>
      <c r="BD150" s="108"/>
      <c r="BE150" s="108"/>
      <c r="BF150" s="108"/>
      <c r="BG150" s="108"/>
      <c r="BH150" s="108"/>
      <c r="BI150" s="108"/>
      <c r="BJ150" s="108"/>
      <c r="BK150" s="108"/>
      <c r="BL150" s="108"/>
      <c r="BM150" s="108"/>
      <c r="BN150" s="108"/>
      <c r="BO150" s="108"/>
      <c r="BP150" s="108"/>
      <c r="BQ150" s="108"/>
      <c r="BR150" s="108"/>
      <c r="BS150" s="108"/>
      <c r="BT150" s="108"/>
      <c r="BU150" s="108"/>
      <c r="BV150" s="108"/>
      <c r="BW150" s="108"/>
      <c r="BX150" s="108"/>
      <c r="BY150" s="108"/>
      <c r="BZ150" s="108"/>
      <c r="CA150" s="108"/>
      <c r="CB150" s="108"/>
      <c r="CC150" s="108"/>
      <c r="CD150" s="108"/>
      <c r="CE150" s="108"/>
      <c r="CF150" s="108"/>
      <c r="CG150" s="108"/>
      <c r="CH150" s="108"/>
    </row>
    <row r="151" spans="1:86" s="145" customFormat="1" thickBot="1">
      <c r="A151" s="214" t="s">
        <v>18</v>
      </c>
      <c r="B151" s="98">
        <f>SUM(B148:B150)</f>
        <v>2707.7000000000003</v>
      </c>
      <c r="C151" s="181">
        <f>SUM(C148:C150)</f>
        <v>0.99999999999999989</v>
      </c>
      <c r="V151" s="110"/>
      <c r="W151" s="110"/>
      <c r="X151" s="110"/>
      <c r="Y151" s="110"/>
      <c r="Z151" s="110"/>
      <c r="AA151" s="110"/>
      <c r="AB151" s="110"/>
      <c r="AC151" s="110"/>
      <c r="AD151" s="110"/>
      <c r="AE151" s="110"/>
      <c r="AF151" s="110"/>
      <c r="AG151" s="110"/>
      <c r="AH151" s="110"/>
      <c r="AI151" s="110"/>
      <c r="AJ151" s="110"/>
      <c r="AK151" s="110"/>
      <c r="AL151" s="110"/>
      <c r="AM151" s="110"/>
      <c r="AN151" s="110"/>
      <c r="AO151" s="110"/>
      <c r="AP151" s="110"/>
      <c r="AQ151" s="110"/>
      <c r="AR151" s="110"/>
      <c r="AS151" s="110"/>
      <c r="AT151" s="110"/>
      <c r="AU151" s="110"/>
      <c r="AV151" s="110"/>
      <c r="AW151" s="110"/>
      <c r="AX151" s="110"/>
      <c r="AY151" s="110"/>
      <c r="AZ151" s="110"/>
      <c r="BA151" s="110"/>
      <c r="BB151" s="110"/>
      <c r="BC151" s="110"/>
      <c r="BD151" s="110"/>
      <c r="BE151" s="110"/>
      <c r="BF151" s="110"/>
      <c r="BG151" s="110"/>
      <c r="BH151" s="110"/>
      <c r="BI151" s="110"/>
      <c r="BJ151" s="110"/>
      <c r="BK151" s="110"/>
      <c r="BL151" s="110"/>
      <c r="BM151" s="110"/>
      <c r="BN151" s="110"/>
      <c r="BO151" s="110"/>
      <c r="BP151" s="110"/>
      <c r="BQ151" s="110"/>
      <c r="BR151" s="110"/>
      <c r="BS151" s="110"/>
      <c r="BT151" s="110"/>
      <c r="BU151" s="110"/>
      <c r="BV151" s="110"/>
      <c r="BW151" s="110"/>
      <c r="BX151" s="110"/>
      <c r="BY151" s="110"/>
      <c r="BZ151" s="110"/>
      <c r="CA151" s="110"/>
      <c r="CB151" s="110"/>
      <c r="CC151" s="110"/>
      <c r="CD151" s="110"/>
      <c r="CE151" s="110"/>
      <c r="CF151" s="110"/>
      <c r="CG151" s="110"/>
      <c r="CH151" s="110"/>
    </row>
    <row r="152" spans="1:86" s="7" customFormat="1" ht="12.75" customHeight="1">
      <c r="A152" s="6" t="s">
        <v>162</v>
      </c>
      <c r="B152" s="406"/>
      <c r="C152" s="6"/>
      <c r="D152" s="6"/>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7"/>
      <c r="AR152" s="67"/>
      <c r="AS152" s="67"/>
      <c r="AT152" s="67"/>
      <c r="AU152" s="67"/>
      <c r="AV152" s="67"/>
      <c r="AW152" s="67"/>
      <c r="AX152" s="67"/>
      <c r="AY152" s="67"/>
      <c r="AZ152" s="67"/>
      <c r="BA152" s="67"/>
      <c r="BB152" s="67"/>
      <c r="BC152" s="67"/>
      <c r="BD152" s="67"/>
      <c r="BE152" s="67"/>
      <c r="BF152" s="67"/>
      <c r="BG152" s="67"/>
      <c r="BH152" s="67"/>
      <c r="BI152" s="67"/>
      <c r="BJ152" s="67"/>
      <c r="BK152" s="67"/>
      <c r="BL152" s="67"/>
      <c r="BM152" s="67"/>
      <c r="BN152" s="67"/>
      <c r="BO152" s="67"/>
      <c r="BP152" s="67"/>
      <c r="BQ152" s="67"/>
      <c r="BR152" s="67"/>
      <c r="BS152" s="67"/>
      <c r="BT152" s="67"/>
      <c r="BU152" s="67"/>
      <c r="BV152" s="67"/>
      <c r="BW152" s="67"/>
      <c r="BX152" s="67"/>
      <c r="BY152" s="67"/>
      <c r="BZ152" s="67"/>
      <c r="CA152" s="67"/>
      <c r="CB152" s="67"/>
      <c r="CC152" s="67"/>
      <c r="CD152" s="67"/>
      <c r="CE152" s="67"/>
      <c r="CF152" s="67"/>
      <c r="CG152" s="67"/>
      <c r="CH152" s="67"/>
    </row>
    <row r="153" spans="1:86" s="7" customFormat="1" ht="12.75" customHeight="1">
      <c r="A153" s="6" t="s">
        <v>29</v>
      </c>
      <c r="B153" s="82"/>
      <c r="C153" s="6"/>
      <c r="D153" s="6"/>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7"/>
      <c r="BJ153" s="67"/>
      <c r="BK153" s="67"/>
      <c r="BL153" s="67"/>
      <c r="BM153" s="67"/>
      <c r="BN153" s="67"/>
      <c r="BO153" s="67"/>
      <c r="BP153" s="67"/>
      <c r="BQ153" s="67"/>
      <c r="BR153" s="67"/>
      <c r="BS153" s="67"/>
      <c r="BT153" s="67"/>
      <c r="BU153" s="67"/>
      <c r="BV153" s="67"/>
      <c r="BW153" s="67"/>
      <c r="BX153" s="67"/>
      <c r="BY153" s="67"/>
      <c r="BZ153" s="67"/>
      <c r="CA153" s="67"/>
      <c r="CB153" s="67"/>
      <c r="CC153" s="67"/>
      <c r="CD153" s="67"/>
      <c r="CE153" s="67"/>
      <c r="CF153" s="67"/>
      <c r="CG153" s="67"/>
      <c r="CH153" s="67"/>
    </row>
    <row r="154" spans="1:86">
      <c r="G154" s="59"/>
      <c r="H154" s="59"/>
      <c r="I154" s="59"/>
      <c r="J154" s="59"/>
      <c r="K154" s="59"/>
    </row>
    <row r="155" spans="1:86" s="22" customFormat="1" ht="14.25" thickBot="1">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row>
    <row r="157" spans="1:86">
      <c r="A157" s="41" t="s">
        <v>375</v>
      </c>
      <c r="B157" s="8" t="s">
        <v>317</v>
      </c>
    </row>
    <row r="158" spans="1:86" s="16" customFormat="1" ht="14.25" thickBot="1">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row>
    <row r="159" spans="1:86" s="125" customFormat="1" ht="14.25" thickBot="1">
      <c r="B159" s="182" t="s">
        <v>301</v>
      </c>
      <c r="C159" s="183" t="s">
        <v>148</v>
      </c>
      <c r="D159" s="184"/>
      <c r="E159" s="184"/>
      <c r="F159" s="184"/>
      <c r="V159" s="108"/>
      <c r="W159" s="108"/>
      <c r="X159" s="108"/>
      <c r="Y159" s="108"/>
      <c r="Z159" s="108"/>
      <c r="AA159" s="108"/>
      <c r="AB159" s="108"/>
      <c r="AC159" s="108"/>
      <c r="AD159" s="108"/>
      <c r="AE159" s="108"/>
      <c r="AF159" s="108"/>
      <c r="AG159" s="108"/>
      <c r="AH159" s="108"/>
      <c r="AI159" s="108"/>
      <c r="AJ159" s="108"/>
      <c r="AK159" s="108"/>
      <c r="AL159" s="108"/>
      <c r="AM159" s="108"/>
      <c r="AN159" s="108"/>
      <c r="AO159" s="108"/>
      <c r="AP159" s="108"/>
      <c r="AQ159" s="108"/>
      <c r="AR159" s="108"/>
      <c r="AS159" s="108"/>
      <c r="AT159" s="108"/>
      <c r="AU159" s="108"/>
      <c r="AV159" s="108"/>
      <c r="AW159" s="108"/>
      <c r="AX159" s="108"/>
      <c r="AY159" s="108"/>
      <c r="AZ159" s="108"/>
      <c r="BA159" s="108"/>
      <c r="BB159" s="108"/>
      <c r="BC159" s="108"/>
      <c r="BD159" s="108"/>
      <c r="BE159" s="108"/>
      <c r="BF159" s="108"/>
      <c r="BG159" s="108"/>
      <c r="BH159" s="108"/>
      <c r="BI159" s="108"/>
      <c r="BJ159" s="108"/>
      <c r="BK159" s="108"/>
      <c r="BL159" s="108"/>
      <c r="BM159" s="108"/>
      <c r="BN159" s="108"/>
      <c r="BO159" s="108"/>
      <c r="BP159" s="108"/>
      <c r="BQ159" s="108"/>
      <c r="BR159" s="108"/>
      <c r="BS159" s="108"/>
      <c r="BT159" s="108"/>
      <c r="BU159" s="108"/>
      <c r="BV159" s="108"/>
      <c r="BW159" s="108"/>
      <c r="BX159" s="108"/>
      <c r="BY159" s="108"/>
      <c r="BZ159" s="108"/>
      <c r="CA159" s="108"/>
      <c r="CB159" s="108"/>
      <c r="CC159" s="108"/>
      <c r="CD159" s="108"/>
      <c r="CE159" s="108"/>
      <c r="CF159" s="108"/>
      <c r="CG159" s="108"/>
      <c r="CH159" s="108"/>
    </row>
    <row r="160" spans="1:86" s="125" customFormat="1">
      <c r="A160" s="121" t="s">
        <v>52</v>
      </c>
      <c r="B160" s="102">
        <v>2504.6</v>
      </c>
      <c r="C160" s="190">
        <f>B160/B$163</f>
        <v>0.92499169036451601</v>
      </c>
      <c r="V160" s="108"/>
      <c r="W160" s="108"/>
      <c r="X160" s="108"/>
      <c r="Y160" s="108"/>
      <c r="Z160" s="108"/>
      <c r="AA160" s="108"/>
      <c r="AB160" s="108"/>
      <c r="AC160" s="108"/>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c r="AX160" s="108"/>
      <c r="AY160" s="108"/>
      <c r="AZ160" s="108"/>
      <c r="BA160" s="108"/>
      <c r="BB160" s="108"/>
      <c r="BC160" s="108"/>
      <c r="BD160" s="108"/>
      <c r="BE160" s="108"/>
      <c r="BF160" s="108"/>
      <c r="BG160" s="108"/>
      <c r="BH160" s="108"/>
      <c r="BI160" s="108"/>
      <c r="BJ160" s="108"/>
      <c r="BK160" s="108"/>
      <c r="BL160" s="108"/>
      <c r="BM160" s="108"/>
      <c r="BN160" s="108"/>
      <c r="BO160" s="108"/>
      <c r="BP160" s="108"/>
      <c r="BQ160" s="108"/>
      <c r="BR160" s="108"/>
      <c r="BS160" s="108"/>
      <c r="BT160" s="108"/>
      <c r="BU160" s="108"/>
      <c r="BV160" s="108"/>
      <c r="BW160" s="108"/>
      <c r="BX160" s="108"/>
      <c r="BY160" s="108"/>
      <c r="BZ160" s="108"/>
      <c r="CA160" s="108"/>
      <c r="CB160" s="108"/>
      <c r="CC160" s="108"/>
      <c r="CD160" s="108"/>
      <c r="CE160" s="108"/>
      <c r="CF160" s="108"/>
      <c r="CG160" s="108"/>
      <c r="CH160" s="108"/>
    </row>
    <row r="161" spans="1:86" s="125" customFormat="1">
      <c r="A161" s="129" t="s">
        <v>53</v>
      </c>
      <c r="B161" s="102">
        <v>78.5</v>
      </c>
      <c r="C161" s="190">
        <f t="shared" ref="C161:C162" si="60">B161/B$163</f>
        <v>2.8991394910809914E-2</v>
      </c>
      <c r="V161" s="108"/>
      <c r="W161" s="108"/>
      <c r="X161" s="108"/>
      <c r="Y161" s="108"/>
      <c r="Z161" s="108"/>
      <c r="AA161" s="108"/>
      <c r="AB161" s="108"/>
      <c r="AC161" s="108"/>
      <c r="AD161" s="108"/>
      <c r="AE161" s="108"/>
      <c r="AF161" s="108"/>
      <c r="AG161" s="108"/>
      <c r="AH161" s="108"/>
      <c r="AI161" s="108"/>
      <c r="AJ161" s="108"/>
      <c r="AK161" s="108"/>
      <c r="AL161" s="108"/>
      <c r="AM161" s="108"/>
      <c r="AN161" s="108"/>
      <c r="AO161" s="108"/>
      <c r="AP161" s="108"/>
      <c r="AQ161" s="108"/>
      <c r="AR161" s="108"/>
      <c r="AS161" s="108"/>
      <c r="AT161" s="108"/>
      <c r="AU161" s="108"/>
      <c r="AV161" s="108"/>
      <c r="AW161" s="108"/>
      <c r="AX161" s="108"/>
      <c r="AY161" s="108"/>
      <c r="AZ161" s="108"/>
      <c r="BA161" s="108"/>
      <c r="BB161" s="108"/>
      <c r="BC161" s="108"/>
      <c r="BD161" s="108"/>
      <c r="BE161" s="108"/>
      <c r="BF161" s="108"/>
      <c r="BG161" s="108"/>
      <c r="BH161" s="108"/>
      <c r="BI161" s="108"/>
      <c r="BJ161" s="108"/>
      <c r="BK161" s="108"/>
      <c r="BL161" s="108"/>
      <c r="BM161" s="108"/>
      <c r="BN161" s="108"/>
      <c r="BO161" s="108"/>
      <c r="BP161" s="108"/>
      <c r="BQ161" s="108"/>
      <c r="BR161" s="108"/>
      <c r="BS161" s="108"/>
      <c r="BT161" s="108"/>
      <c r="BU161" s="108"/>
      <c r="BV161" s="108"/>
      <c r="BW161" s="108"/>
      <c r="BX161" s="108"/>
      <c r="BY161" s="108"/>
      <c r="BZ161" s="108"/>
      <c r="CA161" s="108"/>
      <c r="CB161" s="108"/>
      <c r="CC161" s="108"/>
      <c r="CD161" s="108"/>
      <c r="CE161" s="108"/>
      <c r="CF161" s="108"/>
      <c r="CG161" s="108"/>
      <c r="CH161" s="108"/>
    </row>
    <row r="162" spans="1:86" s="125" customFormat="1">
      <c r="A162" s="129" t="s">
        <v>325</v>
      </c>
      <c r="B162" s="102">
        <v>124.6</v>
      </c>
      <c r="C162" s="190">
        <f t="shared" si="60"/>
        <v>4.6016914724674077E-2</v>
      </c>
      <c r="V162" s="108"/>
      <c r="W162" s="108"/>
      <c r="X162" s="108"/>
      <c r="Y162" s="108"/>
      <c r="Z162" s="108"/>
      <c r="AA162" s="108"/>
      <c r="AB162" s="108"/>
      <c r="AC162" s="108"/>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c r="AX162" s="108"/>
      <c r="AY162" s="108"/>
      <c r="AZ162" s="108"/>
      <c r="BA162" s="108"/>
      <c r="BB162" s="108"/>
      <c r="BC162" s="108"/>
      <c r="BD162" s="108"/>
      <c r="BE162" s="108"/>
      <c r="BF162" s="108"/>
      <c r="BG162" s="108"/>
      <c r="BH162" s="108"/>
      <c r="BI162" s="108"/>
      <c r="BJ162" s="108"/>
      <c r="BK162" s="108"/>
      <c r="BL162" s="108"/>
      <c r="BM162" s="108"/>
      <c r="BN162" s="108"/>
      <c r="BO162" s="108"/>
      <c r="BP162" s="108"/>
      <c r="BQ162" s="108"/>
      <c r="BR162" s="108"/>
      <c r="BS162" s="108"/>
      <c r="BT162" s="108"/>
      <c r="BU162" s="108"/>
      <c r="BV162" s="108"/>
      <c r="BW162" s="108"/>
      <c r="BX162" s="108"/>
      <c r="BY162" s="108"/>
      <c r="BZ162" s="108"/>
      <c r="CA162" s="108"/>
      <c r="CB162" s="108"/>
      <c r="CC162" s="108"/>
      <c r="CD162" s="108"/>
      <c r="CE162" s="108"/>
      <c r="CF162" s="108"/>
      <c r="CG162" s="108"/>
      <c r="CH162" s="108"/>
    </row>
    <row r="163" spans="1:86" s="145" customFormat="1" ht="14.25" thickBot="1">
      <c r="A163" s="155" t="s">
        <v>18</v>
      </c>
      <c r="B163" s="98">
        <f>SUM(B160:B162)</f>
        <v>2707.7</v>
      </c>
      <c r="C163" s="181">
        <f>SUM(C160:C162)</f>
        <v>1</v>
      </c>
      <c r="D163" s="125"/>
      <c r="E163" s="125"/>
      <c r="F163" s="125"/>
      <c r="V163" s="110"/>
      <c r="W163" s="110"/>
      <c r="X163" s="110"/>
      <c r="Y163" s="110"/>
      <c r="Z163" s="110"/>
      <c r="AA163" s="110"/>
      <c r="AB163" s="110"/>
      <c r="AC163" s="110"/>
      <c r="AD163" s="110"/>
      <c r="AE163" s="110"/>
      <c r="AF163" s="110"/>
      <c r="AG163" s="110"/>
      <c r="AH163" s="110"/>
      <c r="AI163" s="110"/>
      <c r="AJ163" s="110"/>
      <c r="AK163" s="110"/>
      <c r="AL163" s="110"/>
      <c r="AM163" s="110"/>
      <c r="AN163" s="110"/>
      <c r="AO163" s="110"/>
      <c r="AP163" s="110"/>
      <c r="AQ163" s="110"/>
      <c r="AR163" s="110"/>
      <c r="AS163" s="110"/>
      <c r="AT163" s="110"/>
      <c r="AU163" s="110"/>
      <c r="AV163" s="110"/>
      <c r="AW163" s="110"/>
      <c r="AX163" s="110"/>
      <c r="AY163" s="110"/>
      <c r="AZ163" s="110"/>
      <c r="BA163" s="110"/>
      <c r="BB163" s="110"/>
      <c r="BC163" s="110"/>
      <c r="BD163" s="110"/>
      <c r="BE163" s="110"/>
      <c r="BF163" s="110"/>
      <c r="BG163" s="110"/>
      <c r="BH163" s="110"/>
      <c r="BI163" s="110"/>
      <c r="BJ163" s="110"/>
      <c r="BK163" s="110"/>
      <c r="BL163" s="110"/>
      <c r="BM163" s="110"/>
      <c r="BN163" s="110"/>
      <c r="BO163" s="110"/>
      <c r="BP163" s="110"/>
      <c r="BQ163" s="110"/>
      <c r="BR163" s="110"/>
      <c r="BS163" s="110"/>
      <c r="BT163" s="110"/>
      <c r="BU163" s="110"/>
      <c r="BV163" s="110"/>
      <c r="BW163" s="110"/>
      <c r="BX163" s="110"/>
      <c r="BY163" s="110"/>
      <c r="BZ163" s="110"/>
      <c r="CA163" s="110"/>
      <c r="CB163" s="110"/>
      <c r="CC163" s="110"/>
      <c r="CD163" s="110"/>
      <c r="CE163" s="110"/>
      <c r="CF163" s="110"/>
      <c r="CG163" s="110"/>
      <c r="CH163" s="110"/>
    </row>
    <row r="164" spans="1:86" s="7" customFormat="1" ht="12.75" customHeight="1">
      <c r="A164" s="6" t="s">
        <v>162</v>
      </c>
      <c r="B164" s="406"/>
      <c r="C164" s="6"/>
      <c r="D164" s="6"/>
      <c r="E164" s="29"/>
      <c r="F164" s="29"/>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7"/>
      <c r="BK164" s="67"/>
      <c r="BL164" s="67"/>
      <c r="BM164" s="67"/>
      <c r="BN164" s="67"/>
      <c r="BO164" s="67"/>
      <c r="BP164" s="67"/>
      <c r="BQ164" s="67"/>
      <c r="BR164" s="67"/>
      <c r="BS164" s="67"/>
      <c r="BT164" s="67"/>
      <c r="BU164" s="67"/>
      <c r="BV164" s="67"/>
      <c r="BW164" s="67"/>
      <c r="BX164" s="67"/>
      <c r="BY164" s="67"/>
      <c r="BZ164" s="67"/>
      <c r="CA164" s="67"/>
      <c r="CB164" s="67"/>
      <c r="CC164" s="67"/>
      <c r="CD164" s="67"/>
      <c r="CE164" s="67"/>
      <c r="CF164" s="67"/>
      <c r="CG164" s="67"/>
      <c r="CH164" s="67"/>
    </row>
    <row r="165" spans="1:86" s="7" customFormat="1" ht="12.75" customHeight="1">
      <c r="A165" s="6" t="s">
        <v>363</v>
      </c>
      <c r="B165" s="6"/>
      <c r="C165" s="6"/>
      <c r="D165" s="6"/>
      <c r="E165" s="29"/>
      <c r="F165" s="29"/>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c r="BB165" s="67"/>
      <c r="BC165" s="67"/>
      <c r="BD165" s="67"/>
      <c r="BE165" s="67"/>
      <c r="BF165" s="67"/>
      <c r="BG165" s="67"/>
      <c r="BH165" s="67"/>
      <c r="BI165" s="67"/>
      <c r="BJ165" s="67"/>
      <c r="BK165" s="67"/>
      <c r="BL165" s="67"/>
      <c r="BM165" s="67"/>
      <c r="BN165" s="67"/>
      <c r="BO165" s="67"/>
      <c r="BP165" s="67"/>
      <c r="BQ165" s="67"/>
      <c r="BR165" s="67"/>
      <c r="BS165" s="67"/>
      <c r="BT165" s="67"/>
      <c r="BU165" s="67"/>
      <c r="BV165" s="67"/>
      <c r="BW165" s="67"/>
      <c r="BX165" s="67"/>
      <c r="BY165" s="67"/>
      <c r="BZ165" s="67"/>
      <c r="CA165" s="67"/>
      <c r="CB165" s="67"/>
      <c r="CC165" s="67"/>
      <c r="CD165" s="67"/>
      <c r="CE165" s="67"/>
      <c r="CF165" s="67"/>
      <c r="CG165" s="67"/>
      <c r="CH165" s="67"/>
    </row>
    <row r="166" spans="1:86" s="7" customFormat="1" ht="12.75" customHeight="1">
      <c r="A166" s="6" t="s">
        <v>29</v>
      </c>
      <c r="B166" s="82"/>
      <c r="C166" s="6"/>
      <c r="D166" s="6"/>
      <c r="V166" s="67"/>
      <c r="W166" s="67"/>
      <c r="X166" s="67"/>
      <c r="Y166" s="67"/>
      <c r="Z166" s="67"/>
      <c r="AA166" s="67"/>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B166" s="67"/>
      <c r="BC166" s="67"/>
      <c r="BD166" s="67"/>
      <c r="BE166" s="67"/>
      <c r="BF166" s="67"/>
      <c r="BG166" s="67"/>
      <c r="BH166" s="67"/>
      <c r="BI166" s="67"/>
      <c r="BJ166" s="67"/>
      <c r="BK166" s="67"/>
      <c r="BL166" s="67"/>
      <c r="BM166" s="67"/>
      <c r="BN166" s="67"/>
      <c r="BO166" s="67"/>
      <c r="BP166" s="67"/>
      <c r="BQ166" s="67"/>
      <c r="BR166" s="67"/>
      <c r="BS166" s="67"/>
      <c r="BT166" s="67"/>
      <c r="BU166" s="67"/>
      <c r="BV166" s="67"/>
      <c r="BW166" s="67"/>
      <c r="BX166" s="67"/>
      <c r="BY166" s="67"/>
      <c r="BZ166" s="67"/>
      <c r="CA166" s="67"/>
      <c r="CB166" s="67"/>
      <c r="CC166" s="67"/>
      <c r="CD166" s="67"/>
      <c r="CE166" s="67"/>
      <c r="CF166" s="67"/>
      <c r="CG166" s="67"/>
      <c r="CH166" s="67"/>
    </row>
    <row r="167" spans="1:86" s="7" customFormat="1" ht="12.75" customHeight="1">
      <c r="A167" s="6"/>
      <c r="B167" s="6"/>
      <c r="C167" s="6"/>
      <c r="D167" s="6"/>
      <c r="E167" s="6"/>
      <c r="F167" s="6"/>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c r="AV167" s="67"/>
      <c r="AW167" s="67"/>
      <c r="AX167" s="67"/>
      <c r="AY167" s="67"/>
      <c r="AZ167" s="67"/>
      <c r="BA167" s="67"/>
      <c r="BB167" s="67"/>
      <c r="BC167" s="67"/>
      <c r="BD167" s="67"/>
      <c r="BE167" s="67"/>
      <c r="BF167" s="67"/>
      <c r="BG167" s="67"/>
      <c r="BH167" s="67"/>
      <c r="BI167" s="67"/>
      <c r="BJ167" s="67"/>
      <c r="BK167" s="67"/>
      <c r="BL167" s="67"/>
      <c r="BM167" s="67"/>
      <c r="BN167" s="67"/>
      <c r="BO167" s="67"/>
      <c r="BP167" s="67"/>
      <c r="BQ167" s="67"/>
      <c r="BR167" s="67"/>
      <c r="BS167" s="67"/>
      <c r="BT167" s="67"/>
      <c r="BU167" s="67"/>
      <c r="BV167" s="67"/>
      <c r="BW167" s="67"/>
      <c r="BX167" s="67"/>
      <c r="BY167" s="67"/>
      <c r="BZ167" s="67"/>
      <c r="CA167" s="67"/>
      <c r="CB167" s="67"/>
      <c r="CC167" s="67"/>
      <c r="CD167" s="67"/>
      <c r="CE167" s="67"/>
      <c r="CF167" s="67"/>
      <c r="CG167" s="67"/>
      <c r="CH167" s="67"/>
    </row>
    <row r="168" spans="1:86" s="18" customFormat="1"/>
    <row r="169" spans="1:86" s="44" customFormat="1" ht="21.75" customHeight="1">
      <c r="A169" s="337" t="s">
        <v>159</v>
      </c>
      <c r="B169" s="338"/>
      <c r="C169" s="338"/>
      <c r="D169" s="338"/>
      <c r="E169" s="338"/>
      <c r="F169" s="338"/>
      <c r="G169" s="338"/>
      <c r="H169" s="338"/>
      <c r="I169" s="338"/>
      <c r="J169" s="338"/>
      <c r="K169" s="338"/>
      <c r="L169" s="338"/>
      <c r="M169" s="338"/>
      <c r="N169" s="338"/>
      <c r="O169" s="338"/>
      <c r="P169" s="338"/>
      <c r="Q169" s="338"/>
      <c r="R169" s="338"/>
      <c r="S169" s="338"/>
      <c r="T169" s="338"/>
      <c r="U169" s="338"/>
    </row>
    <row r="170" spans="1:86">
      <c r="A170" s="15"/>
      <c r="B170" s="15"/>
      <c r="C170" s="15"/>
      <c r="D170" s="15"/>
      <c r="E170" s="15"/>
    </row>
    <row r="171" spans="1:86">
      <c r="A171" s="41" t="s">
        <v>376</v>
      </c>
      <c r="B171" s="8" t="s">
        <v>380</v>
      </c>
    </row>
    <row r="172" spans="1:86" ht="14.25" thickBot="1">
      <c r="A172" s="17"/>
      <c r="B172" s="17"/>
      <c r="C172" s="17"/>
      <c r="D172" s="17"/>
    </row>
    <row r="173" spans="1:86" s="120" customFormat="1" ht="14.25" thickBot="1">
      <c r="A173" s="113"/>
      <c r="B173" s="222">
        <v>2010</v>
      </c>
      <c r="C173" s="47">
        <v>2011</v>
      </c>
      <c r="D173" s="47">
        <v>2012</v>
      </c>
      <c r="E173" s="47">
        <v>2013</v>
      </c>
      <c r="F173" s="47">
        <v>2014</v>
      </c>
      <c r="G173" s="232">
        <v>2015</v>
      </c>
      <c r="H173" s="232">
        <v>2016</v>
      </c>
      <c r="I173" s="232">
        <v>2017</v>
      </c>
      <c r="J173" s="232">
        <v>2018</v>
      </c>
      <c r="K173" s="233">
        <v>2019</v>
      </c>
      <c r="M173" s="116" t="s">
        <v>31</v>
      </c>
      <c r="N173" s="3" t="s">
        <v>32</v>
      </c>
      <c r="O173" s="3" t="s">
        <v>33</v>
      </c>
      <c r="P173" s="3" t="s">
        <v>34</v>
      </c>
      <c r="Q173" s="117" t="s">
        <v>35</v>
      </c>
      <c r="R173" s="117" t="s">
        <v>36</v>
      </c>
      <c r="S173" s="117" t="s">
        <v>160</v>
      </c>
      <c r="T173" s="117" t="s">
        <v>169</v>
      </c>
      <c r="U173" s="118" t="s">
        <v>170</v>
      </c>
      <c r="V173" s="88"/>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c r="AX173" s="119"/>
      <c r="AY173" s="119"/>
      <c r="AZ173" s="119"/>
      <c r="BA173" s="119"/>
      <c r="BB173" s="119"/>
      <c r="BC173" s="119"/>
      <c r="BD173" s="119"/>
      <c r="BE173" s="119"/>
      <c r="BF173" s="119"/>
      <c r="BG173" s="119"/>
      <c r="BH173" s="119"/>
      <c r="BI173" s="119"/>
      <c r="BJ173" s="119"/>
      <c r="BK173" s="119"/>
      <c r="BL173" s="119"/>
      <c r="BM173" s="119"/>
      <c r="BN173" s="119"/>
      <c r="BO173" s="119"/>
      <c r="BP173" s="119"/>
      <c r="BQ173" s="119"/>
      <c r="BR173" s="119"/>
      <c r="BS173" s="119"/>
      <c r="BT173" s="119"/>
      <c r="BU173" s="119"/>
      <c r="BV173" s="119"/>
      <c r="BW173" s="119"/>
      <c r="BX173" s="119"/>
      <c r="BY173" s="119"/>
      <c r="BZ173" s="119"/>
      <c r="CA173" s="119"/>
      <c r="CB173" s="119"/>
      <c r="CC173" s="119"/>
      <c r="CD173" s="119"/>
      <c r="CE173" s="119"/>
      <c r="CF173" s="119"/>
      <c r="CG173" s="119"/>
      <c r="CH173" s="119"/>
    </row>
    <row r="174" spans="1:86" s="162" customFormat="1">
      <c r="A174" s="209" t="s">
        <v>24</v>
      </c>
      <c r="B174" s="112">
        <v>1053.5</v>
      </c>
      <c r="C174" s="112">
        <v>1099.5999999999999</v>
      </c>
      <c r="D174" s="112">
        <v>1109.0999999999999</v>
      </c>
      <c r="E174" s="112">
        <v>1073.5</v>
      </c>
      <c r="F174" s="112">
        <v>1053.5</v>
      </c>
      <c r="G174" s="112">
        <v>1076.5999999999999</v>
      </c>
      <c r="H174" s="112">
        <v>1101.3</v>
      </c>
      <c r="I174" s="112">
        <v>1120.0999999999999</v>
      </c>
      <c r="J174" s="112">
        <v>1137</v>
      </c>
      <c r="K174" s="197">
        <v>1144.5</v>
      </c>
      <c r="M174" s="126">
        <f t="shared" ref="M174:U177" si="61">(C174-B174)/B174</f>
        <v>4.3758898908400484E-2</v>
      </c>
      <c r="N174" s="127">
        <f t="shared" si="61"/>
        <v>8.639505274645326E-3</v>
      </c>
      <c r="O174" s="127">
        <f t="shared" si="61"/>
        <v>-3.2098097556577325E-2</v>
      </c>
      <c r="P174" s="127">
        <f t="shared" si="61"/>
        <v>-1.8630647414997672E-2</v>
      </c>
      <c r="Q174" s="127">
        <f t="shared" si="61"/>
        <v>2.1926910299003236E-2</v>
      </c>
      <c r="R174" s="127">
        <f t="shared" si="61"/>
        <v>2.2942597064833779E-2</v>
      </c>
      <c r="S174" s="127">
        <f t="shared" si="61"/>
        <v>1.7070734586397854E-2</v>
      </c>
      <c r="T174" s="127">
        <f t="shared" si="61"/>
        <v>1.5087938576912858E-2</v>
      </c>
      <c r="U174" s="128">
        <f t="shared" si="61"/>
        <v>6.5963060686015833E-3</v>
      </c>
      <c r="V174" s="178"/>
      <c r="W174" s="178"/>
      <c r="X174" s="178"/>
      <c r="Y174" s="178"/>
      <c r="Z174" s="178"/>
      <c r="AA174" s="178"/>
      <c r="AB174" s="178"/>
      <c r="AC174" s="178"/>
      <c r="AD174" s="178"/>
      <c r="AE174" s="178"/>
      <c r="AF174" s="178"/>
      <c r="AG174" s="178"/>
      <c r="AH174" s="178"/>
      <c r="AI174" s="178"/>
      <c r="AJ174" s="178"/>
      <c r="AK174" s="178"/>
      <c r="AL174" s="178"/>
      <c r="AM174" s="178"/>
      <c r="AN174" s="178"/>
      <c r="AO174" s="178"/>
      <c r="AP174" s="178"/>
      <c r="AQ174" s="178"/>
      <c r="AR174" s="178"/>
      <c r="AS174" s="178"/>
      <c r="AT174" s="178"/>
      <c r="AU174" s="178"/>
      <c r="AV174" s="178"/>
      <c r="AW174" s="178"/>
      <c r="AX174" s="178"/>
      <c r="AY174" s="178"/>
      <c r="AZ174" s="178"/>
      <c r="BA174" s="178"/>
      <c r="BB174" s="178"/>
      <c r="BC174" s="178"/>
      <c r="BD174" s="178"/>
      <c r="BE174" s="178"/>
      <c r="BF174" s="178"/>
      <c r="BG174" s="178"/>
      <c r="BH174" s="178"/>
      <c r="BI174" s="178"/>
      <c r="BJ174" s="178"/>
      <c r="BK174" s="178"/>
      <c r="BL174" s="178"/>
      <c r="BM174" s="178"/>
      <c r="BN174" s="178"/>
      <c r="BO174" s="178"/>
      <c r="BP174" s="178"/>
      <c r="BQ174" s="178"/>
      <c r="BR174" s="178"/>
      <c r="BS174" s="178"/>
      <c r="BT174" s="178"/>
      <c r="BU174" s="178"/>
      <c r="BV174" s="178"/>
      <c r="BW174" s="178"/>
      <c r="BX174" s="178"/>
      <c r="BY174" s="178"/>
      <c r="BZ174" s="178"/>
      <c r="CA174" s="178"/>
      <c r="CB174" s="178"/>
      <c r="CC174" s="178"/>
      <c r="CD174" s="178"/>
      <c r="CE174" s="178"/>
      <c r="CF174" s="178"/>
      <c r="CG174" s="178"/>
      <c r="CH174" s="178"/>
    </row>
    <row r="175" spans="1:86" s="162" customFormat="1">
      <c r="A175" s="189" t="s">
        <v>135</v>
      </c>
      <c r="B175" s="92">
        <v>593.70000000000005</v>
      </c>
      <c r="C175" s="92">
        <v>637.20000000000005</v>
      </c>
      <c r="D175" s="92">
        <v>678</v>
      </c>
      <c r="E175" s="92">
        <v>670.9</v>
      </c>
      <c r="F175" s="92">
        <v>673</v>
      </c>
      <c r="G175" s="92">
        <v>700.6</v>
      </c>
      <c r="H175" s="92">
        <v>730</v>
      </c>
      <c r="I175" s="92">
        <v>753.9</v>
      </c>
      <c r="J175" s="92">
        <v>777</v>
      </c>
      <c r="K175" s="97">
        <v>797.8</v>
      </c>
      <c r="M175" s="130">
        <f t="shared" si="61"/>
        <v>7.3269327943405752E-2</v>
      </c>
      <c r="N175" s="131">
        <f t="shared" si="61"/>
        <v>6.4030131826741915E-2</v>
      </c>
      <c r="O175" s="131">
        <f t="shared" si="61"/>
        <v>-1.0471976401179974E-2</v>
      </c>
      <c r="P175" s="131">
        <f t="shared" si="61"/>
        <v>3.1301237144135082E-3</v>
      </c>
      <c r="Q175" s="131">
        <f t="shared" si="61"/>
        <v>4.1010401188707316E-2</v>
      </c>
      <c r="R175" s="131">
        <f t="shared" si="61"/>
        <v>4.1964030830716495E-2</v>
      </c>
      <c r="S175" s="131">
        <f t="shared" si="61"/>
        <v>3.2739726027397227E-2</v>
      </c>
      <c r="T175" s="131">
        <f t="shared" si="61"/>
        <v>3.064066852367691E-2</v>
      </c>
      <c r="U175" s="132">
        <f t="shared" si="61"/>
        <v>2.6769626769626711E-2</v>
      </c>
      <c r="V175" s="178"/>
      <c r="W175" s="178"/>
      <c r="X175" s="178"/>
      <c r="Y175" s="178"/>
      <c r="Z175" s="178"/>
      <c r="AA175" s="178"/>
      <c r="AB175" s="178"/>
      <c r="AC175" s="178"/>
      <c r="AD175" s="178"/>
      <c r="AE175" s="178"/>
      <c r="AF175" s="178"/>
      <c r="AG175" s="178"/>
      <c r="AH175" s="178"/>
      <c r="AI175" s="178"/>
      <c r="AJ175" s="178"/>
      <c r="AK175" s="178"/>
      <c r="AL175" s="178"/>
      <c r="AM175" s="178"/>
      <c r="AN175" s="178"/>
      <c r="AO175" s="178"/>
      <c r="AP175" s="178"/>
      <c r="AQ175" s="178"/>
      <c r="AR175" s="178"/>
      <c r="AS175" s="178"/>
      <c r="AT175" s="178"/>
      <c r="AU175" s="178"/>
      <c r="AV175" s="178"/>
      <c r="AW175" s="178"/>
      <c r="AX175" s="178"/>
      <c r="AY175" s="178"/>
      <c r="AZ175" s="178"/>
      <c r="BA175" s="178"/>
      <c r="BB175" s="178"/>
      <c r="BC175" s="178"/>
      <c r="BD175" s="178"/>
      <c r="BE175" s="178"/>
      <c r="BF175" s="178"/>
      <c r="BG175" s="178"/>
      <c r="BH175" s="178"/>
      <c r="BI175" s="178"/>
      <c r="BJ175" s="178"/>
      <c r="BK175" s="178"/>
      <c r="BL175" s="178"/>
      <c r="BM175" s="178"/>
      <c r="BN175" s="178"/>
      <c r="BO175" s="178"/>
      <c r="BP175" s="178"/>
      <c r="BQ175" s="178"/>
      <c r="BR175" s="178"/>
      <c r="BS175" s="178"/>
      <c r="BT175" s="178"/>
      <c r="BU175" s="178"/>
      <c r="BV175" s="178"/>
      <c r="BW175" s="178"/>
      <c r="BX175" s="178"/>
      <c r="BY175" s="178"/>
      <c r="BZ175" s="178"/>
      <c r="CA175" s="178"/>
      <c r="CB175" s="178"/>
      <c r="CC175" s="178"/>
      <c r="CD175" s="178"/>
      <c r="CE175" s="178"/>
      <c r="CF175" s="178"/>
      <c r="CG175" s="178"/>
      <c r="CH175" s="178"/>
    </row>
    <row r="176" spans="1:86" s="162" customFormat="1">
      <c r="A176" s="189" t="s">
        <v>25</v>
      </c>
      <c r="B176" s="92">
        <v>351.8</v>
      </c>
      <c r="C176" s="92">
        <v>318.60000000000002</v>
      </c>
      <c r="D176" s="92">
        <v>305.5</v>
      </c>
      <c r="E176" s="92">
        <v>288.7</v>
      </c>
      <c r="F176" s="92">
        <v>276.39999999999998</v>
      </c>
      <c r="G176" s="92">
        <v>277.39999999999998</v>
      </c>
      <c r="H176" s="92">
        <v>278.5</v>
      </c>
      <c r="I176" s="92">
        <v>280</v>
      </c>
      <c r="J176" s="92">
        <v>281</v>
      </c>
      <c r="K176" s="97">
        <v>280</v>
      </c>
      <c r="M176" s="130">
        <f t="shared" si="61"/>
        <v>-9.4371802160318333E-2</v>
      </c>
      <c r="N176" s="131">
        <f t="shared" si="61"/>
        <v>-4.1117388575015762E-2</v>
      </c>
      <c r="O176" s="131">
        <f t="shared" si="61"/>
        <v>-5.4991816693944394E-2</v>
      </c>
      <c r="P176" s="131">
        <f t="shared" si="61"/>
        <v>-4.2604780048493288E-2</v>
      </c>
      <c r="Q176" s="131">
        <f t="shared" si="61"/>
        <v>3.6179450072358903E-3</v>
      </c>
      <c r="R176" s="131">
        <f t="shared" si="61"/>
        <v>3.9653929343908536E-3</v>
      </c>
      <c r="S176" s="131">
        <f t="shared" si="61"/>
        <v>5.3859964093357273E-3</v>
      </c>
      <c r="T176" s="131">
        <f t="shared" si="61"/>
        <v>3.5714285714285713E-3</v>
      </c>
      <c r="U176" s="132">
        <f t="shared" si="61"/>
        <v>-3.5587188612099642E-3</v>
      </c>
      <c r="V176" s="178"/>
      <c r="W176" s="178"/>
      <c r="X176" s="178"/>
      <c r="Y176" s="178"/>
      <c r="Z176" s="178"/>
      <c r="AA176" s="178"/>
      <c r="AB176" s="178"/>
      <c r="AC176" s="178"/>
      <c r="AD176" s="178"/>
      <c r="AE176" s="178"/>
      <c r="AF176" s="178"/>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c r="BC176" s="178"/>
      <c r="BD176" s="178"/>
      <c r="BE176" s="178"/>
      <c r="BF176" s="178"/>
      <c r="BG176" s="178"/>
      <c r="BH176" s="178"/>
      <c r="BI176" s="178"/>
      <c r="BJ176" s="178"/>
      <c r="BK176" s="178"/>
      <c r="BL176" s="178"/>
      <c r="BM176" s="178"/>
      <c r="BN176" s="178"/>
      <c r="BO176" s="178"/>
      <c r="BP176" s="178"/>
      <c r="BQ176" s="178"/>
      <c r="BR176" s="178"/>
      <c r="BS176" s="178"/>
      <c r="BT176" s="178"/>
      <c r="BU176" s="178"/>
      <c r="BV176" s="178"/>
      <c r="BW176" s="178"/>
      <c r="BX176" s="178"/>
      <c r="BY176" s="178"/>
      <c r="BZ176" s="178"/>
      <c r="CA176" s="178"/>
      <c r="CB176" s="178"/>
      <c r="CC176" s="178"/>
      <c r="CD176" s="178"/>
      <c r="CE176" s="178"/>
      <c r="CF176" s="178"/>
      <c r="CG176" s="178"/>
      <c r="CH176" s="178"/>
    </row>
    <row r="177" spans="1:86" s="162" customFormat="1" ht="14.25" thickBot="1">
      <c r="A177" s="214" t="s">
        <v>18</v>
      </c>
      <c r="B177" s="99">
        <f t="shared" ref="B177:K177" si="62">SUM(B174:B176)</f>
        <v>1999</v>
      </c>
      <c r="C177" s="99">
        <f t="shared" si="62"/>
        <v>2055.4</v>
      </c>
      <c r="D177" s="99">
        <f t="shared" si="62"/>
        <v>2092.6</v>
      </c>
      <c r="E177" s="99">
        <f t="shared" si="62"/>
        <v>2033.1000000000001</v>
      </c>
      <c r="F177" s="99">
        <f t="shared" si="62"/>
        <v>2002.9</v>
      </c>
      <c r="G177" s="99">
        <f t="shared" si="62"/>
        <v>2054.6</v>
      </c>
      <c r="H177" s="99">
        <f t="shared" si="62"/>
        <v>2109.8000000000002</v>
      </c>
      <c r="I177" s="99">
        <f t="shared" si="62"/>
        <v>2154</v>
      </c>
      <c r="J177" s="99">
        <f t="shared" si="62"/>
        <v>2195</v>
      </c>
      <c r="K177" s="100">
        <f t="shared" si="62"/>
        <v>2222.3000000000002</v>
      </c>
      <c r="M177" s="156">
        <f t="shared" si="61"/>
        <v>2.821410705352681E-2</v>
      </c>
      <c r="N177" s="157">
        <f t="shared" si="61"/>
        <v>1.8098666926145673E-2</v>
      </c>
      <c r="O177" s="157">
        <f t="shared" si="61"/>
        <v>-2.84335276689285E-2</v>
      </c>
      <c r="P177" s="157">
        <f t="shared" si="61"/>
        <v>-1.4854163592543428E-2</v>
      </c>
      <c r="Q177" s="157">
        <f t="shared" si="61"/>
        <v>2.5812571770932057E-2</v>
      </c>
      <c r="R177" s="157">
        <f t="shared" si="61"/>
        <v>2.6866543366105458E-2</v>
      </c>
      <c r="S177" s="157">
        <f t="shared" si="61"/>
        <v>2.0949853066641301E-2</v>
      </c>
      <c r="T177" s="157">
        <f t="shared" si="61"/>
        <v>1.9034354688950789E-2</v>
      </c>
      <c r="U177" s="158">
        <f t="shared" si="61"/>
        <v>1.2437357630979582E-2</v>
      </c>
      <c r="V177" s="178"/>
      <c r="W177" s="178"/>
      <c r="X177" s="178"/>
      <c r="Y177" s="178"/>
      <c r="Z177" s="178"/>
      <c r="AA177" s="178"/>
      <c r="AB177" s="178"/>
      <c r="AC177" s="178"/>
      <c r="AD177" s="178"/>
      <c r="AE177" s="178"/>
      <c r="AF177" s="178"/>
      <c r="AG177" s="178"/>
      <c r="AH177" s="178"/>
      <c r="AI177" s="178"/>
      <c r="AJ177" s="178"/>
      <c r="AK177" s="178"/>
      <c r="AL177" s="178"/>
      <c r="AM177" s="178"/>
      <c r="AN177" s="178"/>
      <c r="AO177" s="178"/>
      <c r="AP177" s="178"/>
      <c r="AQ177" s="178"/>
      <c r="AR177" s="178"/>
      <c r="AS177" s="178"/>
      <c r="AT177" s="178"/>
      <c r="AU177" s="178"/>
      <c r="AV177" s="178"/>
      <c r="AW177" s="178"/>
      <c r="AX177" s="178"/>
      <c r="AY177" s="178"/>
      <c r="AZ177" s="178"/>
      <c r="BA177" s="178"/>
      <c r="BB177" s="178"/>
      <c r="BC177" s="178"/>
      <c r="BD177" s="178"/>
      <c r="BE177" s="178"/>
      <c r="BF177" s="178"/>
      <c r="BG177" s="178"/>
      <c r="BH177" s="178"/>
      <c r="BI177" s="178"/>
      <c r="BJ177" s="178"/>
      <c r="BK177" s="178"/>
      <c r="BL177" s="178"/>
      <c r="BM177" s="178"/>
      <c r="BN177" s="178"/>
      <c r="BO177" s="178"/>
      <c r="BP177" s="178"/>
      <c r="BQ177" s="178"/>
      <c r="BR177" s="178"/>
      <c r="BS177" s="178"/>
      <c r="BT177" s="178"/>
      <c r="BU177" s="178"/>
      <c r="BV177" s="178"/>
      <c r="BW177" s="178"/>
      <c r="BX177" s="178"/>
      <c r="BY177" s="178"/>
      <c r="BZ177" s="178"/>
      <c r="CA177" s="178"/>
      <c r="CB177" s="178"/>
      <c r="CC177" s="178"/>
      <c r="CD177" s="178"/>
      <c r="CE177" s="178"/>
      <c r="CF177" s="178"/>
      <c r="CG177" s="178"/>
      <c r="CH177" s="178"/>
    </row>
    <row r="178" spans="1:86">
      <c r="A178" s="6" t="s">
        <v>37</v>
      </c>
      <c r="B178" s="11"/>
      <c r="C178" s="11"/>
      <c r="D178" s="11"/>
    </row>
    <row r="179" spans="1:86">
      <c r="A179" s="6" t="s">
        <v>29</v>
      </c>
      <c r="B179" s="82"/>
      <c r="C179" s="82"/>
      <c r="D179" s="82"/>
      <c r="E179" s="82"/>
      <c r="F179" s="82"/>
      <c r="G179" s="82"/>
      <c r="H179" s="82"/>
      <c r="I179" s="82"/>
      <c r="J179" s="82"/>
      <c r="K179" s="82"/>
    </row>
    <row r="180" spans="1:86">
      <c r="A180" s="6"/>
      <c r="B180" s="82"/>
      <c r="C180" s="82"/>
      <c r="D180" s="82"/>
      <c r="E180" s="82"/>
      <c r="F180" s="82"/>
      <c r="G180" s="82"/>
    </row>
    <row r="181" spans="1:86" ht="14.25" thickBot="1">
      <c r="A181" s="6"/>
      <c r="B181" s="82"/>
      <c r="C181" s="82"/>
      <c r="D181" s="82"/>
      <c r="E181" s="82"/>
      <c r="F181" s="82"/>
      <c r="G181" s="82"/>
    </row>
    <row r="182" spans="1:86" s="162" customFormat="1" ht="14.25" thickBot="1">
      <c r="A182" s="177"/>
      <c r="B182" s="116" t="s">
        <v>39</v>
      </c>
      <c r="C182" s="3" t="s">
        <v>19</v>
      </c>
      <c r="D182" s="3" t="s">
        <v>40</v>
      </c>
      <c r="E182" s="3" t="s">
        <v>41</v>
      </c>
      <c r="F182" s="3" t="s">
        <v>42</v>
      </c>
      <c r="G182" s="117" t="s">
        <v>43</v>
      </c>
      <c r="H182" s="117" t="s">
        <v>44</v>
      </c>
      <c r="I182" s="117" t="s">
        <v>158</v>
      </c>
      <c r="J182" s="117" t="s">
        <v>167</v>
      </c>
      <c r="K182" s="118" t="s">
        <v>168</v>
      </c>
      <c r="V182" s="178"/>
      <c r="W182" s="178"/>
      <c r="X182" s="178"/>
      <c r="Y182" s="178"/>
      <c r="Z182" s="178"/>
      <c r="AA182" s="178"/>
      <c r="AB182" s="178"/>
      <c r="AC182" s="178"/>
      <c r="AD182" s="178"/>
      <c r="AE182" s="178"/>
      <c r="AF182" s="178"/>
      <c r="AG182" s="178"/>
      <c r="AH182" s="178"/>
      <c r="AI182" s="178"/>
      <c r="AJ182" s="178"/>
      <c r="AK182" s="178"/>
      <c r="AL182" s="178"/>
      <c r="AM182" s="178"/>
      <c r="AN182" s="178"/>
      <c r="AO182" s="178"/>
      <c r="AP182" s="178"/>
      <c r="AQ182" s="178"/>
      <c r="AR182" s="178"/>
      <c r="AS182" s="178"/>
      <c r="AT182" s="178"/>
      <c r="AU182" s="178"/>
      <c r="AV182" s="178"/>
      <c r="AW182" s="178"/>
      <c r="AX182" s="178"/>
      <c r="AY182" s="178"/>
      <c r="AZ182" s="178"/>
      <c r="BA182" s="178"/>
      <c r="BB182" s="178"/>
      <c r="BC182" s="178"/>
      <c r="BD182" s="178"/>
      <c r="BE182" s="178"/>
      <c r="BF182" s="178"/>
      <c r="BG182" s="178"/>
      <c r="BH182" s="178"/>
      <c r="BI182" s="178"/>
      <c r="BJ182" s="178"/>
      <c r="BK182" s="178"/>
      <c r="BL182" s="178"/>
      <c r="BM182" s="178"/>
      <c r="BN182" s="178"/>
      <c r="BO182" s="178"/>
      <c r="BP182" s="178"/>
      <c r="BQ182" s="178"/>
      <c r="BR182" s="178"/>
      <c r="BS182" s="178"/>
      <c r="BT182" s="178"/>
      <c r="BU182" s="178"/>
      <c r="BV182" s="178"/>
      <c r="BW182" s="178"/>
      <c r="BX182" s="178"/>
      <c r="BY182" s="178"/>
      <c r="BZ182" s="178"/>
      <c r="CA182" s="178"/>
      <c r="CB182" s="178"/>
      <c r="CC182" s="178"/>
      <c r="CD182" s="178"/>
      <c r="CE182" s="178"/>
      <c r="CF182" s="178"/>
      <c r="CG182" s="178"/>
      <c r="CH182" s="178"/>
    </row>
    <row r="183" spans="1:86" s="162" customFormat="1">
      <c r="A183" s="121" t="s">
        <v>24</v>
      </c>
      <c r="B183" s="321">
        <f>B174/B$177</f>
        <v>0.52701350675337666</v>
      </c>
      <c r="C183" s="322">
        <f t="shared" ref="C183:K183" si="63">C174/C$177</f>
        <v>0.5349810255911257</v>
      </c>
      <c r="D183" s="322">
        <f t="shared" si="63"/>
        <v>0.53001051323712123</v>
      </c>
      <c r="E183" s="322">
        <f t="shared" si="63"/>
        <v>0.52801141114554129</v>
      </c>
      <c r="F183" s="322">
        <f t="shared" si="63"/>
        <v>0.5259873183883369</v>
      </c>
      <c r="G183" s="322">
        <f t="shared" si="63"/>
        <v>0.52399493818748177</v>
      </c>
      <c r="H183" s="322">
        <f t="shared" si="63"/>
        <v>0.52199260593421171</v>
      </c>
      <c r="I183" s="322">
        <f t="shared" si="63"/>
        <v>0.52000928505106769</v>
      </c>
      <c r="J183" s="322">
        <f t="shared" si="63"/>
        <v>0.51799544419134391</v>
      </c>
      <c r="K183" s="323">
        <f t="shared" si="63"/>
        <v>0.51500697475588353</v>
      </c>
      <c r="V183" s="178"/>
      <c r="W183" s="178"/>
      <c r="X183" s="178"/>
      <c r="Y183" s="178"/>
      <c r="Z183" s="178"/>
      <c r="AA183" s="178"/>
      <c r="AB183" s="178"/>
      <c r="AC183" s="178"/>
      <c r="AD183" s="178"/>
      <c r="AE183" s="178"/>
      <c r="AF183" s="178"/>
      <c r="AG183" s="178"/>
      <c r="AH183" s="178"/>
      <c r="AI183" s="178"/>
      <c r="AJ183" s="178"/>
      <c r="AK183" s="178"/>
      <c r="AL183" s="178"/>
      <c r="AM183" s="178"/>
      <c r="AN183" s="178"/>
      <c r="AO183" s="178"/>
      <c r="AP183" s="178"/>
      <c r="AQ183" s="178"/>
      <c r="AR183" s="178"/>
      <c r="AS183" s="178"/>
      <c r="AT183" s="178"/>
      <c r="AU183" s="178"/>
      <c r="AV183" s="178"/>
      <c r="AW183" s="178"/>
      <c r="AX183" s="178"/>
      <c r="AY183" s="178"/>
      <c r="AZ183" s="178"/>
      <c r="BA183" s="178"/>
      <c r="BB183" s="178"/>
      <c r="BC183" s="178"/>
      <c r="BD183" s="178"/>
      <c r="BE183" s="178"/>
      <c r="BF183" s="178"/>
      <c r="BG183" s="178"/>
      <c r="BH183" s="178"/>
      <c r="BI183" s="178"/>
      <c r="BJ183" s="178"/>
      <c r="BK183" s="178"/>
      <c r="BL183" s="178"/>
      <c r="BM183" s="178"/>
      <c r="BN183" s="178"/>
      <c r="BO183" s="178"/>
      <c r="BP183" s="178"/>
      <c r="BQ183" s="178"/>
      <c r="BR183" s="178"/>
      <c r="BS183" s="178"/>
      <c r="BT183" s="178"/>
      <c r="BU183" s="178"/>
      <c r="BV183" s="178"/>
      <c r="BW183" s="178"/>
      <c r="BX183" s="178"/>
      <c r="BY183" s="178"/>
      <c r="BZ183" s="178"/>
      <c r="CA183" s="178"/>
      <c r="CB183" s="178"/>
      <c r="CC183" s="178"/>
      <c r="CD183" s="178"/>
      <c r="CE183" s="178"/>
      <c r="CF183" s="178"/>
      <c r="CG183" s="178"/>
      <c r="CH183" s="178"/>
    </row>
    <row r="184" spans="1:86" s="162" customFormat="1">
      <c r="A184" s="129" t="s">
        <v>135</v>
      </c>
      <c r="B184" s="315">
        <f t="shared" ref="B184:B185" si="64">B175/B$177</f>
        <v>0.29699849924962485</v>
      </c>
      <c r="C184" s="316">
        <f t="shared" ref="C184:K184" si="65">C175/C$177</f>
        <v>0.31001264960591612</v>
      </c>
      <c r="D184" s="316">
        <f t="shared" si="65"/>
        <v>0.32399885310140497</v>
      </c>
      <c r="E184" s="316">
        <f t="shared" si="65"/>
        <v>0.32998868722640301</v>
      </c>
      <c r="F184" s="316">
        <f t="shared" si="65"/>
        <v>0.33601278146687302</v>
      </c>
      <c r="G184" s="316">
        <f t="shared" si="65"/>
        <v>0.34099094714299621</v>
      </c>
      <c r="H184" s="316">
        <f t="shared" si="65"/>
        <v>0.34600436060290074</v>
      </c>
      <c r="I184" s="316">
        <f t="shared" si="65"/>
        <v>0.35</v>
      </c>
      <c r="J184" s="316">
        <f t="shared" si="65"/>
        <v>0.35398633257403189</v>
      </c>
      <c r="K184" s="317">
        <f t="shared" si="65"/>
        <v>0.35899743508977183</v>
      </c>
      <c r="V184" s="178"/>
      <c r="W184" s="178"/>
      <c r="X184" s="178"/>
      <c r="Y184" s="178"/>
      <c r="Z184" s="178"/>
      <c r="AA184" s="178"/>
      <c r="AB184" s="178"/>
      <c r="AC184" s="178"/>
      <c r="AD184" s="178"/>
      <c r="AE184" s="178"/>
      <c r="AF184" s="178"/>
      <c r="AG184" s="178"/>
      <c r="AH184" s="178"/>
      <c r="AI184" s="178"/>
      <c r="AJ184" s="178"/>
      <c r="AK184" s="178"/>
      <c r="AL184" s="178"/>
      <c r="AM184" s="178"/>
      <c r="AN184" s="178"/>
      <c r="AO184" s="178"/>
      <c r="AP184" s="178"/>
      <c r="AQ184" s="178"/>
      <c r="AR184" s="178"/>
      <c r="AS184" s="178"/>
      <c r="AT184" s="178"/>
      <c r="AU184" s="178"/>
      <c r="AV184" s="178"/>
      <c r="AW184" s="178"/>
      <c r="AX184" s="178"/>
      <c r="AY184" s="178"/>
      <c r="AZ184" s="178"/>
      <c r="BA184" s="178"/>
      <c r="BB184" s="178"/>
      <c r="BC184" s="178"/>
      <c r="BD184" s="178"/>
      <c r="BE184" s="178"/>
      <c r="BF184" s="178"/>
      <c r="BG184" s="178"/>
      <c r="BH184" s="178"/>
      <c r="BI184" s="178"/>
      <c r="BJ184" s="178"/>
      <c r="BK184" s="178"/>
      <c r="BL184" s="178"/>
      <c r="BM184" s="178"/>
      <c r="BN184" s="178"/>
      <c r="BO184" s="178"/>
      <c r="BP184" s="178"/>
      <c r="BQ184" s="178"/>
      <c r="BR184" s="178"/>
      <c r="BS184" s="178"/>
      <c r="BT184" s="178"/>
      <c r="BU184" s="178"/>
      <c r="BV184" s="178"/>
      <c r="BW184" s="178"/>
      <c r="BX184" s="178"/>
      <c r="BY184" s="178"/>
      <c r="BZ184" s="178"/>
      <c r="CA184" s="178"/>
      <c r="CB184" s="178"/>
      <c r="CC184" s="178"/>
      <c r="CD184" s="178"/>
      <c r="CE184" s="178"/>
      <c r="CF184" s="178"/>
      <c r="CG184" s="178"/>
      <c r="CH184" s="178"/>
    </row>
    <row r="185" spans="1:86" s="162" customFormat="1">
      <c r="A185" s="129" t="s">
        <v>25</v>
      </c>
      <c r="B185" s="315">
        <f t="shared" si="64"/>
        <v>0.17598799399699849</v>
      </c>
      <c r="C185" s="316">
        <f t="shared" ref="C185:K185" si="66">C176/C$177</f>
        <v>0.15500632480295806</v>
      </c>
      <c r="D185" s="316">
        <f t="shared" si="66"/>
        <v>0.14599063366147377</v>
      </c>
      <c r="E185" s="316">
        <f t="shared" si="66"/>
        <v>0.14199990162805567</v>
      </c>
      <c r="F185" s="316">
        <f t="shared" si="66"/>
        <v>0.13799990014479005</v>
      </c>
      <c r="G185" s="316">
        <f t="shared" si="66"/>
        <v>0.13501411466952204</v>
      </c>
      <c r="H185" s="316">
        <f t="shared" si="66"/>
        <v>0.13200303346288747</v>
      </c>
      <c r="I185" s="316">
        <f t="shared" si="66"/>
        <v>0.12999071494893222</v>
      </c>
      <c r="J185" s="316">
        <f t="shared" si="66"/>
        <v>0.12801822323462414</v>
      </c>
      <c r="K185" s="317">
        <f t="shared" si="66"/>
        <v>0.12599559015434458</v>
      </c>
      <c r="V185" s="178"/>
      <c r="W185" s="178"/>
      <c r="X185" s="178"/>
      <c r="Y185" s="178"/>
      <c r="Z185" s="178"/>
      <c r="AA185" s="178"/>
      <c r="AB185" s="178"/>
      <c r="AC185" s="178"/>
      <c r="AD185" s="178"/>
      <c r="AE185" s="178"/>
      <c r="AF185" s="178"/>
      <c r="AG185" s="178"/>
      <c r="AH185" s="178"/>
      <c r="AI185" s="178"/>
      <c r="AJ185" s="178"/>
      <c r="AK185" s="178"/>
      <c r="AL185" s="178"/>
      <c r="AM185" s="178"/>
      <c r="AN185" s="178"/>
      <c r="AO185" s="178"/>
      <c r="AP185" s="178"/>
      <c r="AQ185" s="178"/>
      <c r="AR185" s="178"/>
      <c r="AS185" s="178"/>
      <c r="AT185" s="178"/>
      <c r="AU185" s="178"/>
      <c r="AV185" s="178"/>
      <c r="AW185" s="178"/>
      <c r="AX185" s="178"/>
      <c r="AY185" s="178"/>
      <c r="AZ185" s="178"/>
      <c r="BA185" s="178"/>
      <c r="BB185" s="178"/>
      <c r="BC185" s="178"/>
      <c r="BD185" s="178"/>
      <c r="BE185" s="178"/>
      <c r="BF185" s="178"/>
      <c r="BG185" s="178"/>
      <c r="BH185" s="178"/>
      <c r="BI185" s="178"/>
      <c r="BJ185" s="178"/>
      <c r="BK185" s="178"/>
      <c r="BL185" s="178"/>
      <c r="BM185" s="178"/>
      <c r="BN185" s="178"/>
      <c r="BO185" s="178"/>
      <c r="BP185" s="178"/>
      <c r="BQ185" s="178"/>
      <c r="BR185" s="178"/>
      <c r="BS185" s="178"/>
      <c r="BT185" s="178"/>
      <c r="BU185" s="178"/>
      <c r="BV185" s="178"/>
      <c r="BW185" s="178"/>
      <c r="BX185" s="178"/>
      <c r="BY185" s="178"/>
      <c r="BZ185" s="178"/>
      <c r="CA185" s="178"/>
      <c r="CB185" s="178"/>
      <c r="CC185" s="178"/>
      <c r="CD185" s="178"/>
      <c r="CE185" s="178"/>
      <c r="CF185" s="178"/>
      <c r="CG185" s="178"/>
      <c r="CH185" s="178"/>
    </row>
    <row r="186" spans="1:86" s="162" customFormat="1" ht="14.25" thickBot="1">
      <c r="A186" s="155" t="s">
        <v>18</v>
      </c>
      <c r="B186" s="179">
        <f t="shared" ref="B186:K186" si="67">SUM(B183:B185)</f>
        <v>1</v>
      </c>
      <c r="C186" s="180">
        <f t="shared" si="67"/>
        <v>0.99999999999999989</v>
      </c>
      <c r="D186" s="180">
        <f t="shared" si="67"/>
        <v>1</v>
      </c>
      <c r="E186" s="180">
        <f t="shared" si="67"/>
        <v>0.99999999999999989</v>
      </c>
      <c r="F186" s="180">
        <f t="shared" si="67"/>
        <v>1</v>
      </c>
      <c r="G186" s="180">
        <f t="shared" si="67"/>
        <v>1</v>
      </c>
      <c r="H186" s="180">
        <f t="shared" si="67"/>
        <v>0.99999999999999989</v>
      </c>
      <c r="I186" s="180">
        <f t="shared" si="67"/>
        <v>0.99999999999999989</v>
      </c>
      <c r="J186" s="180">
        <f t="shared" si="67"/>
        <v>1</v>
      </c>
      <c r="K186" s="181">
        <f t="shared" si="67"/>
        <v>1</v>
      </c>
      <c r="V186" s="178"/>
      <c r="W186" s="178"/>
      <c r="X186" s="178"/>
      <c r="Y186" s="178"/>
      <c r="Z186" s="178"/>
      <c r="AA186" s="178"/>
      <c r="AB186" s="178"/>
      <c r="AC186" s="178"/>
      <c r="AD186" s="178"/>
      <c r="AE186" s="178"/>
      <c r="AF186" s="178"/>
      <c r="AG186" s="178"/>
      <c r="AH186" s="178"/>
      <c r="AI186" s="178"/>
      <c r="AJ186" s="178"/>
      <c r="AK186" s="178"/>
      <c r="AL186" s="178"/>
      <c r="AM186" s="178"/>
      <c r="AN186" s="178"/>
      <c r="AO186" s="178"/>
      <c r="AP186" s="178"/>
      <c r="AQ186" s="178"/>
      <c r="AR186" s="178"/>
      <c r="AS186" s="178"/>
      <c r="AT186" s="178"/>
      <c r="AU186" s="178"/>
      <c r="AV186" s="178"/>
      <c r="AW186" s="178"/>
      <c r="AX186" s="178"/>
      <c r="AY186" s="178"/>
      <c r="AZ186" s="178"/>
      <c r="BA186" s="178"/>
      <c r="BB186" s="178"/>
      <c r="BC186" s="178"/>
      <c r="BD186" s="178"/>
      <c r="BE186" s="178"/>
      <c r="BF186" s="178"/>
      <c r="BG186" s="178"/>
      <c r="BH186" s="178"/>
      <c r="BI186" s="178"/>
      <c r="BJ186" s="178"/>
      <c r="BK186" s="178"/>
      <c r="BL186" s="178"/>
      <c r="BM186" s="178"/>
      <c r="BN186" s="178"/>
      <c r="BO186" s="178"/>
      <c r="BP186" s="178"/>
      <c r="BQ186" s="178"/>
      <c r="BR186" s="178"/>
      <c r="BS186" s="178"/>
      <c r="BT186" s="178"/>
      <c r="BU186" s="178"/>
      <c r="BV186" s="178"/>
      <c r="BW186" s="178"/>
      <c r="BX186" s="178"/>
      <c r="BY186" s="178"/>
      <c r="BZ186" s="178"/>
      <c r="CA186" s="178"/>
      <c r="CB186" s="178"/>
      <c r="CC186" s="178"/>
      <c r="CD186" s="178"/>
      <c r="CE186" s="178"/>
      <c r="CF186" s="178"/>
      <c r="CG186" s="178"/>
      <c r="CH186" s="178"/>
    </row>
    <row r="187" spans="1:86">
      <c r="A187" s="6"/>
      <c r="B187" s="82"/>
      <c r="C187" s="82"/>
      <c r="D187" s="82"/>
      <c r="E187" s="82"/>
      <c r="F187" s="82"/>
      <c r="G187" s="82"/>
    </row>
    <row r="188" spans="1:86" s="22" customFormat="1" ht="14.25" thickBot="1">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row>
    <row r="190" spans="1:86">
      <c r="A190" s="41" t="s">
        <v>377</v>
      </c>
      <c r="B190" s="8" t="s">
        <v>381</v>
      </c>
    </row>
    <row r="191" spans="1:86" s="16" customFormat="1" ht="14.25" thickBot="1">
      <c r="G191" s="23"/>
      <c r="H191" s="23"/>
      <c r="I191" s="23"/>
      <c r="J191" s="23"/>
      <c r="K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row>
    <row r="192" spans="1:86" s="125" customFormat="1" ht="14.25" thickBot="1">
      <c r="B192" s="182" t="s">
        <v>145</v>
      </c>
      <c r="C192" s="183" t="s">
        <v>148</v>
      </c>
      <c r="D192" s="185"/>
      <c r="E192" s="185"/>
      <c r="F192" s="185"/>
      <c r="G192" s="199"/>
      <c r="H192" s="200"/>
      <c r="I192" s="200"/>
      <c r="J192" s="200"/>
      <c r="K192" s="200"/>
      <c r="L192" s="185"/>
      <c r="M192" s="200"/>
      <c r="N192" s="200"/>
      <c r="O192" s="200"/>
      <c r="P192" s="200"/>
      <c r="Q192" s="200"/>
      <c r="R192" s="200"/>
      <c r="S192" s="200"/>
      <c r="T192" s="200"/>
      <c r="U192" s="200"/>
      <c r="V192" s="108"/>
      <c r="W192" s="108"/>
      <c r="X192" s="108"/>
      <c r="Y192" s="108"/>
      <c r="Z192" s="108"/>
      <c r="AA192" s="108"/>
      <c r="AB192" s="108"/>
      <c r="AC192" s="108"/>
      <c r="AD192" s="108"/>
      <c r="AE192" s="108"/>
      <c r="AF192" s="108"/>
      <c r="AG192" s="108"/>
      <c r="AH192" s="108"/>
      <c r="AI192" s="108"/>
      <c r="AJ192" s="108"/>
      <c r="AK192" s="108"/>
      <c r="AL192" s="108"/>
      <c r="AM192" s="108"/>
      <c r="AN192" s="108"/>
      <c r="AO192" s="108"/>
      <c r="AP192" s="108"/>
      <c r="AQ192" s="108"/>
      <c r="AR192" s="108"/>
      <c r="AS192" s="108"/>
      <c r="AT192" s="108"/>
      <c r="AU192" s="108"/>
      <c r="AV192" s="108"/>
      <c r="AW192" s="108"/>
      <c r="AX192" s="108"/>
      <c r="AY192" s="108"/>
      <c r="AZ192" s="108"/>
      <c r="BA192" s="108"/>
      <c r="BB192" s="108"/>
      <c r="BC192" s="108"/>
      <c r="BD192" s="108"/>
      <c r="BE192" s="108"/>
      <c r="BF192" s="108"/>
      <c r="BG192" s="108"/>
      <c r="BH192" s="108"/>
      <c r="BI192" s="108"/>
      <c r="BJ192" s="108"/>
      <c r="BK192" s="108"/>
      <c r="BL192" s="108"/>
      <c r="BM192" s="108"/>
      <c r="BN192" s="108"/>
      <c r="BO192" s="108"/>
      <c r="BP192" s="108"/>
      <c r="BQ192" s="108"/>
      <c r="BR192" s="108"/>
      <c r="BS192" s="108"/>
      <c r="BT192" s="108"/>
      <c r="BU192" s="108"/>
      <c r="BV192" s="108"/>
      <c r="BW192" s="108"/>
      <c r="BX192" s="108"/>
      <c r="BY192" s="108"/>
      <c r="BZ192" s="108"/>
      <c r="CA192" s="108"/>
      <c r="CB192" s="108"/>
      <c r="CC192" s="108"/>
      <c r="CD192" s="108"/>
      <c r="CE192" s="108"/>
      <c r="CF192" s="108"/>
      <c r="CG192" s="108"/>
      <c r="CH192" s="108"/>
    </row>
    <row r="193" spans="1:86" s="125" customFormat="1">
      <c r="A193" s="121" t="s">
        <v>24</v>
      </c>
      <c r="B193" s="307">
        <v>69.8</v>
      </c>
      <c r="C193" s="323">
        <f>B193/B$196</f>
        <v>0.50579710144927537</v>
      </c>
      <c r="D193" s="202"/>
      <c r="E193" s="202"/>
      <c r="F193" s="202"/>
      <c r="G193" s="92"/>
      <c r="H193" s="161"/>
      <c r="I193" s="161"/>
      <c r="J193" s="161"/>
      <c r="K193" s="161"/>
      <c r="L193" s="185"/>
      <c r="M193" s="161"/>
      <c r="N193" s="161"/>
      <c r="O193" s="161"/>
      <c r="P193" s="161"/>
      <c r="Q193" s="161"/>
      <c r="R193" s="203"/>
      <c r="S193" s="203"/>
      <c r="T193" s="203"/>
      <c r="U193" s="203"/>
      <c r="V193" s="108"/>
      <c r="W193" s="108"/>
      <c r="X193" s="108"/>
      <c r="Y193" s="108"/>
      <c r="Z193" s="108"/>
      <c r="AA193" s="108"/>
      <c r="AB193" s="108"/>
      <c r="AC193" s="108"/>
      <c r="AD193" s="108"/>
      <c r="AE193" s="108"/>
      <c r="AF193" s="108"/>
      <c r="AG193" s="108"/>
      <c r="AH193" s="108"/>
      <c r="AI193" s="108"/>
      <c r="AJ193" s="108"/>
      <c r="AK193" s="108"/>
      <c r="AL193" s="108"/>
      <c r="AM193" s="108"/>
      <c r="AN193" s="108"/>
      <c r="AO193" s="108"/>
      <c r="AP193" s="108"/>
      <c r="AQ193" s="108"/>
      <c r="AR193" s="108"/>
      <c r="AS193" s="108"/>
      <c r="AT193" s="108"/>
      <c r="AU193" s="108"/>
      <c r="AV193" s="108"/>
      <c r="AW193" s="108"/>
      <c r="AX193" s="108"/>
      <c r="AY193" s="108"/>
      <c r="AZ193" s="108"/>
      <c r="BA193" s="108"/>
      <c r="BB193" s="108"/>
      <c r="BC193" s="108"/>
      <c r="BD193" s="108"/>
      <c r="BE193" s="108"/>
      <c r="BF193" s="108"/>
      <c r="BG193" s="108"/>
      <c r="BH193" s="108"/>
      <c r="BI193" s="108"/>
      <c r="BJ193" s="108"/>
      <c r="BK193" s="108"/>
      <c r="BL193" s="108"/>
      <c r="BM193" s="108"/>
      <c r="BN193" s="108"/>
      <c r="BO193" s="108"/>
      <c r="BP193" s="108"/>
      <c r="BQ193" s="108"/>
      <c r="BR193" s="108"/>
      <c r="BS193" s="108"/>
      <c r="BT193" s="108"/>
      <c r="BU193" s="108"/>
      <c r="BV193" s="108"/>
      <c r="BW193" s="108"/>
      <c r="BX193" s="108"/>
      <c r="BY193" s="108"/>
      <c r="BZ193" s="108"/>
      <c r="CA193" s="108"/>
      <c r="CB193" s="108"/>
      <c r="CC193" s="108"/>
      <c r="CD193" s="108"/>
      <c r="CE193" s="108"/>
      <c r="CF193" s="108"/>
      <c r="CG193" s="108"/>
      <c r="CH193" s="108"/>
    </row>
    <row r="194" spans="1:86" s="125" customFormat="1">
      <c r="A194" s="189" t="s">
        <v>135</v>
      </c>
      <c r="B194" s="308">
        <v>53.3</v>
      </c>
      <c r="C194" s="317">
        <f t="shared" ref="C194:C195" si="68">B194/B$196</f>
        <v>0.38623188405797099</v>
      </c>
      <c r="D194" s="202"/>
      <c r="E194" s="202"/>
      <c r="F194" s="202"/>
      <c r="G194" s="92"/>
      <c r="H194" s="161"/>
      <c r="I194" s="161"/>
      <c r="J194" s="161"/>
      <c r="K194" s="161"/>
      <c r="L194" s="185"/>
      <c r="M194" s="161"/>
      <c r="N194" s="161"/>
      <c r="O194" s="161"/>
      <c r="P194" s="161"/>
      <c r="Q194" s="161"/>
      <c r="R194" s="203"/>
      <c r="S194" s="203"/>
      <c r="T194" s="203"/>
      <c r="U194" s="203"/>
      <c r="V194" s="108"/>
      <c r="W194" s="108"/>
      <c r="X194" s="108"/>
      <c r="Y194" s="108"/>
      <c r="Z194" s="108"/>
      <c r="AA194" s="108"/>
      <c r="AB194" s="108"/>
      <c r="AC194" s="108"/>
      <c r="AD194" s="108"/>
      <c r="AE194" s="108"/>
      <c r="AF194" s="108"/>
      <c r="AG194" s="108"/>
      <c r="AH194" s="108"/>
      <c r="AI194" s="108"/>
      <c r="AJ194" s="108"/>
      <c r="AK194" s="108"/>
      <c r="AL194" s="108"/>
      <c r="AM194" s="108"/>
      <c r="AN194" s="108"/>
      <c r="AO194" s="108"/>
      <c r="AP194" s="108"/>
      <c r="AQ194" s="108"/>
      <c r="AR194" s="108"/>
      <c r="AS194" s="108"/>
      <c r="AT194" s="108"/>
      <c r="AU194" s="108"/>
      <c r="AV194" s="108"/>
      <c r="AW194" s="108"/>
      <c r="AX194" s="108"/>
      <c r="AY194" s="108"/>
      <c r="AZ194" s="108"/>
      <c r="BA194" s="108"/>
      <c r="BB194" s="108"/>
      <c r="BC194" s="108"/>
      <c r="BD194" s="108"/>
      <c r="BE194" s="108"/>
      <c r="BF194" s="108"/>
      <c r="BG194" s="108"/>
      <c r="BH194" s="108"/>
      <c r="BI194" s="108"/>
      <c r="BJ194" s="108"/>
      <c r="BK194" s="108"/>
      <c r="BL194" s="108"/>
      <c r="BM194" s="108"/>
      <c r="BN194" s="108"/>
      <c r="BO194" s="108"/>
      <c r="BP194" s="108"/>
      <c r="BQ194" s="108"/>
      <c r="BR194" s="108"/>
      <c r="BS194" s="108"/>
      <c r="BT194" s="108"/>
      <c r="BU194" s="108"/>
      <c r="BV194" s="108"/>
      <c r="BW194" s="108"/>
      <c r="BX194" s="108"/>
      <c r="BY194" s="108"/>
      <c r="BZ194" s="108"/>
      <c r="CA194" s="108"/>
      <c r="CB194" s="108"/>
      <c r="CC194" s="108"/>
      <c r="CD194" s="108"/>
      <c r="CE194" s="108"/>
      <c r="CF194" s="108"/>
      <c r="CG194" s="108"/>
      <c r="CH194" s="108"/>
    </row>
    <row r="195" spans="1:86" s="125" customFormat="1">
      <c r="A195" s="129" t="s">
        <v>25</v>
      </c>
      <c r="B195" s="308">
        <v>14.9</v>
      </c>
      <c r="C195" s="317">
        <f t="shared" si="68"/>
        <v>0.10797101449275362</v>
      </c>
      <c r="D195" s="202"/>
      <c r="E195" s="202"/>
      <c r="F195" s="202"/>
      <c r="G195" s="92"/>
      <c r="H195" s="161"/>
      <c r="I195" s="161"/>
      <c r="J195" s="161"/>
      <c r="K195" s="161"/>
      <c r="L195" s="185"/>
      <c r="M195" s="161"/>
      <c r="N195" s="161"/>
      <c r="O195" s="161"/>
      <c r="P195" s="161"/>
      <c r="Q195" s="161"/>
      <c r="R195" s="203"/>
      <c r="S195" s="203"/>
      <c r="T195" s="203"/>
      <c r="U195" s="203"/>
      <c r="V195" s="108"/>
      <c r="W195" s="108"/>
      <c r="X195" s="108"/>
      <c r="Y195" s="108"/>
      <c r="Z195" s="108"/>
      <c r="AA195" s="108"/>
      <c r="AB195" s="108"/>
      <c r="AC195" s="108"/>
      <c r="AD195" s="108"/>
      <c r="AE195" s="108"/>
      <c r="AF195" s="108"/>
      <c r="AG195" s="108"/>
      <c r="AH195" s="108"/>
      <c r="AI195" s="108"/>
      <c r="AJ195" s="108"/>
      <c r="AK195" s="108"/>
      <c r="AL195" s="108"/>
      <c r="AM195" s="108"/>
      <c r="AN195" s="108"/>
      <c r="AO195" s="108"/>
      <c r="AP195" s="108"/>
      <c r="AQ195" s="108"/>
      <c r="AR195" s="108"/>
      <c r="AS195" s="108"/>
      <c r="AT195" s="108"/>
      <c r="AU195" s="108"/>
      <c r="AV195" s="108"/>
      <c r="AW195" s="108"/>
      <c r="AX195" s="108"/>
      <c r="AY195" s="108"/>
      <c r="AZ195" s="108"/>
      <c r="BA195" s="108"/>
      <c r="BB195" s="108"/>
      <c r="BC195" s="108"/>
      <c r="BD195" s="108"/>
      <c r="BE195" s="108"/>
      <c r="BF195" s="108"/>
      <c r="BG195" s="108"/>
      <c r="BH195" s="108"/>
      <c r="BI195" s="108"/>
      <c r="BJ195" s="108"/>
      <c r="BK195" s="108"/>
      <c r="BL195" s="108"/>
      <c r="BM195" s="108"/>
      <c r="BN195" s="108"/>
      <c r="BO195" s="108"/>
      <c r="BP195" s="108"/>
      <c r="BQ195" s="108"/>
      <c r="BR195" s="108"/>
      <c r="BS195" s="108"/>
      <c r="BT195" s="108"/>
      <c r="BU195" s="108"/>
      <c r="BV195" s="108"/>
      <c r="BW195" s="108"/>
      <c r="BX195" s="108"/>
      <c r="BY195" s="108"/>
      <c r="BZ195" s="108"/>
      <c r="CA195" s="108"/>
      <c r="CB195" s="108"/>
      <c r="CC195" s="108"/>
      <c r="CD195" s="108"/>
      <c r="CE195" s="108"/>
      <c r="CF195" s="108"/>
      <c r="CG195" s="108"/>
      <c r="CH195" s="108"/>
    </row>
    <row r="196" spans="1:86" s="145" customFormat="1" thickBot="1">
      <c r="A196" s="155" t="s">
        <v>18</v>
      </c>
      <c r="B196" s="309">
        <f>SUM(B193:B195)</f>
        <v>138</v>
      </c>
      <c r="C196" s="327">
        <f>SUM(C193:C195)</f>
        <v>0.99999999999999989</v>
      </c>
      <c r="D196" s="205"/>
      <c r="E196" s="205"/>
      <c r="F196" s="205"/>
      <c r="G196" s="101"/>
      <c r="H196" s="206"/>
      <c r="I196" s="206"/>
      <c r="J196" s="206"/>
      <c r="K196" s="206"/>
      <c r="L196" s="205"/>
      <c r="M196" s="206"/>
      <c r="N196" s="206"/>
      <c r="O196" s="206"/>
      <c r="P196" s="206"/>
      <c r="Q196" s="206"/>
      <c r="R196" s="207"/>
      <c r="S196" s="207"/>
      <c r="T196" s="207"/>
      <c r="U196" s="207"/>
      <c r="V196" s="110"/>
      <c r="W196" s="110"/>
      <c r="X196" s="110"/>
      <c r="Y196" s="110"/>
      <c r="Z196" s="110"/>
      <c r="AA196" s="110"/>
      <c r="AB196" s="110"/>
      <c r="AC196" s="110"/>
      <c r="AD196" s="110"/>
      <c r="AE196" s="110"/>
      <c r="AF196" s="110"/>
      <c r="AG196" s="110"/>
      <c r="AH196" s="110"/>
      <c r="AI196" s="110"/>
      <c r="AJ196" s="110"/>
      <c r="AK196" s="110"/>
      <c r="AL196" s="110"/>
      <c r="AM196" s="110"/>
      <c r="AN196" s="110"/>
      <c r="AO196" s="110"/>
      <c r="AP196" s="110"/>
      <c r="AQ196" s="110"/>
      <c r="AR196" s="110"/>
      <c r="AS196" s="110"/>
      <c r="AT196" s="110"/>
      <c r="AU196" s="110"/>
      <c r="AV196" s="110"/>
      <c r="AW196" s="110"/>
      <c r="AX196" s="110"/>
      <c r="AY196" s="110"/>
      <c r="AZ196" s="110"/>
      <c r="BA196" s="110"/>
      <c r="BB196" s="110"/>
      <c r="BC196" s="110"/>
      <c r="BD196" s="110"/>
      <c r="BE196" s="110"/>
      <c r="BF196" s="110"/>
      <c r="BG196" s="110"/>
      <c r="BH196" s="110"/>
      <c r="BI196" s="110"/>
      <c r="BJ196" s="110"/>
      <c r="BK196" s="110"/>
      <c r="BL196" s="110"/>
      <c r="BM196" s="110"/>
      <c r="BN196" s="110"/>
      <c r="BO196" s="110"/>
      <c r="BP196" s="110"/>
      <c r="BQ196" s="110"/>
      <c r="BR196" s="110"/>
      <c r="BS196" s="110"/>
      <c r="BT196" s="110"/>
      <c r="BU196" s="110"/>
      <c r="BV196" s="110"/>
      <c r="BW196" s="110"/>
      <c r="BX196" s="110"/>
      <c r="BY196" s="110"/>
      <c r="BZ196" s="110"/>
      <c r="CA196" s="110"/>
      <c r="CB196" s="110"/>
      <c r="CC196" s="110"/>
      <c r="CD196" s="110"/>
      <c r="CE196" s="110"/>
      <c r="CF196" s="110"/>
      <c r="CG196" s="110"/>
      <c r="CH196" s="110"/>
    </row>
    <row r="197" spans="1:86">
      <c r="A197" s="6" t="s">
        <v>315</v>
      </c>
      <c r="B197" s="401"/>
      <c r="C197" s="11"/>
      <c r="D197" s="11"/>
      <c r="E197" s="11"/>
      <c r="F197" s="11"/>
      <c r="G197" s="72"/>
      <c r="Q197" s="59"/>
      <c r="R197" s="59"/>
      <c r="S197" s="59"/>
      <c r="T197" s="59"/>
      <c r="U197" s="59"/>
    </row>
    <row r="198" spans="1:86">
      <c r="A198" s="6" t="s">
        <v>29</v>
      </c>
      <c r="B198" s="82"/>
      <c r="C198" s="11"/>
      <c r="D198" s="11"/>
      <c r="E198" s="11"/>
      <c r="F198" s="11"/>
      <c r="G198" s="72"/>
      <c r="H198" s="59"/>
      <c r="I198" s="59"/>
      <c r="J198" s="59"/>
      <c r="K198" s="59"/>
    </row>
    <row r="199" spans="1:86">
      <c r="G199" s="59"/>
      <c r="H199" s="59"/>
      <c r="I199" s="59"/>
      <c r="J199" s="59"/>
      <c r="K199" s="59"/>
    </row>
    <row r="200" spans="1:86" s="22" customFormat="1" ht="14.25" thickBot="1">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row>
    <row r="202" spans="1:86">
      <c r="A202" s="41" t="s">
        <v>382</v>
      </c>
      <c r="B202" s="8" t="s">
        <v>318</v>
      </c>
    </row>
    <row r="203" spans="1:86" ht="14.25" thickBot="1">
      <c r="A203" s="6"/>
      <c r="B203" s="11"/>
      <c r="C203" s="11"/>
      <c r="D203" s="72"/>
      <c r="E203" s="72"/>
      <c r="F203" s="72"/>
      <c r="G203" s="72"/>
      <c r="H203" s="59"/>
      <c r="I203" s="59"/>
      <c r="J203" s="59"/>
      <c r="K203" s="59"/>
      <c r="L203" s="59"/>
      <c r="M203" s="59"/>
      <c r="N203" s="59"/>
      <c r="O203" s="59"/>
      <c r="P203" s="59"/>
      <c r="Q203" s="59"/>
      <c r="R203" s="59"/>
      <c r="S203" s="59"/>
      <c r="T203" s="59"/>
      <c r="U203" s="59"/>
    </row>
    <row r="204" spans="1:86" s="125" customFormat="1" ht="14.25" thickBot="1">
      <c r="B204" s="182" t="s">
        <v>301</v>
      </c>
      <c r="C204" s="183" t="s">
        <v>148</v>
      </c>
      <c r="D204" s="185"/>
      <c r="E204" s="185"/>
      <c r="F204" s="185"/>
      <c r="G204" s="199"/>
      <c r="H204" s="200"/>
      <c r="I204" s="200"/>
      <c r="J204" s="200"/>
      <c r="K204" s="200"/>
      <c r="L204" s="185"/>
      <c r="M204" s="200"/>
      <c r="N204" s="200"/>
      <c r="O204" s="200"/>
      <c r="P204" s="200"/>
      <c r="Q204" s="200"/>
      <c r="R204" s="200"/>
      <c r="S204" s="200"/>
      <c r="T204" s="200"/>
      <c r="U204" s="200"/>
      <c r="V204" s="108"/>
      <c r="W204" s="108"/>
      <c r="X204" s="108"/>
      <c r="Y204" s="108"/>
      <c r="Z204" s="108"/>
      <c r="AA204" s="108"/>
      <c r="AB204" s="108"/>
      <c r="AC204" s="108"/>
      <c r="AD204" s="108"/>
      <c r="AE204" s="108"/>
      <c r="AF204" s="108"/>
      <c r="AG204" s="108"/>
      <c r="AH204" s="108"/>
      <c r="AI204" s="108"/>
      <c r="AJ204" s="108"/>
      <c r="AK204" s="108"/>
      <c r="AL204" s="108"/>
      <c r="AM204" s="108"/>
      <c r="AN204" s="108"/>
      <c r="AO204" s="108"/>
      <c r="AP204" s="108"/>
      <c r="AQ204" s="108"/>
      <c r="AR204" s="108"/>
      <c r="AS204" s="108"/>
      <c r="AT204" s="108"/>
      <c r="AU204" s="108"/>
      <c r="AV204" s="108"/>
      <c r="AW204" s="108"/>
      <c r="AX204" s="108"/>
      <c r="AY204" s="108"/>
      <c r="AZ204" s="108"/>
      <c r="BA204" s="108"/>
      <c r="BB204" s="108"/>
      <c r="BC204" s="108"/>
      <c r="BD204" s="108"/>
      <c r="BE204" s="108"/>
      <c r="BF204" s="108"/>
      <c r="BG204" s="108"/>
      <c r="BH204" s="108"/>
      <c r="BI204" s="108"/>
      <c r="BJ204" s="108"/>
      <c r="BK204" s="108"/>
      <c r="BL204" s="108"/>
      <c r="BM204" s="108"/>
      <c r="BN204" s="108"/>
      <c r="BO204" s="108"/>
      <c r="BP204" s="108"/>
      <c r="BQ204" s="108"/>
      <c r="BR204" s="108"/>
      <c r="BS204" s="108"/>
      <c r="BT204" s="108"/>
      <c r="BU204" s="108"/>
      <c r="BV204" s="108"/>
      <c r="BW204" s="108"/>
      <c r="BX204" s="108"/>
      <c r="BY204" s="108"/>
      <c r="BZ204" s="108"/>
      <c r="CA204" s="108"/>
      <c r="CB204" s="108"/>
      <c r="CC204" s="108"/>
      <c r="CD204" s="108"/>
      <c r="CE204" s="108"/>
      <c r="CF204" s="108"/>
      <c r="CG204" s="108"/>
      <c r="CH204" s="108"/>
    </row>
    <row r="205" spans="1:86" s="125" customFormat="1">
      <c r="A205" s="121" t="s">
        <v>149</v>
      </c>
      <c r="B205" s="102">
        <v>745</v>
      </c>
      <c r="C205" s="204">
        <f>B205/B$209</f>
        <v>0.37196065704728143</v>
      </c>
      <c r="D205" s="185"/>
      <c r="E205" s="185"/>
      <c r="F205" s="185"/>
      <c r="G205" s="92"/>
      <c r="H205" s="203"/>
      <c r="I205" s="203"/>
      <c r="J205" s="203"/>
      <c r="K205" s="203"/>
      <c r="L205" s="185"/>
      <c r="M205" s="161"/>
      <c r="N205" s="161"/>
      <c r="O205" s="161"/>
      <c r="P205" s="161"/>
      <c r="Q205" s="161"/>
      <c r="R205" s="203"/>
      <c r="S205" s="203"/>
      <c r="T205" s="203"/>
      <c r="U205" s="203"/>
      <c r="V205" s="108"/>
      <c r="W205" s="108"/>
      <c r="X205" s="108"/>
      <c r="Y205" s="108"/>
      <c r="Z205" s="108"/>
      <c r="AA205" s="108"/>
      <c r="AB205" s="108"/>
      <c r="AC205" s="108"/>
      <c r="AD205" s="108"/>
      <c r="AE205" s="108"/>
      <c r="AF205" s="108"/>
      <c r="AG205" s="108"/>
      <c r="AH205" s="108"/>
      <c r="AI205" s="108"/>
      <c r="AJ205" s="108"/>
      <c r="AK205" s="108"/>
      <c r="AL205" s="108"/>
      <c r="AM205" s="108"/>
      <c r="AN205" s="108"/>
      <c r="AO205" s="108"/>
      <c r="AP205" s="108"/>
      <c r="AQ205" s="108"/>
      <c r="AR205" s="108"/>
      <c r="AS205" s="108"/>
      <c r="AT205" s="108"/>
      <c r="AU205" s="108"/>
      <c r="AV205" s="108"/>
      <c r="AW205" s="108"/>
      <c r="AX205" s="108"/>
      <c r="AY205" s="108"/>
      <c r="AZ205" s="108"/>
      <c r="BA205" s="108"/>
      <c r="BB205" s="108"/>
      <c r="BC205" s="108"/>
      <c r="BD205" s="108"/>
      <c r="BE205" s="108"/>
      <c r="BF205" s="108"/>
      <c r="BG205" s="108"/>
      <c r="BH205" s="108"/>
      <c r="BI205" s="108"/>
      <c r="BJ205" s="108"/>
      <c r="BK205" s="108"/>
      <c r="BL205" s="108"/>
      <c r="BM205" s="108"/>
      <c r="BN205" s="108"/>
      <c r="BO205" s="108"/>
      <c r="BP205" s="108"/>
      <c r="BQ205" s="108"/>
      <c r="BR205" s="108"/>
      <c r="BS205" s="108"/>
      <c r="BT205" s="108"/>
      <c r="BU205" s="108"/>
      <c r="BV205" s="108"/>
      <c r="BW205" s="108"/>
      <c r="BX205" s="108"/>
      <c r="BY205" s="108"/>
      <c r="BZ205" s="108"/>
      <c r="CA205" s="108"/>
      <c r="CB205" s="108"/>
      <c r="CC205" s="108"/>
      <c r="CD205" s="108"/>
      <c r="CE205" s="108"/>
      <c r="CF205" s="108"/>
      <c r="CG205" s="108"/>
      <c r="CH205" s="108"/>
    </row>
    <row r="206" spans="1:86" s="125" customFormat="1">
      <c r="A206" s="129" t="s">
        <v>132</v>
      </c>
      <c r="B206" s="102">
        <v>647</v>
      </c>
      <c r="C206" s="204">
        <f t="shared" ref="C206:C208" si="69">B206/B$209</f>
        <v>0.32303160417394777</v>
      </c>
      <c r="D206" s="185"/>
      <c r="E206" s="185"/>
      <c r="F206" s="185"/>
      <c r="G206" s="92"/>
      <c r="H206" s="203"/>
      <c r="I206" s="203"/>
      <c r="J206" s="203"/>
      <c r="K206" s="203"/>
      <c r="L206" s="185"/>
      <c r="M206" s="161"/>
      <c r="N206" s="161"/>
      <c r="O206" s="161"/>
      <c r="P206" s="161"/>
      <c r="Q206" s="161"/>
      <c r="R206" s="203"/>
      <c r="S206" s="203"/>
      <c r="T206" s="203"/>
      <c r="U206" s="203"/>
      <c r="V206" s="108"/>
      <c r="W206" s="108"/>
      <c r="X206" s="108"/>
      <c r="Y206" s="108"/>
      <c r="Z206" s="108"/>
      <c r="AA206" s="108"/>
      <c r="AB206" s="108"/>
      <c r="AC206" s="108"/>
      <c r="AD206" s="108"/>
      <c r="AE206" s="108"/>
      <c r="AF206" s="108"/>
      <c r="AG206" s="108"/>
      <c r="AH206" s="108"/>
      <c r="AI206" s="108"/>
      <c r="AJ206" s="108"/>
      <c r="AK206" s="108"/>
      <c r="AL206" s="108"/>
      <c r="AM206" s="108"/>
      <c r="AN206" s="108"/>
      <c r="AO206" s="108"/>
      <c r="AP206" s="108"/>
      <c r="AQ206" s="108"/>
      <c r="AR206" s="108"/>
      <c r="AS206" s="108"/>
      <c r="AT206" s="108"/>
      <c r="AU206" s="108"/>
      <c r="AV206" s="108"/>
      <c r="AW206" s="108"/>
      <c r="AX206" s="108"/>
      <c r="AY206" s="108"/>
      <c r="AZ206" s="108"/>
      <c r="BA206" s="108"/>
      <c r="BB206" s="108"/>
      <c r="BC206" s="108"/>
      <c r="BD206" s="108"/>
      <c r="BE206" s="108"/>
      <c r="BF206" s="108"/>
      <c r="BG206" s="108"/>
      <c r="BH206" s="108"/>
      <c r="BI206" s="108"/>
      <c r="BJ206" s="108"/>
      <c r="BK206" s="108"/>
      <c r="BL206" s="108"/>
      <c r="BM206" s="108"/>
      <c r="BN206" s="108"/>
      <c r="BO206" s="108"/>
      <c r="BP206" s="108"/>
      <c r="BQ206" s="108"/>
      <c r="BR206" s="108"/>
      <c r="BS206" s="108"/>
      <c r="BT206" s="108"/>
      <c r="BU206" s="108"/>
      <c r="BV206" s="108"/>
      <c r="BW206" s="108"/>
      <c r="BX206" s="108"/>
      <c r="BY206" s="108"/>
      <c r="BZ206" s="108"/>
      <c r="CA206" s="108"/>
      <c r="CB206" s="108"/>
      <c r="CC206" s="108"/>
      <c r="CD206" s="108"/>
      <c r="CE206" s="108"/>
      <c r="CF206" s="108"/>
      <c r="CG206" s="108"/>
      <c r="CH206" s="108"/>
    </row>
    <row r="207" spans="1:86" s="125" customFormat="1">
      <c r="A207" s="129" t="s">
        <v>133</v>
      </c>
      <c r="B207" s="102">
        <v>446.7</v>
      </c>
      <c r="C207" s="204">
        <f t="shared" si="69"/>
        <v>0.22302661141345048</v>
      </c>
      <c r="D207" s="185"/>
      <c r="E207" s="185"/>
      <c r="F207" s="185"/>
      <c r="G207" s="92"/>
      <c r="H207" s="203"/>
      <c r="I207" s="203"/>
      <c r="J207" s="203"/>
      <c r="K207" s="203"/>
      <c r="L207" s="185"/>
      <c r="M207" s="161"/>
      <c r="N207" s="161"/>
      <c r="O207" s="161"/>
      <c r="P207" s="161"/>
      <c r="Q207" s="161"/>
      <c r="R207" s="203"/>
      <c r="S207" s="203"/>
      <c r="T207" s="203"/>
      <c r="U207" s="203"/>
      <c r="V207" s="108"/>
      <c r="W207" s="108"/>
      <c r="X207" s="108"/>
      <c r="Y207" s="108"/>
      <c r="Z207" s="108"/>
      <c r="AA207" s="108"/>
      <c r="AB207" s="108"/>
      <c r="AC207" s="108"/>
      <c r="AD207" s="108"/>
      <c r="AE207" s="108"/>
      <c r="AF207" s="108"/>
      <c r="AG207" s="108"/>
      <c r="AH207" s="108"/>
      <c r="AI207" s="108"/>
      <c r="AJ207" s="108"/>
      <c r="AK207" s="108"/>
      <c r="AL207" s="108"/>
      <c r="AM207" s="108"/>
      <c r="AN207" s="108"/>
      <c r="AO207" s="108"/>
      <c r="AP207" s="108"/>
      <c r="AQ207" s="108"/>
      <c r="AR207" s="108"/>
      <c r="AS207" s="108"/>
      <c r="AT207" s="108"/>
      <c r="AU207" s="108"/>
      <c r="AV207" s="108"/>
      <c r="AW207" s="108"/>
      <c r="AX207" s="108"/>
      <c r="AY207" s="108"/>
      <c r="AZ207" s="108"/>
      <c r="BA207" s="108"/>
      <c r="BB207" s="108"/>
      <c r="BC207" s="108"/>
      <c r="BD207" s="108"/>
      <c r="BE207" s="108"/>
      <c r="BF207" s="108"/>
      <c r="BG207" s="108"/>
      <c r="BH207" s="108"/>
      <c r="BI207" s="108"/>
      <c r="BJ207" s="108"/>
      <c r="BK207" s="108"/>
      <c r="BL207" s="108"/>
      <c r="BM207" s="108"/>
      <c r="BN207" s="108"/>
      <c r="BO207" s="108"/>
      <c r="BP207" s="108"/>
      <c r="BQ207" s="108"/>
      <c r="BR207" s="108"/>
      <c r="BS207" s="108"/>
      <c r="BT207" s="108"/>
      <c r="BU207" s="108"/>
      <c r="BV207" s="108"/>
      <c r="BW207" s="108"/>
      <c r="BX207" s="108"/>
      <c r="BY207" s="108"/>
      <c r="BZ207" s="108"/>
      <c r="CA207" s="108"/>
      <c r="CB207" s="108"/>
      <c r="CC207" s="108"/>
      <c r="CD207" s="108"/>
      <c r="CE207" s="108"/>
      <c r="CF207" s="108"/>
      <c r="CG207" s="108"/>
      <c r="CH207" s="108"/>
    </row>
    <row r="208" spans="1:86" s="125" customFormat="1">
      <c r="A208" s="129" t="s">
        <v>134</v>
      </c>
      <c r="B208" s="102">
        <v>164.2</v>
      </c>
      <c r="C208" s="204">
        <f t="shared" si="69"/>
        <v>8.1981127365320275E-2</v>
      </c>
      <c r="D208" s="185"/>
      <c r="E208" s="185"/>
      <c r="F208" s="185"/>
      <c r="G208" s="92"/>
      <c r="H208" s="203"/>
      <c r="I208" s="203"/>
      <c r="J208" s="203"/>
      <c r="K208" s="203"/>
      <c r="L208" s="185"/>
      <c r="M208" s="161"/>
      <c r="N208" s="161"/>
      <c r="O208" s="161"/>
      <c r="P208" s="161"/>
      <c r="Q208" s="161"/>
      <c r="R208" s="203"/>
      <c r="S208" s="203"/>
      <c r="T208" s="203"/>
      <c r="U208" s="203"/>
      <c r="V208" s="108"/>
      <c r="W208" s="108"/>
      <c r="X208" s="108"/>
      <c r="Y208" s="108"/>
      <c r="Z208" s="108"/>
      <c r="AA208" s="108"/>
      <c r="AB208" s="108"/>
      <c r="AC208" s="108"/>
      <c r="AD208" s="108"/>
      <c r="AE208" s="108"/>
      <c r="AF208" s="108"/>
      <c r="AG208" s="108"/>
      <c r="AH208" s="108"/>
      <c r="AI208" s="108"/>
      <c r="AJ208" s="108"/>
      <c r="AK208" s="108"/>
      <c r="AL208" s="108"/>
      <c r="AM208" s="108"/>
      <c r="AN208" s="108"/>
      <c r="AO208" s="108"/>
      <c r="AP208" s="108"/>
      <c r="AQ208" s="108"/>
      <c r="AR208" s="108"/>
      <c r="AS208" s="108"/>
      <c r="AT208" s="108"/>
      <c r="AU208" s="108"/>
      <c r="AV208" s="108"/>
      <c r="AW208" s="108"/>
      <c r="AX208" s="108"/>
      <c r="AY208" s="108"/>
      <c r="AZ208" s="108"/>
      <c r="BA208" s="108"/>
      <c r="BB208" s="108"/>
      <c r="BC208" s="108"/>
      <c r="BD208" s="108"/>
      <c r="BE208" s="108"/>
      <c r="BF208" s="108"/>
      <c r="BG208" s="108"/>
      <c r="BH208" s="108"/>
      <c r="BI208" s="108"/>
      <c r="BJ208" s="108"/>
      <c r="BK208" s="108"/>
      <c r="BL208" s="108"/>
      <c r="BM208" s="108"/>
      <c r="BN208" s="108"/>
      <c r="BO208" s="108"/>
      <c r="BP208" s="108"/>
      <c r="BQ208" s="108"/>
      <c r="BR208" s="108"/>
      <c r="BS208" s="108"/>
      <c r="BT208" s="108"/>
      <c r="BU208" s="108"/>
      <c r="BV208" s="108"/>
      <c r="BW208" s="108"/>
      <c r="BX208" s="108"/>
      <c r="BY208" s="108"/>
      <c r="BZ208" s="108"/>
      <c r="CA208" s="108"/>
      <c r="CB208" s="108"/>
      <c r="CC208" s="108"/>
      <c r="CD208" s="108"/>
      <c r="CE208" s="108"/>
      <c r="CF208" s="108"/>
      <c r="CG208" s="108"/>
      <c r="CH208" s="108"/>
    </row>
    <row r="209" spans="1:86" s="145" customFormat="1" thickBot="1">
      <c r="A209" s="155" t="s">
        <v>18</v>
      </c>
      <c r="B209" s="94">
        <f>SUM(B205:B208)</f>
        <v>2002.9</v>
      </c>
      <c r="C209" s="181">
        <f>SUM(C205:C208)</f>
        <v>0.99999999999999989</v>
      </c>
      <c r="D209" s="205"/>
      <c r="E209" s="205"/>
      <c r="F209" s="205"/>
      <c r="G209" s="101"/>
      <c r="H209" s="207"/>
      <c r="I209" s="207"/>
      <c r="J209" s="207"/>
      <c r="K209" s="207"/>
      <c r="L209" s="205"/>
      <c r="M209" s="206"/>
      <c r="N209" s="206"/>
      <c r="O209" s="206"/>
      <c r="P209" s="206"/>
      <c r="Q209" s="206"/>
      <c r="R209" s="207"/>
      <c r="S209" s="207"/>
      <c r="T209" s="207"/>
      <c r="U209" s="207"/>
      <c r="V209" s="110"/>
      <c r="W209" s="110"/>
      <c r="X209" s="110"/>
      <c r="Y209" s="110"/>
      <c r="Z209" s="110"/>
      <c r="AA209" s="110"/>
      <c r="AB209" s="110"/>
      <c r="AC209" s="110"/>
      <c r="AD209" s="110"/>
      <c r="AE209" s="110"/>
      <c r="AF209" s="110"/>
      <c r="AG209" s="110"/>
      <c r="AH209" s="110"/>
      <c r="AI209" s="110"/>
      <c r="AJ209" s="110"/>
      <c r="AK209" s="110"/>
      <c r="AL209" s="110"/>
      <c r="AM209" s="110"/>
      <c r="AN209" s="110"/>
      <c r="AO209" s="110"/>
      <c r="AP209" s="110"/>
      <c r="AQ209" s="110"/>
      <c r="AR209" s="110"/>
      <c r="AS209" s="110"/>
      <c r="AT209" s="110"/>
      <c r="AU209" s="110"/>
      <c r="AV209" s="110"/>
      <c r="AW209" s="110"/>
      <c r="AX209" s="110"/>
      <c r="AY209" s="110"/>
      <c r="AZ209" s="110"/>
      <c r="BA209" s="110"/>
      <c r="BB209" s="110"/>
      <c r="BC209" s="110"/>
      <c r="BD209" s="110"/>
      <c r="BE209" s="110"/>
      <c r="BF209" s="110"/>
      <c r="BG209" s="110"/>
      <c r="BH209" s="110"/>
      <c r="BI209" s="110"/>
      <c r="BJ209" s="110"/>
      <c r="BK209" s="110"/>
      <c r="BL209" s="110"/>
      <c r="BM209" s="110"/>
      <c r="BN209" s="110"/>
      <c r="BO209" s="110"/>
      <c r="BP209" s="110"/>
      <c r="BQ209" s="110"/>
      <c r="BR209" s="110"/>
      <c r="BS209" s="110"/>
      <c r="BT209" s="110"/>
      <c r="BU209" s="110"/>
      <c r="BV209" s="110"/>
      <c r="BW209" s="110"/>
      <c r="BX209" s="110"/>
      <c r="BY209" s="110"/>
      <c r="BZ209" s="110"/>
      <c r="CA209" s="110"/>
      <c r="CB209" s="110"/>
      <c r="CC209" s="110"/>
      <c r="CD209" s="110"/>
      <c r="CE209" s="110"/>
      <c r="CF209" s="110"/>
      <c r="CG209" s="110"/>
      <c r="CH209" s="110"/>
    </row>
    <row r="210" spans="1:86">
      <c r="A210" s="6" t="s">
        <v>162</v>
      </c>
      <c r="B210" s="406"/>
      <c r="C210" s="11"/>
      <c r="D210" s="72"/>
      <c r="E210" s="72"/>
      <c r="F210" s="72"/>
      <c r="G210" s="72"/>
      <c r="H210" s="59"/>
      <c r="I210" s="59"/>
      <c r="J210" s="59"/>
      <c r="K210" s="59"/>
      <c r="L210" s="59"/>
      <c r="M210" s="59"/>
      <c r="N210" s="59"/>
      <c r="O210" s="59"/>
      <c r="P210" s="59"/>
      <c r="Q210" s="59"/>
      <c r="R210" s="59"/>
      <c r="S210" s="59"/>
      <c r="T210" s="59"/>
      <c r="U210" s="59"/>
    </row>
    <row r="211" spans="1:86">
      <c r="A211" s="6" t="s">
        <v>29</v>
      </c>
      <c r="B211" s="82"/>
      <c r="C211" s="11"/>
      <c r="D211" s="72"/>
      <c r="E211" s="72"/>
      <c r="F211" s="72"/>
      <c r="G211" s="72"/>
      <c r="H211" s="59"/>
      <c r="I211" s="59"/>
      <c r="J211" s="59"/>
      <c r="K211" s="59"/>
      <c r="L211" s="59"/>
      <c r="M211" s="59"/>
      <c r="N211" s="59"/>
      <c r="O211" s="59"/>
      <c r="P211" s="59"/>
      <c r="Q211" s="59"/>
      <c r="R211" s="59"/>
      <c r="S211" s="59"/>
      <c r="T211" s="59"/>
      <c r="U211" s="59"/>
    </row>
    <row r="213" spans="1:86" ht="14.25" thickBot="1">
      <c r="A213" s="22"/>
      <c r="B213" s="22"/>
      <c r="C213" s="22"/>
      <c r="D213" s="22"/>
      <c r="E213" s="22"/>
      <c r="F213" s="22"/>
      <c r="G213" s="22"/>
      <c r="H213" s="22"/>
      <c r="I213" s="22"/>
      <c r="J213" s="22"/>
      <c r="K213" s="22"/>
      <c r="L213" s="22"/>
      <c r="M213" s="22"/>
      <c r="N213" s="22"/>
      <c r="O213" s="22"/>
      <c r="P213" s="22"/>
      <c r="Q213" s="22"/>
      <c r="R213" s="22"/>
      <c r="S213" s="22"/>
      <c r="T213" s="22"/>
      <c r="U213" s="22"/>
    </row>
    <row r="215" spans="1:86">
      <c r="A215" s="41" t="s">
        <v>383</v>
      </c>
      <c r="B215" s="8" t="s">
        <v>319</v>
      </c>
      <c r="C215" s="15"/>
      <c r="D215" s="15"/>
      <c r="E215" s="15"/>
      <c r="F215" s="15"/>
      <c r="G215" s="15"/>
      <c r="H215" s="15"/>
      <c r="I215" s="15"/>
      <c r="J215" s="15"/>
      <c r="K215" s="15"/>
      <c r="L215" s="15"/>
      <c r="M215" s="16"/>
      <c r="N215" s="15"/>
      <c r="O215" s="15"/>
      <c r="P215" s="15"/>
      <c r="Q215" s="15"/>
      <c r="R215" s="15"/>
      <c r="S215" s="15"/>
      <c r="T215" s="15"/>
      <c r="U215" s="15"/>
    </row>
    <row r="216" spans="1:86" s="17" customFormat="1" ht="14.25" thickBot="1">
      <c r="C216" s="19"/>
      <c r="D216" s="19"/>
      <c r="E216" s="19"/>
      <c r="F216" s="19"/>
      <c r="G216" s="19"/>
      <c r="H216" s="1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59"/>
      <c r="BG216" s="59"/>
      <c r="BH216" s="59"/>
      <c r="BI216" s="59"/>
      <c r="BJ216" s="59"/>
      <c r="BK216" s="59"/>
      <c r="BL216" s="59"/>
      <c r="BM216" s="59"/>
      <c r="BN216" s="59"/>
      <c r="BO216" s="59"/>
      <c r="BP216" s="59"/>
      <c r="BQ216" s="59"/>
      <c r="BR216" s="59"/>
      <c r="BS216" s="59"/>
      <c r="BT216" s="59"/>
      <c r="BU216" s="59"/>
      <c r="BV216" s="59"/>
      <c r="BW216" s="59"/>
      <c r="BX216" s="59"/>
      <c r="BY216" s="59"/>
      <c r="BZ216" s="59"/>
      <c r="CA216" s="59"/>
      <c r="CB216" s="59"/>
      <c r="CC216" s="59"/>
      <c r="CD216" s="59"/>
      <c r="CE216" s="59"/>
      <c r="CF216" s="59"/>
      <c r="CG216" s="59"/>
      <c r="CH216" s="59"/>
    </row>
    <row r="217" spans="1:86" s="125" customFormat="1" ht="14.25" thickBot="1">
      <c r="B217" s="182" t="s">
        <v>301</v>
      </c>
      <c r="C217" s="183" t="s">
        <v>148</v>
      </c>
      <c r="V217" s="108"/>
      <c r="W217" s="108"/>
      <c r="X217" s="108"/>
      <c r="Y217" s="108"/>
      <c r="Z217" s="108"/>
      <c r="AA217" s="108"/>
      <c r="AB217" s="108"/>
      <c r="AC217" s="108"/>
      <c r="AD217" s="108"/>
      <c r="AE217" s="108"/>
      <c r="AF217" s="108"/>
      <c r="AG217" s="108"/>
      <c r="AH217" s="108"/>
      <c r="AI217" s="108"/>
      <c r="AJ217" s="108"/>
      <c r="AK217" s="108"/>
      <c r="AL217" s="108"/>
      <c r="AM217" s="108"/>
      <c r="AN217" s="108"/>
      <c r="AO217" s="108"/>
      <c r="AP217" s="108"/>
      <c r="AQ217" s="108"/>
      <c r="AR217" s="108"/>
      <c r="AS217" s="108"/>
      <c r="AT217" s="108"/>
      <c r="AU217" s="108"/>
      <c r="AV217" s="108"/>
      <c r="AW217" s="108"/>
      <c r="AX217" s="108"/>
      <c r="AY217" s="108"/>
      <c r="AZ217" s="108"/>
      <c r="BA217" s="108"/>
      <c r="BB217" s="108"/>
      <c r="BC217" s="108"/>
      <c r="BD217" s="108"/>
      <c r="BE217" s="108"/>
      <c r="BF217" s="108"/>
      <c r="BG217" s="108"/>
      <c r="BH217" s="108"/>
      <c r="BI217" s="108"/>
      <c r="BJ217" s="108"/>
      <c r="BK217" s="108"/>
      <c r="BL217" s="108"/>
      <c r="BM217" s="108"/>
      <c r="BN217" s="108"/>
      <c r="BO217" s="108"/>
      <c r="BP217" s="108"/>
      <c r="BQ217" s="108"/>
      <c r="BR217" s="108"/>
      <c r="BS217" s="108"/>
      <c r="BT217" s="108"/>
      <c r="BU217" s="108"/>
      <c r="BV217" s="108"/>
      <c r="BW217" s="108"/>
      <c r="BX217" s="108"/>
      <c r="BY217" s="108"/>
      <c r="BZ217" s="108"/>
      <c r="CA217" s="108"/>
      <c r="CB217" s="108"/>
      <c r="CC217" s="108"/>
      <c r="CD217" s="108"/>
      <c r="CE217" s="108"/>
      <c r="CF217" s="108"/>
      <c r="CG217" s="108"/>
      <c r="CH217" s="108"/>
    </row>
    <row r="218" spans="1:86" s="125" customFormat="1">
      <c r="A218" s="121" t="s">
        <v>27</v>
      </c>
      <c r="B218" s="102">
        <v>901.3</v>
      </c>
      <c r="C218" s="190">
        <f>B218/B$221</f>
        <v>0.44999750361975133</v>
      </c>
      <c r="V218" s="108"/>
      <c r="W218" s="108"/>
      <c r="X218" s="108"/>
      <c r="Y218" s="108"/>
      <c r="Z218" s="108"/>
      <c r="AA218" s="108"/>
      <c r="AB218" s="108"/>
      <c r="AC218" s="108"/>
      <c r="AD218" s="108"/>
      <c r="AE218" s="108"/>
      <c r="AF218" s="108"/>
      <c r="AG218" s="108"/>
      <c r="AH218" s="108"/>
      <c r="AI218" s="108"/>
      <c r="AJ218" s="108"/>
      <c r="AK218" s="108"/>
      <c r="AL218" s="108"/>
      <c r="AM218" s="108"/>
      <c r="AN218" s="108"/>
      <c r="AO218" s="108"/>
      <c r="AP218" s="108"/>
      <c r="AQ218" s="108"/>
      <c r="AR218" s="108"/>
      <c r="AS218" s="108"/>
      <c r="AT218" s="108"/>
      <c r="AU218" s="108"/>
      <c r="AV218" s="108"/>
      <c r="AW218" s="108"/>
      <c r="AX218" s="108"/>
      <c r="AY218" s="108"/>
      <c r="AZ218" s="108"/>
      <c r="BA218" s="108"/>
      <c r="BB218" s="108"/>
      <c r="BC218" s="108"/>
      <c r="BD218" s="108"/>
      <c r="BE218" s="108"/>
      <c r="BF218" s="108"/>
      <c r="BG218" s="108"/>
      <c r="BH218" s="108"/>
      <c r="BI218" s="108"/>
      <c r="BJ218" s="108"/>
      <c r="BK218" s="108"/>
      <c r="BL218" s="108"/>
      <c r="BM218" s="108"/>
      <c r="BN218" s="108"/>
      <c r="BO218" s="108"/>
      <c r="BP218" s="108"/>
      <c r="BQ218" s="108"/>
      <c r="BR218" s="108"/>
      <c r="BS218" s="108"/>
      <c r="BT218" s="108"/>
      <c r="BU218" s="108"/>
      <c r="BV218" s="108"/>
      <c r="BW218" s="108"/>
      <c r="BX218" s="108"/>
      <c r="BY218" s="108"/>
      <c r="BZ218" s="108"/>
      <c r="CA218" s="108"/>
      <c r="CB218" s="108"/>
      <c r="CC218" s="108"/>
      <c r="CD218" s="108"/>
      <c r="CE218" s="108"/>
      <c r="CF218" s="108"/>
      <c r="CG218" s="108"/>
      <c r="CH218" s="108"/>
    </row>
    <row r="219" spans="1:86" s="125" customFormat="1">
      <c r="A219" s="129" t="s">
        <v>26</v>
      </c>
      <c r="B219" s="102">
        <v>843.2</v>
      </c>
      <c r="C219" s="190">
        <f t="shared" ref="C219:C220" si="70">B219/B$221</f>
        <v>0.42098956513056068</v>
      </c>
      <c r="V219" s="108"/>
      <c r="W219" s="108"/>
      <c r="X219" s="108"/>
      <c r="Y219" s="108"/>
      <c r="Z219" s="108"/>
      <c r="AA219" s="108"/>
      <c r="AB219" s="108"/>
      <c r="AC219" s="108"/>
      <c r="AD219" s="108"/>
      <c r="AE219" s="108"/>
      <c r="AF219" s="108"/>
      <c r="AG219" s="108"/>
      <c r="AH219" s="108"/>
      <c r="AI219" s="108"/>
      <c r="AJ219" s="108"/>
      <c r="AK219" s="108"/>
      <c r="AL219" s="108"/>
      <c r="AM219" s="108"/>
      <c r="AN219" s="108"/>
      <c r="AO219" s="108"/>
      <c r="AP219" s="108"/>
      <c r="AQ219" s="108"/>
      <c r="AR219" s="108"/>
      <c r="AS219" s="108"/>
      <c r="AT219" s="108"/>
      <c r="AU219" s="108"/>
      <c r="AV219" s="108"/>
      <c r="AW219" s="108"/>
      <c r="AX219" s="108"/>
      <c r="AY219" s="108"/>
      <c r="AZ219" s="108"/>
      <c r="BA219" s="108"/>
      <c r="BB219" s="108"/>
      <c r="BC219" s="108"/>
      <c r="BD219" s="108"/>
      <c r="BE219" s="108"/>
      <c r="BF219" s="108"/>
      <c r="BG219" s="108"/>
      <c r="BH219" s="108"/>
      <c r="BI219" s="108"/>
      <c r="BJ219" s="108"/>
      <c r="BK219" s="108"/>
      <c r="BL219" s="108"/>
      <c r="BM219" s="108"/>
      <c r="BN219" s="108"/>
      <c r="BO219" s="108"/>
      <c r="BP219" s="108"/>
      <c r="BQ219" s="108"/>
      <c r="BR219" s="108"/>
      <c r="BS219" s="108"/>
      <c r="BT219" s="108"/>
      <c r="BU219" s="108"/>
      <c r="BV219" s="108"/>
      <c r="BW219" s="108"/>
      <c r="BX219" s="108"/>
      <c r="BY219" s="108"/>
      <c r="BZ219" s="108"/>
      <c r="CA219" s="108"/>
      <c r="CB219" s="108"/>
      <c r="CC219" s="108"/>
      <c r="CD219" s="108"/>
      <c r="CE219" s="108"/>
      <c r="CF219" s="108"/>
      <c r="CG219" s="108"/>
      <c r="CH219" s="108"/>
    </row>
    <row r="220" spans="1:86" s="125" customFormat="1">
      <c r="A220" s="129" t="s">
        <v>28</v>
      </c>
      <c r="B220" s="102">
        <v>258.39999999999998</v>
      </c>
      <c r="C220" s="190">
        <f t="shared" si="70"/>
        <v>0.12901293124968793</v>
      </c>
      <c r="V220" s="108"/>
      <c r="W220" s="108"/>
      <c r="X220" s="108"/>
      <c r="Y220" s="108"/>
      <c r="Z220" s="108"/>
      <c r="AA220" s="108"/>
      <c r="AB220" s="108"/>
      <c r="AC220" s="108"/>
      <c r="AD220" s="108"/>
      <c r="AE220" s="108"/>
      <c r="AF220" s="108"/>
      <c r="AG220" s="108"/>
      <c r="AH220" s="108"/>
      <c r="AI220" s="108"/>
      <c r="AJ220" s="108"/>
      <c r="AK220" s="108"/>
      <c r="AL220" s="108"/>
      <c r="AM220" s="108"/>
      <c r="AN220" s="108"/>
      <c r="AO220" s="108"/>
      <c r="AP220" s="108"/>
      <c r="AQ220" s="108"/>
      <c r="AR220" s="108"/>
      <c r="AS220" s="108"/>
      <c r="AT220" s="108"/>
      <c r="AU220" s="108"/>
      <c r="AV220" s="108"/>
      <c r="AW220" s="108"/>
      <c r="AX220" s="108"/>
      <c r="AY220" s="108"/>
      <c r="AZ220" s="108"/>
      <c r="BA220" s="108"/>
      <c r="BB220" s="108"/>
      <c r="BC220" s="108"/>
      <c r="BD220" s="108"/>
      <c r="BE220" s="108"/>
      <c r="BF220" s="108"/>
      <c r="BG220" s="108"/>
      <c r="BH220" s="108"/>
      <c r="BI220" s="108"/>
      <c r="BJ220" s="108"/>
      <c r="BK220" s="108"/>
      <c r="BL220" s="108"/>
      <c r="BM220" s="108"/>
      <c r="BN220" s="108"/>
      <c r="BO220" s="108"/>
      <c r="BP220" s="108"/>
      <c r="BQ220" s="108"/>
      <c r="BR220" s="108"/>
      <c r="BS220" s="108"/>
      <c r="BT220" s="108"/>
      <c r="BU220" s="108"/>
      <c r="BV220" s="108"/>
      <c r="BW220" s="108"/>
      <c r="BX220" s="108"/>
      <c r="BY220" s="108"/>
      <c r="BZ220" s="108"/>
      <c r="CA220" s="108"/>
      <c r="CB220" s="108"/>
      <c r="CC220" s="108"/>
      <c r="CD220" s="108"/>
      <c r="CE220" s="108"/>
      <c r="CF220" s="108"/>
      <c r="CG220" s="108"/>
      <c r="CH220" s="108"/>
    </row>
    <row r="221" spans="1:86" s="145" customFormat="1" thickBot="1">
      <c r="A221" s="155" t="s">
        <v>18</v>
      </c>
      <c r="B221" s="98">
        <f>SUM(B218:B220)</f>
        <v>2002.9</v>
      </c>
      <c r="C221" s="181">
        <f>SUM(C218:C220)</f>
        <v>1</v>
      </c>
      <c r="V221" s="110"/>
      <c r="W221" s="110"/>
      <c r="X221" s="110"/>
      <c r="Y221" s="110"/>
      <c r="Z221" s="110"/>
      <c r="AA221" s="110"/>
      <c r="AB221" s="110"/>
      <c r="AC221" s="110"/>
      <c r="AD221" s="110"/>
      <c r="AE221" s="110"/>
      <c r="AF221" s="110"/>
      <c r="AG221" s="110"/>
      <c r="AH221" s="110"/>
      <c r="AI221" s="110"/>
      <c r="AJ221" s="110"/>
      <c r="AK221" s="110"/>
      <c r="AL221" s="110"/>
      <c r="AM221" s="110"/>
      <c r="AN221" s="110"/>
      <c r="AO221" s="110"/>
      <c r="AP221" s="110"/>
      <c r="AQ221" s="110"/>
      <c r="AR221" s="110"/>
      <c r="AS221" s="110"/>
      <c r="AT221" s="110"/>
      <c r="AU221" s="110"/>
      <c r="AV221" s="110"/>
      <c r="AW221" s="110"/>
      <c r="AX221" s="110"/>
      <c r="AY221" s="110"/>
      <c r="AZ221" s="110"/>
      <c r="BA221" s="110"/>
      <c r="BB221" s="110"/>
      <c r="BC221" s="110"/>
      <c r="BD221" s="110"/>
      <c r="BE221" s="110"/>
      <c r="BF221" s="110"/>
      <c r="BG221" s="110"/>
      <c r="BH221" s="110"/>
      <c r="BI221" s="110"/>
      <c r="BJ221" s="110"/>
      <c r="BK221" s="110"/>
      <c r="BL221" s="110"/>
      <c r="BM221" s="110"/>
      <c r="BN221" s="110"/>
      <c r="BO221" s="110"/>
      <c r="BP221" s="110"/>
      <c r="BQ221" s="110"/>
      <c r="BR221" s="110"/>
      <c r="BS221" s="110"/>
      <c r="BT221" s="110"/>
      <c r="BU221" s="110"/>
      <c r="BV221" s="110"/>
      <c r="BW221" s="110"/>
      <c r="BX221" s="110"/>
      <c r="BY221" s="110"/>
      <c r="BZ221" s="110"/>
      <c r="CA221" s="110"/>
      <c r="CB221" s="110"/>
      <c r="CC221" s="110"/>
      <c r="CD221" s="110"/>
      <c r="CE221" s="110"/>
      <c r="CF221" s="110"/>
      <c r="CG221" s="110"/>
      <c r="CH221" s="110"/>
    </row>
    <row r="222" spans="1:86" s="7" customFormat="1" ht="12.75" customHeight="1">
      <c r="A222" s="6" t="s">
        <v>162</v>
      </c>
      <c r="B222" s="406"/>
      <c r="C222" s="6"/>
      <c r="D222" s="6"/>
      <c r="V222" s="67"/>
      <c r="W222" s="67"/>
      <c r="X222" s="67"/>
      <c r="Y222" s="67"/>
      <c r="Z222" s="67"/>
      <c r="AA222" s="67"/>
      <c r="AB222" s="67"/>
      <c r="AC222" s="67"/>
      <c r="AD222" s="67"/>
      <c r="AE222" s="67"/>
      <c r="AF222" s="67"/>
      <c r="AG222" s="67"/>
      <c r="AH222" s="67"/>
      <c r="AI222" s="67"/>
      <c r="AJ222" s="67"/>
      <c r="AK222" s="67"/>
      <c r="AL222" s="67"/>
      <c r="AM222" s="67"/>
      <c r="AN222" s="67"/>
      <c r="AO222" s="67"/>
      <c r="AP222" s="67"/>
      <c r="AQ222" s="67"/>
      <c r="AR222" s="67"/>
      <c r="AS222" s="67"/>
      <c r="AT222" s="67"/>
      <c r="AU222" s="67"/>
      <c r="AV222" s="67"/>
      <c r="AW222" s="67"/>
      <c r="AX222" s="67"/>
      <c r="AY222" s="67"/>
      <c r="AZ222" s="67"/>
      <c r="BA222" s="67"/>
      <c r="BB222" s="67"/>
      <c r="BC222" s="67"/>
      <c r="BD222" s="67"/>
      <c r="BE222" s="67"/>
      <c r="BF222" s="67"/>
      <c r="BG222" s="67"/>
      <c r="BH222" s="67"/>
      <c r="BI222" s="67"/>
      <c r="BJ222" s="67"/>
      <c r="BK222" s="67"/>
      <c r="BL222" s="67"/>
      <c r="BM222" s="67"/>
      <c r="BN222" s="67"/>
      <c r="BO222" s="67"/>
      <c r="BP222" s="67"/>
      <c r="BQ222" s="67"/>
      <c r="BR222" s="67"/>
      <c r="BS222" s="67"/>
      <c r="BT222" s="67"/>
      <c r="BU222" s="67"/>
      <c r="BV222" s="67"/>
      <c r="BW222" s="67"/>
      <c r="BX222" s="67"/>
      <c r="BY222" s="67"/>
      <c r="BZ222" s="67"/>
      <c r="CA222" s="67"/>
      <c r="CB222" s="67"/>
      <c r="CC222" s="67"/>
      <c r="CD222" s="67"/>
      <c r="CE222" s="67"/>
      <c r="CF222" s="67"/>
      <c r="CG222" s="67"/>
      <c r="CH222" s="67"/>
    </row>
    <row r="223" spans="1:86" s="7" customFormat="1" ht="12.75" customHeight="1">
      <c r="A223" s="6" t="s">
        <v>29</v>
      </c>
      <c r="B223" s="82"/>
      <c r="C223" s="6"/>
      <c r="D223" s="6"/>
      <c r="E223" s="6"/>
      <c r="F223" s="6"/>
      <c r="V223" s="67"/>
      <c r="W223" s="67"/>
      <c r="X223" s="67"/>
      <c r="Y223" s="67"/>
      <c r="Z223" s="67"/>
      <c r="AA223" s="67"/>
      <c r="AB223" s="67"/>
      <c r="AC223" s="67"/>
      <c r="AD223" s="67"/>
      <c r="AE223" s="67"/>
      <c r="AF223" s="67"/>
      <c r="AG223" s="67"/>
      <c r="AH223" s="67"/>
      <c r="AI223" s="67"/>
      <c r="AJ223" s="67"/>
      <c r="AK223" s="67"/>
      <c r="AL223" s="67"/>
      <c r="AM223" s="67"/>
      <c r="AN223" s="67"/>
      <c r="AO223" s="67"/>
      <c r="AP223" s="67"/>
      <c r="AQ223" s="67"/>
      <c r="AR223" s="67"/>
      <c r="AS223" s="67"/>
      <c r="AT223" s="67"/>
      <c r="AU223" s="67"/>
      <c r="AV223" s="67"/>
      <c r="AW223" s="67"/>
      <c r="AX223" s="67"/>
      <c r="AY223" s="67"/>
      <c r="AZ223" s="67"/>
      <c r="BA223" s="67"/>
      <c r="BB223" s="67"/>
      <c r="BC223" s="67"/>
      <c r="BD223" s="67"/>
      <c r="BE223" s="67"/>
      <c r="BF223" s="67"/>
      <c r="BG223" s="67"/>
      <c r="BH223" s="67"/>
      <c r="BI223" s="67"/>
      <c r="BJ223" s="67"/>
      <c r="BK223" s="67"/>
      <c r="BL223" s="67"/>
      <c r="BM223" s="67"/>
      <c r="BN223" s="67"/>
      <c r="BO223" s="67"/>
      <c r="BP223" s="67"/>
      <c r="BQ223" s="67"/>
      <c r="BR223" s="67"/>
      <c r="BS223" s="67"/>
      <c r="BT223" s="67"/>
      <c r="BU223" s="67"/>
      <c r="BV223" s="67"/>
      <c r="BW223" s="67"/>
      <c r="BX223" s="67"/>
      <c r="BY223" s="67"/>
      <c r="BZ223" s="67"/>
      <c r="CA223" s="67"/>
      <c r="CB223" s="67"/>
      <c r="CC223" s="67"/>
      <c r="CD223" s="67"/>
      <c r="CE223" s="67"/>
      <c r="CF223" s="67"/>
      <c r="CG223" s="67"/>
      <c r="CH223" s="67"/>
    </row>
    <row r="224" spans="1:86" s="7" customFormat="1" ht="12.75" customHeight="1">
      <c r="A224" s="6"/>
      <c r="B224" s="6"/>
      <c r="C224" s="6"/>
      <c r="D224" s="6"/>
      <c r="E224" s="6"/>
      <c r="F224" s="6"/>
      <c r="V224" s="67"/>
      <c r="W224" s="67"/>
      <c r="X224" s="67"/>
      <c r="Y224" s="67"/>
      <c r="Z224" s="67"/>
      <c r="AA224" s="67"/>
      <c r="AB224" s="67"/>
      <c r="AC224" s="67"/>
      <c r="AD224" s="67"/>
      <c r="AE224" s="67"/>
      <c r="AF224" s="67"/>
      <c r="AG224" s="67"/>
      <c r="AH224" s="67"/>
      <c r="AI224" s="67"/>
      <c r="AJ224" s="67"/>
      <c r="AK224" s="67"/>
      <c r="AL224" s="67"/>
      <c r="AM224" s="67"/>
      <c r="AN224" s="67"/>
      <c r="AO224" s="67"/>
      <c r="AP224" s="67"/>
      <c r="AQ224" s="67"/>
      <c r="AR224" s="67"/>
      <c r="AS224" s="67"/>
      <c r="AT224" s="67"/>
      <c r="AU224" s="67"/>
      <c r="AV224" s="67"/>
      <c r="AW224" s="67"/>
      <c r="AX224" s="67"/>
      <c r="AY224" s="67"/>
      <c r="AZ224" s="67"/>
      <c r="BA224" s="67"/>
      <c r="BB224" s="67"/>
      <c r="BC224" s="67"/>
      <c r="BD224" s="67"/>
      <c r="BE224" s="67"/>
      <c r="BF224" s="67"/>
      <c r="BG224" s="67"/>
      <c r="BH224" s="67"/>
      <c r="BI224" s="67"/>
      <c r="BJ224" s="67"/>
      <c r="BK224" s="67"/>
      <c r="BL224" s="67"/>
      <c r="BM224" s="67"/>
      <c r="BN224" s="67"/>
      <c r="BO224" s="67"/>
      <c r="BP224" s="67"/>
      <c r="BQ224" s="67"/>
      <c r="BR224" s="67"/>
      <c r="BS224" s="67"/>
      <c r="BT224" s="67"/>
      <c r="BU224" s="67"/>
      <c r="BV224" s="67"/>
      <c r="BW224" s="67"/>
      <c r="BX224" s="67"/>
      <c r="BY224" s="67"/>
      <c r="BZ224" s="67"/>
      <c r="CA224" s="67"/>
      <c r="CB224" s="67"/>
      <c r="CC224" s="67"/>
      <c r="CD224" s="67"/>
      <c r="CE224" s="67"/>
      <c r="CF224" s="67"/>
      <c r="CG224" s="67"/>
      <c r="CH224" s="67"/>
    </row>
    <row r="226" spans="1:86" s="18" customFormat="1" ht="26.25" customHeight="1">
      <c r="A226" s="337" t="s">
        <v>138</v>
      </c>
      <c r="B226" s="338"/>
      <c r="C226" s="338"/>
      <c r="D226" s="338"/>
      <c r="E226" s="338"/>
      <c r="F226" s="338"/>
      <c r="G226" s="338"/>
      <c r="H226" s="338"/>
      <c r="I226" s="338"/>
      <c r="J226" s="338"/>
      <c r="K226" s="338"/>
      <c r="L226" s="338"/>
      <c r="M226" s="338"/>
      <c r="N226" s="338"/>
      <c r="O226" s="338"/>
      <c r="P226" s="338"/>
      <c r="Q226" s="338"/>
      <c r="R226" s="338"/>
      <c r="S226" s="338"/>
      <c r="T226" s="338"/>
      <c r="U226" s="338"/>
    </row>
    <row r="228" spans="1:86">
      <c r="A228" s="41" t="s">
        <v>387</v>
      </c>
      <c r="B228" s="8" t="s">
        <v>384</v>
      </c>
      <c r="C228" s="15"/>
      <c r="D228" s="15"/>
      <c r="E228" s="15"/>
      <c r="F228" s="15"/>
      <c r="G228" s="15"/>
      <c r="H228" s="15"/>
      <c r="I228" s="15"/>
      <c r="J228" s="15"/>
      <c r="K228" s="15"/>
      <c r="L228" s="15"/>
      <c r="M228" s="15"/>
      <c r="N228" s="15"/>
      <c r="O228" s="15"/>
      <c r="P228" s="15"/>
      <c r="Q228" s="15"/>
      <c r="R228" s="15"/>
      <c r="S228" s="15"/>
      <c r="T228" s="15"/>
      <c r="U228" s="15"/>
    </row>
    <row r="229" spans="1:86" s="17" customFormat="1" ht="14.25" thickBot="1">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59"/>
      <c r="BG229" s="59"/>
      <c r="BH229" s="59"/>
      <c r="BI229" s="59"/>
      <c r="BJ229" s="59"/>
      <c r="BK229" s="59"/>
      <c r="BL229" s="59"/>
      <c r="BM229" s="59"/>
      <c r="BN229" s="59"/>
      <c r="BO229" s="59"/>
      <c r="BP229" s="59"/>
      <c r="BQ229" s="59"/>
      <c r="BR229" s="59"/>
      <c r="BS229" s="59"/>
      <c r="BT229" s="59"/>
      <c r="BU229" s="59"/>
      <c r="BV229" s="59"/>
      <c r="BW229" s="59"/>
      <c r="BX229" s="59"/>
      <c r="BY229" s="59"/>
      <c r="BZ229" s="59"/>
      <c r="CA229" s="59"/>
      <c r="CB229" s="59"/>
      <c r="CC229" s="59"/>
      <c r="CD229" s="59"/>
      <c r="CE229" s="59"/>
      <c r="CF229" s="59"/>
      <c r="CG229" s="59"/>
      <c r="CH229" s="59"/>
    </row>
    <row r="230" spans="1:86" s="120" customFormat="1" ht="14.25" thickBot="1">
      <c r="A230" s="113"/>
      <c r="B230" s="222">
        <v>2010</v>
      </c>
      <c r="C230" s="47">
        <v>2011</v>
      </c>
      <c r="D230" s="47">
        <v>2012</v>
      </c>
      <c r="E230" s="47">
        <v>2013</v>
      </c>
      <c r="F230" s="47">
        <v>2014</v>
      </c>
      <c r="G230" s="232">
        <v>2015</v>
      </c>
      <c r="H230" s="232">
        <v>2016</v>
      </c>
      <c r="I230" s="232">
        <v>2017</v>
      </c>
      <c r="J230" s="232">
        <v>2018</v>
      </c>
      <c r="K230" s="233">
        <v>2019</v>
      </c>
      <c r="M230" s="116" t="s">
        <v>31</v>
      </c>
      <c r="N230" s="3" t="s">
        <v>32</v>
      </c>
      <c r="O230" s="3" t="s">
        <v>33</v>
      </c>
      <c r="P230" s="3" t="s">
        <v>34</v>
      </c>
      <c r="Q230" s="117" t="s">
        <v>35</v>
      </c>
      <c r="R230" s="117" t="s">
        <v>36</v>
      </c>
      <c r="S230" s="117" t="s">
        <v>160</v>
      </c>
      <c r="T230" s="117" t="s">
        <v>169</v>
      </c>
      <c r="U230" s="118" t="s">
        <v>170</v>
      </c>
      <c r="V230" s="88"/>
      <c r="W230" s="119"/>
      <c r="X230" s="119"/>
      <c r="Y230" s="119"/>
      <c r="Z230" s="119"/>
      <c r="AA230" s="119"/>
      <c r="AB230" s="119"/>
      <c r="AC230" s="119"/>
      <c r="AD230" s="119"/>
      <c r="AE230" s="119"/>
      <c r="AF230" s="119"/>
      <c r="AG230" s="119"/>
      <c r="AH230" s="119"/>
      <c r="AI230" s="119"/>
      <c r="AJ230" s="119"/>
      <c r="AK230" s="119"/>
      <c r="AL230" s="119"/>
      <c r="AM230" s="119"/>
      <c r="AN230" s="119"/>
      <c r="AO230" s="119"/>
      <c r="AP230" s="119"/>
      <c r="AQ230" s="119"/>
      <c r="AR230" s="119"/>
      <c r="AS230" s="119"/>
      <c r="AT230" s="119"/>
      <c r="AU230" s="119"/>
      <c r="AV230" s="119"/>
      <c r="AW230" s="119"/>
      <c r="AX230" s="119"/>
      <c r="AY230" s="119"/>
      <c r="AZ230" s="119"/>
      <c r="BA230" s="119"/>
      <c r="BB230" s="119"/>
      <c r="BC230" s="119"/>
      <c r="BD230" s="119"/>
      <c r="BE230" s="119"/>
      <c r="BF230" s="119"/>
      <c r="BG230" s="119"/>
      <c r="BH230" s="119"/>
      <c r="BI230" s="119"/>
      <c r="BJ230" s="119"/>
      <c r="BK230" s="119"/>
      <c r="BL230" s="119"/>
      <c r="BM230" s="119"/>
      <c r="BN230" s="119"/>
      <c r="BO230" s="119"/>
      <c r="BP230" s="119"/>
      <c r="BQ230" s="119"/>
      <c r="BR230" s="119"/>
      <c r="BS230" s="119"/>
      <c r="BT230" s="119"/>
      <c r="BU230" s="119"/>
      <c r="BV230" s="119"/>
      <c r="BW230" s="119"/>
      <c r="BX230" s="119"/>
      <c r="BY230" s="119"/>
      <c r="BZ230" s="119"/>
      <c r="CA230" s="119"/>
      <c r="CB230" s="119"/>
      <c r="CC230" s="119"/>
      <c r="CD230" s="119"/>
      <c r="CE230" s="119"/>
      <c r="CF230" s="119"/>
      <c r="CG230" s="119"/>
      <c r="CH230" s="119"/>
    </row>
    <row r="231" spans="1:86" s="125" customFormat="1">
      <c r="A231" s="121" t="s">
        <v>24</v>
      </c>
      <c r="B231" s="111">
        <v>1193.8</v>
      </c>
      <c r="C231" s="112">
        <v>1315.1</v>
      </c>
      <c r="D231" s="112">
        <v>1387.1</v>
      </c>
      <c r="E231" s="112">
        <v>1333.4</v>
      </c>
      <c r="F231" s="112">
        <v>1300.5999999999999</v>
      </c>
      <c r="G231" s="112">
        <v>1288.7</v>
      </c>
      <c r="H231" s="112">
        <v>1320.6</v>
      </c>
      <c r="I231" s="112">
        <v>1376.2</v>
      </c>
      <c r="J231" s="112">
        <v>1428.4</v>
      </c>
      <c r="K231" s="197">
        <v>1472.8</v>
      </c>
      <c r="M231" s="126">
        <f t="shared" ref="M231:U233" si="71">(C231-B231)/B231</f>
        <v>0.10160830959959789</v>
      </c>
      <c r="N231" s="127">
        <f t="shared" si="71"/>
        <v>5.4748688312675847E-2</v>
      </c>
      <c r="O231" s="127">
        <f t="shared" si="71"/>
        <v>-3.871386345613137E-2</v>
      </c>
      <c r="P231" s="127">
        <f t="shared" si="71"/>
        <v>-2.459877006149706E-2</v>
      </c>
      <c r="Q231" s="127">
        <f t="shared" si="71"/>
        <v>-9.1496232508072161E-3</v>
      </c>
      <c r="R231" s="127">
        <f t="shared" si="71"/>
        <v>2.4753627686816066E-2</v>
      </c>
      <c r="S231" s="127">
        <f t="shared" si="71"/>
        <v>4.2102074814478377E-2</v>
      </c>
      <c r="T231" s="127">
        <f t="shared" si="71"/>
        <v>3.7930533352710391E-2</v>
      </c>
      <c r="U231" s="128">
        <f t="shared" si="71"/>
        <v>3.1083730047605614E-2</v>
      </c>
      <c r="V231" s="108"/>
      <c r="W231" s="108"/>
      <c r="X231" s="108"/>
      <c r="Y231" s="108"/>
      <c r="Z231" s="108"/>
      <c r="AA231" s="108"/>
      <c r="AB231" s="108"/>
      <c r="AC231" s="108"/>
      <c r="AD231" s="108"/>
      <c r="AE231" s="108"/>
      <c r="AF231" s="108"/>
      <c r="AG231" s="108"/>
      <c r="AH231" s="108"/>
      <c r="AI231" s="108"/>
      <c r="AJ231" s="108"/>
      <c r="AK231" s="108"/>
      <c r="AL231" s="108"/>
      <c r="AM231" s="108"/>
      <c r="AN231" s="108"/>
      <c r="AO231" s="108"/>
      <c r="AP231" s="108"/>
      <c r="AQ231" s="108"/>
      <c r="AR231" s="108"/>
      <c r="AS231" s="108"/>
      <c r="AT231" s="108"/>
      <c r="AU231" s="108"/>
      <c r="AV231" s="108"/>
      <c r="AW231" s="108"/>
      <c r="AX231" s="108"/>
      <c r="AY231" s="108"/>
      <c r="AZ231" s="108"/>
      <c r="BA231" s="108"/>
      <c r="BB231" s="108"/>
      <c r="BC231" s="108"/>
      <c r="BD231" s="108"/>
      <c r="BE231" s="108"/>
      <c r="BF231" s="108"/>
      <c r="BG231" s="108"/>
      <c r="BH231" s="108"/>
      <c r="BI231" s="108"/>
      <c r="BJ231" s="108"/>
      <c r="BK231" s="108"/>
      <c r="BL231" s="108"/>
      <c r="BM231" s="108"/>
      <c r="BN231" s="108"/>
      <c r="BO231" s="108"/>
      <c r="BP231" s="108"/>
      <c r="BQ231" s="108"/>
      <c r="BR231" s="108"/>
      <c r="BS231" s="108"/>
      <c r="BT231" s="108"/>
      <c r="BU231" s="108"/>
      <c r="BV231" s="108"/>
      <c r="BW231" s="108"/>
      <c r="BX231" s="108"/>
      <c r="BY231" s="108"/>
      <c r="BZ231" s="108"/>
      <c r="CA231" s="108"/>
      <c r="CB231" s="108"/>
      <c r="CC231" s="108"/>
      <c r="CD231" s="108"/>
      <c r="CE231" s="108"/>
      <c r="CF231" s="108"/>
      <c r="CG231" s="108"/>
      <c r="CH231" s="108"/>
    </row>
    <row r="232" spans="1:86" s="125" customFormat="1">
      <c r="A232" s="129" t="s">
        <v>25</v>
      </c>
      <c r="B232" s="102">
        <v>274.60000000000002</v>
      </c>
      <c r="C232" s="92">
        <v>224.8</v>
      </c>
      <c r="D232" s="92">
        <v>203.6</v>
      </c>
      <c r="E232" s="92">
        <v>183.6</v>
      </c>
      <c r="F232" s="92">
        <v>170.7</v>
      </c>
      <c r="G232" s="92">
        <v>160.9</v>
      </c>
      <c r="H232" s="92">
        <v>154.9</v>
      </c>
      <c r="I232" s="92">
        <v>152.9</v>
      </c>
      <c r="J232" s="92">
        <v>148.19999999999999</v>
      </c>
      <c r="K232" s="97">
        <v>142.1</v>
      </c>
      <c r="M232" s="130">
        <f t="shared" si="71"/>
        <v>-0.18135469774217045</v>
      </c>
      <c r="N232" s="131">
        <f t="shared" si="71"/>
        <v>-9.4306049822064128E-2</v>
      </c>
      <c r="O232" s="131">
        <f t="shared" si="71"/>
        <v>-9.8231827111984291E-2</v>
      </c>
      <c r="P232" s="131">
        <f t="shared" si="71"/>
        <v>-7.026143790849676E-2</v>
      </c>
      <c r="Q232" s="131">
        <f t="shared" si="71"/>
        <v>-5.741066198008192E-2</v>
      </c>
      <c r="R232" s="131">
        <f t="shared" si="71"/>
        <v>-3.7290242386575509E-2</v>
      </c>
      <c r="S232" s="131">
        <f t="shared" si="71"/>
        <v>-1.2911555842479019E-2</v>
      </c>
      <c r="T232" s="131">
        <f t="shared" si="71"/>
        <v>-3.0739045127534448E-2</v>
      </c>
      <c r="U232" s="132">
        <f t="shared" si="71"/>
        <v>-4.1160593792172705E-2</v>
      </c>
      <c r="V232" s="108"/>
      <c r="W232" s="108"/>
      <c r="X232" s="108"/>
      <c r="Y232" s="108"/>
      <c r="Z232" s="108"/>
      <c r="AA232" s="108"/>
      <c r="AB232" s="108"/>
      <c r="AC232" s="108"/>
      <c r="AD232" s="108"/>
      <c r="AE232" s="108"/>
      <c r="AF232" s="108"/>
      <c r="AG232" s="108"/>
      <c r="AH232" s="108"/>
      <c r="AI232" s="108"/>
      <c r="AJ232" s="108"/>
      <c r="AK232" s="108"/>
      <c r="AL232" s="108"/>
      <c r="AM232" s="108"/>
      <c r="AN232" s="108"/>
      <c r="AO232" s="108"/>
      <c r="AP232" s="108"/>
      <c r="AQ232" s="108"/>
      <c r="AR232" s="108"/>
      <c r="AS232" s="108"/>
      <c r="AT232" s="108"/>
      <c r="AU232" s="108"/>
      <c r="AV232" s="108"/>
      <c r="AW232" s="108"/>
      <c r="AX232" s="108"/>
      <c r="AY232" s="108"/>
      <c r="AZ232" s="108"/>
      <c r="BA232" s="108"/>
      <c r="BB232" s="108"/>
      <c r="BC232" s="108"/>
      <c r="BD232" s="108"/>
      <c r="BE232" s="108"/>
      <c r="BF232" s="108"/>
      <c r="BG232" s="108"/>
      <c r="BH232" s="108"/>
      <c r="BI232" s="108"/>
      <c r="BJ232" s="108"/>
      <c r="BK232" s="108"/>
      <c r="BL232" s="108"/>
      <c r="BM232" s="108"/>
      <c r="BN232" s="108"/>
      <c r="BO232" s="108"/>
      <c r="BP232" s="108"/>
      <c r="BQ232" s="108"/>
      <c r="BR232" s="108"/>
      <c r="BS232" s="108"/>
      <c r="BT232" s="108"/>
      <c r="BU232" s="108"/>
      <c r="BV232" s="108"/>
      <c r="BW232" s="108"/>
      <c r="BX232" s="108"/>
      <c r="BY232" s="108"/>
      <c r="BZ232" s="108"/>
      <c r="CA232" s="108"/>
      <c r="CB232" s="108"/>
      <c r="CC232" s="108"/>
      <c r="CD232" s="108"/>
      <c r="CE232" s="108"/>
      <c r="CF232" s="108"/>
      <c r="CG232" s="108"/>
      <c r="CH232" s="108"/>
    </row>
    <row r="233" spans="1:86" s="145" customFormat="1" thickBot="1">
      <c r="A233" s="155" t="s">
        <v>18</v>
      </c>
      <c r="B233" s="98">
        <f t="shared" ref="B233:K233" si="72">SUM(B231:B232)</f>
        <v>1468.4</v>
      </c>
      <c r="C233" s="99">
        <f t="shared" si="72"/>
        <v>1539.8999999999999</v>
      </c>
      <c r="D233" s="99">
        <f t="shared" si="72"/>
        <v>1590.6999999999998</v>
      </c>
      <c r="E233" s="99">
        <f t="shared" si="72"/>
        <v>1517</v>
      </c>
      <c r="F233" s="99">
        <f t="shared" si="72"/>
        <v>1471.3</v>
      </c>
      <c r="G233" s="99">
        <f t="shared" si="72"/>
        <v>1449.6000000000001</v>
      </c>
      <c r="H233" s="99">
        <f t="shared" si="72"/>
        <v>1475.5</v>
      </c>
      <c r="I233" s="99">
        <f t="shared" si="72"/>
        <v>1529.1000000000001</v>
      </c>
      <c r="J233" s="99">
        <f t="shared" si="72"/>
        <v>1576.6000000000001</v>
      </c>
      <c r="K233" s="100">
        <f t="shared" si="72"/>
        <v>1614.8999999999999</v>
      </c>
      <c r="M233" s="156">
        <f t="shared" si="71"/>
        <v>4.8692454372105537E-2</v>
      </c>
      <c r="N233" s="157">
        <f t="shared" si="71"/>
        <v>3.2989155139944125E-2</v>
      </c>
      <c r="O233" s="157">
        <f t="shared" si="71"/>
        <v>-4.6331803608474151E-2</v>
      </c>
      <c r="P233" s="157">
        <f t="shared" si="71"/>
        <v>-3.012524719841796E-2</v>
      </c>
      <c r="Q233" s="157">
        <f t="shared" si="71"/>
        <v>-1.4748861551009188E-2</v>
      </c>
      <c r="R233" s="157">
        <f t="shared" si="71"/>
        <v>1.7866997792494385E-2</v>
      </c>
      <c r="S233" s="157">
        <f t="shared" si="71"/>
        <v>3.632666892578796E-2</v>
      </c>
      <c r="T233" s="157">
        <f t="shared" si="71"/>
        <v>3.1064024589627884E-2</v>
      </c>
      <c r="U233" s="158">
        <f t="shared" si="71"/>
        <v>2.4292781935811063E-2</v>
      </c>
      <c r="V233" s="110"/>
      <c r="W233" s="110"/>
      <c r="X233" s="110"/>
      <c r="Y233" s="110"/>
      <c r="Z233" s="110"/>
      <c r="AA233" s="110"/>
      <c r="AB233" s="110"/>
      <c r="AC233" s="110"/>
      <c r="AD233" s="110"/>
      <c r="AE233" s="110"/>
      <c r="AF233" s="110"/>
      <c r="AG233" s="110"/>
      <c r="AH233" s="110"/>
      <c r="AI233" s="110"/>
      <c r="AJ233" s="110"/>
      <c r="AK233" s="110"/>
      <c r="AL233" s="110"/>
      <c r="AM233" s="110"/>
      <c r="AN233" s="110"/>
      <c r="AO233" s="110"/>
      <c r="AP233" s="110"/>
      <c r="AQ233" s="110"/>
      <c r="AR233" s="110"/>
      <c r="AS233" s="110"/>
      <c r="AT233" s="110"/>
      <c r="AU233" s="110"/>
      <c r="AV233" s="110"/>
      <c r="AW233" s="110"/>
      <c r="AX233" s="110"/>
      <c r="AY233" s="110"/>
      <c r="AZ233" s="110"/>
      <c r="BA233" s="110"/>
      <c r="BB233" s="110"/>
      <c r="BC233" s="110"/>
      <c r="BD233" s="110"/>
      <c r="BE233" s="110"/>
      <c r="BF233" s="110"/>
      <c r="BG233" s="110"/>
      <c r="BH233" s="110"/>
      <c r="BI233" s="110"/>
      <c r="BJ233" s="110"/>
      <c r="BK233" s="110"/>
      <c r="BL233" s="110"/>
      <c r="BM233" s="110"/>
      <c r="BN233" s="110"/>
      <c r="BO233" s="110"/>
      <c r="BP233" s="110"/>
      <c r="BQ233" s="110"/>
      <c r="BR233" s="110"/>
      <c r="BS233" s="110"/>
      <c r="BT233" s="110"/>
      <c r="BU233" s="110"/>
      <c r="BV233" s="110"/>
      <c r="BW233" s="110"/>
      <c r="BX233" s="110"/>
      <c r="BY233" s="110"/>
      <c r="BZ233" s="110"/>
      <c r="CA233" s="110"/>
      <c r="CB233" s="110"/>
      <c r="CC233" s="110"/>
      <c r="CD233" s="110"/>
      <c r="CE233" s="110"/>
      <c r="CF233" s="110"/>
      <c r="CG233" s="110"/>
      <c r="CH233" s="110"/>
    </row>
    <row r="234" spans="1:86">
      <c r="A234" s="6" t="s">
        <v>37</v>
      </c>
      <c r="B234" s="11"/>
      <c r="C234" s="11"/>
      <c r="D234" s="11"/>
      <c r="E234" s="11"/>
      <c r="F234" s="11"/>
      <c r="G234" s="11"/>
      <c r="M234" s="173"/>
      <c r="N234" s="173"/>
      <c r="O234" s="173"/>
      <c r="P234" s="173"/>
      <c r="Q234" s="125"/>
      <c r="R234" s="125"/>
      <c r="S234" s="125"/>
      <c r="T234" s="125"/>
      <c r="U234" s="125"/>
    </row>
    <row r="235" spans="1:86">
      <c r="A235" s="6" t="s">
        <v>38</v>
      </c>
      <c r="B235" s="11"/>
      <c r="C235" s="11"/>
      <c r="E235" s="11"/>
      <c r="F235" s="11"/>
      <c r="G235" s="11"/>
    </row>
    <row r="236" spans="1:86" s="15" customFormat="1" ht="13.5" customHeight="1" thickBot="1">
      <c r="B236" s="46"/>
      <c r="C236" s="46"/>
      <c r="D236" s="46"/>
      <c r="E236" s="46"/>
      <c r="F236" s="46"/>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41"/>
      <c r="AU236" s="41"/>
      <c r="AV236" s="41"/>
      <c r="AW236" s="41"/>
      <c r="AX236" s="41"/>
      <c r="AY236" s="41"/>
      <c r="AZ236" s="41"/>
      <c r="BA236" s="41"/>
      <c r="BB236" s="41"/>
      <c r="BC236" s="41"/>
      <c r="BD236" s="41"/>
      <c r="BE236" s="41"/>
      <c r="BF236" s="41"/>
      <c r="BG236" s="41"/>
      <c r="BH236" s="41"/>
      <c r="BI236" s="41"/>
      <c r="BJ236" s="41"/>
      <c r="BK236" s="41"/>
      <c r="BL236" s="41"/>
      <c r="BM236" s="41"/>
      <c r="BN236" s="41"/>
      <c r="BO236" s="41"/>
      <c r="BP236" s="41"/>
      <c r="BQ236" s="41"/>
      <c r="BR236" s="41"/>
      <c r="BS236" s="41"/>
      <c r="BT236" s="41"/>
      <c r="BU236" s="41"/>
      <c r="BV236" s="41"/>
      <c r="BW236" s="41"/>
      <c r="BX236" s="41"/>
      <c r="BY236" s="41"/>
      <c r="BZ236" s="41"/>
      <c r="CA236" s="41"/>
      <c r="CB236" s="41"/>
      <c r="CC236" s="41"/>
      <c r="CD236" s="41"/>
      <c r="CE236" s="41"/>
      <c r="CF236" s="41"/>
      <c r="CG236" s="41"/>
      <c r="CH236" s="41"/>
    </row>
    <row r="237" spans="1:86" s="162" customFormat="1" ht="14.25" thickBot="1">
      <c r="A237" s="177"/>
      <c r="B237" s="116" t="s">
        <v>39</v>
      </c>
      <c r="C237" s="3" t="s">
        <v>19</v>
      </c>
      <c r="D237" s="3" t="s">
        <v>40</v>
      </c>
      <c r="E237" s="3" t="s">
        <v>41</v>
      </c>
      <c r="F237" s="3" t="s">
        <v>42</v>
      </c>
      <c r="G237" s="117" t="s">
        <v>43</v>
      </c>
      <c r="H237" s="117" t="s">
        <v>44</v>
      </c>
      <c r="I237" s="117" t="s">
        <v>158</v>
      </c>
      <c r="J237" s="117" t="s">
        <v>167</v>
      </c>
      <c r="K237" s="118" t="s">
        <v>168</v>
      </c>
      <c r="V237" s="178"/>
      <c r="W237" s="178"/>
      <c r="X237" s="178"/>
      <c r="Y237" s="178"/>
      <c r="Z237" s="178"/>
      <c r="AA237" s="178"/>
      <c r="AB237" s="178"/>
      <c r="AC237" s="178"/>
      <c r="AD237" s="178"/>
      <c r="AE237" s="178"/>
      <c r="AF237" s="178"/>
      <c r="AG237" s="178"/>
      <c r="AH237" s="178"/>
      <c r="AI237" s="178"/>
      <c r="AJ237" s="178"/>
      <c r="AK237" s="178"/>
      <c r="AL237" s="178"/>
      <c r="AM237" s="178"/>
      <c r="AN237" s="178"/>
      <c r="AO237" s="178"/>
      <c r="AP237" s="178"/>
      <c r="AQ237" s="178"/>
      <c r="AR237" s="178"/>
      <c r="AS237" s="178"/>
      <c r="AT237" s="178"/>
      <c r="AU237" s="178"/>
      <c r="AV237" s="178"/>
      <c r="AW237" s="178"/>
      <c r="AX237" s="178"/>
      <c r="AY237" s="178"/>
      <c r="AZ237" s="178"/>
      <c r="BA237" s="178"/>
      <c r="BB237" s="178"/>
      <c r="BC237" s="178"/>
      <c r="BD237" s="178"/>
      <c r="BE237" s="178"/>
      <c r="BF237" s="178"/>
      <c r="BG237" s="178"/>
      <c r="BH237" s="178"/>
      <c r="BI237" s="178"/>
      <c r="BJ237" s="178"/>
      <c r="BK237" s="178"/>
      <c r="BL237" s="178"/>
      <c r="BM237" s="178"/>
      <c r="BN237" s="178"/>
      <c r="BO237" s="178"/>
      <c r="BP237" s="178"/>
      <c r="BQ237" s="178"/>
      <c r="BR237" s="178"/>
      <c r="BS237" s="178"/>
      <c r="BT237" s="178"/>
      <c r="BU237" s="178"/>
      <c r="BV237" s="178"/>
      <c r="BW237" s="178"/>
      <c r="BX237" s="178"/>
      <c r="BY237" s="178"/>
      <c r="BZ237" s="178"/>
      <c r="CA237" s="178"/>
      <c r="CB237" s="178"/>
      <c r="CC237" s="178"/>
      <c r="CD237" s="178"/>
      <c r="CE237" s="178"/>
      <c r="CF237" s="178"/>
      <c r="CG237" s="178"/>
      <c r="CH237" s="178"/>
    </row>
    <row r="238" spans="1:86" s="125" customFormat="1" ht="13.5" customHeight="1">
      <c r="A238" s="121" t="s">
        <v>24</v>
      </c>
      <c r="B238" s="321">
        <f>B231/B$233</f>
        <v>0.8129937346771996</v>
      </c>
      <c r="C238" s="322">
        <f t="shared" ref="C238:K238" si="73">C231/C$233</f>
        <v>0.85401649457757001</v>
      </c>
      <c r="D238" s="322">
        <f t="shared" si="73"/>
        <v>0.87200603507889618</v>
      </c>
      <c r="E238" s="322">
        <f t="shared" si="73"/>
        <v>0.87897165458141069</v>
      </c>
      <c r="F238" s="322">
        <f t="shared" si="73"/>
        <v>0.88398015360565485</v>
      </c>
      <c r="G238" s="322">
        <f t="shared" si="73"/>
        <v>0.88900386313465773</v>
      </c>
      <c r="H238" s="322">
        <f t="shared" si="73"/>
        <v>0.89501863774991519</v>
      </c>
      <c r="I238" s="322">
        <f t="shared" si="73"/>
        <v>0.9000065397946504</v>
      </c>
      <c r="J238" s="322">
        <f t="shared" si="73"/>
        <v>0.90600025371051629</v>
      </c>
      <c r="K238" s="323">
        <f t="shared" si="73"/>
        <v>0.91200693541395761</v>
      </c>
      <c r="N238" s="173"/>
      <c r="O238" s="173"/>
      <c r="P238" s="173"/>
      <c r="V238" s="108"/>
      <c r="W238" s="108"/>
      <c r="X238" s="108"/>
      <c r="Y238" s="108"/>
      <c r="Z238" s="108"/>
      <c r="AA238" s="108"/>
      <c r="AB238" s="108"/>
      <c r="AC238" s="108"/>
      <c r="AD238" s="108"/>
      <c r="AE238" s="108"/>
      <c r="AF238" s="108"/>
      <c r="AG238" s="108"/>
      <c r="AH238" s="108"/>
      <c r="AI238" s="108"/>
      <c r="AJ238" s="108"/>
      <c r="AK238" s="108"/>
      <c r="AL238" s="108"/>
      <c r="AM238" s="108"/>
      <c r="AN238" s="108"/>
      <c r="AO238" s="108"/>
      <c r="AP238" s="108"/>
      <c r="AQ238" s="108"/>
      <c r="AR238" s="108"/>
      <c r="AS238" s="108"/>
      <c r="AT238" s="108"/>
      <c r="AU238" s="108"/>
      <c r="AV238" s="108"/>
      <c r="AW238" s="108"/>
      <c r="AX238" s="108"/>
      <c r="AY238" s="108"/>
      <c r="AZ238" s="108"/>
      <c r="BA238" s="108"/>
      <c r="BB238" s="108"/>
      <c r="BC238" s="108"/>
      <c r="BD238" s="108"/>
      <c r="BE238" s="108"/>
      <c r="BF238" s="108"/>
      <c r="BG238" s="108"/>
      <c r="BH238" s="108"/>
      <c r="BI238" s="108"/>
      <c r="BJ238" s="108"/>
      <c r="BK238" s="108"/>
      <c r="BL238" s="108"/>
      <c r="BM238" s="108"/>
      <c r="BN238" s="108"/>
      <c r="BO238" s="108"/>
      <c r="BP238" s="108"/>
      <c r="BQ238" s="108"/>
      <c r="BR238" s="108"/>
      <c r="BS238" s="108"/>
      <c r="BT238" s="108"/>
      <c r="BU238" s="108"/>
      <c r="BV238" s="108"/>
      <c r="BW238" s="108"/>
      <c r="BX238" s="108"/>
      <c r="BY238" s="108"/>
      <c r="BZ238" s="108"/>
      <c r="CA238" s="108"/>
      <c r="CB238" s="108"/>
      <c r="CC238" s="108"/>
      <c r="CD238" s="108"/>
      <c r="CE238" s="108"/>
      <c r="CF238" s="108"/>
      <c r="CG238" s="108"/>
      <c r="CH238" s="108"/>
    </row>
    <row r="239" spans="1:86" s="125" customFormat="1" ht="13.5" customHeight="1">
      <c r="A239" s="129" t="s">
        <v>25</v>
      </c>
      <c r="B239" s="315">
        <f>B232/B$233</f>
        <v>0.18700626532280032</v>
      </c>
      <c r="C239" s="316">
        <f t="shared" ref="C239:K239" si="74">C232/C$233</f>
        <v>0.14598350542243005</v>
      </c>
      <c r="D239" s="316">
        <f t="shared" si="74"/>
        <v>0.12799396492110393</v>
      </c>
      <c r="E239" s="316">
        <f t="shared" si="74"/>
        <v>0.12102834541858931</v>
      </c>
      <c r="F239" s="316">
        <f t="shared" si="74"/>
        <v>0.11601984639434514</v>
      </c>
      <c r="G239" s="316">
        <f t="shared" si="74"/>
        <v>0.11099613686534215</v>
      </c>
      <c r="H239" s="316">
        <f t="shared" si="74"/>
        <v>0.10498136225008473</v>
      </c>
      <c r="I239" s="316">
        <f t="shared" si="74"/>
        <v>9.9993460205349549E-2</v>
      </c>
      <c r="J239" s="316">
        <f t="shared" si="74"/>
        <v>9.3999746289483682E-2</v>
      </c>
      <c r="K239" s="317">
        <f t="shared" si="74"/>
        <v>8.7993064586042488E-2</v>
      </c>
      <c r="N239" s="173"/>
      <c r="O239" s="173"/>
      <c r="P239" s="173"/>
      <c r="V239" s="108"/>
      <c r="W239" s="108"/>
      <c r="X239" s="108"/>
      <c r="Y239" s="108"/>
      <c r="Z239" s="108"/>
      <c r="AA239" s="108"/>
      <c r="AB239" s="108"/>
      <c r="AC239" s="108"/>
      <c r="AD239" s="108"/>
      <c r="AE239" s="108"/>
      <c r="AF239" s="108"/>
      <c r="AG239" s="108"/>
      <c r="AH239" s="108"/>
      <c r="AI239" s="108"/>
      <c r="AJ239" s="108"/>
      <c r="AK239" s="108"/>
      <c r="AL239" s="108"/>
      <c r="AM239" s="108"/>
      <c r="AN239" s="108"/>
      <c r="AO239" s="108"/>
      <c r="AP239" s="108"/>
      <c r="AQ239" s="108"/>
      <c r="AR239" s="108"/>
      <c r="AS239" s="108"/>
      <c r="AT239" s="108"/>
      <c r="AU239" s="108"/>
      <c r="AV239" s="108"/>
      <c r="AW239" s="108"/>
      <c r="AX239" s="108"/>
      <c r="AY239" s="108"/>
      <c r="AZ239" s="108"/>
      <c r="BA239" s="108"/>
      <c r="BB239" s="108"/>
      <c r="BC239" s="108"/>
      <c r="BD239" s="108"/>
      <c r="BE239" s="108"/>
      <c r="BF239" s="108"/>
      <c r="BG239" s="108"/>
      <c r="BH239" s="108"/>
      <c r="BI239" s="108"/>
      <c r="BJ239" s="108"/>
      <c r="BK239" s="108"/>
      <c r="BL239" s="108"/>
      <c r="BM239" s="108"/>
      <c r="BN239" s="108"/>
      <c r="BO239" s="108"/>
      <c r="BP239" s="108"/>
      <c r="BQ239" s="108"/>
      <c r="BR239" s="108"/>
      <c r="BS239" s="108"/>
      <c r="BT239" s="108"/>
      <c r="BU239" s="108"/>
      <c r="BV239" s="108"/>
      <c r="BW239" s="108"/>
      <c r="BX239" s="108"/>
      <c r="BY239" s="108"/>
      <c r="BZ239" s="108"/>
      <c r="CA239" s="108"/>
      <c r="CB239" s="108"/>
      <c r="CC239" s="108"/>
      <c r="CD239" s="108"/>
      <c r="CE239" s="108"/>
      <c r="CF239" s="108"/>
      <c r="CG239" s="108"/>
      <c r="CH239" s="108"/>
    </row>
    <row r="240" spans="1:86" s="125" customFormat="1" ht="13.5" customHeight="1" thickBot="1">
      <c r="A240" s="155" t="s">
        <v>18</v>
      </c>
      <c r="B240" s="179">
        <f t="shared" ref="B240:K240" si="75">SUM(B238:B239)</f>
        <v>0.99999999999999989</v>
      </c>
      <c r="C240" s="180">
        <f t="shared" si="75"/>
        <v>1</v>
      </c>
      <c r="D240" s="180">
        <f t="shared" si="75"/>
        <v>1</v>
      </c>
      <c r="E240" s="180">
        <f t="shared" si="75"/>
        <v>1</v>
      </c>
      <c r="F240" s="180">
        <f t="shared" si="75"/>
        <v>1</v>
      </c>
      <c r="G240" s="180">
        <f t="shared" si="75"/>
        <v>0.99999999999999989</v>
      </c>
      <c r="H240" s="180">
        <f t="shared" si="75"/>
        <v>0.99999999999999989</v>
      </c>
      <c r="I240" s="180">
        <f t="shared" si="75"/>
        <v>1</v>
      </c>
      <c r="J240" s="180">
        <f t="shared" si="75"/>
        <v>1</v>
      </c>
      <c r="K240" s="181">
        <f t="shared" si="75"/>
        <v>1</v>
      </c>
      <c r="V240" s="108"/>
      <c r="W240" s="108"/>
      <c r="X240" s="108"/>
      <c r="Y240" s="108"/>
      <c r="Z240" s="108"/>
      <c r="AA240" s="108"/>
      <c r="AB240" s="108"/>
      <c r="AC240" s="108"/>
      <c r="AD240" s="108"/>
      <c r="AE240" s="108"/>
      <c r="AF240" s="108"/>
      <c r="AG240" s="108"/>
      <c r="AH240" s="108"/>
      <c r="AI240" s="108"/>
      <c r="AJ240" s="108"/>
      <c r="AK240" s="108"/>
      <c r="AL240" s="108"/>
      <c r="AM240" s="108"/>
      <c r="AN240" s="108"/>
      <c r="AO240" s="108"/>
      <c r="AP240" s="108"/>
      <c r="AQ240" s="108"/>
      <c r="AR240" s="108"/>
      <c r="AS240" s="108"/>
      <c r="AT240" s="108"/>
      <c r="AU240" s="108"/>
      <c r="AV240" s="108"/>
      <c r="AW240" s="108"/>
      <c r="AX240" s="108"/>
      <c r="AY240" s="108"/>
      <c r="AZ240" s="108"/>
      <c r="BA240" s="108"/>
      <c r="BB240" s="108"/>
      <c r="BC240" s="108"/>
      <c r="BD240" s="108"/>
      <c r="BE240" s="108"/>
      <c r="BF240" s="108"/>
      <c r="BG240" s="108"/>
      <c r="BH240" s="108"/>
      <c r="BI240" s="108"/>
      <c r="BJ240" s="108"/>
      <c r="BK240" s="108"/>
      <c r="BL240" s="108"/>
      <c r="BM240" s="108"/>
      <c r="BN240" s="108"/>
      <c r="BO240" s="108"/>
      <c r="BP240" s="108"/>
      <c r="BQ240" s="108"/>
      <c r="BR240" s="108"/>
      <c r="BS240" s="108"/>
      <c r="BT240" s="108"/>
      <c r="BU240" s="108"/>
      <c r="BV240" s="108"/>
      <c r="BW240" s="108"/>
      <c r="BX240" s="108"/>
      <c r="BY240" s="108"/>
      <c r="BZ240" s="108"/>
      <c r="CA240" s="108"/>
      <c r="CB240" s="108"/>
      <c r="CC240" s="108"/>
      <c r="CD240" s="108"/>
      <c r="CE240" s="108"/>
      <c r="CF240" s="108"/>
      <c r="CG240" s="108"/>
      <c r="CH240" s="108"/>
    </row>
    <row r="241" spans="1:86" s="15" customFormat="1">
      <c r="B241" s="46"/>
      <c r="C241" s="46"/>
      <c r="D241" s="46"/>
      <c r="E241" s="46"/>
      <c r="F241" s="46"/>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41"/>
      <c r="AU241" s="41"/>
      <c r="AV241" s="41"/>
      <c r="AW241" s="41"/>
      <c r="AX241" s="41"/>
      <c r="AY241" s="41"/>
      <c r="AZ241" s="41"/>
      <c r="BA241" s="41"/>
      <c r="BB241" s="41"/>
      <c r="BC241" s="41"/>
      <c r="BD241" s="41"/>
      <c r="BE241" s="41"/>
      <c r="BF241" s="41"/>
      <c r="BG241" s="41"/>
      <c r="BH241" s="41"/>
      <c r="BI241" s="41"/>
      <c r="BJ241" s="41"/>
      <c r="BK241" s="41"/>
      <c r="BL241" s="41"/>
      <c r="BM241" s="41"/>
      <c r="BN241" s="41"/>
      <c r="BO241" s="41"/>
      <c r="BP241" s="41"/>
      <c r="BQ241" s="41"/>
      <c r="BR241" s="41"/>
      <c r="BS241" s="41"/>
      <c r="BT241" s="41"/>
      <c r="BU241" s="41"/>
      <c r="BV241" s="41"/>
      <c r="BW241" s="41"/>
      <c r="BX241" s="41"/>
      <c r="BY241" s="41"/>
      <c r="BZ241" s="41"/>
      <c r="CA241" s="41"/>
      <c r="CB241" s="41"/>
      <c r="CC241" s="41"/>
      <c r="CD241" s="41"/>
      <c r="CE241" s="41"/>
      <c r="CF241" s="41"/>
      <c r="CG241" s="41"/>
      <c r="CH241" s="41"/>
    </row>
    <row r="242" spans="1:86" s="22" customFormat="1" ht="14.25" thickBot="1">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row>
    <row r="244" spans="1:86">
      <c r="A244" s="23" t="s">
        <v>386</v>
      </c>
      <c r="B244" s="8" t="s">
        <v>385</v>
      </c>
    </row>
    <row r="245" spans="1:86" s="16" customFormat="1" ht="14.25" thickBot="1">
      <c r="G245" s="23"/>
      <c r="H245" s="23"/>
      <c r="I245" s="23"/>
      <c r="J245" s="23"/>
      <c r="K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row>
    <row r="246" spans="1:86" s="125" customFormat="1" ht="14.25" thickBot="1">
      <c r="B246" s="182" t="s">
        <v>145</v>
      </c>
      <c r="C246" s="183" t="s">
        <v>148</v>
      </c>
      <c r="D246" s="185"/>
      <c r="E246" s="185"/>
      <c r="F246" s="185"/>
      <c r="G246" s="199"/>
      <c r="H246" s="200"/>
      <c r="I246" s="200"/>
      <c r="J246" s="200"/>
      <c r="K246" s="200"/>
      <c r="L246" s="185"/>
      <c r="M246" s="200"/>
      <c r="N246" s="200"/>
      <c r="O246" s="200"/>
      <c r="P246" s="200"/>
      <c r="Q246" s="200"/>
      <c r="R246" s="200"/>
      <c r="S246" s="200"/>
      <c r="T246" s="200"/>
      <c r="U246" s="200"/>
      <c r="V246" s="108"/>
      <c r="W246" s="108"/>
      <c r="X246" s="108"/>
      <c r="Y246" s="108"/>
      <c r="Z246" s="108"/>
      <c r="AA246" s="108"/>
      <c r="AB246" s="108"/>
      <c r="AC246" s="108"/>
      <c r="AD246" s="108"/>
      <c r="AE246" s="108"/>
      <c r="AF246" s="108"/>
      <c r="AG246" s="108"/>
      <c r="AH246" s="108"/>
      <c r="AI246" s="108"/>
      <c r="AJ246" s="108"/>
      <c r="AK246" s="108"/>
      <c r="AL246" s="108"/>
      <c r="AM246" s="108"/>
      <c r="AN246" s="108"/>
      <c r="AO246" s="108"/>
      <c r="AP246" s="108"/>
      <c r="AQ246" s="108"/>
      <c r="AR246" s="108"/>
      <c r="AS246" s="108"/>
      <c r="AT246" s="108"/>
      <c r="AU246" s="108"/>
      <c r="AV246" s="108"/>
      <c r="AW246" s="108"/>
      <c r="AX246" s="108"/>
      <c r="AY246" s="108"/>
      <c r="AZ246" s="108"/>
      <c r="BA246" s="108"/>
      <c r="BB246" s="108"/>
      <c r="BC246" s="108"/>
      <c r="BD246" s="108"/>
      <c r="BE246" s="108"/>
      <c r="BF246" s="108"/>
      <c r="BG246" s="108"/>
      <c r="BH246" s="108"/>
      <c r="BI246" s="108"/>
      <c r="BJ246" s="108"/>
      <c r="BK246" s="108"/>
      <c r="BL246" s="108"/>
      <c r="BM246" s="108"/>
      <c r="BN246" s="108"/>
      <c r="BO246" s="108"/>
      <c r="BP246" s="108"/>
      <c r="BQ246" s="108"/>
      <c r="BR246" s="108"/>
      <c r="BS246" s="108"/>
      <c r="BT246" s="108"/>
      <c r="BU246" s="108"/>
      <c r="BV246" s="108"/>
      <c r="BW246" s="108"/>
      <c r="BX246" s="108"/>
      <c r="BY246" s="108"/>
      <c r="BZ246" s="108"/>
      <c r="CA246" s="108"/>
      <c r="CB246" s="108"/>
      <c r="CC246" s="108"/>
      <c r="CD246" s="108"/>
      <c r="CE246" s="108"/>
      <c r="CF246" s="108"/>
      <c r="CG246" s="108"/>
      <c r="CH246" s="108"/>
    </row>
    <row r="247" spans="1:86" s="125" customFormat="1">
      <c r="A247" s="121" t="s">
        <v>24</v>
      </c>
      <c r="B247" s="307">
        <v>64.900000000000006</v>
      </c>
      <c r="C247" s="323">
        <f>B247/B$249</f>
        <v>0.91537376586741892</v>
      </c>
      <c r="D247" s="202"/>
      <c r="E247" s="202"/>
      <c r="F247" s="202"/>
      <c r="G247" s="92"/>
      <c r="H247" s="161"/>
      <c r="I247" s="161"/>
      <c r="J247" s="161"/>
      <c r="K247" s="161"/>
      <c r="L247" s="185"/>
      <c r="M247" s="161"/>
      <c r="N247" s="161"/>
      <c r="O247" s="161"/>
      <c r="P247" s="161"/>
      <c r="Q247" s="161"/>
      <c r="R247" s="203"/>
      <c r="S247" s="203"/>
      <c r="T247" s="203"/>
      <c r="U247" s="203"/>
      <c r="V247" s="108"/>
      <c r="W247" s="108"/>
      <c r="X247" s="108"/>
      <c r="Y247" s="108"/>
      <c r="Z247" s="108"/>
      <c r="AA247" s="108"/>
      <c r="AB247" s="108"/>
      <c r="AC247" s="108"/>
      <c r="AD247" s="108"/>
      <c r="AE247" s="108"/>
      <c r="AF247" s="108"/>
      <c r="AG247" s="108"/>
      <c r="AH247" s="108"/>
      <c r="AI247" s="108"/>
      <c r="AJ247" s="108"/>
      <c r="AK247" s="108"/>
      <c r="AL247" s="108"/>
      <c r="AM247" s="108"/>
      <c r="AN247" s="108"/>
      <c r="AO247" s="108"/>
      <c r="AP247" s="108"/>
      <c r="AQ247" s="108"/>
      <c r="AR247" s="108"/>
      <c r="AS247" s="108"/>
      <c r="AT247" s="108"/>
      <c r="AU247" s="108"/>
      <c r="AV247" s="108"/>
      <c r="AW247" s="108"/>
      <c r="AX247" s="108"/>
      <c r="AY247" s="108"/>
      <c r="AZ247" s="108"/>
      <c r="BA247" s="108"/>
      <c r="BB247" s="108"/>
      <c r="BC247" s="108"/>
      <c r="BD247" s="108"/>
      <c r="BE247" s="108"/>
      <c r="BF247" s="108"/>
      <c r="BG247" s="108"/>
      <c r="BH247" s="108"/>
      <c r="BI247" s="108"/>
      <c r="BJ247" s="108"/>
      <c r="BK247" s="108"/>
      <c r="BL247" s="108"/>
      <c r="BM247" s="108"/>
      <c r="BN247" s="108"/>
      <c r="BO247" s="108"/>
      <c r="BP247" s="108"/>
      <c r="BQ247" s="108"/>
      <c r="BR247" s="108"/>
      <c r="BS247" s="108"/>
      <c r="BT247" s="108"/>
      <c r="BU247" s="108"/>
      <c r="BV247" s="108"/>
      <c r="BW247" s="108"/>
      <c r="BX247" s="108"/>
      <c r="BY247" s="108"/>
      <c r="BZ247" s="108"/>
      <c r="CA247" s="108"/>
      <c r="CB247" s="108"/>
      <c r="CC247" s="108"/>
      <c r="CD247" s="108"/>
      <c r="CE247" s="108"/>
      <c r="CF247" s="108"/>
      <c r="CG247" s="108"/>
      <c r="CH247" s="108"/>
    </row>
    <row r="248" spans="1:86" s="125" customFormat="1">
      <c r="A248" s="129" t="s">
        <v>25</v>
      </c>
      <c r="B248" s="308">
        <v>6</v>
      </c>
      <c r="C248" s="317">
        <f>B248/B$249</f>
        <v>8.4626234132581094E-2</v>
      </c>
      <c r="D248" s="202"/>
      <c r="E248" s="202"/>
      <c r="F248" s="202"/>
      <c r="G248" s="92"/>
      <c r="H248" s="161"/>
      <c r="I248" s="161"/>
      <c r="J248" s="161"/>
      <c r="K248" s="161"/>
      <c r="L248" s="185"/>
      <c r="M248" s="161"/>
      <c r="N248" s="161"/>
      <c r="O248" s="161"/>
      <c r="P248" s="161"/>
      <c r="Q248" s="161"/>
      <c r="R248" s="203"/>
      <c r="S248" s="203"/>
      <c r="T248" s="203"/>
      <c r="U248" s="203"/>
      <c r="V248" s="108"/>
      <c r="W248" s="108"/>
      <c r="X248" s="108"/>
      <c r="Y248" s="108"/>
      <c r="Z248" s="108"/>
      <c r="AA248" s="108"/>
      <c r="AB248" s="108"/>
      <c r="AC248" s="108"/>
      <c r="AD248" s="108"/>
      <c r="AE248" s="108"/>
      <c r="AF248" s="108"/>
      <c r="AG248" s="108"/>
      <c r="AH248" s="108"/>
      <c r="AI248" s="108"/>
      <c r="AJ248" s="108"/>
      <c r="AK248" s="108"/>
      <c r="AL248" s="108"/>
      <c r="AM248" s="108"/>
      <c r="AN248" s="108"/>
      <c r="AO248" s="108"/>
      <c r="AP248" s="108"/>
      <c r="AQ248" s="108"/>
      <c r="AR248" s="108"/>
      <c r="AS248" s="108"/>
      <c r="AT248" s="108"/>
      <c r="AU248" s="108"/>
      <c r="AV248" s="108"/>
      <c r="AW248" s="108"/>
      <c r="AX248" s="108"/>
      <c r="AY248" s="108"/>
      <c r="AZ248" s="108"/>
      <c r="BA248" s="108"/>
      <c r="BB248" s="108"/>
      <c r="BC248" s="108"/>
      <c r="BD248" s="108"/>
      <c r="BE248" s="108"/>
      <c r="BF248" s="108"/>
      <c r="BG248" s="108"/>
      <c r="BH248" s="108"/>
      <c r="BI248" s="108"/>
      <c r="BJ248" s="108"/>
      <c r="BK248" s="108"/>
      <c r="BL248" s="108"/>
      <c r="BM248" s="108"/>
      <c r="BN248" s="108"/>
      <c r="BO248" s="108"/>
      <c r="BP248" s="108"/>
      <c r="BQ248" s="108"/>
      <c r="BR248" s="108"/>
      <c r="BS248" s="108"/>
      <c r="BT248" s="108"/>
      <c r="BU248" s="108"/>
      <c r="BV248" s="108"/>
      <c r="BW248" s="108"/>
      <c r="BX248" s="108"/>
      <c r="BY248" s="108"/>
      <c r="BZ248" s="108"/>
      <c r="CA248" s="108"/>
      <c r="CB248" s="108"/>
      <c r="CC248" s="108"/>
      <c r="CD248" s="108"/>
      <c r="CE248" s="108"/>
      <c r="CF248" s="108"/>
      <c r="CG248" s="108"/>
      <c r="CH248" s="108"/>
    </row>
    <row r="249" spans="1:86" s="145" customFormat="1" thickBot="1">
      <c r="A249" s="155" t="s">
        <v>18</v>
      </c>
      <c r="B249" s="309">
        <f>SUM(B247:B248)</f>
        <v>70.900000000000006</v>
      </c>
      <c r="C249" s="327">
        <f>SUM(C247:C248)</f>
        <v>1</v>
      </c>
      <c r="D249" s="205"/>
      <c r="E249" s="205"/>
      <c r="F249" s="205"/>
      <c r="G249" s="101"/>
      <c r="H249" s="206"/>
      <c r="I249" s="206"/>
      <c r="J249" s="206"/>
      <c r="K249" s="206"/>
      <c r="L249" s="205"/>
      <c r="M249" s="206"/>
      <c r="N249" s="206"/>
      <c r="O249" s="206"/>
      <c r="P249" s="206"/>
      <c r="Q249" s="206"/>
      <c r="R249" s="207"/>
      <c r="S249" s="207"/>
      <c r="T249" s="207"/>
      <c r="U249" s="207"/>
      <c r="V249" s="110"/>
      <c r="W249" s="110"/>
      <c r="X249" s="110"/>
      <c r="Y249" s="110"/>
      <c r="Z249" s="110"/>
      <c r="AA249" s="110"/>
      <c r="AB249" s="110"/>
      <c r="AC249" s="110"/>
      <c r="AD249" s="110"/>
      <c r="AE249" s="110"/>
      <c r="AF249" s="110"/>
      <c r="AG249" s="110"/>
      <c r="AH249" s="110"/>
      <c r="AI249" s="110"/>
      <c r="AJ249" s="110"/>
      <c r="AK249" s="110"/>
      <c r="AL249" s="110"/>
      <c r="AM249" s="110"/>
      <c r="AN249" s="110"/>
      <c r="AO249" s="110"/>
      <c r="AP249" s="110"/>
      <c r="AQ249" s="110"/>
      <c r="AR249" s="110"/>
      <c r="AS249" s="110"/>
      <c r="AT249" s="110"/>
      <c r="AU249" s="110"/>
      <c r="AV249" s="110"/>
      <c r="AW249" s="110"/>
      <c r="AX249" s="110"/>
      <c r="AY249" s="110"/>
      <c r="AZ249" s="110"/>
      <c r="BA249" s="110"/>
      <c r="BB249" s="110"/>
      <c r="BC249" s="110"/>
      <c r="BD249" s="110"/>
      <c r="BE249" s="110"/>
      <c r="BF249" s="110"/>
      <c r="BG249" s="110"/>
      <c r="BH249" s="110"/>
      <c r="BI249" s="110"/>
      <c r="BJ249" s="110"/>
      <c r="BK249" s="110"/>
      <c r="BL249" s="110"/>
      <c r="BM249" s="110"/>
      <c r="BN249" s="110"/>
      <c r="BO249" s="110"/>
      <c r="BP249" s="110"/>
      <c r="BQ249" s="110"/>
      <c r="BR249" s="110"/>
      <c r="BS249" s="110"/>
      <c r="BT249" s="110"/>
      <c r="BU249" s="110"/>
      <c r="BV249" s="110"/>
      <c r="BW249" s="110"/>
      <c r="BX249" s="110"/>
      <c r="BY249" s="110"/>
      <c r="BZ249" s="110"/>
      <c r="CA249" s="110"/>
      <c r="CB249" s="110"/>
      <c r="CC249" s="110"/>
      <c r="CD249" s="110"/>
      <c r="CE249" s="110"/>
      <c r="CF249" s="110"/>
      <c r="CG249" s="110"/>
      <c r="CH249" s="110"/>
    </row>
    <row r="250" spans="1:86">
      <c r="A250" s="6" t="s">
        <v>315</v>
      </c>
      <c r="B250" s="401"/>
      <c r="C250" s="11"/>
      <c r="D250" s="11"/>
      <c r="E250" s="11"/>
      <c r="F250" s="11"/>
      <c r="G250" s="72"/>
      <c r="Q250" s="59"/>
      <c r="R250" s="59"/>
      <c r="S250" s="59"/>
      <c r="T250" s="59"/>
      <c r="U250" s="59"/>
    </row>
    <row r="251" spans="1:86">
      <c r="A251" s="6" t="s">
        <v>29</v>
      </c>
      <c r="B251" s="82"/>
      <c r="C251" s="11"/>
      <c r="D251" s="11"/>
      <c r="E251" s="11"/>
      <c r="F251" s="11"/>
      <c r="G251" s="72"/>
      <c r="H251" s="59"/>
      <c r="I251" s="59"/>
      <c r="J251" s="59"/>
      <c r="K251" s="59"/>
    </row>
    <row r="252" spans="1:86">
      <c r="G252" s="59"/>
      <c r="H252" s="59"/>
      <c r="I252" s="59"/>
      <c r="J252" s="59"/>
      <c r="K252" s="59"/>
    </row>
    <row r="253" spans="1:86" s="22" customFormat="1" ht="14.25" thickBot="1">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row>
    <row r="255" spans="1:86">
      <c r="A255" s="41" t="s">
        <v>388</v>
      </c>
      <c r="B255" s="8" t="s">
        <v>320</v>
      </c>
      <c r="C255" s="15"/>
    </row>
    <row r="256" spans="1:86" s="17" customFormat="1" ht="14.25" thickBot="1">
      <c r="C256" s="19"/>
      <c r="D256" s="19"/>
      <c r="E256" s="19"/>
      <c r="F256" s="19"/>
      <c r="G256" s="19"/>
      <c r="H256" s="19"/>
      <c r="V256" s="59"/>
      <c r="W256" s="59"/>
      <c r="X256" s="59"/>
      <c r="Y256" s="59"/>
      <c r="Z256" s="59"/>
      <c r="AA256" s="59"/>
      <c r="AB256" s="59"/>
      <c r="AC256" s="59"/>
      <c r="AD256" s="59"/>
      <c r="AE256" s="59"/>
      <c r="AF256" s="59"/>
      <c r="AG256" s="59"/>
      <c r="AH256" s="59"/>
      <c r="AI256" s="59"/>
      <c r="AJ256" s="59"/>
      <c r="AK256" s="59"/>
      <c r="AL256" s="59"/>
      <c r="AM256" s="59"/>
      <c r="AN256" s="59"/>
      <c r="AO256" s="59"/>
      <c r="AP256" s="59"/>
      <c r="AQ256" s="59"/>
      <c r="AR256" s="59"/>
      <c r="AS256" s="59"/>
      <c r="AT256" s="59"/>
      <c r="AU256" s="59"/>
      <c r="AV256" s="59"/>
      <c r="AW256" s="59"/>
      <c r="AX256" s="59"/>
      <c r="AY256" s="59"/>
      <c r="AZ256" s="59"/>
      <c r="BA256" s="59"/>
      <c r="BB256" s="59"/>
      <c r="BC256" s="59"/>
      <c r="BD256" s="59"/>
      <c r="BE256" s="59"/>
      <c r="BF256" s="59"/>
      <c r="BG256" s="59"/>
      <c r="BH256" s="59"/>
      <c r="BI256" s="59"/>
      <c r="BJ256" s="59"/>
      <c r="BK256" s="59"/>
      <c r="BL256" s="59"/>
      <c r="BM256" s="59"/>
      <c r="BN256" s="59"/>
      <c r="BO256" s="59"/>
      <c r="BP256" s="59"/>
      <c r="BQ256" s="59"/>
      <c r="BR256" s="59"/>
      <c r="BS256" s="59"/>
      <c r="BT256" s="59"/>
      <c r="BU256" s="59"/>
      <c r="BV256" s="59"/>
      <c r="BW256" s="59"/>
      <c r="BX256" s="59"/>
      <c r="BY256" s="59"/>
      <c r="BZ256" s="59"/>
      <c r="CA256" s="59"/>
      <c r="CB256" s="59"/>
      <c r="CC256" s="59"/>
      <c r="CD256" s="59"/>
      <c r="CE256" s="59"/>
      <c r="CF256" s="59"/>
      <c r="CG256" s="59"/>
      <c r="CH256" s="59"/>
    </row>
    <row r="257" spans="1:86" s="125" customFormat="1" ht="14.25" thickBot="1">
      <c r="B257" s="182" t="s">
        <v>301</v>
      </c>
      <c r="C257" s="183" t="s">
        <v>148</v>
      </c>
      <c r="V257" s="108"/>
      <c r="W257" s="108"/>
      <c r="X257" s="108"/>
      <c r="Y257" s="108"/>
      <c r="Z257" s="108"/>
      <c r="AA257" s="108"/>
      <c r="AB257" s="108"/>
      <c r="AC257" s="108"/>
      <c r="AD257" s="108"/>
      <c r="AE257" s="108"/>
      <c r="AF257" s="108"/>
      <c r="AG257" s="108"/>
      <c r="AH257" s="108"/>
      <c r="AI257" s="108"/>
      <c r="AJ257" s="108"/>
      <c r="AK257" s="108"/>
      <c r="AL257" s="108"/>
      <c r="AM257" s="108"/>
      <c r="AN257" s="108"/>
      <c r="AO257" s="108"/>
      <c r="AP257" s="108"/>
      <c r="AQ257" s="108"/>
      <c r="AR257" s="108"/>
      <c r="AS257" s="108"/>
      <c r="AT257" s="108"/>
      <c r="AU257" s="108"/>
      <c r="AV257" s="108"/>
      <c r="AW257" s="108"/>
      <c r="AX257" s="108"/>
      <c r="AY257" s="108"/>
      <c r="AZ257" s="108"/>
      <c r="BA257" s="108"/>
      <c r="BB257" s="108"/>
      <c r="BC257" s="108"/>
      <c r="BD257" s="108"/>
      <c r="BE257" s="108"/>
      <c r="BF257" s="108"/>
      <c r="BG257" s="108"/>
      <c r="BH257" s="108"/>
      <c r="BI257" s="108"/>
      <c r="BJ257" s="108"/>
      <c r="BK257" s="108"/>
      <c r="BL257" s="108"/>
      <c r="BM257" s="108"/>
      <c r="BN257" s="108"/>
      <c r="BO257" s="108"/>
      <c r="BP257" s="108"/>
      <c r="BQ257" s="108"/>
      <c r="BR257" s="108"/>
      <c r="BS257" s="108"/>
      <c r="BT257" s="108"/>
      <c r="BU257" s="108"/>
      <c r="BV257" s="108"/>
      <c r="BW257" s="108"/>
      <c r="BX257" s="108"/>
      <c r="BY257" s="108"/>
      <c r="BZ257" s="108"/>
      <c r="CA257" s="108"/>
      <c r="CB257" s="108"/>
      <c r="CC257" s="108"/>
      <c r="CD257" s="108"/>
      <c r="CE257" s="108"/>
      <c r="CF257" s="108"/>
      <c r="CG257" s="108"/>
      <c r="CH257" s="108"/>
    </row>
    <row r="258" spans="1:86" s="125" customFormat="1">
      <c r="A258" s="121" t="s">
        <v>140</v>
      </c>
      <c r="B258" s="102">
        <v>910.4</v>
      </c>
      <c r="C258" s="190">
        <f>B258/B$260</f>
        <v>0.6999846224819315</v>
      </c>
      <c r="V258" s="108"/>
      <c r="W258" s="108"/>
      <c r="X258" s="108"/>
      <c r="Y258" s="108"/>
      <c r="Z258" s="108"/>
      <c r="AA258" s="108"/>
      <c r="AB258" s="108"/>
      <c r="AC258" s="108"/>
      <c r="AD258" s="108"/>
      <c r="AE258" s="108"/>
      <c r="AF258" s="108"/>
      <c r="AG258" s="108"/>
      <c r="AH258" s="108"/>
      <c r="AI258" s="108"/>
      <c r="AJ258" s="108"/>
      <c r="AK258" s="108"/>
      <c r="AL258" s="108"/>
      <c r="AM258" s="108"/>
      <c r="AN258" s="108"/>
      <c r="AO258" s="108"/>
      <c r="AP258" s="108"/>
      <c r="AQ258" s="108"/>
      <c r="AR258" s="108"/>
      <c r="AS258" s="108"/>
      <c r="AT258" s="108"/>
      <c r="AU258" s="108"/>
      <c r="AV258" s="108"/>
      <c r="AW258" s="108"/>
      <c r="AX258" s="108"/>
      <c r="AY258" s="108"/>
      <c r="AZ258" s="108"/>
      <c r="BA258" s="108"/>
      <c r="BB258" s="108"/>
      <c r="BC258" s="108"/>
      <c r="BD258" s="108"/>
      <c r="BE258" s="108"/>
      <c r="BF258" s="108"/>
      <c r="BG258" s="108"/>
      <c r="BH258" s="108"/>
      <c r="BI258" s="108"/>
      <c r="BJ258" s="108"/>
      <c r="BK258" s="108"/>
      <c r="BL258" s="108"/>
      <c r="BM258" s="108"/>
      <c r="BN258" s="108"/>
      <c r="BO258" s="108"/>
      <c r="BP258" s="108"/>
      <c r="BQ258" s="108"/>
      <c r="BR258" s="108"/>
      <c r="BS258" s="108"/>
      <c r="BT258" s="108"/>
      <c r="BU258" s="108"/>
      <c r="BV258" s="108"/>
      <c r="BW258" s="108"/>
      <c r="BX258" s="108"/>
      <c r="BY258" s="108"/>
      <c r="BZ258" s="108"/>
      <c r="CA258" s="108"/>
      <c r="CB258" s="108"/>
      <c r="CC258" s="108"/>
      <c r="CD258" s="108"/>
      <c r="CE258" s="108"/>
      <c r="CF258" s="108"/>
      <c r="CG258" s="108"/>
      <c r="CH258" s="108"/>
    </row>
    <row r="259" spans="1:86" s="125" customFormat="1">
      <c r="A259" s="129" t="s">
        <v>141</v>
      </c>
      <c r="B259" s="102">
        <v>390.2</v>
      </c>
      <c r="C259" s="190">
        <f>B259/B$260</f>
        <v>0.30001537751806862</v>
      </c>
      <c r="V259" s="108"/>
      <c r="W259" s="108"/>
      <c r="X259" s="108"/>
      <c r="Y259" s="108"/>
      <c r="Z259" s="108"/>
      <c r="AA259" s="108"/>
      <c r="AB259" s="108"/>
      <c r="AC259" s="108"/>
      <c r="AD259" s="108"/>
      <c r="AE259" s="108"/>
      <c r="AF259" s="108"/>
      <c r="AG259" s="108"/>
      <c r="AH259" s="108"/>
      <c r="AI259" s="108"/>
      <c r="AJ259" s="108"/>
      <c r="AK259" s="108"/>
      <c r="AL259" s="108"/>
      <c r="AM259" s="108"/>
      <c r="AN259" s="108"/>
      <c r="AO259" s="108"/>
      <c r="AP259" s="108"/>
      <c r="AQ259" s="108"/>
      <c r="AR259" s="108"/>
      <c r="AS259" s="108"/>
      <c r="AT259" s="108"/>
      <c r="AU259" s="108"/>
      <c r="AV259" s="108"/>
      <c r="AW259" s="108"/>
      <c r="AX259" s="108"/>
      <c r="AY259" s="108"/>
      <c r="AZ259" s="108"/>
      <c r="BA259" s="108"/>
      <c r="BB259" s="108"/>
      <c r="BC259" s="108"/>
      <c r="BD259" s="108"/>
      <c r="BE259" s="108"/>
      <c r="BF259" s="108"/>
      <c r="BG259" s="108"/>
      <c r="BH259" s="108"/>
      <c r="BI259" s="108"/>
      <c r="BJ259" s="108"/>
      <c r="BK259" s="108"/>
      <c r="BL259" s="108"/>
      <c r="BM259" s="108"/>
      <c r="BN259" s="108"/>
      <c r="BO259" s="108"/>
      <c r="BP259" s="108"/>
      <c r="BQ259" s="108"/>
      <c r="BR259" s="108"/>
      <c r="BS259" s="108"/>
      <c r="BT259" s="108"/>
      <c r="BU259" s="108"/>
      <c r="BV259" s="108"/>
      <c r="BW259" s="108"/>
      <c r="BX259" s="108"/>
      <c r="BY259" s="108"/>
      <c r="BZ259" s="108"/>
      <c r="CA259" s="108"/>
      <c r="CB259" s="108"/>
      <c r="CC259" s="108"/>
      <c r="CD259" s="108"/>
      <c r="CE259" s="108"/>
      <c r="CF259" s="108"/>
      <c r="CG259" s="108"/>
      <c r="CH259" s="108"/>
    </row>
    <row r="260" spans="1:86" s="145" customFormat="1" thickBot="1">
      <c r="A260" s="155" t="s">
        <v>18</v>
      </c>
      <c r="B260" s="98">
        <f>SUM(B258:B259)</f>
        <v>1300.5999999999999</v>
      </c>
      <c r="C260" s="181">
        <f>SUM(C258:C259)</f>
        <v>1</v>
      </c>
      <c r="V260" s="110"/>
      <c r="W260" s="110"/>
      <c r="X260" s="110"/>
      <c r="Y260" s="110"/>
      <c r="Z260" s="110"/>
      <c r="AA260" s="110"/>
      <c r="AB260" s="110"/>
      <c r="AC260" s="110"/>
      <c r="AD260" s="110"/>
      <c r="AE260" s="110"/>
      <c r="AF260" s="110"/>
      <c r="AG260" s="110"/>
      <c r="AH260" s="110"/>
      <c r="AI260" s="110"/>
      <c r="AJ260" s="110"/>
      <c r="AK260" s="110"/>
      <c r="AL260" s="110"/>
      <c r="AM260" s="110"/>
      <c r="AN260" s="110"/>
      <c r="AO260" s="110"/>
      <c r="AP260" s="110"/>
      <c r="AQ260" s="110"/>
      <c r="AR260" s="110"/>
      <c r="AS260" s="110"/>
      <c r="AT260" s="110"/>
      <c r="AU260" s="110"/>
      <c r="AV260" s="110"/>
      <c r="AW260" s="110"/>
      <c r="AX260" s="110"/>
      <c r="AY260" s="110"/>
      <c r="AZ260" s="110"/>
      <c r="BA260" s="110"/>
      <c r="BB260" s="110"/>
      <c r="BC260" s="110"/>
      <c r="BD260" s="110"/>
      <c r="BE260" s="110"/>
      <c r="BF260" s="110"/>
      <c r="BG260" s="110"/>
      <c r="BH260" s="110"/>
      <c r="BI260" s="110"/>
      <c r="BJ260" s="110"/>
      <c r="BK260" s="110"/>
      <c r="BL260" s="110"/>
      <c r="BM260" s="110"/>
      <c r="BN260" s="110"/>
      <c r="BO260" s="110"/>
      <c r="BP260" s="110"/>
      <c r="BQ260" s="110"/>
      <c r="BR260" s="110"/>
      <c r="BS260" s="110"/>
      <c r="BT260" s="110"/>
      <c r="BU260" s="110"/>
      <c r="BV260" s="110"/>
      <c r="BW260" s="110"/>
      <c r="BX260" s="110"/>
      <c r="BY260" s="110"/>
      <c r="BZ260" s="110"/>
      <c r="CA260" s="110"/>
      <c r="CB260" s="110"/>
      <c r="CC260" s="110"/>
      <c r="CD260" s="110"/>
      <c r="CE260" s="110"/>
      <c r="CF260" s="110"/>
      <c r="CG260" s="110"/>
      <c r="CH260" s="110"/>
    </row>
    <row r="261" spans="1:86" s="7" customFormat="1" ht="12.75" customHeight="1">
      <c r="A261" s="6" t="s">
        <v>162</v>
      </c>
      <c r="B261" s="406"/>
      <c r="C261" s="6"/>
      <c r="D261" s="6"/>
      <c r="E261" s="6"/>
      <c r="F261" s="6"/>
      <c r="V261" s="67"/>
      <c r="W261" s="67"/>
      <c r="X261" s="67"/>
      <c r="Y261" s="67"/>
      <c r="Z261" s="67"/>
      <c r="AA261" s="67"/>
      <c r="AB261" s="67"/>
      <c r="AC261" s="67"/>
      <c r="AD261" s="67"/>
      <c r="AE261" s="67"/>
      <c r="AF261" s="67"/>
      <c r="AG261" s="67"/>
      <c r="AH261" s="67"/>
      <c r="AI261" s="67"/>
      <c r="AJ261" s="67"/>
      <c r="AK261" s="67"/>
      <c r="AL261" s="67"/>
      <c r="AM261" s="67"/>
      <c r="AN261" s="67"/>
      <c r="AO261" s="67"/>
      <c r="AP261" s="67"/>
      <c r="AQ261" s="67"/>
      <c r="AR261" s="67"/>
      <c r="AS261" s="67"/>
      <c r="AT261" s="67"/>
      <c r="AU261" s="67"/>
      <c r="AV261" s="67"/>
      <c r="AW261" s="67"/>
      <c r="AX261" s="67"/>
      <c r="AY261" s="67"/>
      <c r="AZ261" s="67"/>
      <c r="BA261" s="67"/>
      <c r="BB261" s="67"/>
      <c r="BC261" s="67"/>
      <c r="BD261" s="67"/>
      <c r="BE261" s="67"/>
      <c r="BF261" s="67"/>
      <c r="BG261" s="67"/>
      <c r="BH261" s="67"/>
      <c r="BI261" s="67"/>
      <c r="BJ261" s="67"/>
      <c r="BK261" s="67"/>
      <c r="BL261" s="67"/>
      <c r="BM261" s="67"/>
      <c r="BN261" s="67"/>
      <c r="BO261" s="67"/>
      <c r="BP261" s="67"/>
      <c r="BQ261" s="67"/>
      <c r="BR261" s="67"/>
      <c r="BS261" s="67"/>
      <c r="BT261" s="67"/>
      <c r="BU261" s="67"/>
      <c r="BV261" s="67"/>
      <c r="BW261" s="67"/>
      <c r="BX261" s="67"/>
      <c r="BY261" s="67"/>
      <c r="BZ261" s="67"/>
      <c r="CA261" s="67"/>
      <c r="CB261" s="67"/>
      <c r="CC261" s="67"/>
      <c r="CD261" s="67"/>
      <c r="CE261" s="67"/>
      <c r="CF261" s="67"/>
      <c r="CG261" s="67"/>
      <c r="CH261" s="67"/>
    </row>
    <row r="262" spans="1:86" s="7" customFormat="1" ht="12.75" customHeight="1">
      <c r="A262" s="6" t="s">
        <v>29</v>
      </c>
      <c r="B262" s="82"/>
      <c r="C262" s="6"/>
      <c r="D262" s="6"/>
      <c r="E262" s="6"/>
      <c r="F262" s="6"/>
      <c r="V262" s="67"/>
      <c r="W262" s="67"/>
      <c r="X262" s="67"/>
      <c r="Y262" s="67"/>
      <c r="Z262" s="67"/>
      <c r="AA262" s="67"/>
      <c r="AB262" s="67"/>
      <c r="AC262" s="67"/>
      <c r="AD262" s="67"/>
      <c r="AE262" s="67"/>
      <c r="AF262" s="67"/>
      <c r="AG262" s="67"/>
      <c r="AH262" s="67"/>
      <c r="AI262" s="67"/>
      <c r="AJ262" s="67"/>
      <c r="AK262" s="67"/>
      <c r="AL262" s="67"/>
      <c r="AM262" s="67"/>
      <c r="AN262" s="67"/>
      <c r="AO262" s="67"/>
      <c r="AP262" s="67"/>
      <c r="AQ262" s="67"/>
      <c r="AR262" s="67"/>
      <c r="AS262" s="67"/>
      <c r="AT262" s="67"/>
      <c r="AU262" s="67"/>
      <c r="AV262" s="67"/>
      <c r="AW262" s="67"/>
      <c r="AX262" s="67"/>
      <c r="AY262" s="67"/>
      <c r="AZ262" s="67"/>
      <c r="BA262" s="67"/>
      <c r="BB262" s="67"/>
      <c r="BC262" s="67"/>
      <c r="BD262" s="67"/>
      <c r="BE262" s="67"/>
      <c r="BF262" s="67"/>
      <c r="BG262" s="67"/>
      <c r="BH262" s="67"/>
      <c r="BI262" s="67"/>
      <c r="BJ262" s="67"/>
      <c r="BK262" s="67"/>
      <c r="BL262" s="67"/>
      <c r="BM262" s="67"/>
      <c r="BN262" s="67"/>
      <c r="BO262" s="67"/>
      <c r="BP262" s="67"/>
      <c r="BQ262" s="67"/>
      <c r="BR262" s="67"/>
      <c r="BS262" s="67"/>
      <c r="BT262" s="67"/>
      <c r="BU262" s="67"/>
      <c r="BV262" s="67"/>
      <c r="BW262" s="67"/>
      <c r="BX262" s="67"/>
      <c r="BY262" s="67"/>
      <c r="BZ262" s="67"/>
      <c r="CA262" s="67"/>
      <c r="CB262" s="67"/>
      <c r="CC262" s="67"/>
      <c r="CD262" s="67"/>
      <c r="CE262" s="67"/>
      <c r="CF262" s="67"/>
      <c r="CG262" s="67"/>
      <c r="CH262" s="67"/>
    </row>
    <row r="263" spans="1:86" s="15" customFormat="1">
      <c r="B263" s="46"/>
      <c r="C263" s="46"/>
      <c r="D263" s="46"/>
      <c r="E263" s="46"/>
      <c r="F263" s="46"/>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41"/>
      <c r="AU263" s="41"/>
      <c r="AV263" s="41"/>
      <c r="AW263" s="41"/>
      <c r="AX263" s="41"/>
      <c r="AY263" s="41"/>
      <c r="AZ263" s="41"/>
      <c r="BA263" s="41"/>
      <c r="BB263" s="41"/>
      <c r="BC263" s="41"/>
      <c r="BD263" s="41"/>
      <c r="BE263" s="41"/>
      <c r="BF263" s="41"/>
      <c r="BG263" s="41"/>
      <c r="BH263" s="41"/>
      <c r="BI263" s="41"/>
      <c r="BJ263" s="41"/>
      <c r="BK263" s="41"/>
      <c r="BL263" s="41"/>
      <c r="BM263" s="41"/>
      <c r="BN263" s="41"/>
      <c r="BO263" s="41"/>
      <c r="BP263" s="41"/>
      <c r="BQ263" s="41"/>
      <c r="BR263" s="41"/>
      <c r="BS263" s="41"/>
      <c r="BT263" s="41"/>
      <c r="BU263" s="41"/>
      <c r="BV263" s="41"/>
      <c r="BW263" s="41"/>
      <c r="BX263" s="41"/>
      <c r="BY263" s="41"/>
      <c r="BZ263" s="41"/>
      <c r="CA263" s="41"/>
      <c r="CB263" s="41"/>
      <c r="CC263" s="41"/>
      <c r="CD263" s="41"/>
      <c r="CE263" s="41"/>
      <c r="CF263" s="41"/>
      <c r="CG263" s="41"/>
      <c r="CH263" s="41"/>
    </row>
    <row r="264" spans="1:86" s="22" customFormat="1" ht="14.25" thickBot="1">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row>
    <row r="266" spans="1:86">
      <c r="A266" s="41" t="s">
        <v>389</v>
      </c>
      <c r="B266" s="8" t="s">
        <v>321</v>
      </c>
      <c r="C266" s="15"/>
    </row>
    <row r="267" spans="1:86" s="17" customFormat="1" ht="14.25" thickBot="1">
      <c r="C267" s="19"/>
      <c r="D267" s="19"/>
      <c r="E267" s="19"/>
      <c r="F267" s="19"/>
      <c r="G267" s="19"/>
      <c r="H267" s="19"/>
      <c r="V267" s="59"/>
      <c r="W267" s="59"/>
      <c r="X267" s="59"/>
      <c r="Y267" s="59"/>
      <c r="Z267" s="59"/>
      <c r="AA267" s="59"/>
      <c r="AB267" s="59"/>
      <c r="AC267" s="59"/>
      <c r="AD267" s="59"/>
      <c r="AE267" s="59"/>
      <c r="AF267" s="59"/>
      <c r="AG267" s="59"/>
      <c r="AH267" s="59"/>
      <c r="AI267" s="59"/>
      <c r="AJ267" s="59"/>
      <c r="AK267" s="59"/>
      <c r="AL267" s="59"/>
      <c r="AM267" s="59"/>
      <c r="AN267" s="59"/>
      <c r="AO267" s="59"/>
      <c r="AP267" s="59"/>
      <c r="AQ267" s="59"/>
      <c r="AR267" s="59"/>
      <c r="AS267" s="59"/>
      <c r="AT267" s="59"/>
      <c r="AU267" s="59"/>
      <c r="AV267" s="59"/>
      <c r="AW267" s="59"/>
      <c r="AX267" s="59"/>
      <c r="AY267" s="59"/>
      <c r="AZ267" s="59"/>
      <c r="BA267" s="59"/>
      <c r="BB267" s="59"/>
      <c r="BC267" s="59"/>
      <c r="BD267" s="59"/>
      <c r="BE267" s="59"/>
      <c r="BF267" s="59"/>
      <c r="BG267" s="59"/>
      <c r="BH267" s="59"/>
      <c r="BI267" s="59"/>
      <c r="BJ267" s="59"/>
      <c r="BK267" s="59"/>
      <c r="BL267" s="59"/>
      <c r="BM267" s="59"/>
      <c r="BN267" s="59"/>
      <c r="BO267" s="59"/>
      <c r="BP267" s="59"/>
      <c r="BQ267" s="59"/>
      <c r="BR267" s="59"/>
      <c r="BS267" s="59"/>
      <c r="BT267" s="59"/>
      <c r="BU267" s="59"/>
      <c r="BV267" s="59"/>
      <c r="BW267" s="59"/>
      <c r="BX267" s="59"/>
      <c r="BY267" s="59"/>
      <c r="BZ267" s="59"/>
      <c r="CA267" s="59"/>
      <c r="CB267" s="59"/>
      <c r="CC267" s="59"/>
      <c r="CD267" s="59"/>
      <c r="CE267" s="59"/>
      <c r="CF267" s="59"/>
      <c r="CG267" s="59"/>
      <c r="CH267" s="59"/>
    </row>
    <row r="268" spans="1:86" s="125" customFormat="1" ht="14.25" thickBot="1">
      <c r="B268" s="182" t="s">
        <v>145</v>
      </c>
      <c r="C268" s="183" t="s">
        <v>148</v>
      </c>
      <c r="V268" s="108"/>
      <c r="W268" s="108"/>
      <c r="X268" s="108"/>
      <c r="Y268" s="108"/>
      <c r="Z268" s="108"/>
      <c r="AA268" s="108"/>
      <c r="AB268" s="108"/>
      <c r="AC268" s="108"/>
      <c r="AD268" s="108"/>
      <c r="AE268" s="108"/>
      <c r="AF268" s="108"/>
      <c r="AG268" s="108"/>
      <c r="AH268" s="108"/>
      <c r="AI268" s="108"/>
      <c r="AJ268" s="108"/>
      <c r="AK268" s="108"/>
      <c r="AL268" s="108"/>
      <c r="AM268" s="108"/>
      <c r="AN268" s="108"/>
      <c r="AO268" s="108"/>
      <c r="AP268" s="108"/>
      <c r="AQ268" s="108"/>
      <c r="AR268" s="108"/>
      <c r="AS268" s="108"/>
      <c r="AT268" s="108"/>
      <c r="AU268" s="108"/>
      <c r="AV268" s="108"/>
      <c r="AW268" s="108"/>
      <c r="AX268" s="108"/>
      <c r="AY268" s="108"/>
      <c r="AZ268" s="108"/>
      <c r="BA268" s="108"/>
      <c r="BB268" s="108"/>
      <c r="BC268" s="108"/>
      <c r="BD268" s="108"/>
      <c r="BE268" s="108"/>
      <c r="BF268" s="108"/>
      <c r="BG268" s="108"/>
      <c r="BH268" s="108"/>
      <c r="BI268" s="108"/>
      <c r="BJ268" s="108"/>
      <c r="BK268" s="108"/>
      <c r="BL268" s="108"/>
      <c r="BM268" s="108"/>
      <c r="BN268" s="108"/>
      <c r="BO268" s="108"/>
      <c r="BP268" s="108"/>
      <c r="BQ268" s="108"/>
      <c r="BR268" s="108"/>
      <c r="BS268" s="108"/>
      <c r="BT268" s="108"/>
      <c r="BU268" s="108"/>
      <c r="BV268" s="108"/>
      <c r="BW268" s="108"/>
      <c r="BX268" s="108"/>
      <c r="BY268" s="108"/>
      <c r="BZ268" s="108"/>
      <c r="CA268" s="108"/>
      <c r="CB268" s="108"/>
      <c r="CC268" s="108"/>
      <c r="CD268" s="108"/>
      <c r="CE268" s="108"/>
      <c r="CF268" s="108"/>
      <c r="CG268" s="108"/>
      <c r="CH268" s="108"/>
    </row>
    <row r="269" spans="1:86" s="125" customFormat="1">
      <c r="A269" s="121" t="s">
        <v>140</v>
      </c>
      <c r="B269" s="308">
        <v>41.5</v>
      </c>
      <c r="C269" s="328">
        <f>B269/B$271</f>
        <v>0.63944530046224957</v>
      </c>
      <c r="V269" s="108"/>
      <c r="W269" s="108"/>
      <c r="X269" s="108"/>
      <c r="Y269" s="108"/>
      <c r="Z269" s="108"/>
      <c r="AA269" s="108"/>
      <c r="AB269" s="108"/>
      <c r="AC269" s="108"/>
      <c r="AD269" s="108"/>
      <c r="AE269" s="108"/>
      <c r="AF269" s="108"/>
      <c r="AG269" s="108"/>
      <c r="AH269" s="108"/>
      <c r="AI269" s="108"/>
      <c r="AJ269" s="108"/>
      <c r="AK269" s="108"/>
      <c r="AL269" s="108"/>
      <c r="AM269" s="108"/>
      <c r="AN269" s="108"/>
      <c r="AO269" s="108"/>
      <c r="AP269" s="108"/>
      <c r="AQ269" s="108"/>
      <c r="AR269" s="108"/>
      <c r="AS269" s="108"/>
      <c r="AT269" s="108"/>
      <c r="AU269" s="108"/>
      <c r="AV269" s="108"/>
      <c r="AW269" s="108"/>
      <c r="AX269" s="108"/>
      <c r="AY269" s="108"/>
      <c r="AZ269" s="108"/>
      <c r="BA269" s="108"/>
      <c r="BB269" s="108"/>
      <c r="BC269" s="108"/>
      <c r="BD269" s="108"/>
      <c r="BE269" s="108"/>
      <c r="BF269" s="108"/>
      <c r="BG269" s="108"/>
      <c r="BH269" s="108"/>
      <c r="BI269" s="108"/>
      <c r="BJ269" s="108"/>
      <c r="BK269" s="108"/>
      <c r="BL269" s="108"/>
      <c r="BM269" s="108"/>
      <c r="BN269" s="108"/>
      <c r="BO269" s="108"/>
      <c r="BP269" s="108"/>
      <c r="BQ269" s="108"/>
      <c r="BR269" s="108"/>
      <c r="BS269" s="108"/>
      <c r="BT269" s="108"/>
      <c r="BU269" s="108"/>
      <c r="BV269" s="108"/>
      <c r="BW269" s="108"/>
      <c r="BX269" s="108"/>
      <c r="BY269" s="108"/>
      <c r="BZ269" s="108"/>
      <c r="CA269" s="108"/>
      <c r="CB269" s="108"/>
      <c r="CC269" s="108"/>
      <c r="CD269" s="108"/>
      <c r="CE269" s="108"/>
      <c r="CF269" s="108"/>
      <c r="CG269" s="108"/>
      <c r="CH269" s="108"/>
    </row>
    <row r="270" spans="1:86" s="125" customFormat="1">
      <c r="A270" s="129" t="s">
        <v>141</v>
      </c>
      <c r="B270" s="308">
        <v>23.4</v>
      </c>
      <c r="C270" s="328">
        <f>B270/B$271</f>
        <v>0.36055469953775032</v>
      </c>
      <c r="V270" s="108"/>
      <c r="W270" s="108"/>
      <c r="X270" s="108"/>
      <c r="Y270" s="108"/>
      <c r="Z270" s="108"/>
      <c r="AA270" s="108"/>
      <c r="AB270" s="108"/>
      <c r="AC270" s="108"/>
      <c r="AD270" s="108"/>
      <c r="AE270" s="108"/>
      <c r="AF270" s="108"/>
      <c r="AG270" s="108"/>
      <c r="AH270" s="108"/>
      <c r="AI270" s="108"/>
      <c r="AJ270" s="108"/>
      <c r="AK270" s="108"/>
      <c r="AL270" s="108"/>
      <c r="AM270" s="108"/>
      <c r="AN270" s="108"/>
      <c r="AO270" s="108"/>
      <c r="AP270" s="108"/>
      <c r="AQ270" s="108"/>
      <c r="AR270" s="108"/>
      <c r="AS270" s="108"/>
      <c r="AT270" s="108"/>
      <c r="AU270" s="108"/>
      <c r="AV270" s="108"/>
      <c r="AW270" s="108"/>
      <c r="AX270" s="108"/>
      <c r="AY270" s="108"/>
      <c r="AZ270" s="108"/>
      <c r="BA270" s="108"/>
      <c r="BB270" s="108"/>
      <c r="BC270" s="108"/>
      <c r="BD270" s="108"/>
      <c r="BE270" s="108"/>
      <c r="BF270" s="108"/>
      <c r="BG270" s="108"/>
      <c r="BH270" s="108"/>
      <c r="BI270" s="108"/>
      <c r="BJ270" s="108"/>
      <c r="BK270" s="108"/>
      <c r="BL270" s="108"/>
      <c r="BM270" s="108"/>
      <c r="BN270" s="108"/>
      <c r="BO270" s="108"/>
      <c r="BP270" s="108"/>
      <c r="BQ270" s="108"/>
      <c r="BR270" s="108"/>
      <c r="BS270" s="108"/>
      <c r="BT270" s="108"/>
      <c r="BU270" s="108"/>
      <c r="BV270" s="108"/>
      <c r="BW270" s="108"/>
      <c r="BX270" s="108"/>
      <c r="BY270" s="108"/>
      <c r="BZ270" s="108"/>
      <c r="CA270" s="108"/>
      <c r="CB270" s="108"/>
      <c r="CC270" s="108"/>
      <c r="CD270" s="108"/>
      <c r="CE270" s="108"/>
      <c r="CF270" s="108"/>
      <c r="CG270" s="108"/>
      <c r="CH270" s="108"/>
    </row>
    <row r="271" spans="1:86" s="145" customFormat="1" thickBot="1">
      <c r="A271" s="155" t="s">
        <v>18</v>
      </c>
      <c r="B271" s="311">
        <f>SUM(B269:B270)</f>
        <v>64.900000000000006</v>
      </c>
      <c r="C271" s="327">
        <f>SUM(C269:C270)</f>
        <v>0.99999999999999989</v>
      </c>
      <c r="V271" s="110"/>
      <c r="W271" s="110"/>
      <c r="X271" s="110"/>
      <c r="Y271" s="110"/>
      <c r="Z271" s="110"/>
      <c r="AA271" s="110"/>
      <c r="AB271" s="110"/>
      <c r="AC271" s="110"/>
      <c r="AD271" s="110"/>
      <c r="AE271" s="110"/>
      <c r="AF271" s="110"/>
      <c r="AG271" s="110"/>
      <c r="AH271" s="110"/>
      <c r="AI271" s="110"/>
      <c r="AJ271" s="110"/>
      <c r="AK271" s="110"/>
      <c r="AL271" s="110"/>
      <c r="AM271" s="110"/>
      <c r="AN271" s="110"/>
      <c r="AO271" s="110"/>
      <c r="AP271" s="110"/>
      <c r="AQ271" s="110"/>
      <c r="AR271" s="110"/>
      <c r="AS271" s="110"/>
      <c r="AT271" s="110"/>
      <c r="AU271" s="110"/>
      <c r="AV271" s="110"/>
      <c r="AW271" s="110"/>
      <c r="AX271" s="110"/>
      <c r="AY271" s="110"/>
      <c r="AZ271" s="110"/>
      <c r="BA271" s="110"/>
      <c r="BB271" s="110"/>
      <c r="BC271" s="110"/>
      <c r="BD271" s="110"/>
      <c r="BE271" s="110"/>
      <c r="BF271" s="110"/>
      <c r="BG271" s="110"/>
      <c r="BH271" s="110"/>
      <c r="BI271" s="110"/>
      <c r="BJ271" s="110"/>
      <c r="BK271" s="110"/>
      <c r="BL271" s="110"/>
      <c r="BM271" s="110"/>
      <c r="BN271" s="110"/>
      <c r="BO271" s="110"/>
      <c r="BP271" s="110"/>
      <c r="BQ271" s="110"/>
      <c r="BR271" s="110"/>
      <c r="BS271" s="110"/>
      <c r="BT271" s="110"/>
      <c r="BU271" s="110"/>
      <c r="BV271" s="110"/>
      <c r="BW271" s="110"/>
      <c r="BX271" s="110"/>
      <c r="BY271" s="110"/>
      <c r="BZ271" s="110"/>
      <c r="CA271" s="110"/>
      <c r="CB271" s="110"/>
      <c r="CC271" s="110"/>
      <c r="CD271" s="110"/>
      <c r="CE271" s="110"/>
      <c r="CF271" s="110"/>
      <c r="CG271" s="110"/>
      <c r="CH271" s="110"/>
    </row>
    <row r="272" spans="1:86" s="7" customFormat="1" ht="12.75" customHeight="1">
      <c r="A272" s="6" t="s">
        <v>315</v>
      </c>
      <c r="B272" s="401"/>
      <c r="C272" s="6"/>
      <c r="D272" s="6"/>
      <c r="E272" s="6"/>
      <c r="F272" s="6"/>
      <c r="V272" s="67"/>
      <c r="W272" s="67"/>
      <c r="X272" s="67"/>
      <c r="Y272" s="67"/>
      <c r="Z272" s="67"/>
      <c r="AA272" s="67"/>
      <c r="AB272" s="67"/>
      <c r="AC272" s="67"/>
      <c r="AD272" s="67"/>
      <c r="AE272" s="67"/>
      <c r="AF272" s="67"/>
      <c r="AG272" s="67"/>
      <c r="AH272" s="67"/>
      <c r="AI272" s="67"/>
      <c r="AJ272" s="67"/>
      <c r="AK272" s="67"/>
      <c r="AL272" s="67"/>
      <c r="AM272" s="67"/>
      <c r="AN272" s="67"/>
      <c r="AO272" s="67"/>
      <c r="AP272" s="67"/>
      <c r="AQ272" s="67"/>
      <c r="AR272" s="67"/>
      <c r="AS272" s="67"/>
      <c r="AT272" s="67"/>
      <c r="AU272" s="67"/>
      <c r="AV272" s="67"/>
      <c r="AW272" s="67"/>
      <c r="AX272" s="67"/>
      <c r="AY272" s="67"/>
      <c r="AZ272" s="67"/>
      <c r="BA272" s="67"/>
      <c r="BB272" s="67"/>
      <c r="BC272" s="67"/>
      <c r="BD272" s="67"/>
      <c r="BE272" s="67"/>
      <c r="BF272" s="67"/>
      <c r="BG272" s="67"/>
      <c r="BH272" s="67"/>
      <c r="BI272" s="67"/>
      <c r="BJ272" s="67"/>
      <c r="BK272" s="67"/>
      <c r="BL272" s="67"/>
      <c r="BM272" s="67"/>
      <c r="BN272" s="67"/>
      <c r="BO272" s="67"/>
      <c r="BP272" s="67"/>
      <c r="BQ272" s="67"/>
      <c r="BR272" s="67"/>
      <c r="BS272" s="67"/>
      <c r="BT272" s="67"/>
      <c r="BU272" s="67"/>
      <c r="BV272" s="67"/>
      <c r="BW272" s="67"/>
      <c r="BX272" s="67"/>
      <c r="BY272" s="67"/>
      <c r="BZ272" s="67"/>
      <c r="CA272" s="67"/>
      <c r="CB272" s="67"/>
      <c r="CC272" s="67"/>
      <c r="CD272" s="67"/>
      <c r="CE272" s="67"/>
      <c r="CF272" s="67"/>
      <c r="CG272" s="67"/>
      <c r="CH272" s="67"/>
    </row>
    <row r="273" spans="1:86" s="7" customFormat="1" ht="12.75" customHeight="1">
      <c r="A273" s="6" t="s">
        <v>29</v>
      </c>
      <c r="B273" s="82"/>
      <c r="C273" s="6"/>
      <c r="D273" s="6"/>
      <c r="E273" s="6"/>
      <c r="F273" s="6"/>
      <c r="V273" s="67"/>
      <c r="W273" s="67"/>
      <c r="X273" s="67"/>
      <c r="Y273" s="67"/>
      <c r="Z273" s="67"/>
      <c r="AA273" s="67"/>
      <c r="AB273" s="67"/>
      <c r="AC273" s="67"/>
      <c r="AD273" s="67"/>
      <c r="AE273" s="67"/>
      <c r="AF273" s="67"/>
      <c r="AG273" s="67"/>
      <c r="AH273" s="67"/>
      <c r="AI273" s="67"/>
      <c r="AJ273" s="67"/>
      <c r="AK273" s="67"/>
      <c r="AL273" s="67"/>
      <c r="AM273" s="67"/>
      <c r="AN273" s="67"/>
      <c r="AO273" s="67"/>
      <c r="AP273" s="67"/>
      <c r="AQ273" s="67"/>
      <c r="AR273" s="67"/>
      <c r="AS273" s="67"/>
      <c r="AT273" s="67"/>
      <c r="AU273" s="67"/>
      <c r="AV273" s="67"/>
      <c r="AW273" s="67"/>
      <c r="AX273" s="67"/>
      <c r="AY273" s="67"/>
      <c r="AZ273" s="67"/>
      <c r="BA273" s="67"/>
      <c r="BB273" s="67"/>
      <c r="BC273" s="67"/>
      <c r="BD273" s="67"/>
      <c r="BE273" s="67"/>
      <c r="BF273" s="67"/>
      <c r="BG273" s="67"/>
      <c r="BH273" s="67"/>
      <c r="BI273" s="67"/>
      <c r="BJ273" s="67"/>
      <c r="BK273" s="67"/>
      <c r="BL273" s="67"/>
      <c r="BM273" s="67"/>
      <c r="BN273" s="67"/>
      <c r="BO273" s="67"/>
      <c r="BP273" s="67"/>
      <c r="BQ273" s="67"/>
      <c r="BR273" s="67"/>
      <c r="BS273" s="67"/>
      <c r="BT273" s="67"/>
      <c r="BU273" s="67"/>
      <c r="BV273" s="67"/>
      <c r="BW273" s="67"/>
      <c r="BX273" s="67"/>
      <c r="BY273" s="67"/>
      <c r="BZ273" s="67"/>
      <c r="CA273" s="67"/>
      <c r="CB273" s="67"/>
      <c r="CC273" s="67"/>
      <c r="CD273" s="67"/>
      <c r="CE273" s="67"/>
      <c r="CF273" s="67"/>
      <c r="CG273" s="67"/>
      <c r="CH273" s="67"/>
    </row>
    <row r="274" spans="1:86" s="15" customFormat="1">
      <c r="B274" s="46"/>
      <c r="C274" s="46"/>
      <c r="D274" s="46"/>
      <c r="E274" s="46"/>
      <c r="F274" s="46"/>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41"/>
      <c r="AU274" s="41"/>
      <c r="AV274" s="41"/>
      <c r="AW274" s="41"/>
      <c r="AX274" s="41"/>
      <c r="AY274" s="41"/>
      <c r="AZ274" s="41"/>
      <c r="BA274" s="41"/>
      <c r="BB274" s="41"/>
      <c r="BC274" s="41"/>
      <c r="BD274" s="41"/>
      <c r="BE274" s="41"/>
      <c r="BF274" s="41"/>
      <c r="BG274" s="41"/>
      <c r="BH274" s="41"/>
      <c r="BI274" s="41"/>
      <c r="BJ274" s="41"/>
      <c r="BK274" s="41"/>
      <c r="BL274" s="41"/>
      <c r="BM274" s="41"/>
      <c r="BN274" s="41"/>
      <c r="BO274" s="41"/>
      <c r="BP274" s="41"/>
      <c r="BQ274" s="41"/>
      <c r="BR274" s="41"/>
      <c r="BS274" s="41"/>
      <c r="BT274" s="41"/>
      <c r="BU274" s="41"/>
      <c r="BV274" s="41"/>
      <c r="BW274" s="41"/>
      <c r="BX274" s="41"/>
      <c r="BY274" s="41"/>
      <c r="BZ274" s="41"/>
      <c r="CA274" s="41"/>
      <c r="CB274" s="41"/>
      <c r="CC274" s="41"/>
      <c r="CD274" s="41"/>
      <c r="CE274" s="41"/>
      <c r="CF274" s="41"/>
      <c r="CG274" s="41"/>
      <c r="CH274" s="41"/>
    </row>
    <row r="275" spans="1:86" s="22" customFormat="1" ht="14.25" thickBot="1">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row>
    <row r="277" spans="1:86">
      <c r="A277" s="41" t="s">
        <v>390</v>
      </c>
      <c r="B277" s="8" t="s">
        <v>322</v>
      </c>
    </row>
    <row r="278" spans="1:86" s="17" customFormat="1" ht="14.25" thickBot="1">
      <c r="Q278" s="59"/>
      <c r="R278" s="59"/>
      <c r="S278" s="59"/>
      <c r="T278" s="59"/>
      <c r="U278" s="59"/>
      <c r="V278" s="59"/>
      <c r="W278" s="59"/>
      <c r="X278" s="59"/>
      <c r="Y278" s="59"/>
      <c r="Z278" s="59"/>
      <c r="AA278" s="59"/>
      <c r="AB278" s="59"/>
      <c r="AC278" s="59"/>
      <c r="AD278" s="59"/>
      <c r="AE278" s="59"/>
      <c r="AF278" s="59"/>
      <c r="AG278" s="59"/>
      <c r="AH278" s="59"/>
      <c r="AI278" s="59"/>
      <c r="AJ278" s="59"/>
      <c r="AK278" s="59"/>
      <c r="AL278" s="59"/>
      <c r="AM278" s="59"/>
      <c r="AN278" s="59"/>
      <c r="AO278" s="59"/>
      <c r="AP278" s="59"/>
      <c r="AQ278" s="59"/>
      <c r="AR278" s="59"/>
      <c r="AS278" s="59"/>
      <c r="AT278" s="59"/>
      <c r="AU278" s="59"/>
      <c r="AV278" s="59"/>
      <c r="AW278" s="59"/>
      <c r="AX278" s="59"/>
      <c r="AY278" s="59"/>
      <c r="AZ278" s="59"/>
      <c r="BA278" s="59"/>
      <c r="BB278" s="59"/>
      <c r="BC278" s="59"/>
      <c r="BD278" s="59"/>
      <c r="BE278" s="59"/>
      <c r="BF278" s="59"/>
      <c r="BG278" s="59"/>
      <c r="BH278" s="59"/>
      <c r="BI278" s="59"/>
      <c r="BJ278" s="59"/>
      <c r="BK278" s="59"/>
      <c r="BL278" s="59"/>
      <c r="BM278" s="59"/>
      <c r="BN278" s="59"/>
      <c r="BO278" s="59"/>
      <c r="BP278" s="59"/>
      <c r="BQ278" s="59"/>
      <c r="BR278" s="59"/>
      <c r="BS278" s="59"/>
      <c r="BT278" s="59"/>
      <c r="BU278" s="59"/>
      <c r="BV278" s="59"/>
      <c r="BW278" s="59"/>
      <c r="BX278" s="59"/>
      <c r="BY278" s="59"/>
      <c r="BZ278" s="59"/>
      <c r="CA278" s="59"/>
      <c r="CB278" s="59"/>
      <c r="CC278" s="59"/>
      <c r="CD278" s="59"/>
      <c r="CE278" s="59"/>
      <c r="CF278" s="59"/>
      <c r="CG278" s="59"/>
      <c r="CH278" s="59"/>
    </row>
    <row r="279" spans="1:86" s="125" customFormat="1" ht="14.25" thickBot="1">
      <c r="B279" s="182" t="s">
        <v>301</v>
      </c>
      <c r="C279" s="183" t="s">
        <v>148</v>
      </c>
      <c r="D279" s="185"/>
      <c r="E279" s="185"/>
      <c r="F279" s="185"/>
      <c r="G279" s="199"/>
      <c r="H279" s="200"/>
      <c r="I279" s="200"/>
      <c r="J279" s="200"/>
      <c r="K279" s="200"/>
      <c r="L279" s="185"/>
      <c r="M279" s="200"/>
      <c r="N279" s="200"/>
      <c r="O279" s="200"/>
      <c r="P279" s="200"/>
      <c r="Q279" s="200"/>
      <c r="R279" s="200"/>
      <c r="S279" s="200"/>
      <c r="T279" s="200"/>
      <c r="U279" s="200"/>
      <c r="V279" s="108"/>
      <c r="W279" s="108"/>
      <c r="X279" s="108"/>
      <c r="Y279" s="108"/>
      <c r="Z279" s="108"/>
      <c r="AA279" s="108"/>
      <c r="AB279" s="108"/>
      <c r="AC279" s="108"/>
      <c r="AD279" s="108"/>
      <c r="AE279" s="108"/>
      <c r="AF279" s="108"/>
      <c r="AG279" s="108"/>
      <c r="AH279" s="108"/>
      <c r="AI279" s="108"/>
      <c r="AJ279" s="108"/>
      <c r="AK279" s="108"/>
      <c r="AL279" s="108"/>
      <c r="AM279" s="108"/>
      <c r="AN279" s="108"/>
      <c r="AO279" s="108"/>
      <c r="AP279" s="108"/>
      <c r="AQ279" s="108"/>
      <c r="AR279" s="108"/>
      <c r="AS279" s="108"/>
      <c r="AT279" s="108"/>
      <c r="AU279" s="108"/>
      <c r="AV279" s="108"/>
      <c r="AW279" s="108"/>
      <c r="AX279" s="108"/>
      <c r="AY279" s="108"/>
      <c r="AZ279" s="108"/>
      <c r="BA279" s="108"/>
      <c r="BB279" s="108"/>
      <c r="BC279" s="108"/>
      <c r="BD279" s="108"/>
      <c r="BE279" s="108"/>
      <c r="BF279" s="108"/>
      <c r="BG279" s="108"/>
      <c r="BH279" s="108"/>
      <c r="BI279" s="108"/>
      <c r="BJ279" s="108"/>
      <c r="BK279" s="108"/>
      <c r="BL279" s="108"/>
      <c r="BM279" s="108"/>
      <c r="BN279" s="108"/>
      <c r="BO279" s="108"/>
      <c r="BP279" s="108"/>
      <c r="BQ279" s="108"/>
      <c r="BR279" s="108"/>
      <c r="BS279" s="108"/>
      <c r="BT279" s="108"/>
      <c r="BU279" s="108"/>
      <c r="BV279" s="108"/>
      <c r="BW279" s="108"/>
      <c r="BX279" s="108"/>
      <c r="BY279" s="108"/>
      <c r="BZ279" s="108"/>
      <c r="CA279" s="108"/>
      <c r="CB279" s="108"/>
      <c r="CC279" s="108"/>
      <c r="CD279" s="108"/>
      <c r="CE279" s="108"/>
      <c r="CF279" s="108"/>
      <c r="CG279" s="108"/>
      <c r="CH279" s="108"/>
    </row>
    <row r="280" spans="1:86" s="125" customFormat="1">
      <c r="A280" s="121" t="s">
        <v>150</v>
      </c>
      <c r="B280" s="102">
        <v>335.5</v>
      </c>
      <c r="C280" s="204">
        <f>B280/B$284</f>
        <v>0.22802963365730988</v>
      </c>
      <c r="D280" s="208"/>
      <c r="E280" s="208"/>
      <c r="F280" s="208"/>
      <c r="G280" s="92"/>
      <c r="H280" s="203"/>
      <c r="I280" s="203"/>
      <c r="J280" s="203"/>
      <c r="K280" s="203"/>
      <c r="L280" s="185"/>
      <c r="M280" s="161"/>
      <c r="N280" s="161"/>
      <c r="O280" s="161"/>
      <c r="P280" s="161"/>
      <c r="Q280" s="161"/>
      <c r="R280" s="203"/>
      <c r="S280" s="203"/>
      <c r="T280" s="203"/>
      <c r="U280" s="203"/>
      <c r="V280" s="108"/>
      <c r="W280" s="108"/>
      <c r="X280" s="108"/>
      <c r="Y280" s="108"/>
      <c r="Z280" s="108"/>
      <c r="AA280" s="108"/>
      <c r="AB280" s="108"/>
      <c r="AC280" s="108"/>
      <c r="AD280" s="108"/>
      <c r="AE280" s="108"/>
      <c r="AF280" s="108"/>
      <c r="AG280" s="108"/>
      <c r="AH280" s="108"/>
      <c r="AI280" s="108"/>
      <c r="AJ280" s="108"/>
      <c r="AK280" s="108"/>
      <c r="AL280" s="108"/>
      <c r="AM280" s="108"/>
      <c r="AN280" s="108"/>
      <c r="AO280" s="108"/>
      <c r="AP280" s="108"/>
      <c r="AQ280" s="108"/>
      <c r="AR280" s="108"/>
      <c r="AS280" s="108"/>
      <c r="AT280" s="108"/>
      <c r="AU280" s="108"/>
      <c r="AV280" s="108"/>
      <c r="AW280" s="108"/>
      <c r="AX280" s="108"/>
      <c r="AY280" s="108"/>
      <c r="AZ280" s="108"/>
      <c r="BA280" s="108"/>
      <c r="BB280" s="108"/>
      <c r="BC280" s="108"/>
      <c r="BD280" s="108"/>
      <c r="BE280" s="108"/>
      <c r="BF280" s="108"/>
      <c r="BG280" s="108"/>
      <c r="BH280" s="108"/>
      <c r="BI280" s="108"/>
      <c r="BJ280" s="108"/>
      <c r="BK280" s="108"/>
      <c r="BL280" s="108"/>
      <c r="BM280" s="108"/>
      <c r="BN280" s="108"/>
      <c r="BO280" s="108"/>
      <c r="BP280" s="108"/>
      <c r="BQ280" s="108"/>
      <c r="BR280" s="108"/>
      <c r="BS280" s="108"/>
      <c r="BT280" s="108"/>
      <c r="BU280" s="108"/>
      <c r="BV280" s="108"/>
      <c r="BW280" s="108"/>
      <c r="BX280" s="108"/>
      <c r="BY280" s="108"/>
      <c r="BZ280" s="108"/>
      <c r="CA280" s="108"/>
      <c r="CB280" s="108"/>
      <c r="CC280" s="108"/>
      <c r="CD280" s="108"/>
      <c r="CE280" s="108"/>
      <c r="CF280" s="108"/>
      <c r="CG280" s="108"/>
      <c r="CH280" s="108"/>
    </row>
    <row r="281" spans="1:86" s="125" customFormat="1">
      <c r="A281" s="129" t="s">
        <v>117</v>
      </c>
      <c r="B281" s="102">
        <v>513.4</v>
      </c>
      <c r="C281" s="204">
        <f t="shared" ref="C281:C283" si="76">B281/B$284</f>
        <v>0.34894311153401752</v>
      </c>
      <c r="D281" s="208"/>
      <c r="E281" s="208"/>
      <c r="F281" s="208"/>
      <c r="G281" s="92"/>
      <c r="H281" s="203"/>
      <c r="I281" s="203"/>
      <c r="J281" s="203"/>
      <c r="K281" s="203"/>
      <c r="L281" s="185"/>
      <c r="M281" s="161"/>
      <c r="N281" s="161"/>
      <c r="O281" s="161"/>
      <c r="P281" s="161"/>
      <c r="Q281" s="161"/>
      <c r="R281" s="203"/>
      <c r="S281" s="203"/>
      <c r="T281" s="203"/>
      <c r="U281" s="203"/>
      <c r="V281" s="108"/>
      <c r="W281" s="108"/>
      <c r="X281" s="108"/>
      <c r="Y281" s="108"/>
      <c r="Z281" s="108"/>
      <c r="AA281" s="108"/>
      <c r="AB281" s="108"/>
      <c r="AC281" s="108"/>
      <c r="AD281" s="108"/>
      <c r="AE281" s="108"/>
      <c r="AF281" s="108"/>
      <c r="AG281" s="108"/>
      <c r="AH281" s="108"/>
      <c r="AI281" s="108"/>
      <c r="AJ281" s="108"/>
      <c r="AK281" s="108"/>
      <c r="AL281" s="108"/>
      <c r="AM281" s="108"/>
      <c r="AN281" s="108"/>
      <c r="AO281" s="108"/>
      <c r="AP281" s="108"/>
      <c r="AQ281" s="108"/>
      <c r="AR281" s="108"/>
      <c r="AS281" s="108"/>
      <c r="AT281" s="108"/>
      <c r="AU281" s="108"/>
      <c r="AV281" s="108"/>
      <c r="AW281" s="108"/>
      <c r="AX281" s="108"/>
      <c r="AY281" s="108"/>
      <c r="AZ281" s="108"/>
      <c r="BA281" s="108"/>
      <c r="BB281" s="108"/>
      <c r="BC281" s="108"/>
      <c r="BD281" s="108"/>
      <c r="BE281" s="108"/>
      <c r="BF281" s="108"/>
      <c r="BG281" s="108"/>
      <c r="BH281" s="108"/>
      <c r="BI281" s="108"/>
      <c r="BJ281" s="108"/>
      <c r="BK281" s="108"/>
      <c r="BL281" s="108"/>
      <c r="BM281" s="108"/>
      <c r="BN281" s="108"/>
      <c r="BO281" s="108"/>
      <c r="BP281" s="108"/>
      <c r="BQ281" s="108"/>
      <c r="BR281" s="108"/>
      <c r="BS281" s="108"/>
      <c r="BT281" s="108"/>
      <c r="BU281" s="108"/>
      <c r="BV281" s="108"/>
      <c r="BW281" s="108"/>
      <c r="BX281" s="108"/>
      <c r="BY281" s="108"/>
      <c r="BZ281" s="108"/>
      <c r="CA281" s="108"/>
      <c r="CB281" s="108"/>
      <c r="CC281" s="108"/>
      <c r="CD281" s="108"/>
      <c r="CE281" s="108"/>
      <c r="CF281" s="108"/>
      <c r="CG281" s="108"/>
      <c r="CH281" s="108"/>
    </row>
    <row r="282" spans="1:86" s="125" customFormat="1">
      <c r="A282" s="129" t="s">
        <v>118</v>
      </c>
      <c r="B282" s="102">
        <v>456.1</v>
      </c>
      <c r="C282" s="204">
        <f t="shared" si="76"/>
        <v>0.30999796098688237</v>
      </c>
      <c r="D282" s="208"/>
      <c r="E282" s="208"/>
      <c r="F282" s="208"/>
      <c r="G282" s="92"/>
      <c r="H282" s="203"/>
      <c r="I282" s="203"/>
      <c r="J282" s="203"/>
      <c r="K282" s="203"/>
      <c r="L282" s="185"/>
      <c r="M282" s="161"/>
      <c r="N282" s="161"/>
      <c r="O282" s="161"/>
      <c r="P282" s="161"/>
      <c r="Q282" s="161"/>
      <c r="R282" s="203"/>
      <c r="S282" s="203"/>
      <c r="T282" s="203"/>
      <c r="U282" s="203"/>
      <c r="V282" s="108"/>
      <c r="W282" s="108"/>
      <c r="X282" s="108"/>
      <c r="Y282" s="108"/>
      <c r="Z282" s="108"/>
      <c r="AA282" s="108"/>
      <c r="AB282" s="108"/>
      <c r="AC282" s="108"/>
      <c r="AD282" s="108"/>
      <c r="AE282" s="108"/>
      <c r="AF282" s="108"/>
      <c r="AG282" s="108"/>
      <c r="AH282" s="108"/>
      <c r="AI282" s="108"/>
      <c r="AJ282" s="108"/>
      <c r="AK282" s="108"/>
      <c r="AL282" s="108"/>
      <c r="AM282" s="108"/>
      <c r="AN282" s="108"/>
      <c r="AO282" s="108"/>
      <c r="AP282" s="108"/>
      <c r="AQ282" s="108"/>
      <c r="AR282" s="108"/>
      <c r="AS282" s="108"/>
      <c r="AT282" s="108"/>
      <c r="AU282" s="108"/>
      <c r="AV282" s="108"/>
      <c r="AW282" s="108"/>
      <c r="AX282" s="108"/>
      <c r="AY282" s="108"/>
      <c r="AZ282" s="108"/>
      <c r="BA282" s="108"/>
      <c r="BB282" s="108"/>
      <c r="BC282" s="108"/>
      <c r="BD282" s="108"/>
      <c r="BE282" s="108"/>
      <c r="BF282" s="108"/>
      <c r="BG282" s="108"/>
      <c r="BH282" s="108"/>
      <c r="BI282" s="108"/>
      <c r="BJ282" s="108"/>
      <c r="BK282" s="108"/>
      <c r="BL282" s="108"/>
      <c r="BM282" s="108"/>
      <c r="BN282" s="108"/>
      <c r="BO282" s="108"/>
      <c r="BP282" s="108"/>
      <c r="BQ282" s="108"/>
      <c r="BR282" s="108"/>
      <c r="BS282" s="108"/>
      <c r="BT282" s="108"/>
      <c r="BU282" s="108"/>
      <c r="BV282" s="108"/>
      <c r="BW282" s="108"/>
      <c r="BX282" s="108"/>
      <c r="BY282" s="108"/>
      <c r="BZ282" s="108"/>
      <c r="CA282" s="108"/>
      <c r="CB282" s="108"/>
      <c r="CC282" s="108"/>
      <c r="CD282" s="108"/>
      <c r="CE282" s="108"/>
      <c r="CF282" s="108"/>
      <c r="CG282" s="108"/>
      <c r="CH282" s="108"/>
    </row>
    <row r="283" spans="1:86" s="125" customFormat="1">
      <c r="A283" s="129" t="s">
        <v>131</v>
      </c>
      <c r="B283" s="102">
        <v>166.3</v>
      </c>
      <c r="C283" s="204">
        <f t="shared" si="76"/>
        <v>0.11302929382179026</v>
      </c>
      <c r="D283" s="208"/>
      <c r="E283" s="208"/>
      <c r="F283" s="208"/>
      <c r="G283" s="92"/>
      <c r="H283" s="203"/>
      <c r="I283" s="203"/>
      <c r="J283" s="203"/>
      <c r="K283" s="203"/>
      <c r="L283" s="185"/>
      <c r="M283" s="161"/>
      <c r="N283" s="161"/>
      <c r="O283" s="161"/>
      <c r="P283" s="161"/>
      <c r="Q283" s="161"/>
      <c r="R283" s="203"/>
      <c r="S283" s="203"/>
      <c r="T283" s="203"/>
      <c r="U283" s="203"/>
      <c r="V283" s="108"/>
      <c r="W283" s="108"/>
      <c r="X283" s="108"/>
      <c r="Y283" s="108"/>
      <c r="Z283" s="108"/>
      <c r="AA283" s="108"/>
      <c r="AB283" s="108"/>
      <c r="AC283" s="108"/>
      <c r="AD283" s="108"/>
      <c r="AE283" s="108"/>
      <c r="AF283" s="108"/>
      <c r="AG283" s="108"/>
      <c r="AH283" s="108"/>
      <c r="AI283" s="108"/>
      <c r="AJ283" s="108"/>
      <c r="AK283" s="108"/>
      <c r="AL283" s="108"/>
      <c r="AM283" s="108"/>
      <c r="AN283" s="108"/>
      <c r="AO283" s="108"/>
      <c r="AP283" s="108"/>
      <c r="AQ283" s="108"/>
      <c r="AR283" s="108"/>
      <c r="AS283" s="108"/>
      <c r="AT283" s="108"/>
      <c r="AU283" s="108"/>
      <c r="AV283" s="108"/>
      <c r="AW283" s="108"/>
      <c r="AX283" s="108"/>
      <c r="AY283" s="108"/>
      <c r="AZ283" s="108"/>
      <c r="BA283" s="108"/>
      <c r="BB283" s="108"/>
      <c r="BC283" s="108"/>
      <c r="BD283" s="108"/>
      <c r="BE283" s="108"/>
      <c r="BF283" s="108"/>
      <c r="BG283" s="108"/>
      <c r="BH283" s="108"/>
      <c r="BI283" s="108"/>
      <c r="BJ283" s="108"/>
      <c r="BK283" s="108"/>
      <c r="BL283" s="108"/>
      <c r="BM283" s="108"/>
      <c r="BN283" s="108"/>
      <c r="BO283" s="108"/>
      <c r="BP283" s="108"/>
      <c r="BQ283" s="108"/>
      <c r="BR283" s="108"/>
      <c r="BS283" s="108"/>
      <c r="BT283" s="108"/>
      <c r="BU283" s="108"/>
      <c r="BV283" s="108"/>
      <c r="BW283" s="108"/>
      <c r="BX283" s="108"/>
      <c r="BY283" s="108"/>
      <c r="BZ283" s="108"/>
      <c r="CA283" s="108"/>
      <c r="CB283" s="108"/>
      <c r="CC283" s="108"/>
      <c r="CD283" s="108"/>
      <c r="CE283" s="108"/>
      <c r="CF283" s="108"/>
      <c r="CG283" s="108"/>
      <c r="CH283" s="108"/>
    </row>
    <row r="284" spans="1:86" s="145" customFormat="1" thickBot="1">
      <c r="A284" s="155" t="s">
        <v>18</v>
      </c>
      <c r="B284" s="94">
        <f>SUM(B280:B283)</f>
        <v>1471.3</v>
      </c>
      <c r="C284" s="181">
        <f>SUM(C280:C283)</f>
        <v>1</v>
      </c>
      <c r="D284" s="205"/>
      <c r="E284" s="205"/>
      <c r="F284" s="205"/>
      <c r="G284" s="101"/>
      <c r="H284" s="207"/>
      <c r="I284" s="207"/>
      <c r="J284" s="207"/>
      <c r="K284" s="207"/>
      <c r="L284" s="205"/>
      <c r="M284" s="206"/>
      <c r="N284" s="206"/>
      <c r="O284" s="206"/>
      <c r="P284" s="206"/>
      <c r="Q284" s="206"/>
      <c r="R284" s="207"/>
      <c r="S284" s="207"/>
      <c r="T284" s="207"/>
      <c r="U284" s="207"/>
      <c r="V284" s="110"/>
      <c r="W284" s="110"/>
      <c r="X284" s="110"/>
      <c r="Y284" s="110"/>
      <c r="Z284" s="110"/>
      <c r="AA284" s="110"/>
      <c r="AB284" s="110"/>
      <c r="AC284" s="110"/>
      <c r="AD284" s="110"/>
      <c r="AE284" s="110"/>
      <c r="AF284" s="110"/>
      <c r="AG284" s="110"/>
      <c r="AH284" s="110"/>
      <c r="AI284" s="110"/>
      <c r="AJ284" s="110"/>
      <c r="AK284" s="110"/>
      <c r="AL284" s="110"/>
      <c r="AM284" s="110"/>
      <c r="AN284" s="110"/>
      <c r="AO284" s="110"/>
      <c r="AP284" s="110"/>
      <c r="AQ284" s="110"/>
      <c r="AR284" s="110"/>
      <c r="AS284" s="110"/>
      <c r="AT284" s="110"/>
      <c r="AU284" s="110"/>
      <c r="AV284" s="110"/>
      <c r="AW284" s="110"/>
      <c r="AX284" s="110"/>
      <c r="AY284" s="110"/>
      <c r="AZ284" s="110"/>
      <c r="BA284" s="110"/>
      <c r="BB284" s="110"/>
      <c r="BC284" s="110"/>
      <c r="BD284" s="110"/>
      <c r="BE284" s="110"/>
      <c r="BF284" s="110"/>
      <c r="BG284" s="110"/>
      <c r="BH284" s="110"/>
      <c r="BI284" s="110"/>
      <c r="BJ284" s="110"/>
      <c r="BK284" s="110"/>
      <c r="BL284" s="110"/>
      <c r="BM284" s="110"/>
      <c r="BN284" s="110"/>
      <c r="BO284" s="110"/>
      <c r="BP284" s="110"/>
      <c r="BQ284" s="110"/>
      <c r="BR284" s="110"/>
      <c r="BS284" s="110"/>
      <c r="BT284" s="110"/>
      <c r="BU284" s="110"/>
      <c r="BV284" s="110"/>
      <c r="BW284" s="110"/>
      <c r="BX284" s="110"/>
      <c r="BY284" s="110"/>
      <c r="BZ284" s="110"/>
      <c r="CA284" s="110"/>
      <c r="CB284" s="110"/>
      <c r="CC284" s="110"/>
      <c r="CD284" s="110"/>
      <c r="CE284" s="110"/>
      <c r="CF284" s="110"/>
      <c r="CG284" s="110"/>
      <c r="CH284" s="110"/>
    </row>
    <row r="285" spans="1:86">
      <c r="A285" s="6" t="s">
        <v>162</v>
      </c>
      <c r="B285" s="11"/>
      <c r="C285" s="11"/>
      <c r="D285" s="11"/>
      <c r="E285" s="11"/>
      <c r="F285" s="11"/>
      <c r="G285" s="72"/>
      <c r="H285" s="59"/>
      <c r="I285" s="59"/>
      <c r="J285" s="59"/>
      <c r="K285" s="59"/>
      <c r="Q285" s="59"/>
      <c r="R285" s="59"/>
      <c r="S285" s="59"/>
      <c r="T285" s="59"/>
      <c r="U285" s="59"/>
    </row>
    <row r="286" spans="1:86">
      <c r="A286" s="6" t="s">
        <v>29</v>
      </c>
      <c r="B286" s="82"/>
      <c r="C286" s="11"/>
      <c r="D286" s="11"/>
      <c r="E286" s="11"/>
      <c r="F286" s="11"/>
      <c r="G286" s="72"/>
      <c r="H286" s="59"/>
      <c r="I286" s="59"/>
      <c r="J286" s="59"/>
      <c r="K286" s="59"/>
      <c r="Q286" s="59"/>
      <c r="R286" s="59"/>
      <c r="S286" s="59"/>
      <c r="T286" s="59"/>
      <c r="U286" s="59"/>
    </row>
    <row r="287" spans="1:86">
      <c r="G287" s="59"/>
      <c r="H287" s="59"/>
      <c r="I287" s="59"/>
      <c r="J287" s="59"/>
      <c r="K287" s="59"/>
    </row>
    <row r="288" spans="1:86" s="22" customFormat="1" ht="14.25" thickBot="1">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row>
    <row r="290" spans="1:86">
      <c r="A290" s="41" t="s">
        <v>391</v>
      </c>
      <c r="B290" s="8" t="s">
        <v>323</v>
      </c>
    </row>
    <row r="291" spans="1:86" ht="14.25" thickBot="1">
      <c r="B291" s="11"/>
      <c r="C291" s="11"/>
      <c r="D291" s="11"/>
      <c r="E291" s="11"/>
    </row>
    <row r="292" spans="1:86" s="125" customFormat="1" ht="14.25" thickBot="1">
      <c r="B292" s="182" t="s">
        <v>301</v>
      </c>
      <c r="C292" s="183" t="s">
        <v>148</v>
      </c>
      <c r="V292" s="108"/>
      <c r="W292" s="108"/>
      <c r="X292" s="108"/>
      <c r="Y292" s="108"/>
      <c r="Z292" s="108"/>
      <c r="AA292" s="108"/>
      <c r="AB292" s="108"/>
      <c r="AC292" s="108"/>
      <c r="AD292" s="108"/>
      <c r="AE292" s="108"/>
      <c r="AF292" s="108"/>
      <c r="AG292" s="108"/>
      <c r="AH292" s="108"/>
      <c r="AI292" s="108"/>
      <c r="AJ292" s="108"/>
      <c r="AK292" s="108"/>
      <c r="AL292" s="108"/>
      <c r="AM292" s="108"/>
      <c r="AN292" s="108"/>
      <c r="AO292" s="108"/>
      <c r="AP292" s="108"/>
      <c r="AQ292" s="108"/>
      <c r="AR292" s="108"/>
      <c r="AS292" s="108"/>
      <c r="AT292" s="108"/>
      <c r="AU292" s="108"/>
      <c r="AV292" s="108"/>
      <c r="AW292" s="108"/>
      <c r="AX292" s="108"/>
      <c r="AY292" s="108"/>
      <c r="AZ292" s="108"/>
      <c r="BA292" s="108"/>
      <c r="BB292" s="108"/>
      <c r="BC292" s="108"/>
      <c r="BD292" s="108"/>
      <c r="BE292" s="108"/>
      <c r="BF292" s="108"/>
      <c r="BG292" s="108"/>
      <c r="BH292" s="108"/>
      <c r="BI292" s="108"/>
      <c r="BJ292" s="108"/>
      <c r="BK292" s="108"/>
      <c r="BL292" s="108"/>
      <c r="BM292" s="108"/>
      <c r="BN292" s="108"/>
      <c r="BO292" s="108"/>
      <c r="BP292" s="108"/>
      <c r="BQ292" s="108"/>
      <c r="BR292" s="108"/>
      <c r="BS292" s="108"/>
      <c r="BT292" s="108"/>
      <c r="BU292" s="108"/>
      <c r="BV292" s="108"/>
      <c r="BW292" s="108"/>
      <c r="BX292" s="108"/>
      <c r="BY292" s="108"/>
      <c r="BZ292" s="108"/>
      <c r="CA292" s="108"/>
      <c r="CB292" s="108"/>
      <c r="CC292" s="108"/>
      <c r="CD292" s="108"/>
      <c r="CE292" s="108"/>
      <c r="CF292" s="108"/>
      <c r="CG292" s="108"/>
      <c r="CH292" s="108"/>
    </row>
    <row r="293" spans="1:86" s="125" customFormat="1">
      <c r="A293" s="121" t="s">
        <v>27</v>
      </c>
      <c r="B293" s="102">
        <v>692.9</v>
      </c>
      <c r="C293" s="190">
        <f>B293/B$296</f>
        <v>0.47094406307347253</v>
      </c>
      <c r="V293" s="108"/>
      <c r="W293" s="108"/>
      <c r="X293" s="108"/>
      <c r="Y293" s="108"/>
      <c r="Z293" s="108"/>
      <c r="AA293" s="108"/>
      <c r="AB293" s="108"/>
      <c r="AC293" s="108"/>
      <c r="AD293" s="108"/>
      <c r="AE293" s="108"/>
      <c r="AF293" s="108"/>
      <c r="AG293" s="108"/>
      <c r="AH293" s="108"/>
      <c r="AI293" s="108"/>
      <c r="AJ293" s="108"/>
      <c r="AK293" s="108"/>
      <c r="AL293" s="108"/>
      <c r="AM293" s="108"/>
      <c r="AN293" s="108"/>
      <c r="AO293" s="108"/>
      <c r="AP293" s="108"/>
      <c r="AQ293" s="108"/>
      <c r="AR293" s="108"/>
      <c r="AS293" s="108"/>
      <c r="AT293" s="108"/>
      <c r="AU293" s="108"/>
      <c r="AV293" s="108"/>
      <c r="AW293" s="108"/>
      <c r="AX293" s="108"/>
      <c r="AY293" s="108"/>
      <c r="AZ293" s="108"/>
      <c r="BA293" s="108"/>
      <c r="BB293" s="108"/>
      <c r="BC293" s="108"/>
      <c r="BD293" s="108"/>
      <c r="BE293" s="108"/>
      <c r="BF293" s="108"/>
      <c r="BG293" s="108"/>
      <c r="BH293" s="108"/>
      <c r="BI293" s="108"/>
      <c r="BJ293" s="108"/>
      <c r="BK293" s="108"/>
      <c r="BL293" s="108"/>
      <c r="BM293" s="108"/>
      <c r="BN293" s="108"/>
      <c r="BO293" s="108"/>
      <c r="BP293" s="108"/>
      <c r="BQ293" s="108"/>
      <c r="BR293" s="108"/>
      <c r="BS293" s="108"/>
      <c r="BT293" s="108"/>
      <c r="BU293" s="108"/>
      <c r="BV293" s="108"/>
      <c r="BW293" s="108"/>
      <c r="BX293" s="108"/>
      <c r="BY293" s="108"/>
      <c r="BZ293" s="108"/>
      <c r="CA293" s="108"/>
      <c r="CB293" s="108"/>
      <c r="CC293" s="108"/>
      <c r="CD293" s="108"/>
      <c r="CE293" s="108"/>
      <c r="CF293" s="108"/>
      <c r="CG293" s="108"/>
      <c r="CH293" s="108"/>
    </row>
    <row r="294" spans="1:86" s="125" customFormat="1">
      <c r="A294" s="129" t="s">
        <v>26</v>
      </c>
      <c r="B294" s="102">
        <v>601.79999999999995</v>
      </c>
      <c r="C294" s="190">
        <f t="shared" ref="C294:C295" si="77">B294/B$296</f>
        <v>0.40902603140080207</v>
      </c>
      <c r="V294" s="108"/>
      <c r="W294" s="108"/>
      <c r="X294" s="108"/>
      <c r="Y294" s="108"/>
      <c r="Z294" s="108"/>
      <c r="AA294" s="108"/>
      <c r="AB294" s="108"/>
      <c r="AC294" s="108"/>
      <c r="AD294" s="108"/>
      <c r="AE294" s="108"/>
      <c r="AF294" s="108"/>
      <c r="AG294" s="108"/>
      <c r="AH294" s="108"/>
      <c r="AI294" s="108"/>
      <c r="AJ294" s="108"/>
      <c r="AK294" s="108"/>
      <c r="AL294" s="108"/>
      <c r="AM294" s="108"/>
      <c r="AN294" s="108"/>
      <c r="AO294" s="108"/>
      <c r="AP294" s="108"/>
      <c r="AQ294" s="108"/>
      <c r="AR294" s="108"/>
      <c r="AS294" s="108"/>
      <c r="AT294" s="108"/>
      <c r="AU294" s="108"/>
      <c r="AV294" s="108"/>
      <c r="AW294" s="108"/>
      <c r="AX294" s="108"/>
      <c r="AY294" s="108"/>
      <c r="AZ294" s="108"/>
      <c r="BA294" s="108"/>
      <c r="BB294" s="108"/>
      <c r="BC294" s="108"/>
      <c r="BD294" s="108"/>
      <c r="BE294" s="108"/>
      <c r="BF294" s="108"/>
      <c r="BG294" s="108"/>
      <c r="BH294" s="108"/>
      <c r="BI294" s="108"/>
      <c r="BJ294" s="108"/>
      <c r="BK294" s="108"/>
      <c r="BL294" s="108"/>
      <c r="BM294" s="108"/>
      <c r="BN294" s="108"/>
      <c r="BO294" s="108"/>
      <c r="BP294" s="108"/>
      <c r="BQ294" s="108"/>
      <c r="BR294" s="108"/>
      <c r="BS294" s="108"/>
      <c r="BT294" s="108"/>
      <c r="BU294" s="108"/>
      <c r="BV294" s="108"/>
      <c r="BW294" s="108"/>
      <c r="BX294" s="108"/>
      <c r="BY294" s="108"/>
      <c r="BZ294" s="108"/>
      <c r="CA294" s="108"/>
      <c r="CB294" s="108"/>
      <c r="CC294" s="108"/>
      <c r="CD294" s="108"/>
      <c r="CE294" s="108"/>
      <c r="CF294" s="108"/>
      <c r="CG294" s="108"/>
      <c r="CH294" s="108"/>
    </row>
    <row r="295" spans="1:86" s="125" customFormat="1">
      <c r="A295" s="129" t="s">
        <v>28</v>
      </c>
      <c r="B295" s="102">
        <v>176.6</v>
      </c>
      <c r="C295" s="190">
        <f t="shared" si="77"/>
        <v>0.12002990552572557</v>
      </c>
      <c r="V295" s="108"/>
      <c r="W295" s="108"/>
      <c r="X295" s="108"/>
      <c r="Y295" s="108"/>
      <c r="Z295" s="108"/>
      <c r="AA295" s="108"/>
      <c r="AB295" s="108"/>
      <c r="AC295" s="108"/>
      <c r="AD295" s="108"/>
      <c r="AE295" s="108"/>
      <c r="AF295" s="108"/>
      <c r="AG295" s="108"/>
      <c r="AH295" s="108"/>
      <c r="AI295" s="108"/>
      <c r="AJ295" s="108"/>
      <c r="AK295" s="108"/>
      <c r="AL295" s="108"/>
      <c r="AM295" s="108"/>
      <c r="AN295" s="108"/>
      <c r="AO295" s="108"/>
      <c r="AP295" s="108"/>
      <c r="AQ295" s="108"/>
      <c r="AR295" s="108"/>
      <c r="AS295" s="108"/>
      <c r="AT295" s="108"/>
      <c r="AU295" s="108"/>
      <c r="AV295" s="108"/>
      <c r="AW295" s="108"/>
      <c r="AX295" s="108"/>
      <c r="AY295" s="108"/>
      <c r="AZ295" s="108"/>
      <c r="BA295" s="108"/>
      <c r="BB295" s="108"/>
      <c r="BC295" s="108"/>
      <c r="BD295" s="108"/>
      <c r="BE295" s="108"/>
      <c r="BF295" s="108"/>
      <c r="BG295" s="108"/>
      <c r="BH295" s="108"/>
      <c r="BI295" s="108"/>
      <c r="BJ295" s="108"/>
      <c r="BK295" s="108"/>
      <c r="BL295" s="108"/>
      <c r="BM295" s="108"/>
      <c r="BN295" s="108"/>
      <c r="BO295" s="108"/>
      <c r="BP295" s="108"/>
      <c r="BQ295" s="108"/>
      <c r="BR295" s="108"/>
      <c r="BS295" s="108"/>
      <c r="BT295" s="108"/>
      <c r="BU295" s="108"/>
      <c r="BV295" s="108"/>
      <c r="BW295" s="108"/>
      <c r="BX295" s="108"/>
      <c r="BY295" s="108"/>
      <c r="BZ295" s="108"/>
      <c r="CA295" s="108"/>
      <c r="CB295" s="108"/>
      <c r="CC295" s="108"/>
      <c r="CD295" s="108"/>
      <c r="CE295" s="108"/>
      <c r="CF295" s="108"/>
      <c r="CG295" s="108"/>
      <c r="CH295" s="108"/>
    </row>
    <row r="296" spans="1:86" s="145" customFormat="1" thickBot="1">
      <c r="A296" s="155" t="s">
        <v>18</v>
      </c>
      <c r="B296" s="98">
        <f>SUM(B293:B295)</f>
        <v>1471.2999999999997</v>
      </c>
      <c r="C296" s="181">
        <f>SUM(C293:C295)</f>
        <v>1</v>
      </c>
      <c r="V296" s="110"/>
      <c r="W296" s="110"/>
      <c r="X296" s="110"/>
      <c r="Y296" s="110"/>
      <c r="Z296" s="110"/>
      <c r="AA296" s="110"/>
      <c r="AB296" s="110"/>
      <c r="AC296" s="110"/>
      <c r="AD296" s="110"/>
      <c r="AE296" s="110"/>
      <c r="AF296" s="110"/>
      <c r="AG296" s="110"/>
      <c r="AH296" s="110"/>
      <c r="AI296" s="110"/>
      <c r="AJ296" s="110"/>
      <c r="AK296" s="110"/>
      <c r="AL296" s="110"/>
      <c r="AM296" s="110"/>
      <c r="AN296" s="110"/>
      <c r="AO296" s="110"/>
      <c r="AP296" s="110"/>
      <c r="AQ296" s="110"/>
      <c r="AR296" s="110"/>
      <c r="AS296" s="110"/>
      <c r="AT296" s="110"/>
      <c r="AU296" s="110"/>
      <c r="AV296" s="110"/>
      <c r="AW296" s="110"/>
      <c r="AX296" s="110"/>
      <c r="AY296" s="110"/>
      <c r="AZ296" s="110"/>
      <c r="BA296" s="110"/>
      <c r="BB296" s="110"/>
      <c r="BC296" s="110"/>
      <c r="BD296" s="110"/>
      <c r="BE296" s="110"/>
      <c r="BF296" s="110"/>
      <c r="BG296" s="110"/>
      <c r="BH296" s="110"/>
      <c r="BI296" s="110"/>
      <c r="BJ296" s="110"/>
      <c r="BK296" s="110"/>
      <c r="BL296" s="110"/>
      <c r="BM296" s="110"/>
      <c r="BN296" s="110"/>
      <c r="BO296" s="110"/>
      <c r="BP296" s="110"/>
      <c r="BQ296" s="110"/>
      <c r="BR296" s="110"/>
      <c r="BS296" s="110"/>
      <c r="BT296" s="110"/>
      <c r="BU296" s="110"/>
      <c r="BV296" s="110"/>
      <c r="BW296" s="110"/>
      <c r="BX296" s="110"/>
      <c r="BY296" s="110"/>
      <c r="BZ296" s="110"/>
      <c r="CA296" s="110"/>
      <c r="CB296" s="110"/>
      <c r="CC296" s="110"/>
      <c r="CD296" s="110"/>
      <c r="CE296" s="110"/>
      <c r="CF296" s="110"/>
      <c r="CG296" s="110"/>
      <c r="CH296" s="110"/>
    </row>
    <row r="297" spans="1:86" s="7" customFormat="1" ht="12.75" customHeight="1">
      <c r="A297" s="6" t="s">
        <v>162</v>
      </c>
      <c r="B297" s="406"/>
      <c r="C297" s="6"/>
      <c r="D297" s="6"/>
      <c r="V297" s="67"/>
      <c r="W297" s="67"/>
      <c r="X297" s="67"/>
      <c r="Y297" s="67"/>
      <c r="Z297" s="67"/>
      <c r="AA297" s="67"/>
      <c r="AB297" s="67"/>
      <c r="AC297" s="67"/>
      <c r="AD297" s="67"/>
      <c r="AE297" s="67"/>
      <c r="AF297" s="67"/>
      <c r="AG297" s="67"/>
      <c r="AH297" s="67"/>
      <c r="AI297" s="67"/>
      <c r="AJ297" s="67"/>
      <c r="AK297" s="67"/>
      <c r="AL297" s="67"/>
      <c r="AM297" s="67"/>
      <c r="AN297" s="67"/>
      <c r="AO297" s="67"/>
      <c r="AP297" s="67"/>
      <c r="AQ297" s="67"/>
      <c r="AR297" s="67"/>
      <c r="AS297" s="67"/>
      <c r="AT297" s="67"/>
      <c r="AU297" s="67"/>
      <c r="AV297" s="67"/>
      <c r="AW297" s="67"/>
      <c r="AX297" s="67"/>
      <c r="AY297" s="67"/>
      <c r="AZ297" s="67"/>
      <c r="BA297" s="67"/>
      <c r="BB297" s="67"/>
      <c r="BC297" s="67"/>
      <c r="BD297" s="67"/>
      <c r="BE297" s="67"/>
      <c r="BF297" s="67"/>
      <c r="BG297" s="67"/>
      <c r="BH297" s="67"/>
      <c r="BI297" s="67"/>
      <c r="BJ297" s="67"/>
      <c r="BK297" s="67"/>
      <c r="BL297" s="67"/>
      <c r="BM297" s="67"/>
      <c r="BN297" s="67"/>
      <c r="BO297" s="67"/>
      <c r="BP297" s="67"/>
      <c r="BQ297" s="67"/>
      <c r="BR297" s="67"/>
      <c r="BS297" s="67"/>
      <c r="BT297" s="67"/>
      <c r="BU297" s="67"/>
      <c r="BV297" s="67"/>
      <c r="BW297" s="67"/>
      <c r="BX297" s="67"/>
      <c r="BY297" s="67"/>
      <c r="BZ297" s="67"/>
      <c r="CA297" s="67"/>
      <c r="CB297" s="67"/>
      <c r="CC297" s="67"/>
      <c r="CD297" s="67"/>
      <c r="CE297" s="67"/>
      <c r="CF297" s="67"/>
      <c r="CG297" s="67"/>
      <c r="CH297" s="67"/>
    </row>
    <row r="298" spans="1:86" s="7" customFormat="1" ht="12.75" customHeight="1">
      <c r="A298" s="6" t="s">
        <v>29</v>
      </c>
      <c r="B298" s="82"/>
      <c r="C298" s="6"/>
      <c r="D298" s="6"/>
      <c r="E298" s="6"/>
      <c r="F298" s="6"/>
      <c r="V298" s="67"/>
      <c r="W298" s="67"/>
      <c r="X298" s="67"/>
      <c r="Y298" s="67"/>
      <c r="Z298" s="67"/>
      <c r="AA298" s="67"/>
      <c r="AB298" s="67"/>
      <c r="AC298" s="67"/>
      <c r="AD298" s="67"/>
      <c r="AE298" s="67"/>
      <c r="AF298" s="67"/>
      <c r="AG298" s="67"/>
      <c r="AH298" s="67"/>
      <c r="AI298" s="67"/>
      <c r="AJ298" s="67"/>
      <c r="AK298" s="67"/>
      <c r="AL298" s="67"/>
      <c r="AM298" s="67"/>
      <c r="AN298" s="67"/>
      <c r="AO298" s="67"/>
      <c r="AP298" s="67"/>
      <c r="AQ298" s="67"/>
      <c r="AR298" s="67"/>
      <c r="AS298" s="67"/>
      <c r="AT298" s="67"/>
      <c r="AU298" s="67"/>
      <c r="AV298" s="67"/>
      <c r="AW298" s="67"/>
      <c r="AX298" s="67"/>
      <c r="AY298" s="67"/>
      <c r="AZ298" s="67"/>
      <c r="BA298" s="67"/>
      <c r="BB298" s="67"/>
      <c r="BC298" s="67"/>
      <c r="BD298" s="67"/>
      <c r="BE298" s="67"/>
      <c r="BF298" s="67"/>
      <c r="BG298" s="67"/>
      <c r="BH298" s="67"/>
      <c r="BI298" s="67"/>
      <c r="BJ298" s="67"/>
      <c r="BK298" s="67"/>
      <c r="BL298" s="67"/>
      <c r="BM298" s="67"/>
      <c r="BN298" s="67"/>
      <c r="BO298" s="67"/>
      <c r="BP298" s="67"/>
      <c r="BQ298" s="67"/>
      <c r="BR298" s="67"/>
      <c r="BS298" s="67"/>
      <c r="BT298" s="67"/>
      <c r="BU298" s="67"/>
      <c r="BV298" s="67"/>
      <c r="BW298" s="67"/>
      <c r="BX298" s="67"/>
      <c r="BY298" s="67"/>
      <c r="BZ298" s="67"/>
      <c r="CA298" s="67"/>
      <c r="CB298" s="67"/>
      <c r="CC298" s="67"/>
      <c r="CD298" s="67"/>
      <c r="CE298" s="67"/>
      <c r="CF298" s="67"/>
      <c r="CG298" s="67"/>
      <c r="CH298" s="67"/>
    </row>
    <row r="301" spans="1:86" s="18" customFormat="1" ht="22.5" customHeight="1">
      <c r="A301" s="337" t="s">
        <v>313</v>
      </c>
      <c r="B301" s="338"/>
      <c r="C301" s="338"/>
      <c r="D301" s="338"/>
      <c r="E301" s="338"/>
      <c r="F301" s="338"/>
      <c r="G301" s="338"/>
      <c r="H301" s="338"/>
      <c r="I301" s="338"/>
      <c r="J301" s="338"/>
      <c r="K301" s="338"/>
      <c r="L301" s="338"/>
      <c r="M301" s="338"/>
      <c r="N301" s="338"/>
      <c r="O301" s="338"/>
      <c r="P301" s="338"/>
      <c r="Q301" s="338"/>
      <c r="R301" s="338"/>
      <c r="S301" s="338"/>
      <c r="T301" s="338"/>
      <c r="U301" s="338"/>
    </row>
    <row r="303" spans="1:86" s="15" customFormat="1">
      <c r="A303" s="41" t="s">
        <v>392</v>
      </c>
      <c r="B303" s="8" t="s">
        <v>326</v>
      </c>
      <c r="J303" s="16"/>
      <c r="K303" s="16"/>
      <c r="L303" s="16"/>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c r="BH303" s="41"/>
      <c r="BI303" s="41"/>
      <c r="BJ303" s="41"/>
      <c r="BK303" s="41"/>
      <c r="BL303" s="41"/>
      <c r="BM303" s="41"/>
      <c r="BN303" s="41"/>
      <c r="BO303" s="41"/>
      <c r="BP303" s="41"/>
      <c r="BQ303" s="41"/>
      <c r="BR303" s="41"/>
      <c r="BS303" s="41"/>
      <c r="BT303" s="41"/>
      <c r="BU303" s="41"/>
      <c r="BV303" s="41"/>
      <c r="BW303" s="41"/>
      <c r="BX303" s="41"/>
      <c r="BY303" s="41"/>
      <c r="BZ303" s="41"/>
      <c r="CA303" s="41"/>
      <c r="CB303" s="41"/>
      <c r="CC303" s="41"/>
      <c r="CD303" s="41"/>
      <c r="CE303" s="41"/>
      <c r="CF303" s="41"/>
      <c r="CG303" s="41"/>
      <c r="CH303" s="41"/>
    </row>
    <row r="304" spans="1:86" s="17" customFormat="1" ht="14.25" thickBot="1">
      <c r="V304" s="59"/>
      <c r="W304" s="59"/>
      <c r="X304" s="59"/>
      <c r="Y304" s="59"/>
      <c r="Z304" s="59"/>
      <c r="AA304" s="59"/>
      <c r="AB304" s="59"/>
      <c r="AC304" s="59"/>
      <c r="AD304" s="59"/>
      <c r="AE304" s="59"/>
      <c r="AF304" s="59"/>
      <c r="AG304" s="59"/>
      <c r="AH304" s="59"/>
      <c r="AI304" s="59"/>
      <c r="AJ304" s="59"/>
      <c r="AK304" s="59"/>
      <c r="AL304" s="59"/>
      <c r="AM304" s="59"/>
      <c r="AN304" s="59"/>
      <c r="AO304" s="59"/>
      <c r="AP304" s="59"/>
      <c r="AQ304" s="59"/>
      <c r="AR304" s="59"/>
      <c r="AS304" s="59"/>
      <c r="AT304" s="59"/>
      <c r="AU304" s="59"/>
      <c r="AV304" s="59"/>
      <c r="AW304" s="59"/>
      <c r="AX304" s="59"/>
      <c r="AY304" s="59"/>
      <c r="AZ304" s="59"/>
      <c r="BA304" s="59"/>
      <c r="BB304" s="59"/>
      <c r="BC304" s="59"/>
      <c r="BD304" s="59"/>
      <c r="BE304" s="59"/>
      <c r="BF304" s="59"/>
      <c r="BG304" s="59"/>
      <c r="BH304" s="59"/>
      <c r="BI304" s="59"/>
      <c r="BJ304" s="59"/>
      <c r="BK304" s="59"/>
      <c r="BL304" s="59"/>
      <c r="BM304" s="59"/>
      <c r="BN304" s="59"/>
      <c r="BO304" s="59"/>
      <c r="BP304" s="59"/>
      <c r="BQ304" s="59"/>
      <c r="BR304" s="59"/>
      <c r="BS304" s="59"/>
      <c r="BT304" s="59"/>
      <c r="BU304" s="59"/>
      <c r="BV304" s="59"/>
      <c r="BW304" s="59"/>
      <c r="BX304" s="59"/>
      <c r="BY304" s="59"/>
      <c r="BZ304" s="59"/>
      <c r="CA304" s="59"/>
      <c r="CB304" s="59"/>
      <c r="CC304" s="59"/>
      <c r="CD304" s="59"/>
      <c r="CE304" s="59"/>
      <c r="CF304" s="59"/>
      <c r="CG304" s="59"/>
      <c r="CH304" s="59"/>
    </row>
    <row r="305" spans="1:86" s="120" customFormat="1" ht="14.25" thickBot="1">
      <c r="A305" s="113"/>
      <c r="B305" s="222">
        <v>2010</v>
      </c>
      <c r="C305" s="47">
        <v>2011</v>
      </c>
      <c r="D305" s="47">
        <v>2012</v>
      </c>
      <c r="E305" s="47">
        <v>2013</v>
      </c>
      <c r="F305" s="47">
        <v>2014</v>
      </c>
      <c r="G305" s="232">
        <v>2015</v>
      </c>
      <c r="H305" s="232">
        <v>2016</v>
      </c>
      <c r="I305" s="232">
        <v>2017</v>
      </c>
      <c r="J305" s="232">
        <v>2018</v>
      </c>
      <c r="K305" s="233">
        <v>2019</v>
      </c>
      <c r="L305" s="115"/>
      <c r="M305" s="116" t="s">
        <v>31</v>
      </c>
      <c r="N305" s="3" t="s">
        <v>32</v>
      </c>
      <c r="O305" s="3" t="s">
        <v>33</v>
      </c>
      <c r="P305" s="3" t="s">
        <v>34</v>
      </c>
      <c r="Q305" s="117" t="s">
        <v>35</v>
      </c>
      <c r="R305" s="117" t="s">
        <v>36</v>
      </c>
      <c r="S305" s="117" t="s">
        <v>160</v>
      </c>
      <c r="T305" s="117" t="s">
        <v>169</v>
      </c>
      <c r="U305" s="118" t="s">
        <v>170</v>
      </c>
      <c r="V305" s="88"/>
      <c r="W305" s="119"/>
      <c r="X305" s="119"/>
      <c r="Y305" s="119"/>
      <c r="Z305" s="119"/>
      <c r="AA305" s="119"/>
      <c r="AB305" s="119"/>
      <c r="AC305" s="119"/>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c r="AX305" s="119"/>
      <c r="AY305" s="119"/>
      <c r="AZ305" s="119"/>
      <c r="BA305" s="119"/>
      <c r="BB305" s="119"/>
      <c r="BC305" s="119"/>
      <c r="BD305" s="119"/>
      <c r="BE305" s="119"/>
      <c r="BF305" s="119"/>
      <c r="BG305" s="119"/>
      <c r="BH305" s="119"/>
      <c r="BI305" s="119"/>
      <c r="BJ305" s="119"/>
      <c r="BK305" s="119"/>
      <c r="BL305" s="119"/>
      <c r="BM305" s="119"/>
      <c r="BN305" s="119"/>
      <c r="BO305" s="119"/>
      <c r="BP305" s="119"/>
      <c r="BQ305" s="119"/>
      <c r="BR305" s="119"/>
      <c r="BS305" s="119"/>
      <c r="BT305" s="119"/>
      <c r="BU305" s="119"/>
      <c r="BV305" s="119"/>
      <c r="BW305" s="119"/>
      <c r="BX305" s="119"/>
      <c r="BY305" s="119"/>
      <c r="BZ305" s="119"/>
      <c r="CA305" s="119"/>
      <c r="CB305" s="119"/>
      <c r="CC305" s="119"/>
      <c r="CD305" s="119"/>
      <c r="CE305" s="119"/>
      <c r="CF305" s="119"/>
      <c r="CG305" s="119"/>
      <c r="CH305" s="119"/>
    </row>
    <row r="306" spans="1:86" s="125" customFormat="1">
      <c r="A306" s="121" t="s">
        <v>145</v>
      </c>
      <c r="B306" s="122">
        <v>29.7</v>
      </c>
      <c r="C306" s="123">
        <v>30.7</v>
      </c>
      <c r="D306" s="123">
        <v>32.9</v>
      </c>
      <c r="E306" s="123">
        <v>34.1</v>
      </c>
      <c r="F306" s="123">
        <v>32.6</v>
      </c>
      <c r="G306" s="123">
        <v>30.8</v>
      </c>
      <c r="H306" s="123">
        <v>30</v>
      </c>
      <c r="I306" s="123">
        <v>30.4</v>
      </c>
      <c r="J306" s="123">
        <v>30.6</v>
      </c>
      <c r="K306" s="124">
        <v>32</v>
      </c>
      <c r="M306" s="126">
        <f t="shared" ref="M306" si="78">(C306-B306)/B306</f>
        <v>3.3670033670033669E-2</v>
      </c>
      <c r="N306" s="127">
        <f t="shared" ref="N306:N308" si="79">(D306-C306)/C306</f>
        <v>7.1661237785016263E-2</v>
      </c>
      <c r="O306" s="127">
        <f t="shared" ref="O306:O308" si="80">(E306-D306)/D306</f>
        <v>3.647416413373869E-2</v>
      </c>
      <c r="P306" s="127">
        <f t="shared" ref="P306:P308" si="81">(F306-E306)/E306</f>
        <v>-4.3988269794721403E-2</v>
      </c>
      <c r="Q306" s="127">
        <f t="shared" ref="Q306:Q308" si="82">(G306-F306)/F306</f>
        <v>-5.5214723926380389E-2</v>
      </c>
      <c r="R306" s="127">
        <f t="shared" ref="R306:R308" si="83">(H306-G306)/G306</f>
        <v>-2.5974025974025997E-2</v>
      </c>
      <c r="S306" s="127">
        <f t="shared" ref="S306:S308" si="84">(I306-H306)/H306</f>
        <v>1.3333333333333286E-2</v>
      </c>
      <c r="T306" s="127">
        <f t="shared" ref="T306:T308" si="85">(J306-I306)/I306</f>
        <v>6.5789473684211468E-3</v>
      </c>
      <c r="U306" s="128">
        <f t="shared" ref="U306:U308" si="86">(K306-J306)/J306</f>
        <v>4.5751633986928053E-2</v>
      </c>
      <c r="V306" s="108"/>
      <c r="W306" s="108"/>
      <c r="X306" s="108"/>
      <c r="Y306" s="108"/>
      <c r="Z306" s="108"/>
      <c r="AA306" s="108"/>
      <c r="AB306" s="108"/>
      <c r="AC306" s="108"/>
      <c r="AD306" s="108"/>
      <c r="AE306" s="108"/>
      <c r="AF306" s="108"/>
      <c r="AG306" s="108"/>
      <c r="AH306" s="108"/>
      <c r="AI306" s="108"/>
      <c r="AJ306" s="108"/>
      <c r="AK306" s="108"/>
      <c r="AL306" s="108"/>
      <c r="AM306" s="108"/>
      <c r="AN306" s="108"/>
      <c r="AO306" s="108"/>
      <c r="AP306" s="108"/>
      <c r="AQ306" s="108"/>
      <c r="AR306" s="108"/>
      <c r="AS306" s="108"/>
      <c r="AT306" s="108"/>
      <c r="AU306" s="108"/>
      <c r="AV306" s="108"/>
      <c r="AW306" s="108"/>
      <c r="AX306" s="108"/>
      <c r="AY306" s="108"/>
      <c r="AZ306" s="108"/>
      <c r="BA306" s="108"/>
      <c r="BB306" s="108"/>
      <c r="BC306" s="108"/>
      <c r="BD306" s="108"/>
      <c r="BE306" s="108"/>
      <c r="BF306" s="108"/>
      <c r="BG306" s="108"/>
      <c r="BH306" s="108"/>
      <c r="BI306" s="108"/>
      <c r="BJ306" s="108"/>
      <c r="BK306" s="108"/>
      <c r="BL306" s="108"/>
      <c r="BM306" s="108"/>
      <c r="BN306" s="108"/>
      <c r="BO306" s="108"/>
      <c r="BP306" s="108"/>
      <c r="BQ306" s="108"/>
      <c r="BR306" s="108"/>
      <c r="BS306" s="108"/>
      <c r="BT306" s="108"/>
      <c r="BU306" s="108"/>
      <c r="BV306" s="108"/>
      <c r="BW306" s="108"/>
      <c r="BX306" s="108"/>
      <c r="BY306" s="108"/>
      <c r="BZ306" s="108"/>
      <c r="CA306" s="108"/>
      <c r="CB306" s="108"/>
      <c r="CC306" s="108"/>
      <c r="CD306" s="108"/>
      <c r="CE306" s="108"/>
      <c r="CF306" s="108"/>
      <c r="CG306" s="108"/>
      <c r="CH306" s="108"/>
    </row>
    <row r="307" spans="1:86" s="125" customFormat="1">
      <c r="A307" s="129" t="s">
        <v>301</v>
      </c>
      <c r="B307" s="91">
        <v>930.1</v>
      </c>
      <c r="C307" s="52">
        <v>942.5</v>
      </c>
      <c r="D307" s="52">
        <v>991.4</v>
      </c>
      <c r="E307" s="52">
        <v>990.8</v>
      </c>
      <c r="F307" s="52">
        <v>964.8</v>
      </c>
      <c r="G307" s="52">
        <v>908.6</v>
      </c>
      <c r="H307" s="52">
        <v>890.9</v>
      </c>
      <c r="I307" s="52">
        <v>898</v>
      </c>
      <c r="J307" s="52">
        <v>909.2</v>
      </c>
      <c r="K307" s="93">
        <v>950</v>
      </c>
      <c r="M307" s="130">
        <f>(C307-B307)/B307</f>
        <v>1.3331899795720865E-2</v>
      </c>
      <c r="N307" s="131">
        <f t="shared" si="79"/>
        <v>5.1883289124668414E-2</v>
      </c>
      <c r="O307" s="131">
        <f t="shared" si="80"/>
        <v>-6.0520476094414236E-4</v>
      </c>
      <c r="P307" s="131">
        <f t="shared" si="81"/>
        <v>-2.6241421073879695E-2</v>
      </c>
      <c r="Q307" s="131">
        <f t="shared" si="82"/>
        <v>-5.8250414593698105E-2</v>
      </c>
      <c r="R307" s="131">
        <f t="shared" si="83"/>
        <v>-1.9480519480519529E-2</v>
      </c>
      <c r="S307" s="131">
        <f t="shared" si="84"/>
        <v>7.9694690762150897E-3</v>
      </c>
      <c r="T307" s="131">
        <f t="shared" si="85"/>
        <v>1.2472160356347489E-2</v>
      </c>
      <c r="U307" s="132">
        <f t="shared" si="86"/>
        <v>4.4874615046194402E-2</v>
      </c>
      <c r="V307" s="108"/>
      <c r="W307" s="108"/>
      <c r="X307" s="108"/>
      <c r="Y307" s="108"/>
      <c r="Z307" s="108"/>
      <c r="AA307" s="108"/>
      <c r="AB307" s="108"/>
      <c r="AC307" s="108"/>
      <c r="AD307" s="108"/>
      <c r="AE307" s="108"/>
      <c r="AF307" s="108"/>
      <c r="AG307" s="108"/>
      <c r="AH307" s="108"/>
      <c r="AI307" s="108"/>
      <c r="AJ307" s="108"/>
      <c r="AK307" s="108"/>
      <c r="AL307" s="108"/>
      <c r="AM307" s="108"/>
      <c r="AN307" s="108"/>
      <c r="AO307" s="108"/>
      <c r="AP307" s="108"/>
      <c r="AQ307" s="108"/>
      <c r="AR307" s="108"/>
      <c r="AS307" s="108"/>
      <c r="AT307" s="108"/>
      <c r="AU307" s="108"/>
      <c r="AV307" s="108"/>
      <c r="AW307" s="108"/>
      <c r="AX307" s="108"/>
      <c r="AY307" s="108"/>
      <c r="AZ307" s="108"/>
      <c r="BA307" s="108"/>
      <c r="BB307" s="108"/>
      <c r="BC307" s="108"/>
      <c r="BD307" s="108"/>
      <c r="BE307" s="108"/>
      <c r="BF307" s="108"/>
      <c r="BG307" s="108"/>
      <c r="BH307" s="108"/>
      <c r="BI307" s="108"/>
      <c r="BJ307" s="108"/>
      <c r="BK307" s="108"/>
      <c r="BL307" s="108"/>
      <c r="BM307" s="108"/>
      <c r="BN307" s="108"/>
      <c r="BO307" s="108"/>
      <c r="BP307" s="108"/>
      <c r="BQ307" s="108"/>
      <c r="BR307" s="108"/>
      <c r="BS307" s="108"/>
      <c r="BT307" s="108"/>
      <c r="BU307" s="108"/>
      <c r="BV307" s="108"/>
      <c r="BW307" s="108"/>
      <c r="BX307" s="108"/>
      <c r="BY307" s="108"/>
      <c r="BZ307" s="108"/>
      <c r="CA307" s="108"/>
      <c r="CB307" s="108"/>
      <c r="CC307" s="108"/>
      <c r="CD307" s="108"/>
      <c r="CE307" s="108"/>
      <c r="CF307" s="108"/>
      <c r="CG307" s="108"/>
      <c r="CH307" s="108"/>
    </row>
    <row r="308" spans="1:86" s="125" customFormat="1" ht="14.25" thickBot="1">
      <c r="A308" s="133" t="s">
        <v>156</v>
      </c>
      <c r="B308" s="134">
        <f>B306*1000000/(B307*1000)</f>
        <v>31.932050317170198</v>
      </c>
      <c r="C308" s="135">
        <f t="shared" ref="C308:F308" si="87">C306*1000000/(C307*1000)</f>
        <v>32.57294429708223</v>
      </c>
      <c r="D308" s="135">
        <f t="shared" si="87"/>
        <v>33.185394391769215</v>
      </c>
      <c r="E308" s="135">
        <f t="shared" si="87"/>
        <v>34.416633023819138</v>
      </c>
      <c r="F308" s="135">
        <f t="shared" si="87"/>
        <v>33.789386401326702</v>
      </c>
      <c r="G308" s="135">
        <v>33.799999999999997</v>
      </c>
      <c r="H308" s="135">
        <v>33.799999999999997</v>
      </c>
      <c r="I308" s="135">
        <v>33.799999999999997</v>
      </c>
      <c r="J308" s="135">
        <v>33.799999999999997</v>
      </c>
      <c r="K308" s="136">
        <v>33.799999999999997</v>
      </c>
      <c r="M308" s="137">
        <f>(C308-B308)/B308</f>
        <v>2.0070555242969072E-2</v>
      </c>
      <c r="N308" s="138">
        <f t="shared" si="79"/>
        <v>1.8802417402035268E-2</v>
      </c>
      <c r="O308" s="138">
        <f t="shared" si="80"/>
        <v>3.7101823094659377E-2</v>
      </c>
      <c r="P308" s="138">
        <f t="shared" si="81"/>
        <v>-1.8225101277580803E-2</v>
      </c>
      <c r="Q308" s="138">
        <f t="shared" si="82"/>
        <v>3.1411042944770411E-4</v>
      </c>
      <c r="R308" s="138">
        <f t="shared" si="83"/>
        <v>0</v>
      </c>
      <c r="S308" s="138">
        <f t="shared" si="84"/>
        <v>0</v>
      </c>
      <c r="T308" s="138">
        <f t="shared" si="85"/>
        <v>0</v>
      </c>
      <c r="U308" s="139">
        <f t="shared" si="86"/>
        <v>0</v>
      </c>
      <c r="V308" s="108"/>
      <c r="W308" s="108"/>
      <c r="X308" s="108"/>
      <c r="Y308" s="108"/>
      <c r="Z308" s="108"/>
      <c r="AA308" s="108"/>
      <c r="AB308" s="108"/>
      <c r="AC308" s="108"/>
      <c r="AD308" s="108"/>
      <c r="AE308" s="108"/>
      <c r="AF308" s="108"/>
      <c r="AG308" s="108"/>
      <c r="AH308" s="108"/>
      <c r="AI308" s="108"/>
      <c r="AJ308" s="108"/>
      <c r="AK308" s="108"/>
      <c r="AL308" s="108"/>
      <c r="AM308" s="108"/>
      <c r="AN308" s="108"/>
      <c r="AO308" s="108"/>
      <c r="AP308" s="108"/>
      <c r="AQ308" s="108"/>
      <c r="AR308" s="108"/>
      <c r="AS308" s="108"/>
      <c r="AT308" s="108"/>
      <c r="AU308" s="108"/>
      <c r="AV308" s="108"/>
      <c r="AW308" s="108"/>
      <c r="AX308" s="108"/>
      <c r="AY308" s="108"/>
      <c r="AZ308" s="108"/>
      <c r="BA308" s="108"/>
      <c r="BB308" s="108"/>
      <c r="BC308" s="108"/>
      <c r="BD308" s="108"/>
      <c r="BE308" s="108"/>
      <c r="BF308" s="108"/>
      <c r="BG308" s="108"/>
      <c r="BH308" s="108"/>
      <c r="BI308" s="108"/>
      <c r="BJ308" s="108"/>
      <c r="BK308" s="108"/>
      <c r="BL308" s="108"/>
      <c r="BM308" s="108"/>
      <c r="BN308" s="108"/>
      <c r="BO308" s="108"/>
      <c r="BP308" s="108"/>
      <c r="BQ308" s="108"/>
      <c r="BR308" s="108"/>
      <c r="BS308" s="108"/>
      <c r="BT308" s="108"/>
      <c r="BU308" s="108"/>
      <c r="BV308" s="108"/>
      <c r="BW308" s="108"/>
      <c r="BX308" s="108"/>
      <c r="BY308" s="108"/>
      <c r="BZ308" s="108"/>
      <c r="CA308" s="108"/>
      <c r="CB308" s="108"/>
      <c r="CC308" s="108"/>
      <c r="CD308" s="108"/>
      <c r="CE308" s="108"/>
      <c r="CF308" s="108"/>
      <c r="CG308" s="108"/>
      <c r="CH308" s="108"/>
    </row>
    <row r="309" spans="1:86">
      <c r="A309" s="6" t="s">
        <v>157</v>
      </c>
      <c r="B309" s="12"/>
      <c r="C309" s="12"/>
      <c r="D309" s="12"/>
      <c r="E309" s="12"/>
      <c r="F309" s="12"/>
      <c r="G309" s="12"/>
      <c r="H309" s="18"/>
      <c r="I309" s="18"/>
      <c r="J309" s="18"/>
      <c r="K309" s="18"/>
    </row>
    <row r="310" spans="1:86">
      <c r="A310" s="6" t="s">
        <v>172</v>
      </c>
      <c r="B310" s="11"/>
      <c r="C310" s="11"/>
      <c r="D310" s="60"/>
      <c r="E310" s="61"/>
      <c r="F310" s="61"/>
      <c r="G310" s="61"/>
      <c r="H310" s="62"/>
      <c r="I310" s="62"/>
      <c r="J310" s="62"/>
      <c r="K310" s="62"/>
      <c r="L310" s="62"/>
      <c r="M310" s="62"/>
      <c r="N310" s="62"/>
    </row>
    <row r="311" spans="1:86" s="17" customFormat="1">
      <c r="A311" s="14" t="s">
        <v>38</v>
      </c>
      <c r="B311" s="20"/>
      <c r="C311" s="20"/>
      <c r="D311" s="60"/>
      <c r="E311" s="86"/>
      <c r="F311" s="20"/>
      <c r="G311" s="20"/>
      <c r="V311" s="59"/>
      <c r="W311" s="59"/>
      <c r="X311" s="59"/>
      <c r="Y311" s="59"/>
      <c r="Z311" s="59"/>
      <c r="AA311" s="59"/>
      <c r="AB311" s="59"/>
      <c r="AC311" s="59"/>
      <c r="AD311" s="59"/>
      <c r="AE311" s="59"/>
      <c r="AF311" s="59"/>
      <c r="AG311" s="59"/>
      <c r="AH311" s="59"/>
      <c r="AI311" s="59"/>
      <c r="AJ311" s="59"/>
      <c r="AK311" s="59"/>
      <c r="AL311" s="59"/>
      <c r="AM311" s="59"/>
      <c r="AN311" s="59"/>
      <c r="AO311" s="59"/>
      <c r="AP311" s="59"/>
      <c r="AQ311" s="59"/>
      <c r="AR311" s="59"/>
      <c r="AS311" s="59"/>
      <c r="AT311" s="59"/>
      <c r="AU311" s="59"/>
      <c r="AV311" s="59"/>
      <c r="AW311" s="59"/>
      <c r="AX311" s="59"/>
      <c r="AY311" s="59"/>
      <c r="AZ311" s="59"/>
      <c r="BA311" s="59"/>
      <c r="BB311" s="59"/>
      <c r="BC311" s="59"/>
      <c r="BD311" s="59"/>
      <c r="BE311" s="59"/>
      <c r="BF311" s="59"/>
      <c r="BG311" s="59"/>
      <c r="BH311" s="59"/>
      <c r="BI311" s="59"/>
      <c r="BJ311" s="59"/>
      <c r="BK311" s="59"/>
      <c r="BL311" s="59"/>
      <c r="BM311" s="59"/>
      <c r="BN311" s="59"/>
      <c r="BO311" s="59"/>
      <c r="BP311" s="59"/>
      <c r="BQ311" s="59"/>
      <c r="BR311" s="59"/>
      <c r="BS311" s="59"/>
      <c r="BT311" s="59"/>
      <c r="BU311" s="59"/>
      <c r="BV311" s="59"/>
      <c r="BW311" s="59"/>
      <c r="BX311" s="59"/>
      <c r="BY311" s="59"/>
      <c r="BZ311" s="59"/>
      <c r="CA311" s="59"/>
      <c r="CB311" s="59"/>
      <c r="CC311" s="59"/>
      <c r="CD311" s="59"/>
      <c r="CE311" s="59"/>
      <c r="CF311" s="59"/>
      <c r="CG311" s="59"/>
      <c r="CH311" s="59"/>
    </row>
    <row r="312" spans="1:86">
      <c r="A312" s="59"/>
      <c r="F312" s="81"/>
      <c r="K312" s="21"/>
    </row>
    <row r="313" spans="1:86" s="22" customFormat="1" ht="14.25" thickBot="1">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row>
  </sheetData>
  <sheetProtection algorithmName="SHA-512" hashValue="pP197V/mj9FqU7dPdI1teQ6yEbpk6ETpIaMcZWA/OcW0THEJ8BUhkFf20mLC06jk1aKfFwibfeb2Mdw3ptm78g==" saltValue="fCFo2zzFDGamgS383RZ2Rw==" spinCount="100000" sheet="1" formatCells="0" formatColumns="0" formatRows="0" insertColumns="0" insertRows="0" insertHyperlinks="0" deleteColumns="0" deleteRows="0" sort="0" autoFilter="0" pivotTables="0"/>
  <customSheetViews>
    <customSheetView guid="{6EFF7B11-DE7E-4129-AF78-EEA0AB3489F2}" showRuler="0">
      <selection activeCell="M13" sqref="M13"/>
      <pageMargins left="0.75" right="0.75" top="1" bottom="1" header="0.5" footer="0.5"/>
      <pageSetup scale="61" orientation="landscape" r:id="rId1"/>
      <headerFooter alignWithMargins="0">
        <oddHeader>&amp;CMarché Équipements SDB</oddHeader>
        <oddFooter>&amp;LMSI Marketing Research for Industry&amp;CÉquipement de Salle de Bains&amp;Rwww.msi-etudes.fr</oddFooter>
      </headerFooter>
    </customSheetView>
  </customSheetViews>
  <phoneticPr fontId="0" type="noConversion"/>
  <pageMargins left="0.74803149606299213" right="0.74803149606299213" top="0.98425196850393704" bottom="0.98425196850393704" header="0.51181102362204722" footer="0.51181102362204722"/>
  <pageSetup paperSize="9" scale="65" orientation="landscape" r:id="rId2"/>
  <headerFooter alignWithMargins="0">
    <oddHeader>&amp;CTaille de Marché</oddHeader>
    <oddFooter>&amp;L&amp;"StopD,Normal"&amp;26MSI &amp;"Arial,Normal"&amp;10Reports
www.msi-reports.com&amp;RMarché de la Robinetterie Sanitaire en France
Novembre 2015</oddFooter>
  </headerFooter>
  <rowBreaks count="9" manualBreakCount="9">
    <brk id="39" max="16383" man="1"/>
    <brk id="85" max="16383" man="1"/>
    <brk id="101" max="16383" man="1"/>
    <brk id="144" max="16383" man="1"/>
    <brk id="168" max="16383" man="1"/>
    <brk id="214" max="16383" man="1"/>
    <brk id="225" max="16383" man="1"/>
    <brk id="265" max="16383" man="1"/>
    <brk id="300" max="16383" man="1"/>
  </rowBreaks>
  <ignoredErrors>
    <ignoredError sqref="G150:U153 V103 C221:C223 L62 M10:V13 C49 N276:U276 N112:X113 V205:W211 T204:U211 N178:Q178 M113 C132:V133 N235:U236 C118:K118 N110:U110 I141:K141 V22:V24 V17:V19 I285:R287 C152 M8:U9 C54 I75:U75 F168:U170 L140:R141 L53:L55 C153:D153 I142:R147 S140:U147 G141:H147 C141:F146 C113:K113 C102:U105 M114:U118 L43:L49 C168:E169 K61 L113:L118 V107:X110 M24:U24 V5 V7:V9 N238:U241 N264:U264 M62:U62" evalError="1"/>
    <ignoredError sqref="B285:H285 B112" formulaRange="1"/>
    <ignoredError sqref="C140 C209:C211 C112 L110:M110 H112:M112" evalError="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42"/>
  <sheetViews>
    <sheetView zoomScaleNormal="100" workbookViewId="0"/>
  </sheetViews>
  <sheetFormatPr baseColWidth="10" defaultRowHeight="13.5"/>
  <cols>
    <col min="1" max="1" width="20.7109375" style="15" customWidth="1"/>
    <col min="2" max="21" width="9.140625" style="15" customWidth="1"/>
    <col min="22" max="65" width="9.140625" style="41" customWidth="1"/>
    <col min="66" max="260" width="9.140625" style="15" customWidth="1"/>
    <col min="261" max="16384" width="11.42578125" style="15"/>
  </cols>
  <sheetData>
    <row r="1" spans="1:65" s="44" customFormat="1" ht="21.75" customHeight="1">
      <c r="A1" s="337" t="s">
        <v>125</v>
      </c>
      <c r="B1" s="338"/>
      <c r="C1" s="338"/>
      <c r="D1" s="338"/>
      <c r="E1" s="338"/>
      <c r="F1" s="338"/>
      <c r="G1" s="338"/>
      <c r="H1" s="338"/>
      <c r="I1" s="338"/>
      <c r="J1" s="338"/>
      <c r="K1" s="338"/>
      <c r="L1" s="338"/>
      <c r="M1" s="338"/>
      <c r="N1" s="338"/>
      <c r="O1" s="338"/>
      <c r="P1" s="338"/>
      <c r="Q1" s="338"/>
      <c r="R1" s="338"/>
      <c r="S1" s="338"/>
      <c r="T1" s="338"/>
      <c r="U1" s="338"/>
      <c r="V1" s="338"/>
      <c r="W1" s="338"/>
      <c r="X1" s="338"/>
      <c r="Y1" s="338"/>
    </row>
    <row r="2" spans="1:65">
      <c r="A2" s="16"/>
    </row>
    <row r="3" spans="1:65">
      <c r="A3" s="16" t="s">
        <v>393</v>
      </c>
      <c r="B3" s="26" t="s">
        <v>294</v>
      </c>
    </row>
    <row r="5" spans="1:65" s="64" customFormat="1" ht="14.25" thickBot="1">
      <c r="B5" s="65" t="s">
        <v>145</v>
      </c>
      <c r="G5" s="65" t="s">
        <v>144</v>
      </c>
      <c r="R5" s="65"/>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c r="BM5" s="229"/>
    </row>
    <row r="6" spans="1:65" s="125" customFormat="1" ht="14.25" thickBot="1">
      <c r="B6" s="198">
        <v>2013</v>
      </c>
      <c r="C6" s="114">
        <v>2014</v>
      </c>
      <c r="D6" s="114" t="s">
        <v>311</v>
      </c>
      <c r="E6" s="174" t="s">
        <v>42</v>
      </c>
      <c r="G6" s="198">
        <v>2013</v>
      </c>
      <c r="H6" s="114">
        <v>2014</v>
      </c>
      <c r="I6" s="114" t="s">
        <v>311</v>
      </c>
      <c r="J6" s="174" t="s">
        <v>42</v>
      </c>
      <c r="L6" s="292" t="s">
        <v>126</v>
      </c>
      <c r="M6" s="108"/>
      <c r="N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row>
    <row r="7" spans="1:65" s="125" customFormat="1">
      <c r="A7" s="121" t="s">
        <v>54</v>
      </c>
      <c r="B7" s="89">
        <v>142356</v>
      </c>
      <c r="C7" s="49">
        <v>161944</v>
      </c>
      <c r="D7" s="296">
        <f>(C7-B7)/B7</f>
        <v>0.13759869622636209</v>
      </c>
      <c r="E7" s="297">
        <f>C7/C$18</f>
        <v>0.38654086218872102</v>
      </c>
      <c r="G7" s="89">
        <v>7140</v>
      </c>
      <c r="H7" s="49">
        <v>8067</v>
      </c>
      <c r="I7" s="296">
        <f>(H7-G7)/G7</f>
        <v>0.12983193277310925</v>
      </c>
      <c r="J7" s="297">
        <f>H7/H$18</f>
        <v>0.30592741476734042</v>
      </c>
      <c r="K7" s="210"/>
      <c r="L7" s="211">
        <f>C7*1000/H7</f>
        <v>20074.872939134748</v>
      </c>
      <c r="M7" s="51"/>
      <c r="N7" s="107"/>
      <c r="O7" s="108"/>
      <c r="P7" s="107"/>
      <c r="Q7" s="51"/>
      <c r="R7" s="107"/>
      <c r="S7" s="107"/>
      <c r="T7" s="107"/>
      <c r="U7" s="51"/>
      <c r="V7" s="51"/>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c r="AX7" s="108"/>
      <c r="AY7" s="108"/>
      <c r="AZ7" s="108"/>
      <c r="BA7" s="108"/>
      <c r="BB7" s="108"/>
      <c r="BC7" s="108"/>
      <c r="BD7" s="108"/>
      <c r="BE7" s="108"/>
      <c r="BF7" s="108"/>
      <c r="BG7" s="108"/>
    </row>
    <row r="8" spans="1:65" s="125" customFormat="1">
      <c r="A8" s="129" t="s">
        <v>56</v>
      </c>
      <c r="B8" s="90">
        <v>82156</v>
      </c>
      <c r="C8" s="51">
        <v>95884</v>
      </c>
      <c r="D8" s="295">
        <f t="shared" ref="D8:D18" si="0">(C8-B8)/B8</f>
        <v>0.16709674278202444</v>
      </c>
      <c r="E8" s="298">
        <f t="shared" ref="E8:E17" si="1">C8/C$18</f>
        <v>0.22886358265884088</v>
      </c>
      <c r="G8" s="90">
        <v>9523</v>
      </c>
      <c r="H8" s="51">
        <v>11291</v>
      </c>
      <c r="I8" s="295">
        <f t="shared" ref="I8:I18" si="2">(H8-G8)/G8</f>
        <v>0.18565578074136302</v>
      </c>
      <c r="J8" s="298">
        <f>H8/H$18</f>
        <v>0.42819219538093972</v>
      </c>
      <c r="K8" s="210"/>
      <c r="L8" s="212">
        <f t="shared" ref="L8:L18" si="3">C8*1000/H8</f>
        <v>8492.0733327428934</v>
      </c>
      <c r="M8" s="51"/>
      <c r="N8" s="107"/>
      <c r="O8" s="107"/>
      <c r="P8" s="107"/>
      <c r="Q8" s="51"/>
      <c r="R8" s="107"/>
      <c r="S8" s="107"/>
      <c r="T8" s="107"/>
      <c r="U8" s="51"/>
      <c r="V8" s="51"/>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row>
    <row r="9" spans="1:65" s="125" customFormat="1">
      <c r="A9" s="129" t="s">
        <v>55</v>
      </c>
      <c r="B9" s="90">
        <v>94214</v>
      </c>
      <c r="C9" s="51">
        <v>92035</v>
      </c>
      <c r="D9" s="295">
        <f t="shared" si="0"/>
        <v>-2.3128197507801387E-2</v>
      </c>
      <c r="E9" s="298">
        <f t="shared" si="1"/>
        <v>0.21967648231202724</v>
      </c>
      <c r="G9" s="90">
        <v>3718</v>
      </c>
      <c r="H9" s="51">
        <v>3769</v>
      </c>
      <c r="I9" s="295">
        <f t="shared" si="2"/>
        <v>1.3717052178590641E-2</v>
      </c>
      <c r="J9" s="298">
        <f t="shared" ref="J9:J17" si="4">H9/H$18</f>
        <v>0.14293298949524064</v>
      </c>
      <c r="K9" s="210"/>
      <c r="L9" s="212">
        <f t="shared" si="3"/>
        <v>24418.944016980633</v>
      </c>
      <c r="M9" s="51"/>
      <c r="N9" s="107"/>
      <c r="O9" s="107"/>
      <c r="P9" s="107"/>
      <c r="Q9" s="108"/>
      <c r="R9" s="107"/>
      <c r="S9" s="107"/>
      <c r="T9" s="107"/>
      <c r="U9" s="105"/>
      <c r="V9" s="105"/>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c r="AX9" s="108"/>
      <c r="AY9" s="108"/>
      <c r="AZ9" s="108"/>
      <c r="BA9" s="108"/>
      <c r="BB9" s="108"/>
      <c r="BC9" s="108"/>
      <c r="BD9" s="108"/>
      <c r="BE9" s="108"/>
      <c r="BF9" s="108"/>
      <c r="BG9" s="108"/>
    </row>
    <row r="10" spans="1:65" s="125" customFormat="1">
      <c r="A10" s="129" t="s">
        <v>57</v>
      </c>
      <c r="B10" s="90">
        <v>17109</v>
      </c>
      <c r="C10" s="51">
        <v>15182</v>
      </c>
      <c r="D10" s="295">
        <f t="shared" si="0"/>
        <v>-0.11263077912209948</v>
      </c>
      <c r="E10" s="298">
        <f t="shared" si="1"/>
        <v>3.6237609110242819E-2</v>
      </c>
      <c r="G10" s="90">
        <v>974</v>
      </c>
      <c r="H10" s="51">
        <v>823</v>
      </c>
      <c r="I10" s="295">
        <f t="shared" si="2"/>
        <v>-0.15503080082135523</v>
      </c>
      <c r="J10" s="298">
        <f t="shared" si="4"/>
        <v>3.1210891577230841E-2</v>
      </c>
      <c r="K10" s="210"/>
      <c r="L10" s="212">
        <f t="shared" si="3"/>
        <v>18447.144592952613</v>
      </c>
      <c r="M10" s="51"/>
      <c r="N10" s="107"/>
      <c r="O10" s="107"/>
      <c r="P10" s="107"/>
      <c r="Q10" s="108"/>
      <c r="R10" s="107"/>
      <c r="S10" s="107"/>
      <c r="T10" s="107"/>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row>
    <row r="11" spans="1:65" s="125" customFormat="1">
      <c r="A11" s="129" t="s">
        <v>59</v>
      </c>
      <c r="B11" s="90">
        <v>7117</v>
      </c>
      <c r="C11" s="51">
        <v>10814</v>
      </c>
      <c r="D11" s="295">
        <f t="shared" si="0"/>
        <v>0.51946044681747927</v>
      </c>
      <c r="E11" s="298">
        <f t="shared" si="1"/>
        <v>2.5811718147685802E-2</v>
      </c>
      <c r="G11" s="90">
        <v>26</v>
      </c>
      <c r="H11" s="51">
        <v>41</v>
      </c>
      <c r="I11" s="295">
        <f t="shared" si="2"/>
        <v>0.57692307692307687</v>
      </c>
      <c r="J11" s="298">
        <f t="shared" si="4"/>
        <v>1.5548560810042095E-3</v>
      </c>
      <c r="K11" s="210"/>
      <c r="L11" s="212">
        <f>C11*1000/H11</f>
        <v>263756.09756097558</v>
      </c>
      <c r="M11" s="51"/>
      <c r="N11" s="107"/>
      <c r="O11" s="107"/>
      <c r="P11" s="107"/>
      <c r="Q11" s="108"/>
      <c r="R11" s="107"/>
      <c r="S11" s="107"/>
      <c r="T11" s="107"/>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row>
    <row r="12" spans="1:65" s="125" customFormat="1">
      <c r="A12" s="129" t="s">
        <v>58</v>
      </c>
      <c r="B12" s="90">
        <v>3569</v>
      </c>
      <c r="C12" s="51">
        <v>7819</v>
      </c>
      <c r="D12" s="295">
        <f t="shared" si="0"/>
        <v>1.1908097506304287</v>
      </c>
      <c r="E12" s="298">
        <f t="shared" si="1"/>
        <v>1.8663013149320812E-2</v>
      </c>
      <c r="G12" s="90">
        <v>262</v>
      </c>
      <c r="H12" s="51">
        <v>545</v>
      </c>
      <c r="I12" s="295">
        <f t="shared" si="2"/>
        <v>1.0801526717557253</v>
      </c>
      <c r="J12" s="298">
        <f t="shared" si="4"/>
        <v>2.0668208881641323E-2</v>
      </c>
      <c r="K12" s="210"/>
      <c r="L12" s="212">
        <f t="shared" si="3"/>
        <v>14346.788990825688</v>
      </c>
      <c r="M12" s="51"/>
      <c r="N12" s="107"/>
      <c r="O12" s="107"/>
      <c r="P12" s="107"/>
      <c r="Q12" s="108"/>
      <c r="R12" s="107"/>
      <c r="S12" s="107"/>
      <c r="T12" s="107"/>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row>
    <row r="13" spans="1:65" s="125" customFormat="1">
      <c r="A13" s="129" t="s">
        <v>60</v>
      </c>
      <c r="B13" s="91">
        <v>7464</v>
      </c>
      <c r="C13" s="51">
        <v>7080</v>
      </c>
      <c r="D13" s="295">
        <f t="shared" si="0"/>
        <v>-5.1446945337620578E-2</v>
      </c>
      <c r="E13" s="298">
        <f t="shared" si="1"/>
        <v>1.6899108977770989E-2</v>
      </c>
      <c r="G13" s="91">
        <v>565</v>
      </c>
      <c r="H13" s="51">
        <v>502</v>
      </c>
      <c r="I13" s="295">
        <f t="shared" si="2"/>
        <v>-0.11150442477876106</v>
      </c>
      <c r="J13" s="298">
        <f t="shared" si="4"/>
        <v>1.9037506162539346E-2</v>
      </c>
      <c r="K13" s="210"/>
      <c r="L13" s="212">
        <f t="shared" si="3"/>
        <v>14103.585657370519</v>
      </c>
      <c r="M13" s="51"/>
      <c r="N13" s="213"/>
      <c r="O13" s="107"/>
      <c r="P13" s="107"/>
      <c r="Q13" s="108"/>
      <c r="R13" s="213"/>
      <c r="S13" s="107"/>
      <c r="T13" s="107"/>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8"/>
      <c r="AY13" s="108"/>
      <c r="AZ13" s="108"/>
      <c r="BA13" s="108"/>
      <c r="BB13" s="108"/>
      <c r="BC13" s="108"/>
      <c r="BD13" s="108"/>
      <c r="BE13" s="108"/>
      <c r="BF13" s="108"/>
      <c r="BG13" s="108"/>
    </row>
    <row r="14" spans="1:65" s="125" customFormat="1">
      <c r="A14" s="129" t="s">
        <v>61</v>
      </c>
      <c r="B14" s="90">
        <v>5077</v>
      </c>
      <c r="C14" s="51">
        <v>6451</v>
      </c>
      <c r="D14" s="295">
        <f t="shared" si="0"/>
        <v>0.27063226314752808</v>
      </c>
      <c r="E14" s="298">
        <f t="shared" si="1"/>
        <v>1.5397761584124385E-2</v>
      </c>
      <c r="G14" s="90">
        <v>71</v>
      </c>
      <c r="H14" s="51">
        <v>93</v>
      </c>
      <c r="I14" s="295">
        <f t="shared" si="2"/>
        <v>0.30985915492957744</v>
      </c>
      <c r="J14" s="298">
        <f t="shared" si="4"/>
        <v>3.5268686715461336E-3</v>
      </c>
      <c r="K14" s="210"/>
      <c r="L14" s="212">
        <f t="shared" si="3"/>
        <v>69365.591397849465</v>
      </c>
      <c r="M14" s="51"/>
      <c r="N14" s="107"/>
      <c r="O14" s="107"/>
      <c r="P14" s="107"/>
      <c r="Q14" s="108"/>
      <c r="R14" s="107"/>
      <c r="S14" s="107"/>
      <c r="T14" s="107"/>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8"/>
      <c r="AY14" s="108"/>
      <c r="AZ14" s="108"/>
      <c r="BA14" s="108"/>
      <c r="BB14" s="108"/>
      <c r="BC14" s="108"/>
      <c r="BD14" s="108"/>
      <c r="BE14" s="108"/>
      <c r="BF14" s="108"/>
      <c r="BG14" s="108"/>
    </row>
    <row r="15" spans="1:65" s="125" customFormat="1">
      <c r="A15" s="129" t="s">
        <v>121</v>
      </c>
      <c r="B15" s="90">
        <v>5174</v>
      </c>
      <c r="C15" s="51">
        <v>4516</v>
      </c>
      <c r="D15" s="295">
        <f t="shared" si="0"/>
        <v>-0.12717433320448396</v>
      </c>
      <c r="E15" s="298">
        <f t="shared" si="1"/>
        <v>1.0779149172826805E-2</v>
      </c>
      <c r="G15" s="90">
        <v>320</v>
      </c>
      <c r="H15" s="51">
        <v>250</v>
      </c>
      <c r="I15" s="295">
        <f t="shared" si="2"/>
        <v>-0.21875</v>
      </c>
      <c r="J15" s="298">
        <f t="shared" si="4"/>
        <v>9.4808297622207896E-3</v>
      </c>
      <c r="K15" s="210"/>
      <c r="L15" s="212">
        <f t="shared" si="3"/>
        <v>18064</v>
      </c>
      <c r="M15" s="51"/>
      <c r="N15" s="107"/>
      <c r="O15" s="107"/>
      <c r="P15" s="107"/>
      <c r="Q15" s="108"/>
      <c r="R15" s="107"/>
      <c r="S15" s="107"/>
      <c r="T15" s="107"/>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row>
    <row r="16" spans="1:65" s="125" customFormat="1">
      <c r="A16" s="129" t="s">
        <v>295</v>
      </c>
      <c r="B16" s="90">
        <v>6494</v>
      </c>
      <c r="C16" s="51">
        <v>17</v>
      </c>
      <c r="D16" s="295">
        <f t="shared" si="0"/>
        <v>-0.99738219895287961</v>
      </c>
      <c r="E16" s="298">
        <f t="shared" si="1"/>
        <v>4.0576956585043333E-5</v>
      </c>
      <c r="G16" s="90">
        <v>1</v>
      </c>
      <c r="H16" s="51">
        <v>0</v>
      </c>
      <c r="I16" s="295">
        <f t="shared" si="2"/>
        <v>-1</v>
      </c>
      <c r="J16" s="298">
        <f t="shared" si="4"/>
        <v>0</v>
      </c>
      <c r="K16" s="210"/>
      <c r="L16" s="294" t="s">
        <v>20</v>
      </c>
      <c r="M16" s="51"/>
      <c r="N16" s="107"/>
      <c r="O16" s="107"/>
      <c r="P16" s="107"/>
      <c r="Q16" s="108"/>
      <c r="R16" s="107"/>
      <c r="S16" s="107"/>
      <c r="T16" s="107"/>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8"/>
      <c r="AY16" s="108"/>
      <c r="AZ16" s="108"/>
      <c r="BA16" s="108"/>
      <c r="BB16" s="108"/>
      <c r="BC16" s="108"/>
      <c r="BD16" s="108"/>
      <c r="BE16" s="108"/>
      <c r="BF16" s="108"/>
      <c r="BG16" s="108"/>
    </row>
    <row r="17" spans="1:65" s="125" customFormat="1">
      <c r="A17" s="129" t="s">
        <v>62</v>
      </c>
      <c r="B17" s="90">
        <v>15701</v>
      </c>
      <c r="C17" s="51">
        <v>17215</v>
      </c>
      <c r="D17" s="295">
        <f t="shared" si="0"/>
        <v>9.6426979173301064E-2</v>
      </c>
      <c r="E17" s="298">
        <f t="shared" si="1"/>
        <v>4.1090135741854175E-2</v>
      </c>
      <c r="G17" s="90">
        <v>923</v>
      </c>
      <c r="H17" s="51">
        <v>988</v>
      </c>
      <c r="I17" s="295">
        <f t="shared" si="2"/>
        <v>7.0422535211267609E-2</v>
      </c>
      <c r="J17" s="298">
        <f t="shared" si="4"/>
        <v>3.7468239220296559E-2</v>
      </c>
      <c r="K17" s="210"/>
      <c r="L17" s="212">
        <f t="shared" si="3"/>
        <v>17424.08906882591</v>
      </c>
      <c r="M17" s="51"/>
      <c r="N17" s="107"/>
      <c r="O17" s="107"/>
      <c r="P17" s="107"/>
      <c r="Q17" s="108"/>
      <c r="R17" s="107"/>
      <c r="S17" s="107"/>
      <c r="T17" s="107"/>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108"/>
      <c r="BB17" s="108"/>
      <c r="BC17" s="108"/>
      <c r="BD17" s="108"/>
      <c r="BE17" s="108"/>
      <c r="BF17" s="108"/>
      <c r="BG17" s="108"/>
    </row>
    <row r="18" spans="1:65" s="125" customFormat="1" ht="14.25" thickBot="1">
      <c r="A18" s="155" t="s">
        <v>18</v>
      </c>
      <c r="B18" s="98">
        <f>SUM(B7:B17)</f>
        <v>386431</v>
      </c>
      <c r="C18" s="99">
        <f>SUM(C7:C17)</f>
        <v>418957</v>
      </c>
      <c r="D18" s="299">
        <f t="shared" si="0"/>
        <v>8.417026584306124E-2</v>
      </c>
      <c r="E18" s="300">
        <f>SUM(E7:E17)</f>
        <v>1</v>
      </c>
      <c r="F18" s="145"/>
      <c r="G18" s="98">
        <f>SUM(G7:G17)</f>
        <v>23523</v>
      </c>
      <c r="H18" s="99">
        <f>SUM(H7:H17)</f>
        <v>26369</v>
      </c>
      <c r="I18" s="299">
        <f t="shared" si="2"/>
        <v>0.1209879692216129</v>
      </c>
      <c r="J18" s="300">
        <f>SUM(J7:J17)</f>
        <v>1</v>
      </c>
      <c r="K18" s="210"/>
      <c r="L18" s="215">
        <f t="shared" si="3"/>
        <v>15888.239978762942</v>
      </c>
      <c r="M18" s="51"/>
      <c r="N18" s="216"/>
      <c r="O18" s="216"/>
      <c r="P18" s="216"/>
      <c r="Q18" s="108"/>
      <c r="R18" s="216"/>
      <c r="S18" s="216"/>
      <c r="T18" s="216"/>
      <c r="U18" s="108"/>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c r="AX18" s="108"/>
      <c r="AY18" s="108"/>
      <c r="AZ18" s="108"/>
      <c r="BA18" s="108"/>
      <c r="BB18" s="108"/>
      <c r="BC18" s="108"/>
      <c r="BD18" s="108"/>
      <c r="BE18" s="108"/>
      <c r="BF18" s="108"/>
      <c r="BG18" s="108"/>
    </row>
    <row r="19" spans="1:65">
      <c r="A19" s="6" t="s">
        <v>146</v>
      </c>
      <c r="R19" s="41"/>
      <c r="S19" s="41"/>
      <c r="T19" s="41"/>
      <c r="U19" s="41"/>
    </row>
    <row r="20" spans="1:65">
      <c r="A20" s="6" t="s">
        <v>63</v>
      </c>
      <c r="N20" s="30"/>
      <c r="O20" s="30"/>
      <c r="P20" s="30"/>
      <c r="S20" s="27"/>
      <c r="T20" s="27"/>
      <c r="V20" s="63"/>
    </row>
    <row r="21" spans="1:65">
      <c r="A21" s="6" t="s">
        <v>64</v>
      </c>
      <c r="F21" s="27"/>
      <c r="G21" s="27"/>
      <c r="H21" s="27"/>
      <c r="I21" s="27"/>
      <c r="J21" s="27"/>
      <c r="N21" s="27"/>
      <c r="O21" s="27"/>
      <c r="P21" s="27"/>
      <c r="Z21" s="63"/>
    </row>
    <row r="22" spans="1:65">
      <c r="A22" s="6" t="s">
        <v>130</v>
      </c>
      <c r="C22" s="28"/>
      <c r="D22" s="28"/>
      <c r="E22" s="28"/>
      <c r="F22" s="28"/>
      <c r="G22" s="28"/>
      <c r="H22" s="28"/>
      <c r="I22" s="28"/>
      <c r="J22" s="28"/>
      <c r="M22" s="27"/>
      <c r="N22" s="27"/>
      <c r="O22" s="27"/>
      <c r="P22" s="27"/>
    </row>
    <row r="23" spans="1:65">
      <c r="A23" s="6"/>
      <c r="C23" s="27"/>
      <c r="D23" s="27"/>
      <c r="E23" s="27"/>
      <c r="F23" s="27"/>
      <c r="G23" s="27"/>
      <c r="H23" s="27"/>
      <c r="I23" s="27"/>
      <c r="J23" s="27"/>
    </row>
    <row r="24" spans="1:65" s="45" customFormat="1" ht="13.5" customHeight="1" thickBot="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row>
    <row r="25" spans="1:65" ht="13.5" customHeight="1">
      <c r="V25" s="15"/>
      <c r="W25" s="15"/>
      <c r="X25" s="15"/>
      <c r="Y25" s="15"/>
    </row>
    <row r="26" spans="1:65">
      <c r="A26" s="16" t="s">
        <v>394</v>
      </c>
      <c r="B26" s="26" t="s">
        <v>296</v>
      </c>
    </row>
    <row r="28" spans="1:65" s="64" customFormat="1" ht="14.25" thickBot="1">
      <c r="B28" s="65" t="s">
        <v>147</v>
      </c>
      <c r="G28" s="65" t="s">
        <v>144</v>
      </c>
      <c r="P28" s="230"/>
      <c r="S28" s="40"/>
      <c r="T28" s="40"/>
      <c r="U28" s="40"/>
      <c r="V28" s="40"/>
      <c r="W28" s="40"/>
      <c r="X28" s="40"/>
      <c r="Y28" s="40"/>
      <c r="Z28" s="229"/>
      <c r="AA28" s="229"/>
      <c r="AB28" s="229"/>
      <c r="AC28" s="229"/>
      <c r="AD28" s="229"/>
      <c r="AE28" s="229"/>
      <c r="AF28" s="229"/>
      <c r="AG28" s="229"/>
      <c r="AH28" s="229"/>
      <c r="AI28" s="229"/>
      <c r="AJ28" s="229"/>
      <c r="AK28" s="229"/>
      <c r="AL28" s="229"/>
      <c r="AM28" s="229"/>
      <c r="AN28" s="229"/>
      <c r="AO28" s="229"/>
      <c r="AP28" s="229"/>
      <c r="AQ28" s="229"/>
      <c r="AR28" s="229"/>
      <c r="AS28" s="229"/>
      <c r="AT28" s="229"/>
      <c r="AU28" s="229"/>
      <c r="AV28" s="229"/>
      <c r="AW28" s="229"/>
      <c r="AX28" s="229"/>
      <c r="AY28" s="229"/>
      <c r="AZ28" s="229"/>
      <c r="BA28" s="229"/>
      <c r="BB28" s="229"/>
      <c r="BC28" s="229"/>
      <c r="BD28" s="229"/>
      <c r="BE28" s="229"/>
      <c r="BF28" s="229"/>
      <c r="BG28" s="229"/>
      <c r="BH28" s="229"/>
      <c r="BI28" s="229"/>
      <c r="BJ28" s="229"/>
    </row>
    <row r="29" spans="1:65" s="125" customFormat="1" ht="14.25" thickBot="1">
      <c r="B29" s="198">
        <v>2013</v>
      </c>
      <c r="C29" s="114">
        <v>2014</v>
      </c>
      <c r="D29" s="114" t="s">
        <v>311</v>
      </c>
      <c r="E29" s="174" t="s">
        <v>42</v>
      </c>
      <c r="G29" s="198">
        <v>2013</v>
      </c>
      <c r="H29" s="114">
        <v>2014</v>
      </c>
      <c r="I29" s="114" t="s">
        <v>311</v>
      </c>
      <c r="J29" s="174" t="s">
        <v>42</v>
      </c>
      <c r="L29" s="292" t="s">
        <v>126</v>
      </c>
      <c r="P29" s="184"/>
      <c r="S29" s="185"/>
      <c r="T29" s="185"/>
      <c r="U29" s="185"/>
      <c r="V29" s="185"/>
      <c r="W29" s="185"/>
      <c r="X29" s="185"/>
      <c r="Y29" s="185"/>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row>
    <row r="30" spans="1:65" s="125" customFormat="1">
      <c r="A30" s="121" t="s">
        <v>54</v>
      </c>
      <c r="B30" s="89">
        <v>10341</v>
      </c>
      <c r="C30" s="49">
        <v>14314</v>
      </c>
      <c r="D30" s="296">
        <f>(C30-B30)/B30</f>
        <v>0.38419882023015184</v>
      </c>
      <c r="E30" s="297">
        <f>C30/C$62</f>
        <v>0.36302307887395385</v>
      </c>
      <c r="G30" s="89">
        <v>170</v>
      </c>
      <c r="H30" s="49">
        <v>186</v>
      </c>
      <c r="I30" s="296">
        <f>(H30-G30)/G30</f>
        <v>9.4117647058823528E-2</v>
      </c>
      <c r="J30" s="297">
        <f>H30/H$62</f>
        <v>0.11369193154034229</v>
      </c>
      <c r="L30" s="211">
        <f t="shared" ref="L30:L59" si="5">C30*1000/H30</f>
        <v>76956.989247311823</v>
      </c>
      <c r="O30" s="217"/>
      <c r="P30" s="217"/>
      <c r="Q30" s="217"/>
      <c r="S30" s="185"/>
      <c r="T30" s="185"/>
      <c r="U30" s="185"/>
      <c r="V30" s="185"/>
      <c r="W30" s="185"/>
      <c r="X30" s="185"/>
      <c r="Y30" s="185"/>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row>
    <row r="31" spans="1:65" s="125" customFormat="1">
      <c r="A31" s="129" t="s">
        <v>65</v>
      </c>
      <c r="B31" s="90">
        <v>525</v>
      </c>
      <c r="C31" s="51">
        <v>2805</v>
      </c>
      <c r="D31" s="295">
        <f t="shared" ref="D31:D32" si="6">(C31-B31)/B31</f>
        <v>4.3428571428571425</v>
      </c>
      <c r="E31" s="298">
        <f>C31/C$62</f>
        <v>7.1138726857722545E-2</v>
      </c>
      <c r="F31" s="106"/>
      <c r="G31" s="90">
        <v>28</v>
      </c>
      <c r="H31" s="51">
        <v>171</v>
      </c>
      <c r="I31" s="295">
        <f t="shared" ref="I31:I32" si="7">(H31-G31)/G31</f>
        <v>5.1071428571428568</v>
      </c>
      <c r="J31" s="298">
        <f>H31/H$62</f>
        <v>0.10452322738386308</v>
      </c>
      <c r="L31" s="212">
        <f t="shared" si="5"/>
        <v>16403.508771929824</v>
      </c>
      <c r="O31" s="217"/>
      <c r="P31" s="217"/>
      <c r="S31" s="185"/>
      <c r="T31" s="185"/>
      <c r="U31" s="185"/>
      <c r="V31" s="185"/>
      <c r="W31" s="185"/>
      <c r="X31" s="185"/>
      <c r="Y31" s="185"/>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row>
    <row r="32" spans="1:65" s="125" customFormat="1">
      <c r="A32" s="129" t="s">
        <v>67</v>
      </c>
      <c r="B32" s="90">
        <v>4692</v>
      </c>
      <c r="C32" s="51">
        <v>2376</v>
      </c>
      <c r="D32" s="295">
        <f t="shared" si="6"/>
        <v>-0.49360613810741688</v>
      </c>
      <c r="E32" s="298">
        <f t="shared" ref="E32:E61" si="8">C32/C$62</f>
        <v>6.025868627948263E-2</v>
      </c>
      <c r="G32" s="90">
        <v>240</v>
      </c>
      <c r="H32" s="51">
        <v>85</v>
      </c>
      <c r="I32" s="295">
        <f t="shared" si="7"/>
        <v>-0.64583333333333337</v>
      </c>
      <c r="J32" s="298">
        <f t="shared" ref="J32:J61" si="9">H32/H$62</f>
        <v>5.1955990220048903E-2</v>
      </c>
      <c r="L32" s="212">
        <f t="shared" si="5"/>
        <v>27952.941176470587</v>
      </c>
      <c r="O32" s="217"/>
      <c r="P32" s="217"/>
      <c r="S32" s="185"/>
      <c r="T32" s="185"/>
      <c r="U32" s="185"/>
      <c r="V32" s="185"/>
      <c r="W32" s="185"/>
      <c r="X32" s="185"/>
      <c r="Y32" s="185"/>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row>
    <row r="33" spans="1:62" s="125" customFormat="1">
      <c r="A33" s="129" t="s">
        <v>57</v>
      </c>
      <c r="B33" s="90">
        <v>4367</v>
      </c>
      <c r="C33" s="51">
        <v>2066</v>
      </c>
      <c r="D33" s="295">
        <f>(C33-B33)/B33</f>
        <v>-0.52690634302724981</v>
      </c>
      <c r="E33" s="298">
        <f t="shared" si="8"/>
        <v>5.2396652295206694E-2</v>
      </c>
      <c r="G33" s="90">
        <v>202</v>
      </c>
      <c r="H33" s="51">
        <v>97</v>
      </c>
      <c r="I33" s="295">
        <f>(H33-G33)/G33</f>
        <v>-0.51980198019801982</v>
      </c>
      <c r="J33" s="298">
        <f t="shared" si="9"/>
        <v>5.9290953545232276E-2</v>
      </c>
      <c r="L33" s="212">
        <f t="shared" si="5"/>
        <v>21298.969072164949</v>
      </c>
      <c r="O33" s="217"/>
      <c r="P33" s="217"/>
      <c r="S33" s="185"/>
      <c r="T33" s="185"/>
      <c r="U33" s="185"/>
      <c r="V33" s="185"/>
      <c r="W33" s="185"/>
      <c r="X33" s="185"/>
      <c r="Y33" s="185"/>
      <c r="Z33" s="108"/>
      <c r="AA33" s="108"/>
      <c r="AB33" s="108"/>
      <c r="AC33" s="108"/>
      <c r="AD33" s="108"/>
      <c r="AE33" s="108"/>
      <c r="AF33" s="108"/>
      <c r="AG33" s="108"/>
      <c r="AH33" s="108"/>
      <c r="AI33" s="108"/>
      <c r="AJ33" s="108"/>
      <c r="AK33" s="108"/>
      <c r="AL33" s="108"/>
      <c r="AM33" s="108"/>
      <c r="AN33" s="108"/>
      <c r="AO33" s="108"/>
      <c r="AP33" s="108"/>
      <c r="AQ33" s="108"/>
      <c r="AR33" s="108"/>
      <c r="AS33" s="108"/>
      <c r="AT33" s="108"/>
      <c r="AU33" s="108"/>
      <c r="AV33" s="108"/>
      <c r="AW33" s="108"/>
      <c r="AX33" s="108"/>
      <c r="AY33" s="108"/>
      <c r="AZ33" s="108"/>
      <c r="BA33" s="108"/>
      <c r="BB33" s="108"/>
      <c r="BC33" s="108"/>
      <c r="BD33" s="108"/>
      <c r="BE33" s="108"/>
      <c r="BF33" s="108"/>
      <c r="BG33" s="108"/>
      <c r="BH33" s="108"/>
      <c r="BI33" s="108"/>
      <c r="BJ33" s="108"/>
    </row>
    <row r="34" spans="1:62" s="125" customFormat="1">
      <c r="A34" s="129" t="s">
        <v>123</v>
      </c>
      <c r="B34" s="90">
        <v>1121</v>
      </c>
      <c r="C34" s="51">
        <v>1641</v>
      </c>
      <c r="D34" s="295">
        <f t="shared" ref="D34:D62" si="10">(C34-B34)/B34</f>
        <v>0.46387154326494201</v>
      </c>
      <c r="E34" s="298">
        <f t="shared" si="8"/>
        <v>4.1618057316763886E-2</v>
      </c>
      <c r="G34" s="90">
        <v>15</v>
      </c>
      <c r="H34" s="51">
        <v>26</v>
      </c>
      <c r="I34" s="295">
        <f t="shared" ref="I34:I59" si="11">(H34-G34)/G34</f>
        <v>0.73333333333333328</v>
      </c>
      <c r="J34" s="298">
        <f t="shared" si="9"/>
        <v>1.5892420537897311E-2</v>
      </c>
      <c r="L34" s="212">
        <f t="shared" si="5"/>
        <v>63115.384615384617</v>
      </c>
      <c r="O34" s="217"/>
      <c r="P34" s="217"/>
      <c r="S34" s="185"/>
      <c r="T34" s="185"/>
      <c r="U34" s="185"/>
      <c r="V34" s="185"/>
      <c r="W34" s="185"/>
      <c r="X34" s="185"/>
      <c r="Y34" s="185"/>
      <c r="Z34" s="108"/>
      <c r="AA34" s="108"/>
      <c r="AB34" s="108"/>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08"/>
      <c r="BA34" s="108"/>
      <c r="BB34" s="108"/>
      <c r="BC34" s="108"/>
      <c r="BD34" s="108"/>
      <c r="BE34" s="108"/>
      <c r="BF34" s="108"/>
      <c r="BG34" s="108"/>
      <c r="BH34" s="108"/>
      <c r="BI34" s="108"/>
      <c r="BJ34" s="108"/>
    </row>
    <row r="35" spans="1:62" s="125" customFormat="1">
      <c r="A35" s="129" t="s">
        <v>69</v>
      </c>
      <c r="B35" s="90">
        <v>1223</v>
      </c>
      <c r="C35" s="51">
        <v>1365</v>
      </c>
      <c r="D35" s="295">
        <f t="shared" si="10"/>
        <v>0.116107931316435</v>
      </c>
      <c r="E35" s="298">
        <f t="shared" si="8"/>
        <v>3.4618310930763375E-2</v>
      </c>
      <c r="G35" s="90">
        <v>33</v>
      </c>
      <c r="H35" s="51">
        <v>43</v>
      </c>
      <c r="I35" s="295">
        <f t="shared" si="11"/>
        <v>0.30303030303030304</v>
      </c>
      <c r="J35" s="298">
        <f t="shared" si="9"/>
        <v>2.628361858190709E-2</v>
      </c>
      <c r="L35" s="212">
        <f t="shared" si="5"/>
        <v>31744.18604651163</v>
      </c>
      <c r="O35" s="217"/>
      <c r="P35" s="217"/>
      <c r="Q35" s="218"/>
      <c r="R35" s="218"/>
      <c r="S35" s="219"/>
      <c r="T35" s="219"/>
      <c r="U35" s="108"/>
      <c r="V35" s="185"/>
      <c r="W35" s="185"/>
      <c r="X35" s="185"/>
      <c r="Y35" s="185"/>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08"/>
      <c r="BA35" s="108"/>
      <c r="BB35" s="108"/>
      <c r="BC35" s="108"/>
      <c r="BD35" s="108"/>
      <c r="BE35" s="108"/>
      <c r="BF35" s="108"/>
      <c r="BG35" s="108"/>
      <c r="BH35" s="108"/>
      <c r="BI35" s="108"/>
      <c r="BJ35" s="108"/>
    </row>
    <row r="36" spans="1:62" s="125" customFormat="1">
      <c r="A36" s="129" t="s">
        <v>66</v>
      </c>
      <c r="B36" s="90">
        <v>1054</v>
      </c>
      <c r="C36" s="51">
        <v>1278</v>
      </c>
      <c r="D36" s="295">
        <f t="shared" si="10"/>
        <v>0.21252371916508539</v>
      </c>
      <c r="E36" s="298">
        <f t="shared" si="8"/>
        <v>3.2411869135176262E-2</v>
      </c>
      <c r="G36" s="90">
        <v>17</v>
      </c>
      <c r="H36" s="51">
        <v>51</v>
      </c>
      <c r="I36" s="295">
        <f t="shared" si="11"/>
        <v>2</v>
      </c>
      <c r="J36" s="298">
        <f t="shared" si="9"/>
        <v>3.1173594132029341E-2</v>
      </c>
      <c r="L36" s="212">
        <f t="shared" si="5"/>
        <v>25058.823529411766</v>
      </c>
      <c r="O36" s="217"/>
      <c r="P36" s="217"/>
      <c r="S36" s="185"/>
      <c r="T36" s="185"/>
      <c r="U36" s="185"/>
      <c r="V36" s="185"/>
      <c r="W36" s="185"/>
      <c r="X36" s="185"/>
      <c r="Y36" s="185"/>
      <c r="Z36" s="108"/>
      <c r="AA36" s="108"/>
      <c r="AB36" s="108"/>
      <c r="AC36" s="108"/>
      <c r="AD36" s="108"/>
      <c r="AE36" s="108"/>
      <c r="AF36" s="108"/>
      <c r="AG36" s="108"/>
      <c r="AH36" s="108"/>
      <c r="AI36" s="108"/>
      <c r="AJ36" s="108"/>
      <c r="AK36" s="108"/>
      <c r="AL36" s="108"/>
      <c r="AM36" s="108"/>
      <c r="AN36" s="108"/>
      <c r="AO36" s="108"/>
      <c r="AP36" s="108"/>
      <c r="AQ36" s="108"/>
      <c r="AR36" s="108"/>
      <c r="AS36" s="108"/>
      <c r="AT36" s="108"/>
      <c r="AU36" s="108"/>
      <c r="AV36" s="108"/>
      <c r="AW36" s="108"/>
      <c r="AX36" s="108"/>
      <c r="AY36" s="108"/>
      <c r="AZ36" s="108"/>
      <c r="BA36" s="108"/>
      <c r="BB36" s="108"/>
      <c r="BC36" s="108"/>
      <c r="BD36" s="108"/>
      <c r="BE36" s="108"/>
      <c r="BF36" s="108"/>
      <c r="BG36" s="108"/>
      <c r="BH36" s="108"/>
      <c r="BI36" s="108"/>
      <c r="BJ36" s="108"/>
    </row>
    <row r="37" spans="1:62" s="125" customFormat="1">
      <c r="A37" s="129" t="s">
        <v>60</v>
      </c>
      <c r="B37" s="90">
        <v>1668</v>
      </c>
      <c r="C37" s="51">
        <v>1092</v>
      </c>
      <c r="D37" s="295">
        <f t="shared" si="10"/>
        <v>-0.34532374100719426</v>
      </c>
      <c r="E37" s="298">
        <f t="shared" si="8"/>
        <v>2.7694648744610702E-2</v>
      </c>
      <c r="G37" s="90">
        <v>187</v>
      </c>
      <c r="H37" s="51">
        <v>140</v>
      </c>
      <c r="I37" s="295">
        <f t="shared" si="11"/>
        <v>-0.25133689839572193</v>
      </c>
      <c r="J37" s="298">
        <f t="shared" si="9"/>
        <v>8.557457212713937E-2</v>
      </c>
      <c r="L37" s="212">
        <f t="shared" si="5"/>
        <v>7800</v>
      </c>
      <c r="O37" s="217"/>
      <c r="P37" s="217"/>
      <c r="S37" s="185"/>
      <c r="T37" s="185"/>
      <c r="U37" s="185"/>
      <c r="V37" s="185"/>
      <c r="W37" s="185"/>
      <c r="X37" s="185"/>
      <c r="Y37" s="185"/>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108"/>
      <c r="BJ37" s="108"/>
    </row>
    <row r="38" spans="1:62" s="125" customFormat="1">
      <c r="A38" s="129" t="s">
        <v>70</v>
      </c>
      <c r="B38" s="90">
        <v>498</v>
      </c>
      <c r="C38" s="51">
        <v>928</v>
      </c>
      <c r="D38" s="295">
        <f t="shared" si="10"/>
        <v>0.86345381526104414</v>
      </c>
      <c r="E38" s="298">
        <f t="shared" si="8"/>
        <v>2.3535379152929241E-2</v>
      </c>
      <c r="G38" s="90">
        <v>28</v>
      </c>
      <c r="H38" s="51">
        <v>40</v>
      </c>
      <c r="I38" s="295">
        <f t="shared" si="11"/>
        <v>0.42857142857142855</v>
      </c>
      <c r="J38" s="298">
        <f t="shared" si="9"/>
        <v>2.4449877750611249E-2</v>
      </c>
      <c r="L38" s="212">
        <f t="shared" si="5"/>
        <v>23200</v>
      </c>
      <c r="O38" s="217"/>
      <c r="P38" s="217"/>
      <c r="Q38" s="218"/>
      <c r="R38" s="218"/>
      <c r="S38" s="219"/>
      <c r="T38" s="219"/>
      <c r="U38" s="108"/>
      <c r="V38" s="185"/>
      <c r="W38" s="185"/>
      <c r="X38" s="185"/>
      <c r="Y38" s="185"/>
      <c r="Z38" s="108"/>
      <c r="AA38" s="108"/>
      <c r="AB38" s="108"/>
      <c r="AC38" s="108"/>
      <c r="AD38" s="108"/>
      <c r="AE38" s="108"/>
      <c r="AF38" s="108"/>
      <c r="AG38" s="108"/>
      <c r="AH38" s="108"/>
      <c r="AI38" s="108"/>
      <c r="AJ38" s="108"/>
      <c r="AK38" s="108"/>
      <c r="AL38" s="108"/>
      <c r="AM38" s="108"/>
      <c r="AN38" s="108"/>
      <c r="AO38" s="108"/>
      <c r="AP38" s="108"/>
      <c r="AQ38" s="108"/>
      <c r="AR38" s="108"/>
      <c r="AS38" s="108"/>
      <c r="AT38" s="108"/>
      <c r="AU38" s="108"/>
      <c r="AV38" s="108"/>
      <c r="AW38" s="108"/>
      <c r="AX38" s="108"/>
      <c r="AY38" s="108"/>
      <c r="AZ38" s="108"/>
      <c r="BA38" s="108"/>
      <c r="BB38" s="108"/>
      <c r="BC38" s="108"/>
      <c r="BD38" s="108"/>
      <c r="BE38" s="108"/>
      <c r="BF38" s="108"/>
      <c r="BG38" s="108"/>
      <c r="BH38" s="108"/>
      <c r="BI38" s="108"/>
      <c r="BJ38" s="108"/>
    </row>
    <row r="39" spans="1:62" s="125" customFormat="1">
      <c r="A39" s="129" t="s">
        <v>68</v>
      </c>
      <c r="B39" s="90">
        <v>675</v>
      </c>
      <c r="C39" s="51">
        <v>901</v>
      </c>
      <c r="D39" s="295">
        <f t="shared" si="10"/>
        <v>0.33481481481481479</v>
      </c>
      <c r="E39" s="298">
        <f t="shared" si="8"/>
        <v>2.2850621354298759E-2</v>
      </c>
      <c r="G39" s="90">
        <v>82</v>
      </c>
      <c r="H39" s="51">
        <v>63</v>
      </c>
      <c r="I39" s="295">
        <f t="shared" si="11"/>
        <v>-0.23170731707317074</v>
      </c>
      <c r="J39" s="298">
        <f t="shared" si="9"/>
        <v>3.8508557457212711E-2</v>
      </c>
      <c r="L39" s="212">
        <f t="shared" si="5"/>
        <v>14301.587301587302</v>
      </c>
      <c r="O39" s="217"/>
      <c r="P39" s="217"/>
      <c r="S39" s="108"/>
      <c r="T39" s="108"/>
      <c r="U39" s="108"/>
      <c r="V39" s="185"/>
      <c r="W39" s="185"/>
      <c r="X39" s="185"/>
      <c r="Y39" s="185"/>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row>
    <row r="40" spans="1:62" s="125" customFormat="1">
      <c r="A40" s="129" t="s">
        <v>59</v>
      </c>
      <c r="B40" s="90">
        <v>1377</v>
      </c>
      <c r="C40" s="51">
        <v>884</v>
      </c>
      <c r="D40" s="295">
        <f t="shared" si="10"/>
        <v>-0.35802469135802467</v>
      </c>
      <c r="E40" s="298">
        <f t="shared" si="8"/>
        <v>2.2419477555161046E-2</v>
      </c>
      <c r="G40" s="90">
        <v>31</v>
      </c>
      <c r="H40" s="51">
        <v>20</v>
      </c>
      <c r="I40" s="295">
        <f t="shared" si="11"/>
        <v>-0.35483870967741937</v>
      </c>
      <c r="J40" s="298">
        <f t="shared" si="9"/>
        <v>1.2224938875305624E-2</v>
      </c>
      <c r="L40" s="212">
        <f t="shared" si="5"/>
        <v>44200</v>
      </c>
      <c r="O40" s="217"/>
      <c r="P40" s="217"/>
      <c r="S40" s="185"/>
      <c r="T40" s="185"/>
      <c r="U40" s="185"/>
      <c r="V40" s="185"/>
      <c r="W40" s="185"/>
      <c r="X40" s="185"/>
      <c r="Y40" s="185"/>
      <c r="Z40" s="108"/>
      <c r="AA40" s="108"/>
      <c r="AB40" s="108"/>
      <c r="AC40" s="108"/>
      <c r="AD40" s="108"/>
      <c r="AE40" s="108"/>
      <c r="AF40" s="108"/>
      <c r="AG40" s="108"/>
      <c r="AH40" s="108"/>
      <c r="AI40" s="108"/>
      <c r="AJ40" s="108"/>
      <c r="AK40" s="108"/>
      <c r="AL40" s="108"/>
      <c r="AM40" s="108"/>
      <c r="AN40" s="108"/>
      <c r="AO40" s="108"/>
      <c r="AP40" s="108"/>
      <c r="AQ40" s="108"/>
      <c r="AR40" s="108"/>
      <c r="AS40" s="108"/>
      <c r="AT40" s="108"/>
      <c r="AU40" s="108"/>
      <c r="AV40" s="108"/>
      <c r="AW40" s="108"/>
      <c r="AX40" s="108"/>
      <c r="AY40" s="108"/>
      <c r="AZ40" s="108"/>
      <c r="BA40" s="108"/>
      <c r="BB40" s="108"/>
      <c r="BC40" s="108"/>
      <c r="BD40" s="108"/>
      <c r="BE40" s="108"/>
      <c r="BF40" s="108"/>
      <c r="BG40" s="108"/>
      <c r="BH40" s="108"/>
      <c r="BI40" s="108"/>
      <c r="BJ40" s="108"/>
    </row>
    <row r="41" spans="1:62" s="125" customFormat="1">
      <c r="A41" s="129" t="s">
        <v>58</v>
      </c>
      <c r="B41" s="90">
        <v>116</v>
      </c>
      <c r="C41" s="51">
        <v>856</v>
      </c>
      <c r="D41" s="295">
        <f t="shared" si="10"/>
        <v>6.3793103448275863</v>
      </c>
      <c r="E41" s="298">
        <f t="shared" si="8"/>
        <v>2.1709358356581283E-2</v>
      </c>
      <c r="G41" s="90">
        <v>8</v>
      </c>
      <c r="H41" s="51">
        <v>49</v>
      </c>
      <c r="I41" s="295">
        <f t="shared" si="11"/>
        <v>5.125</v>
      </c>
      <c r="J41" s="298">
        <f t="shared" si="9"/>
        <v>2.9951100244498777E-2</v>
      </c>
      <c r="L41" s="212">
        <f t="shared" si="5"/>
        <v>17469.387755102041</v>
      </c>
      <c r="O41" s="217"/>
      <c r="P41" s="217"/>
      <c r="S41" s="185"/>
      <c r="T41" s="185"/>
      <c r="U41" s="185"/>
      <c r="V41" s="185"/>
      <c r="W41" s="185"/>
      <c r="X41" s="185"/>
      <c r="Y41" s="185"/>
      <c r="Z41" s="108"/>
      <c r="AA41" s="108"/>
      <c r="AB41" s="108"/>
      <c r="AC41" s="108"/>
      <c r="AD41" s="108"/>
      <c r="AE41" s="108"/>
      <c r="AF41" s="108"/>
      <c r="AG41" s="108"/>
      <c r="AH41" s="108"/>
      <c r="AI41" s="108"/>
      <c r="AJ41" s="108"/>
      <c r="AK41" s="108"/>
      <c r="AL41" s="108"/>
      <c r="AM41" s="108"/>
      <c r="AN41" s="108"/>
      <c r="AO41" s="108"/>
      <c r="AP41" s="108"/>
      <c r="AQ41" s="108"/>
      <c r="AR41" s="108"/>
      <c r="AS41" s="108"/>
      <c r="AT41" s="108"/>
      <c r="AU41" s="108"/>
      <c r="AV41" s="108"/>
      <c r="AW41" s="108"/>
      <c r="AX41" s="108"/>
      <c r="AY41" s="108"/>
      <c r="AZ41" s="108"/>
      <c r="BA41" s="108"/>
      <c r="BB41" s="108"/>
      <c r="BC41" s="108"/>
      <c r="BD41" s="108"/>
      <c r="BE41" s="108"/>
      <c r="BF41" s="108"/>
      <c r="BG41" s="108"/>
      <c r="BH41" s="108"/>
      <c r="BI41" s="108"/>
      <c r="BJ41" s="108"/>
    </row>
    <row r="42" spans="1:62" s="125" customFormat="1">
      <c r="A42" s="129" t="s">
        <v>55</v>
      </c>
      <c r="B42" s="90">
        <v>699</v>
      </c>
      <c r="C42" s="51">
        <v>766</v>
      </c>
      <c r="D42" s="295">
        <f t="shared" si="10"/>
        <v>9.5851216022889846E-2</v>
      </c>
      <c r="E42" s="298">
        <f t="shared" si="8"/>
        <v>1.9426832361146337E-2</v>
      </c>
      <c r="G42" s="90">
        <v>25</v>
      </c>
      <c r="H42" s="51">
        <v>23</v>
      </c>
      <c r="I42" s="295">
        <f t="shared" si="11"/>
        <v>-0.08</v>
      </c>
      <c r="J42" s="298">
        <f t="shared" si="9"/>
        <v>1.4058679706601468E-2</v>
      </c>
      <c r="L42" s="212">
        <f t="shared" si="5"/>
        <v>33304.34782608696</v>
      </c>
      <c r="O42" s="217"/>
      <c r="P42" s="217"/>
      <c r="S42" s="185"/>
      <c r="T42" s="185"/>
      <c r="U42" s="185"/>
      <c r="V42" s="185"/>
      <c r="W42" s="185"/>
      <c r="X42" s="185"/>
      <c r="Y42" s="185"/>
      <c r="Z42" s="108"/>
      <c r="AA42" s="108"/>
      <c r="AB42" s="108"/>
      <c r="AC42" s="108"/>
      <c r="AD42" s="108"/>
      <c r="AE42" s="108"/>
      <c r="AF42" s="108"/>
      <c r="AG42" s="108"/>
      <c r="AH42" s="108"/>
      <c r="AI42" s="108"/>
      <c r="AJ42" s="108"/>
      <c r="AK42" s="108"/>
      <c r="AL42" s="108"/>
      <c r="AM42" s="108"/>
      <c r="AN42" s="108"/>
      <c r="AO42" s="108"/>
      <c r="AP42" s="108"/>
      <c r="AQ42" s="108"/>
      <c r="AR42" s="108"/>
      <c r="AS42" s="108"/>
      <c r="AT42" s="108"/>
      <c r="AU42" s="108"/>
      <c r="AV42" s="108"/>
      <c r="AW42" s="108"/>
      <c r="AX42" s="108"/>
      <c r="AY42" s="108"/>
      <c r="AZ42" s="108"/>
      <c r="BA42" s="108"/>
      <c r="BB42" s="108"/>
      <c r="BC42" s="108"/>
      <c r="BD42" s="108"/>
      <c r="BE42" s="108"/>
      <c r="BF42" s="108"/>
      <c r="BG42" s="108"/>
      <c r="BH42" s="108"/>
      <c r="BI42" s="108"/>
      <c r="BJ42" s="108"/>
    </row>
    <row r="43" spans="1:62" s="125" customFormat="1">
      <c r="A43" s="129" t="s">
        <v>91</v>
      </c>
      <c r="B43" s="90">
        <v>83</v>
      </c>
      <c r="C43" s="51">
        <v>573</v>
      </c>
      <c r="D43" s="295">
        <f t="shared" si="10"/>
        <v>5.903614457831325</v>
      </c>
      <c r="E43" s="298">
        <f t="shared" si="8"/>
        <v>1.4532082170935835E-2</v>
      </c>
      <c r="G43" s="90">
        <v>16</v>
      </c>
      <c r="H43" s="51">
        <v>73</v>
      </c>
      <c r="I43" s="295">
        <f t="shared" si="11"/>
        <v>3.5625</v>
      </c>
      <c r="J43" s="298">
        <f t="shared" si="9"/>
        <v>4.4621026894865523E-2</v>
      </c>
      <c r="L43" s="212">
        <f t="shared" si="5"/>
        <v>7849.3150684931506</v>
      </c>
      <c r="O43" s="217"/>
      <c r="P43" s="160"/>
      <c r="Q43" s="184"/>
      <c r="R43" s="184"/>
      <c r="S43" s="185"/>
      <c r="T43" s="185"/>
      <c r="U43" s="185"/>
      <c r="V43" s="185"/>
      <c r="W43" s="185"/>
      <c r="X43" s="185"/>
      <c r="Y43" s="185"/>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row>
    <row r="44" spans="1:62" s="125" customFormat="1">
      <c r="A44" s="129" t="s">
        <v>89</v>
      </c>
      <c r="B44" s="91">
        <v>641</v>
      </c>
      <c r="C44" s="51">
        <v>451</v>
      </c>
      <c r="D44" s="295">
        <f t="shared" si="10"/>
        <v>-0.29641185647425899</v>
      </c>
      <c r="E44" s="298">
        <f t="shared" si="8"/>
        <v>1.1437991377124018E-2</v>
      </c>
      <c r="G44" s="91">
        <v>16</v>
      </c>
      <c r="H44" s="51">
        <v>21</v>
      </c>
      <c r="I44" s="295">
        <f t="shared" si="11"/>
        <v>0.3125</v>
      </c>
      <c r="J44" s="298">
        <f t="shared" si="9"/>
        <v>1.2836185819070905E-2</v>
      </c>
      <c r="L44" s="212">
        <f t="shared" si="5"/>
        <v>21476.190476190477</v>
      </c>
      <c r="O44" s="217"/>
      <c r="P44" s="160"/>
      <c r="S44" s="185"/>
      <c r="T44" s="185"/>
      <c r="U44" s="185"/>
      <c r="V44" s="185"/>
      <c r="W44" s="185"/>
      <c r="X44" s="185"/>
      <c r="Y44" s="185"/>
      <c r="Z44" s="108"/>
      <c r="AA44" s="108"/>
      <c r="AB44" s="108"/>
      <c r="AC44" s="108"/>
      <c r="AD44" s="108"/>
      <c r="AE44" s="108"/>
      <c r="AF44" s="108"/>
      <c r="AG44" s="108"/>
      <c r="AH44" s="108"/>
      <c r="AI44" s="108"/>
      <c r="AJ44" s="108"/>
      <c r="AK44" s="108"/>
      <c r="AL44" s="108"/>
      <c r="AM44" s="108"/>
      <c r="AN44" s="108"/>
      <c r="AO44" s="108"/>
      <c r="AP44" s="108"/>
      <c r="AQ44" s="108"/>
      <c r="AR44" s="108"/>
      <c r="AS44" s="108"/>
      <c r="AT44" s="108"/>
      <c r="AU44" s="108"/>
      <c r="AV44" s="108"/>
      <c r="AW44" s="108"/>
      <c r="AX44" s="108"/>
      <c r="AY44" s="108"/>
      <c r="AZ44" s="108"/>
      <c r="BA44" s="108"/>
      <c r="BB44" s="108"/>
      <c r="BC44" s="108"/>
      <c r="BD44" s="108"/>
      <c r="BE44" s="108"/>
      <c r="BF44" s="108"/>
      <c r="BG44" s="108"/>
      <c r="BH44" s="108"/>
      <c r="BI44" s="108"/>
      <c r="BJ44" s="108"/>
    </row>
    <row r="45" spans="1:62" s="125" customFormat="1">
      <c r="A45" s="129" t="s">
        <v>297</v>
      </c>
      <c r="B45" s="91">
        <v>201</v>
      </c>
      <c r="C45" s="51">
        <v>436</v>
      </c>
      <c r="D45" s="295">
        <f t="shared" si="10"/>
        <v>1.1691542288557213</v>
      </c>
      <c r="E45" s="298">
        <f t="shared" si="8"/>
        <v>1.105757037788486E-2</v>
      </c>
      <c r="G45" s="91">
        <v>51</v>
      </c>
      <c r="H45" s="51">
        <v>225</v>
      </c>
      <c r="I45" s="295">
        <f t="shared" si="11"/>
        <v>3.4117647058823528</v>
      </c>
      <c r="J45" s="298">
        <f t="shared" si="9"/>
        <v>0.13753056234718827</v>
      </c>
      <c r="L45" s="212">
        <f t="shared" si="5"/>
        <v>1937.7777777777778</v>
      </c>
      <c r="O45" s="217"/>
      <c r="P45" s="160"/>
      <c r="S45" s="185"/>
      <c r="T45" s="185"/>
      <c r="U45" s="185"/>
      <c r="V45" s="185"/>
      <c r="W45" s="185"/>
      <c r="X45" s="185"/>
      <c r="Y45" s="185"/>
      <c r="Z45" s="108"/>
      <c r="AA45" s="108"/>
      <c r="AB45" s="108"/>
      <c r="AC45" s="108"/>
      <c r="AD45" s="108"/>
      <c r="AE45" s="108"/>
      <c r="AF45" s="108"/>
      <c r="AG45" s="108"/>
      <c r="AH45" s="108"/>
      <c r="AI45" s="108"/>
      <c r="AJ45" s="108"/>
      <c r="AK45" s="108"/>
      <c r="AL45" s="108"/>
      <c r="AM45" s="108"/>
      <c r="AN45" s="108"/>
      <c r="AO45" s="108"/>
      <c r="AP45" s="108"/>
      <c r="AQ45" s="108"/>
      <c r="AR45" s="108"/>
      <c r="AS45" s="108"/>
      <c r="AT45" s="108"/>
      <c r="AU45" s="108"/>
      <c r="AV45" s="108"/>
      <c r="AW45" s="108"/>
      <c r="AX45" s="108"/>
      <c r="AY45" s="108"/>
      <c r="AZ45" s="108"/>
      <c r="BA45" s="108"/>
      <c r="BB45" s="108"/>
      <c r="BC45" s="108"/>
      <c r="BD45" s="108"/>
      <c r="BE45" s="108"/>
      <c r="BF45" s="108"/>
      <c r="BG45" s="108"/>
      <c r="BH45" s="108"/>
      <c r="BI45" s="108"/>
      <c r="BJ45" s="108"/>
    </row>
    <row r="46" spans="1:62" s="125" customFormat="1">
      <c r="A46" s="129" t="s">
        <v>71</v>
      </c>
      <c r="B46" s="90">
        <v>586</v>
      </c>
      <c r="C46" s="51">
        <v>422</v>
      </c>
      <c r="D46" s="295">
        <f t="shared" si="10"/>
        <v>-0.27986348122866894</v>
      </c>
      <c r="E46" s="298">
        <f t="shared" si="8"/>
        <v>1.0702510778594979E-2</v>
      </c>
      <c r="G46" s="90">
        <v>11</v>
      </c>
      <c r="H46" s="51">
        <v>6</v>
      </c>
      <c r="I46" s="295">
        <f t="shared" si="11"/>
        <v>-0.45454545454545453</v>
      </c>
      <c r="J46" s="298">
        <f t="shared" si="9"/>
        <v>3.667481662591687E-3</v>
      </c>
      <c r="L46" s="212">
        <f t="shared" si="5"/>
        <v>70333.333333333328</v>
      </c>
      <c r="O46" s="217"/>
      <c r="P46" s="217"/>
      <c r="Q46" s="218"/>
      <c r="R46" s="218"/>
      <c r="S46" s="219"/>
      <c r="T46" s="219"/>
      <c r="U46" s="108"/>
      <c r="V46" s="185"/>
      <c r="W46" s="185"/>
      <c r="X46" s="185"/>
      <c r="Y46" s="185"/>
      <c r="Z46" s="108"/>
      <c r="AA46" s="108"/>
      <c r="AB46" s="108"/>
      <c r="AC46" s="108"/>
      <c r="AD46" s="108"/>
      <c r="AE46" s="108"/>
      <c r="AF46" s="108"/>
      <c r="AG46" s="108"/>
      <c r="AH46" s="108"/>
      <c r="AI46" s="108"/>
      <c r="AJ46" s="108"/>
      <c r="AK46" s="108"/>
      <c r="AL46" s="108"/>
      <c r="AM46" s="108"/>
      <c r="AN46" s="108"/>
      <c r="AO46" s="108"/>
      <c r="AP46" s="108"/>
      <c r="AQ46" s="108"/>
      <c r="AR46" s="108"/>
      <c r="AS46" s="108"/>
      <c r="AT46" s="108"/>
      <c r="AU46" s="108"/>
      <c r="AV46" s="108"/>
      <c r="AW46" s="108"/>
      <c r="AX46" s="108"/>
      <c r="AY46" s="108"/>
      <c r="AZ46" s="108"/>
      <c r="BA46" s="108"/>
      <c r="BB46" s="108"/>
      <c r="BC46" s="108"/>
      <c r="BD46" s="108"/>
      <c r="BE46" s="108"/>
      <c r="BF46" s="108"/>
      <c r="BG46" s="108"/>
      <c r="BH46" s="108"/>
      <c r="BI46" s="108"/>
      <c r="BJ46" s="108"/>
    </row>
    <row r="47" spans="1:62" s="125" customFormat="1">
      <c r="A47" s="129" t="s">
        <v>73</v>
      </c>
      <c r="B47" s="90">
        <v>321</v>
      </c>
      <c r="C47" s="51">
        <v>373</v>
      </c>
      <c r="D47" s="295">
        <f t="shared" si="10"/>
        <v>0.16199376947040497</v>
      </c>
      <c r="E47" s="298">
        <f t="shared" si="8"/>
        <v>9.4598021810803953E-3</v>
      </c>
      <c r="G47" s="90">
        <v>5</v>
      </c>
      <c r="H47" s="51">
        <v>6</v>
      </c>
      <c r="I47" s="295">
        <f t="shared" si="11"/>
        <v>0.2</v>
      </c>
      <c r="J47" s="298">
        <f t="shared" si="9"/>
        <v>3.667481662591687E-3</v>
      </c>
      <c r="L47" s="212">
        <f t="shared" si="5"/>
        <v>62166.666666666664</v>
      </c>
      <c r="O47" s="217"/>
      <c r="P47" s="217"/>
      <c r="Q47" s="218"/>
      <c r="R47" s="218"/>
      <c r="S47" s="219"/>
      <c r="T47" s="219"/>
      <c r="U47" s="108"/>
      <c r="V47" s="185"/>
      <c r="W47" s="185"/>
      <c r="X47" s="185"/>
      <c r="Y47" s="185"/>
      <c r="Z47" s="108"/>
      <c r="AA47" s="108"/>
      <c r="AB47" s="108"/>
      <c r="AC47" s="108"/>
      <c r="AD47" s="108"/>
      <c r="AE47" s="108"/>
      <c r="AF47" s="108"/>
      <c r="AG47" s="108"/>
      <c r="AH47" s="108"/>
      <c r="AI47" s="108"/>
      <c r="AJ47" s="108"/>
      <c r="AK47" s="108"/>
      <c r="AL47" s="108"/>
      <c r="AM47" s="108"/>
      <c r="AN47" s="108"/>
      <c r="AO47" s="108"/>
      <c r="AP47" s="108"/>
      <c r="AQ47" s="108"/>
      <c r="AR47" s="108"/>
      <c r="AS47" s="108"/>
      <c r="AT47" s="108"/>
      <c r="AU47" s="108"/>
      <c r="AV47" s="108"/>
      <c r="AW47" s="108"/>
      <c r="AX47" s="108"/>
      <c r="AY47" s="108"/>
      <c r="AZ47" s="108"/>
      <c r="BA47" s="108"/>
      <c r="BB47" s="108"/>
      <c r="BC47" s="108"/>
      <c r="BD47" s="108"/>
      <c r="BE47" s="108"/>
      <c r="BF47" s="108"/>
      <c r="BG47" s="108"/>
      <c r="BH47" s="108"/>
      <c r="BI47" s="108"/>
      <c r="BJ47" s="108"/>
    </row>
    <row r="48" spans="1:62" s="125" customFormat="1">
      <c r="A48" s="129" t="s">
        <v>298</v>
      </c>
      <c r="B48" s="90">
        <v>3</v>
      </c>
      <c r="C48" s="51">
        <v>355</v>
      </c>
      <c r="D48" s="295">
        <f t="shared" si="10"/>
        <v>117.33333333333333</v>
      </c>
      <c r="E48" s="298">
        <f t="shared" si="8"/>
        <v>9.0032969819934059E-3</v>
      </c>
      <c r="G48" s="90">
        <v>0</v>
      </c>
      <c r="H48" s="51">
        <v>1</v>
      </c>
      <c r="I48" s="302" t="s">
        <v>20</v>
      </c>
      <c r="J48" s="298">
        <f t="shared" si="9"/>
        <v>6.1124694376528117E-4</v>
      </c>
      <c r="L48" s="212">
        <f t="shared" si="5"/>
        <v>355000</v>
      </c>
      <c r="O48" s="217"/>
      <c r="P48" s="217"/>
      <c r="Q48" s="218"/>
      <c r="R48" s="218"/>
      <c r="S48" s="219"/>
      <c r="T48" s="219"/>
      <c r="U48" s="108"/>
      <c r="V48" s="185"/>
      <c r="W48" s="185"/>
      <c r="X48" s="185"/>
      <c r="Y48" s="185"/>
      <c r="Z48" s="108"/>
      <c r="AA48" s="108"/>
      <c r="AB48" s="108"/>
      <c r="AC48" s="108"/>
      <c r="AD48" s="108"/>
      <c r="AE48" s="108"/>
      <c r="AF48" s="108"/>
      <c r="AG48" s="108"/>
      <c r="AH48" s="108"/>
      <c r="AI48" s="108"/>
      <c r="AJ48" s="108"/>
      <c r="AK48" s="108"/>
      <c r="AL48" s="108"/>
      <c r="AM48" s="108"/>
      <c r="AN48" s="108"/>
      <c r="AO48" s="108"/>
      <c r="AP48" s="108"/>
      <c r="AQ48" s="108"/>
      <c r="AR48" s="108"/>
      <c r="AS48" s="108"/>
      <c r="AT48" s="108"/>
      <c r="AU48" s="108"/>
      <c r="AV48" s="108"/>
      <c r="AW48" s="108"/>
      <c r="AX48" s="108"/>
      <c r="AY48" s="108"/>
      <c r="AZ48" s="108"/>
      <c r="BA48" s="108"/>
      <c r="BB48" s="108"/>
      <c r="BC48" s="108"/>
      <c r="BD48" s="108"/>
      <c r="BE48" s="108"/>
      <c r="BF48" s="108"/>
      <c r="BG48" s="108"/>
      <c r="BH48" s="108"/>
      <c r="BI48" s="108"/>
      <c r="BJ48" s="108"/>
    </row>
    <row r="49" spans="1:62" s="125" customFormat="1">
      <c r="A49" s="129" t="s">
        <v>86</v>
      </c>
      <c r="B49" s="90">
        <v>111</v>
      </c>
      <c r="C49" s="51">
        <v>335</v>
      </c>
      <c r="D49" s="295">
        <f t="shared" si="10"/>
        <v>2.0180180180180178</v>
      </c>
      <c r="E49" s="298">
        <f t="shared" si="8"/>
        <v>8.4960689830078616E-3</v>
      </c>
      <c r="G49" s="90">
        <v>5</v>
      </c>
      <c r="H49" s="51">
        <v>7</v>
      </c>
      <c r="I49" s="295">
        <f t="shared" si="11"/>
        <v>0.4</v>
      </c>
      <c r="J49" s="298">
        <f t="shared" si="9"/>
        <v>4.278728606356968E-3</v>
      </c>
      <c r="L49" s="212">
        <f t="shared" si="5"/>
        <v>47857.142857142855</v>
      </c>
      <c r="O49" s="217"/>
      <c r="P49" s="160"/>
      <c r="S49" s="185"/>
      <c r="T49" s="185"/>
      <c r="U49" s="185"/>
      <c r="V49" s="185"/>
      <c r="W49" s="185"/>
      <c r="X49" s="185"/>
      <c r="Y49" s="185"/>
      <c r="Z49" s="108"/>
      <c r="AA49" s="108"/>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8"/>
      <c r="AX49" s="108"/>
      <c r="AY49" s="108"/>
      <c r="AZ49" s="108"/>
      <c r="BA49" s="108"/>
      <c r="BB49" s="108"/>
      <c r="BC49" s="108"/>
      <c r="BD49" s="108"/>
      <c r="BE49" s="108"/>
      <c r="BF49" s="108"/>
      <c r="BG49" s="108"/>
      <c r="BH49" s="108"/>
      <c r="BI49" s="108"/>
      <c r="BJ49" s="108"/>
    </row>
    <row r="50" spans="1:62" s="125" customFormat="1">
      <c r="A50" s="129" t="s">
        <v>72</v>
      </c>
      <c r="B50" s="90">
        <v>192</v>
      </c>
      <c r="C50" s="51">
        <v>321</v>
      </c>
      <c r="D50" s="295">
        <f t="shared" si="10"/>
        <v>0.671875</v>
      </c>
      <c r="E50" s="298">
        <f t="shared" si="8"/>
        <v>8.1410093837179804E-3</v>
      </c>
      <c r="G50" s="90">
        <v>13</v>
      </c>
      <c r="H50" s="51">
        <v>28</v>
      </c>
      <c r="I50" s="295">
        <f t="shared" si="11"/>
        <v>1.1538461538461537</v>
      </c>
      <c r="J50" s="298">
        <f t="shared" si="9"/>
        <v>1.7114914425427872E-2</v>
      </c>
      <c r="L50" s="212">
        <f t="shared" si="5"/>
        <v>11464.285714285714</v>
      </c>
      <c r="O50" s="217"/>
      <c r="P50" s="217"/>
      <c r="Q50" s="218"/>
      <c r="R50" s="218"/>
      <c r="S50" s="219"/>
      <c r="T50" s="219"/>
      <c r="U50" s="108"/>
      <c r="V50" s="185"/>
      <c r="W50" s="185"/>
      <c r="X50" s="185"/>
      <c r="Y50" s="185"/>
      <c r="Z50" s="108"/>
      <c r="AA50" s="108"/>
      <c r="AB50" s="108"/>
      <c r="AC50" s="108"/>
      <c r="AD50" s="108"/>
      <c r="AE50" s="108"/>
      <c r="AF50" s="108"/>
      <c r="AG50" s="108"/>
      <c r="AH50" s="108"/>
      <c r="AI50" s="108"/>
      <c r="AJ50" s="108"/>
      <c r="AK50" s="108"/>
      <c r="AL50" s="108"/>
      <c r="AM50" s="108"/>
      <c r="AN50" s="108"/>
      <c r="AO50" s="108"/>
      <c r="AP50" s="108"/>
      <c r="AQ50" s="108"/>
      <c r="AR50" s="108"/>
      <c r="AS50" s="108"/>
      <c r="AT50" s="108"/>
      <c r="AU50" s="108"/>
      <c r="AV50" s="108"/>
      <c r="AW50" s="108"/>
      <c r="AX50" s="108"/>
      <c r="AY50" s="108"/>
      <c r="AZ50" s="108"/>
      <c r="BA50" s="108"/>
      <c r="BB50" s="108"/>
      <c r="BC50" s="108"/>
      <c r="BD50" s="108"/>
      <c r="BE50" s="108"/>
      <c r="BF50" s="108"/>
      <c r="BG50" s="108"/>
      <c r="BH50" s="108"/>
      <c r="BI50" s="108"/>
      <c r="BJ50" s="108"/>
    </row>
    <row r="51" spans="1:62" s="125" customFormat="1">
      <c r="A51" s="129" t="s">
        <v>75</v>
      </c>
      <c r="B51" s="90">
        <v>89</v>
      </c>
      <c r="C51" s="51">
        <v>278</v>
      </c>
      <c r="D51" s="295">
        <f t="shared" si="10"/>
        <v>2.1235955056179776</v>
      </c>
      <c r="E51" s="298">
        <f t="shared" si="8"/>
        <v>7.0504691858990619E-3</v>
      </c>
      <c r="G51" s="90">
        <v>2</v>
      </c>
      <c r="H51" s="51">
        <v>7</v>
      </c>
      <c r="I51" s="295">
        <f t="shared" si="11"/>
        <v>2.5</v>
      </c>
      <c r="J51" s="298">
        <f t="shared" si="9"/>
        <v>4.278728606356968E-3</v>
      </c>
      <c r="L51" s="212">
        <f t="shared" si="5"/>
        <v>39714.285714285717</v>
      </c>
      <c r="O51" s="217"/>
      <c r="P51" s="160"/>
      <c r="Q51" s="218"/>
      <c r="R51" s="218"/>
      <c r="S51" s="219"/>
      <c r="T51" s="219"/>
      <c r="U51" s="108"/>
      <c r="V51" s="185"/>
      <c r="W51" s="185"/>
      <c r="X51" s="185"/>
      <c r="Y51" s="185"/>
      <c r="Z51" s="108"/>
      <c r="AA51" s="108"/>
      <c r="AB51" s="108"/>
      <c r="AC51" s="108"/>
      <c r="AD51" s="108"/>
      <c r="AE51" s="108"/>
      <c r="AF51" s="108"/>
      <c r="AG51" s="108"/>
      <c r="AH51" s="108"/>
      <c r="AI51" s="108"/>
      <c r="AJ51" s="108"/>
      <c r="AK51" s="108"/>
      <c r="AL51" s="108"/>
      <c r="AM51" s="108"/>
      <c r="AN51" s="108"/>
      <c r="AO51" s="108"/>
      <c r="AP51" s="108"/>
      <c r="AQ51" s="108"/>
      <c r="AR51" s="108"/>
      <c r="AS51" s="108"/>
      <c r="AT51" s="108"/>
      <c r="AU51" s="108"/>
      <c r="AV51" s="108"/>
      <c r="AW51" s="108"/>
      <c r="AX51" s="108"/>
      <c r="AY51" s="108"/>
      <c r="AZ51" s="108"/>
      <c r="BA51" s="108"/>
      <c r="BB51" s="108"/>
      <c r="BC51" s="108"/>
      <c r="BD51" s="108"/>
      <c r="BE51" s="108"/>
      <c r="BF51" s="108"/>
      <c r="BG51" s="108"/>
      <c r="BH51" s="108"/>
      <c r="BI51" s="108"/>
      <c r="BJ51" s="108"/>
    </row>
    <row r="52" spans="1:62" s="125" customFormat="1">
      <c r="A52" s="129" t="s">
        <v>120</v>
      </c>
      <c r="B52" s="90">
        <v>236</v>
      </c>
      <c r="C52" s="51">
        <v>255</v>
      </c>
      <c r="D52" s="295">
        <f t="shared" si="10"/>
        <v>8.050847457627118E-2</v>
      </c>
      <c r="E52" s="298">
        <f t="shared" si="8"/>
        <v>6.4671569870656861E-3</v>
      </c>
      <c r="G52" s="90">
        <v>23</v>
      </c>
      <c r="H52" s="51">
        <v>21</v>
      </c>
      <c r="I52" s="295">
        <f t="shared" si="11"/>
        <v>-8.6956521739130432E-2</v>
      </c>
      <c r="J52" s="298">
        <f t="shared" si="9"/>
        <v>1.2836185819070905E-2</v>
      </c>
      <c r="L52" s="212">
        <f t="shared" si="5"/>
        <v>12142.857142857143</v>
      </c>
      <c r="O52" s="217"/>
      <c r="P52" s="160"/>
      <c r="S52" s="185"/>
      <c r="T52" s="185"/>
      <c r="U52" s="185"/>
      <c r="V52" s="185"/>
      <c r="W52" s="185"/>
      <c r="X52" s="185"/>
      <c r="Y52" s="185"/>
      <c r="Z52" s="108"/>
      <c r="AA52" s="108"/>
      <c r="AB52" s="108"/>
      <c r="AC52" s="108"/>
      <c r="AD52" s="108"/>
      <c r="AE52" s="108"/>
      <c r="AF52" s="108"/>
      <c r="AG52" s="108"/>
      <c r="AH52" s="108"/>
      <c r="AI52" s="108"/>
      <c r="AJ52" s="108"/>
      <c r="AK52" s="108"/>
      <c r="AL52" s="108"/>
      <c r="AM52" s="108"/>
      <c r="AN52" s="108"/>
      <c r="AO52" s="108"/>
      <c r="AP52" s="108"/>
      <c r="AQ52" s="108"/>
      <c r="AR52" s="108"/>
      <c r="AS52" s="108"/>
      <c r="AT52" s="108"/>
      <c r="AU52" s="108"/>
      <c r="AV52" s="108"/>
      <c r="AW52" s="108"/>
      <c r="AX52" s="108"/>
      <c r="AY52" s="108"/>
      <c r="AZ52" s="108"/>
      <c r="BA52" s="108"/>
      <c r="BB52" s="108"/>
      <c r="BC52" s="108"/>
      <c r="BD52" s="108"/>
      <c r="BE52" s="108"/>
      <c r="BF52" s="108"/>
      <c r="BG52" s="108"/>
      <c r="BH52" s="108"/>
      <c r="BI52" s="108"/>
      <c r="BJ52" s="108"/>
    </row>
    <row r="53" spans="1:62" s="125" customFormat="1">
      <c r="A53" s="129" t="s">
        <v>84</v>
      </c>
      <c r="B53" s="91">
        <v>170</v>
      </c>
      <c r="C53" s="51">
        <v>241</v>
      </c>
      <c r="D53" s="295">
        <f t="shared" si="10"/>
        <v>0.41764705882352943</v>
      </c>
      <c r="E53" s="298">
        <f t="shared" si="8"/>
        <v>6.1120973877758049E-3</v>
      </c>
      <c r="G53" s="91">
        <v>8</v>
      </c>
      <c r="H53" s="51">
        <v>12</v>
      </c>
      <c r="I53" s="295">
        <f t="shared" si="11"/>
        <v>0.5</v>
      </c>
      <c r="J53" s="298">
        <f t="shared" si="9"/>
        <v>7.3349633251833741E-3</v>
      </c>
      <c r="L53" s="212">
        <f t="shared" si="5"/>
        <v>20083.333333333332</v>
      </c>
      <c r="O53" s="217"/>
      <c r="P53" s="160"/>
      <c r="Q53" s="218"/>
      <c r="R53" s="218"/>
      <c r="S53" s="219"/>
      <c r="T53" s="219"/>
      <c r="U53" s="108"/>
      <c r="V53" s="185"/>
      <c r="W53" s="185"/>
      <c r="X53" s="185"/>
      <c r="Y53" s="185"/>
      <c r="Z53" s="108"/>
      <c r="AA53" s="108"/>
      <c r="AB53" s="108"/>
      <c r="AC53" s="108"/>
      <c r="AD53" s="108"/>
      <c r="AE53" s="108"/>
      <c r="AF53" s="108"/>
      <c r="AG53" s="108"/>
      <c r="AH53" s="108"/>
      <c r="AI53" s="108"/>
      <c r="AJ53" s="108"/>
      <c r="AK53" s="108"/>
      <c r="AL53" s="108"/>
      <c r="AM53" s="108"/>
      <c r="AN53" s="108"/>
      <c r="AO53" s="108"/>
      <c r="AP53" s="108"/>
      <c r="AQ53" s="108"/>
      <c r="AR53" s="108"/>
      <c r="AS53" s="108"/>
      <c r="AT53" s="108"/>
      <c r="AU53" s="108"/>
      <c r="AV53" s="108"/>
      <c r="AW53" s="108"/>
      <c r="AX53" s="108"/>
      <c r="AY53" s="108"/>
      <c r="AZ53" s="108"/>
      <c r="BA53" s="108"/>
      <c r="BB53" s="108"/>
      <c r="BC53" s="108"/>
      <c r="BD53" s="108"/>
      <c r="BE53" s="108"/>
      <c r="BF53" s="108"/>
      <c r="BG53" s="108"/>
      <c r="BH53" s="108"/>
      <c r="BI53" s="108"/>
      <c r="BJ53" s="108"/>
    </row>
    <row r="54" spans="1:62" s="125" customFormat="1">
      <c r="A54" s="129" t="s">
        <v>90</v>
      </c>
      <c r="B54" s="90">
        <v>432</v>
      </c>
      <c r="C54" s="51">
        <v>236</v>
      </c>
      <c r="D54" s="295">
        <f t="shared" si="10"/>
        <v>-0.45370370370370372</v>
      </c>
      <c r="E54" s="298">
        <f t="shared" si="8"/>
        <v>5.9852903880294192E-3</v>
      </c>
      <c r="G54" s="90">
        <v>35</v>
      </c>
      <c r="H54" s="51">
        <v>12</v>
      </c>
      <c r="I54" s="295">
        <f t="shared" si="11"/>
        <v>-0.65714285714285714</v>
      </c>
      <c r="J54" s="298">
        <f t="shared" si="9"/>
        <v>7.3349633251833741E-3</v>
      </c>
      <c r="L54" s="212">
        <f t="shared" si="5"/>
        <v>19666.666666666668</v>
      </c>
      <c r="O54" s="217"/>
      <c r="P54" s="160"/>
      <c r="S54" s="185"/>
      <c r="T54" s="185"/>
      <c r="U54" s="185"/>
      <c r="V54" s="185"/>
      <c r="W54" s="185"/>
      <c r="X54" s="185"/>
      <c r="Y54" s="185"/>
      <c r="Z54" s="108"/>
      <c r="AA54" s="108"/>
      <c r="AB54" s="108"/>
      <c r="AC54" s="108"/>
      <c r="AD54" s="108"/>
      <c r="AE54" s="108"/>
      <c r="AF54" s="108"/>
      <c r="AG54" s="108"/>
      <c r="AH54" s="108"/>
      <c r="AI54" s="108"/>
      <c r="AJ54" s="108"/>
      <c r="AK54" s="108"/>
      <c r="AL54" s="108"/>
      <c r="AM54" s="108"/>
      <c r="AN54" s="108"/>
      <c r="AO54" s="108"/>
      <c r="AP54" s="108"/>
      <c r="AQ54" s="108"/>
      <c r="AR54" s="108"/>
      <c r="AS54" s="108"/>
      <c r="AT54" s="108"/>
      <c r="AU54" s="108"/>
      <c r="AV54" s="108"/>
      <c r="AW54" s="108"/>
      <c r="AX54" s="108"/>
      <c r="AY54" s="108"/>
      <c r="AZ54" s="108"/>
      <c r="BA54" s="108"/>
      <c r="BB54" s="108"/>
      <c r="BC54" s="108"/>
      <c r="BD54" s="108"/>
      <c r="BE54" s="108"/>
      <c r="BF54" s="108"/>
      <c r="BG54" s="108"/>
      <c r="BH54" s="108"/>
      <c r="BI54" s="108"/>
      <c r="BJ54" s="108"/>
    </row>
    <row r="55" spans="1:62" s="125" customFormat="1">
      <c r="A55" s="129" t="s">
        <v>87</v>
      </c>
      <c r="B55" s="91">
        <v>187</v>
      </c>
      <c r="C55" s="51">
        <v>181</v>
      </c>
      <c r="D55" s="295">
        <f t="shared" si="10"/>
        <v>-3.2085561497326207E-2</v>
      </c>
      <c r="E55" s="298">
        <f t="shared" si="8"/>
        <v>4.5904133908191728E-3</v>
      </c>
      <c r="G55" s="91">
        <v>2</v>
      </c>
      <c r="H55" s="51">
        <v>2</v>
      </c>
      <c r="I55" s="295">
        <f t="shared" si="11"/>
        <v>0</v>
      </c>
      <c r="J55" s="298">
        <f t="shared" si="9"/>
        <v>1.2224938875305623E-3</v>
      </c>
      <c r="L55" s="212">
        <f t="shared" si="5"/>
        <v>90500</v>
      </c>
      <c r="O55" s="217"/>
      <c r="P55" s="160"/>
      <c r="S55" s="185"/>
      <c r="T55" s="185"/>
      <c r="U55" s="185"/>
      <c r="V55" s="185"/>
      <c r="W55" s="185"/>
      <c r="X55" s="185"/>
      <c r="Y55" s="185"/>
      <c r="Z55" s="108"/>
      <c r="AA55" s="108"/>
      <c r="AB55" s="108"/>
      <c r="AC55" s="108"/>
      <c r="AD55" s="108"/>
      <c r="AE55" s="108"/>
      <c r="AF55" s="108"/>
      <c r="AG55" s="108"/>
      <c r="AH55" s="108"/>
      <c r="AI55" s="108"/>
      <c r="AJ55" s="108"/>
      <c r="AK55" s="108"/>
      <c r="AL55" s="108"/>
      <c r="AM55" s="108"/>
      <c r="AN55" s="108"/>
      <c r="AO55" s="108"/>
      <c r="AP55" s="108"/>
      <c r="AQ55" s="108"/>
      <c r="AR55" s="108"/>
      <c r="AS55" s="108"/>
      <c r="AT55" s="108"/>
      <c r="AU55" s="108"/>
      <c r="AV55" s="108"/>
      <c r="AW55" s="108"/>
      <c r="AX55" s="108"/>
      <c r="AY55" s="108"/>
      <c r="AZ55" s="108"/>
      <c r="BA55" s="108"/>
      <c r="BB55" s="108"/>
      <c r="BC55" s="108"/>
      <c r="BD55" s="108"/>
      <c r="BE55" s="108"/>
      <c r="BF55" s="108"/>
      <c r="BG55" s="108"/>
      <c r="BH55" s="108"/>
      <c r="BI55" s="108"/>
      <c r="BJ55" s="108"/>
    </row>
    <row r="56" spans="1:62" s="125" customFormat="1" ht="12.75" customHeight="1">
      <c r="A56" s="129" t="s">
        <v>299</v>
      </c>
      <c r="B56" s="91">
        <v>172</v>
      </c>
      <c r="C56" s="51">
        <v>172</v>
      </c>
      <c r="D56" s="295">
        <f t="shared" si="10"/>
        <v>0</v>
      </c>
      <c r="E56" s="298">
        <f t="shared" si="8"/>
        <v>4.3621607912756781E-3</v>
      </c>
      <c r="G56" s="91">
        <v>33</v>
      </c>
      <c r="H56" s="51">
        <v>62</v>
      </c>
      <c r="I56" s="295">
        <f t="shared" si="11"/>
        <v>0.87878787878787878</v>
      </c>
      <c r="J56" s="298">
        <f t="shared" si="9"/>
        <v>3.7897310513447434E-2</v>
      </c>
      <c r="L56" s="212">
        <f t="shared" si="5"/>
        <v>2774.1935483870966</v>
      </c>
      <c r="O56" s="217"/>
      <c r="P56" s="160"/>
      <c r="S56" s="185"/>
      <c r="T56" s="185"/>
      <c r="U56" s="185"/>
      <c r="V56" s="185"/>
      <c r="W56" s="185"/>
      <c r="X56" s="185"/>
      <c r="Y56" s="185"/>
      <c r="Z56" s="108"/>
      <c r="AA56" s="108"/>
      <c r="AB56" s="108"/>
      <c r="AC56" s="108"/>
      <c r="AD56" s="108"/>
      <c r="AE56" s="108"/>
      <c r="AF56" s="108"/>
      <c r="AG56" s="108"/>
      <c r="AH56" s="108"/>
      <c r="AI56" s="108"/>
      <c r="AJ56" s="108"/>
      <c r="AK56" s="108"/>
      <c r="AL56" s="108"/>
      <c r="AM56" s="108"/>
      <c r="AN56" s="108"/>
      <c r="AO56" s="108"/>
      <c r="AP56" s="108"/>
      <c r="AQ56" s="108"/>
      <c r="AR56" s="108"/>
      <c r="AS56" s="108"/>
      <c r="AT56" s="108"/>
      <c r="AU56" s="108"/>
      <c r="AV56" s="108"/>
      <c r="AW56" s="108"/>
      <c r="AX56" s="108"/>
      <c r="AY56" s="108"/>
      <c r="AZ56" s="108"/>
      <c r="BA56" s="108"/>
      <c r="BB56" s="108"/>
      <c r="BC56" s="108"/>
      <c r="BD56" s="108"/>
      <c r="BE56" s="108"/>
      <c r="BF56" s="108"/>
      <c r="BG56" s="108"/>
      <c r="BH56" s="108"/>
      <c r="BI56" s="108"/>
      <c r="BJ56" s="108"/>
    </row>
    <row r="57" spans="1:62" s="125" customFormat="1">
      <c r="A57" s="129" t="s">
        <v>74</v>
      </c>
      <c r="B57" s="90">
        <v>176</v>
      </c>
      <c r="C57" s="51">
        <v>144</v>
      </c>
      <c r="D57" s="295">
        <f t="shared" si="10"/>
        <v>-0.18181818181818182</v>
      </c>
      <c r="E57" s="298">
        <f t="shared" si="8"/>
        <v>3.6520415926959166E-3</v>
      </c>
      <c r="G57" s="90">
        <v>3</v>
      </c>
      <c r="H57" s="51">
        <v>3</v>
      </c>
      <c r="I57" s="295">
        <f t="shared" si="11"/>
        <v>0</v>
      </c>
      <c r="J57" s="298">
        <f t="shared" si="9"/>
        <v>1.8337408312958435E-3</v>
      </c>
      <c r="L57" s="212">
        <f t="shared" si="5"/>
        <v>48000</v>
      </c>
      <c r="O57" s="217"/>
      <c r="P57" s="217"/>
      <c r="Q57" s="218"/>
      <c r="R57" s="218"/>
      <c r="S57" s="219"/>
      <c r="T57" s="219"/>
      <c r="U57" s="108"/>
      <c r="V57" s="185"/>
      <c r="W57" s="185"/>
      <c r="X57" s="185"/>
      <c r="Y57" s="185"/>
      <c r="Z57" s="108"/>
      <c r="AA57" s="108"/>
      <c r="AB57" s="108"/>
      <c r="AC57" s="108"/>
      <c r="AD57" s="108"/>
      <c r="AE57" s="108"/>
      <c r="AF57" s="108"/>
      <c r="AG57" s="108"/>
      <c r="AH57" s="108"/>
      <c r="AI57" s="108"/>
      <c r="AJ57" s="108"/>
      <c r="AK57" s="108"/>
      <c r="AL57" s="108"/>
      <c r="AM57" s="108"/>
      <c r="AN57" s="108"/>
      <c r="AO57" s="108"/>
      <c r="AP57" s="108"/>
      <c r="AQ57" s="108"/>
      <c r="AR57" s="108"/>
      <c r="AS57" s="108"/>
      <c r="AT57" s="108"/>
      <c r="AU57" s="108"/>
      <c r="AV57" s="108"/>
      <c r="AW57" s="108"/>
      <c r="AX57" s="108"/>
      <c r="AY57" s="108"/>
      <c r="AZ57" s="108"/>
      <c r="BA57" s="108"/>
      <c r="BB57" s="108"/>
      <c r="BC57" s="108"/>
      <c r="BD57" s="108"/>
      <c r="BE57" s="108"/>
      <c r="BF57" s="108"/>
      <c r="BG57" s="108"/>
      <c r="BH57" s="108"/>
      <c r="BI57" s="108"/>
      <c r="BJ57" s="108"/>
    </row>
    <row r="58" spans="1:62" s="125" customFormat="1">
      <c r="A58" s="129" t="s">
        <v>300</v>
      </c>
      <c r="B58" s="90">
        <v>267</v>
      </c>
      <c r="C58" s="51">
        <v>134</v>
      </c>
      <c r="D58" s="295">
        <f t="shared" si="10"/>
        <v>-0.49812734082397003</v>
      </c>
      <c r="E58" s="298">
        <f t="shared" si="8"/>
        <v>3.3984275932031449E-3</v>
      </c>
      <c r="G58" s="90">
        <v>10</v>
      </c>
      <c r="H58" s="51">
        <v>9</v>
      </c>
      <c r="I58" s="295">
        <f t="shared" si="11"/>
        <v>-0.1</v>
      </c>
      <c r="J58" s="298">
        <f t="shared" si="9"/>
        <v>5.5012224938875308E-3</v>
      </c>
      <c r="L58" s="212">
        <f t="shared" si="5"/>
        <v>14888.888888888889</v>
      </c>
      <c r="O58" s="217"/>
      <c r="P58" s="160"/>
      <c r="S58" s="185"/>
      <c r="T58" s="185"/>
      <c r="U58" s="185"/>
      <c r="V58" s="185"/>
      <c r="W58" s="185"/>
      <c r="X58" s="185"/>
      <c r="Y58" s="185"/>
      <c r="Z58" s="108"/>
      <c r="AA58" s="108"/>
      <c r="AB58" s="108"/>
      <c r="AC58" s="108"/>
      <c r="AD58" s="108"/>
      <c r="AE58" s="108"/>
      <c r="AF58" s="108"/>
      <c r="AG58" s="108"/>
      <c r="AH58" s="108"/>
      <c r="AI58" s="108"/>
      <c r="AJ58" s="108"/>
      <c r="AK58" s="108"/>
      <c r="AL58" s="108"/>
      <c r="AM58" s="108"/>
      <c r="AN58" s="108"/>
      <c r="AO58" s="108"/>
      <c r="AP58" s="108"/>
      <c r="AQ58" s="108"/>
      <c r="AR58" s="108"/>
      <c r="AS58" s="108"/>
      <c r="AT58" s="108"/>
      <c r="AU58" s="108"/>
      <c r="AV58" s="108"/>
      <c r="AW58" s="108"/>
      <c r="AX58" s="108"/>
      <c r="AY58" s="108"/>
      <c r="AZ58" s="108"/>
      <c r="BA58" s="108"/>
      <c r="BB58" s="108"/>
      <c r="BC58" s="108"/>
      <c r="BD58" s="108"/>
      <c r="BE58" s="108"/>
      <c r="BF58" s="108"/>
      <c r="BG58" s="108"/>
      <c r="BH58" s="108"/>
      <c r="BI58" s="108"/>
      <c r="BJ58" s="108"/>
    </row>
    <row r="59" spans="1:62" s="125" customFormat="1">
      <c r="A59" s="129" t="s">
        <v>88</v>
      </c>
      <c r="B59" s="90">
        <v>179</v>
      </c>
      <c r="C59" s="51">
        <v>110</v>
      </c>
      <c r="D59" s="295">
        <f t="shared" si="10"/>
        <v>-0.38547486033519551</v>
      </c>
      <c r="E59" s="298">
        <f t="shared" si="8"/>
        <v>2.789753994420492E-3</v>
      </c>
      <c r="G59" s="90">
        <v>21</v>
      </c>
      <c r="H59" s="51">
        <v>6</v>
      </c>
      <c r="I59" s="295">
        <f t="shared" si="11"/>
        <v>-0.7142857142857143</v>
      </c>
      <c r="J59" s="298">
        <f t="shared" si="9"/>
        <v>3.667481662591687E-3</v>
      </c>
      <c r="L59" s="212">
        <f t="shared" si="5"/>
        <v>18333.333333333332</v>
      </c>
      <c r="O59" s="217"/>
      <c r="P59" s="160"/>
      <c r="S59" s="185"/>
      <c r="T59" s="185"/>
      <c r="U59" s="185"/>
      <c r="V59" s="185"/>
      <c r="W59" s="185"/>
      <c r="X59" s="185"/>
      <c r="Y59" s="185"/>
      <c r="Z59" s="108"/>
      <c r="AA59" s="108"/>
      <c r="AB59" s="108"/>
      <c r="AC59" s="108"/>
      <c r="AD59" s="108"/>
      <c r="AE59" s="108"/>
      <c r="AF59" s="108"/>
      <c r="AG59" s="108"/>
      <c r="AH59" s="108"/>
      <c r="AI59" s="108"/>
      <c r="AJ59" s="108"/>
      <c r="AK59" s="108"/>
      <c r="AL59" s="108"/>
      <c r="AM59" s="108"/>
      <c r="AN59" s="108"/>
      <c r="AO59" s="108"/>
      <c r="AP59" s="108"/>
      <c r="AQ59" s="108"/>
      <c r="AR59" s="108"/>
      <c r="AS59" s="108"/>
      <c r="AT59" s="108"/>
      <c r="AU59" s="108"/>
      <c r="AV59" s="108"/>
      <c r="AW59" s="108"/>
      <c r="AX59" s="108"/>
      <c r="AY59" s="108"/>
      <c r="AZ59" s="108"/>
      <c r="BA59" s="108"/>
      <c r="BB59" s="108"/>
      <c r="BC59" s="108"/>
      <c r="BD59" s="108"/>
      <c r="BE59" s="108"/>
      <c r="BF59" s="108"/>
      <c r="BG59" s="108"/>
      <c r="BH59" s="108"/>
      <c r="BI59" s="108"/>
      <c r="BJ59" s="108"/>
    </row>
    <row r="60" spans="1:62" s="125" customFormat="1">
      <c r="A60" s="129" t="s">
        <v>92</v>
      </c>
      <c r="B60" s="90">
        <v>0</v>
      </c>
      <c r="C60" s="51">
        <v>3</v>
      </c>
      <c r="D60" s="302" t="s">
        <v>20</v>
      </c>
      <c r="E60" s="298">
        <f t="shared" si="8"/>
        <v>7.6084199847831601E-5</v>
      </c>
      <c r="G60" s="90">
        <v>0</v>
      </c>
      <c r="H60" s="51">
        <v>0</v>
      </c>
      <c r="I60" s="302" t="s">
        <v>20</v>
      </c>
      <c r="J60" s="298">
        <f t="shared" si="9"/>
        <v>0</v>
      </c>
      <c r="L60" s="294" t="s">
        <v>20</v>
      </c>
      <c r="O60" s="217"/>
      <c r="P60" s="160"/>
      <c r="Q60" s="184"/>
      <c r="R60" s="184"/>
      <c r="S60" s="185"/>
      <c r="T60" s="185"/>
      <c r="U60" s="185"/>
      <c r="V60" s="185"/>
      <c r="W60" s="185"/>
      <c r="X60" s="185"/>
      <c r="Y60" s="185"/>
      <c r="Z60" s="108"/>
      <c r="AA60" s="108"/>
      <c r="AB60" s="108"/>
      <c r="AC60" s="108"/>
      <c r="AD60" s="108"/>
      <c r="AE60" s="108"/>
      <c r="AF60" s="108"/>
      <c r="AG60" s="108"/>
      <c r="AH60" s="108"/>
      <c r="AI60" s="108"/>
      <c r="AJ60" s="108"/>
      <c r="AK60" s="108"/>
      <c r="AL60" s="108"/>
      <c r="AM60" s="108"/>
      <c r="AN60" s="108"/>
      <c r="AO60" s="108"/>
      <c r="AP60" s="108"/>
      <c r="AQ60" s="108"/>
      <c r="AR60" s="108"/>
      <c r="AS60" s="108"/>
      <c r="AT60" s="108"/>
      <c r="AU60" s="108"/>
      <c r="AV60" s="108"/>
      <c r="AW60" s="108"/>
      <c r="AX60" s="108"/>
      <c r="AY60" s="108"/>
      <c r="AZ60" s="108"/>
      <c r="BA60" s="108"/>
      <c r="BB60" s="108"/>
      <c r="BC60" s="108"/>
      <c r="BD60" s="108"/>
      <c r="BE60" s="108"/>
      <c r="BF60" s="108"/>
      <c r="BG60" s="108"/>
      <c r="BH60" s="108"/>
      <c r="BI60" s="108"/>
      <c r="BJ60" s="108"/>
    </row>
    <row r="61" spans="1:62" s="125" customFormat="1">
      <c r="A61" s="129" t="s">
        <v>62</v>
      </c>
      <c r="B61" s="90">
        <v>2738</v>
      </c>
      <c r="C61" s="51">
        <v>3138</v>
      </c>
      <c r="D61" s="295">
        <f t="shared" si="10"/>
        <v>0.14609203798392986</v>
      </c>
      <c r="E61" s="298">
        <f t="shared" si="8"/>
        <v>7.9584073040831857E-2</v>
      </c>
      <c r="G61" s="90">
        <v>130</v>
      </c>
      <c r="H61" s="51">
        <v>141</v>
      </c>
      <c r="I61" s="295">
        <f t="shared" ref="I61:I62" si="12">(H61-G61)/G61</f>
        <v>8.461538461538462E-2</v>
      </c>
      <c r="J61" s="298">
        <f t="shared" si="9"/>
        <v>8.618581907090464E-2</v>
      </c>
      <c r="L61" s="212">
        <f>C61*1000/H61</f>
        <v>22255.319148936171</v>
      </c>
      <c r="O61" s="217"/>
      <c r="P61" s="217"/>
      <c r="S61" s="185"/>
      <c r="T61" s="185"/>
      <c r="U61" s="185"/>
      <c r="V61" s="185"/>
      <c r="W61" s="185"/>
      <c r="X61" s="185"/>
      <c r="Y61" s="185"/>
      <c r="Z61" s="108"/>
      <c r="AA61" s="108"/>
      <c r="AB61" s="108"/>
      <c r="AC61" s="108"/>
      <c r="AD61" s="108"/>
      <c r="AE61" s="108"/>
      <c r="AF61" s="108"/>
      <c r="AG61" s="108"/>
      <c r="AH61" s="108"/>
      <c r="AI61" s="108"/>
      <c r="AJ61" s="108"/>
      <c r="AK61" s="108"/>
      <c r="AL61" s="108"/>
      <c r="AM61" s="108"/>
      <c r="AN61" s="108"/>
      <c r="AO61" s="108"/>
      <c r="AP61" s="108"/>
      <c r="AQ61" s="108"/>
      <c r="AR61" s="108"/>
      <c r="AS61" s="108"/>
      <c r="AT61" s="108"/>
      <c r="AU61" s="108"/>
      <c r="AV61" s="108"/>
      <c r="AW61" s="108"/>
      <c r="AX61" s="108"/>
      <c r="AY61" s="108"/>
      <c r="AZ61" s="108"/>
      <c r="BA61" s="108"/>
      <c r="BB61" s="108"/>
      <c r="BC61" s="108"/>
      <c r="BD61" s="108"/>
      <c r="BE61" s="108"/>
      <c r="BF61" s="108"/>
      <c r="BG61" s="108"/>
      <c r="BH61" s="108"/>
      <c r="BI61" s="108"/>
      <c r="BJ61" s="108"/>
    </row>
    <row r="62" spans="1:62" s="125" customFormat="1" ht="14.25" thickBot="1">
      <c r="A62" s="155" t="s">
        <v>18</v>
      </c>
      <c r="B62" s="98">
        <f>SUM(B30:B61)</f>
        <v>35140</v>
      </c>
      <c r="C62" s="99">
        <f>SUM(C30:C61)</f>
        <v>39430</v>
      </c>
      <c r="D62" s="299">
        <f t="shared" si="10"/>
        <v>0.12208309618668184</v>
      </c>
      <c r="E62" s="300">
        <f>SUM(E30:E61)</f>
        <v>1.0000000000000002</v>
      </c>
      <c r="F62" s="145"/>
      <c r="G62" s="98">
        <f>SUM(G30:G61)</f>
        <v>1450</v>
      </c>
      <c r="H62" s="99">
        <f>SUM(H30:H61)</f>
        <v>1636</v>
      </c>
      <c r="I62" s="299">
        <f t="shared" si="12"/>
        <v>0.12827586206896552</v>
      </c>
      <c r="J62" s="300">
        <f>SUM(J30:J61)</f>
        <v>0.99999999999999978</v>
      </c>
      <c r="L62" s="215">
        <f>C62*1000/H62</f>
        <v>24101.466992665035</v>
      </c>
      <c r="O62" s="217"/>
      <c r="P62" s="217"/>
      <c r="S62" s="185"/>
      <c r="T62" s="185"/>
      <c r="U62" s="185"/>
      <c r="V62" s="185"/>
      <c r="W62" s="185"/>
      <c r="X62" s="185"/>
      <c r="Y62" s="185"/>
      <c r="Z62" s="108"/>
      <c r="AA62" s="108"/>
      <c r="AB62" s="108"/>
      <c r="AC62" s="108"/>
      <c r="AD62" s="108"/>
      <c r="AE62" s="108"/>
      <c r="AF62" s="108"/>
      <c r="AG62" s="108"/>
      <c r="AH62" s="108"/>
      <c r="AI62" s="108"/>
      <c r="AJ62" s="108"/>
      <c r="AK62" s="108"/>
      <c r="AL62" s="108"/>
      <c r="AM62" s="108"/>
      <c r="AN62" s="108"/>
      <c r="AO62" s="108"/>
      <c r="AP62" s="108"/>
      <c r="AQ62" s="108"/>
      <c r="AR62" s="108"/>
      <c r="AS62" s="108"/>
      <c r="AT62" s="108"/>
      <c r="AU62" s="108"/>
      <c r="AV62" s="108"/>
      <c r="AW62" s="108"/>
      <c r="AX62" s="108"/>
      <c r="AY62" s="108"/>
      <c r="AZ62" s="108"/>
      <c r="BA62" s="108"/>
      <c r="BB62" s="108"/>
      <c r="BC62" s="108"/>
      <c r="BD62" s="108"/>
      <c r="BE62" s="108"/>
      <c r="BF62" s="108"/>
      <c r="BG62" s="108"/>
      <c r="BH62" s="108"/>
      <c r="BI62" s="108"/>
      <c r="BJ62" s="108"/>
    </row>
    <row r="63" spans="1:62">
      <c r="A63" s="6" t="s">
        <v>146</v>
      </c>
    </row>
    <row r="64" spans="1:62">
      <c r="A64" s="6" t="s">
        <v>63</v>
      </c>
    </row>
    <row r="65" spans="1:65">
      <c r="A65" s="6" t="s">
        <v>64</v>
      </c>
      <c r="L65" s="30"/>
    </row>
    <row r="66" spans="1:65">
      <c r="A66" s="6" t="s">
        <v>130</v>
      </c>
      <c r="C66" s="30"/>
      <c r="D66" s="30"/>
      <c r="E66" s="30"/>
    </row>
    <row r="68" spans="1:65" ht="14.25" customHeight="1"/>
    <row r="69" spans="1:65" s="44" customFormat="1" ht="21.75" customHeight="1">
      <c r="A69" s="337" t="s">
        <v>124</v>
      </c>
      <c r="B69" s="338"/>
      <c r="C69" s="338"/>
      <c r="D69" s="338"/>
      <c r="E69" s="338"/>
      <c r="F69" s="338"/>
      <c r="G69" s="338"/>
      <c r="H69" s="338"/>
      <c r="I69" s="338"/>
      <c r="J69" s="338"/>
      <c r="K69" s="338"/>
      <c r="L69" s="338"/>
      <c r="M69" s="338"/>
      <c r="N69" s="338"/>
      <c r="O69" s="338"/>
      <c r="P69" s="338"/>
      <c r="Q69" s="338"/>
      <c r="R69" s="338"/>
      <c r="S69" s="338"/>
      <c r="T69" s="338"/>
      <c r="U69" s="338"/>
      <c r="V69" s="338"/>
      <c r="W69" s="338"/>
      <c r="X69" s="338"/>
      <c r="Y69" s="338"/>
    </row>
    <row r="70" spans="1:65" ht="13.5" customHeight="1"/>
    <row r="71" spans="1:65">
      <c r="A71" s="16" t="s">
        <v>415</v>
      </c>
      <c r="B71" s="26" t="s">
        <v>304</v>
      </c>
    </row>
    <row r="73" spans="1:65" s="64" customFormat="1" ht="14.25" thickBot="1">
      <c r="B73" s="65" t="s">
        <v>147</v>
      </c>
      <c r="G73" s="65" t="s">
        <v>301</v>
      </c>
      <c r="L73" s="65"/>
      <c r="Q73" s="231"/>
      <c r="R73" s="65"/>
      <c r="S73" s="231"/>
      <c r="V73" s="229"/>
      <c r="W73" s="229"/>
      <c r="X73" s="229"/>
      <c r="Y73" s="229"/>
      <c r="Z73" s="229"/>
      <c r="AA73" s="229"/>
      <c r="AB73" s="229"/>
      <c r="AC73" s="229"/>
      <c r="AD73" s="229"/>
      <c r="AE73" s="229"/>
      <c r="AF73" s="229"/>
      <c r="AG73" s="229"/>
      <c r="AH73" s="229"/>
      <c r="AI73" s="229"/>
      <c r="AJ73" s="229"/>
      <c r="AK73" s="229"/>
      <c r="AL73" s="229"/>
      <c r="AM73" s="229"/>
      <c r="AN73" s="229"/>
      <c r="AO73" s="229"/>
      <c r="AP73" s="229"/>
      <c r="AQ73" s="229"/>
      <c r="AR73" s="229"/>
      <c r="AS73" s="229"/>
      <c r="AT73" s="229"/>
      <c r="AU73" s="229"/>
      <c r="AV73" s="229"/>
      <c r="AW73" s="229"/>
      <c r="AX73" s="229"/>
      <c r="AY73" s="229"/>
      <c r="AZ73" s="229"/>
      <c r="BA73" s="229"/>
      <c r="BB73" s="229"/>
      <c r="BC73" s="229"/>
      <c r="BD73" s="229"/>
      <c r="BE73" s="229"/>
      <c r="BF73" s="229"/>
      <c r="BG73" s="229"/>
      <c r="BH73" s="229"/>
      <c r="BI73" s="229"/>
      <c r="BJ73" s="229"/>
      <c r="BK73" s="229"/>
      <c r="BL73" s="229"/>
      <c r="BM73" s="229"/>
    </row>
    <row r="74" spans="1:65" s="125" customFormat="1" ht="14.25" thickBot="1">
      <c r="B74" s="198">
        <v>2013</v>
      </c>
      <c r="C74" s="114">
        <v>2014</v>
      </c>
      <c r="D74" s="114" t="s">
        <v>311</v>
      </c>
      <c r="E74" s="174" t="s">
        <v>42</v>
      </c>
      <c r="F74" s="210"/>
      <c r="G74" s="198">
        <v>2013</v>
      </c>
      <c r="H74" s="114">
        <v>2014</v>
      </c>
      <c r="I74" s="114" t="s">
        <v>311</v>
      </c>
      <c r="J74" s="174" t="s">
        <v>42</v>
      </c>
      <c r="K74" s="218"/>
      <c r="L74" s="292" t="s">
        <v>126</v>
      </c>
      <c r="M74" s="218"/>
      <c r="P74" s="108"/>
      <c r="Q74" s="108"/>
      <c r="R74" s="108"/>
      <c r="S74" s="108"/>
      <c r="T74" s="108"/>
      <c r="U74" s="108"/>
      <c r="V74" s="108"/>
      <c r="W74" s="108"/>
      <c r="X74" s="108"/>
      <c r="Y74" s="108"/>
      <c r="Z74" s="108"/>
      <c r="AA74" s="108"/>
      <c r="AB74" s="108"/>
      <c r="AC74" s="108"/>
      <c r="AD74" s="108"/>
      <c r="AE74" s="108"/>
      <c r="AF74" s="108"/>
      <c r="AG74" s="108"/>
      <c r="AH74" s="108"/>
      <c r="AI74" s="108"/>
      <c r="AJ74" s="108"/>
      <c r="AK74" s="108"/>
      <c r="AL74" s="108"/>
      <c r="AM74" s="108"/>
      <c r="AN74" s="108"/>
      <c r="AO74" s="108"/>
      <c r="AP74" s="108"/>
      <c r="AQ74" s="108"/>
      <c r="AR74" s="108"/>
      <c r="AS74" s="108"/>
      <c r="AT74" s="108"/>
      <c r="AU74" s="108"/>
      <c r="AV74" s="108"/>
      <c r="AW74" s="108"/>
      <c r="AX74" s="108"/>
      <c r="AY74" s="108"/>
      <c r="AZ74" s="108"/>
      <c r="BA74" s="108"/>
      <c r="BB74" s="108"/>
      <c r="BC74" s="108"/>
      <c r="BD74" s="108"/>
      <c r="BE74" s="108"/>
      <c r="BF74" s="108"/>
      <c r="BG74" s="108"/>
    </row>
    <row r="75" spans="1:65" s="125" customFormat="1">
      <c r="A75" s="121" t="s">
        <v>56</v>
      </c>
      <c r="B75" s="89">
        <v>16901</v>
      </c>
      <c r="C75" s="49">
        <v>18702</v>
      </c>
      <c r="D75" s="296">
        <f>(C75-B75)/B75</f>
        <v>0.10656174190876279</v>
      </c>
      <c r="E75" s="297">
        <f>C75/C$91</f>
        <v>0.28389701864108324</v>
      </c>
      <c r="F75" s="106"/>
      <c r="G75" s="89">
        <v>2162</v>
      </c>
      <c r="H75" s="49">
        <v>2429</v>
      </c>
      <c r="I75" s="296">
        <f>(H75-G75)/G75</f>
        <v>0.12349676225716928</v>
      </c>
      <c r="J75" s="297">
        <f>H75/H$91</f>
        <v>0.4248731852370124</v>
      </c>
      <c r="K75" s="218"/>
      <c r="L75" s="211">
        <f>C75*1000/H75</f>
        <v>7699.4648003293532</v>
      </c>
      <c r="M75" s="217"/>
      <c r="N75" s="217"/>
      <c r="P75" s="108"/>
      <c r="Q75" s="108"/>
      <c r="R75" s="108"/>
      <c r="S75" s="108"/>
      <c r="T75" s="108"/>
      <c r="U75" s="108"/>
      <c r="V75" s="108"/>
      <c r="W75" s="108"/>
      <c r="X75" s="108"/>
      <c r="Y75" s="108"/>
      <c r="Z75" s="108"/>
      <c r="AA75" s="108"/>
      <c r="AB75" s="108"/>
      <c r="AC75" s="108"/>
      <c r="AD75" s="108"/>
      <c r="AE75" s="108"/>
      <c r="AF75" s="108"/>
      <c r="AG75" s="108"/>
      <c r="AH75" s="108"/>
      <c r="AI75" s="108"/>
      <c r="AJ75" s="108"/>
      <c r="AK75" s="108"/>
      <c r="AL75" s="108"/>
      <c r="AM75" s="108"/>
      <c r="AN75" s="108"/>
      <c r="AO75" s="108"/>
      <c r="AP75" s="108"/>
      <c r="AQ75" s="108"/>
      <c r="AR75" s="108"/>
      <c r="AS75" s="108"/>
      <c r="AT75" s="108"/>
      <c r="AU75" s="108"/>
      <c r="AV75" s="108"/>
      <c r="AW75" s="108"/>
      <c r="AX75" s="108"/>
      <c r="AY75" s="108"/>
      <c r="AZ75" s="108"/>
      <c r="BA75" s="108"/>
      <c r="BB75" s="108"/>
      <c r="BC75" s="108"/>
      <c r="BD75" s="108"/>
      <c r="BE75" s="108"/>
      <c r="BF75" s="108"/>
      <c r="BG75" s="108"/>
    </row>
    <row r="76" spans="1:65" s="125" customFormat="1">
      <c r="A76" s="129" t="s">
        <v>55</v>
      </c>
      <c r="B76" s="90">
        <v>13494</v>
      </c>
      <c r="C76" s="51">
        <v>14940</v>
      </c>
      <c r="D76" s="295">
        <f>(C76-B76)/B76</f>
        <v>0.10715873721654068</v>
      </c>
      <c r="E76" s="298">
        <f t="shared" ref="E76:E90" si="13">C76/C$91</f>
        <v>0.22678972615216467</v>
      </c>
      <c r="F76" s="106"/>
      <c r="G76" s="90">
        <v>840</v>
      </c>
      <c r="H76" s="51">
        <v>1175</v>
      </c>
      <c r="I76" s="295">
        <f t="shared" ref="I76:I91" si="14">(H76-G76)/G76</f>
        <v>0.39880952380952384</v>
      </c>
      <c r="J76" s="298">
        <f t="shared" ref="J76:J90" si="15">H76/H$91</f>
        <v>0.20552737449711386</v>
      </c>
      <c r="K76" s="218"/>
      <c r="L76" s="212">
        <f t="shared" ref="L76:L91" si="16">C76*1000/H76</f>
        <v>12714.893617021276</v>
      </c>
      <c r="M76" s="106"/>
      <c r="N76" s="106"/>
      <c r="P76" s="108"/>
      <c r="Q76" s="108"/>
      <c r="R76" s="108"/>
      <c r="S76" s="108"/>
      <c r="T76" s="108"/>
      <c r="U76" s="108"/>
      <c r="V76" s="108"/>
      <c r="W76" s="108"/>
      <c r="X76" s="108"/>
      <c r="Y76" s="108"/>
      <c r="Z76" s="108"/>
      <c r="AA76" s="108"/>
      <c r="AB76" s="108"/>
      <c r="AC76" s="108"/>
      <c r="AD76" s="108"/>
      <c r="AE76" s="108"/>
      <c r="AF76" s="108"/>
      <c r="AG76" s="108"/>
      <c r="AH76" s="108"/>
      <c r="AI76" s="108"/>
      <c r="AJ76" s="108"/>
      <c r="AK76" s="108"/>
      <c r="AL76" s="108"/>
      <c r="AM76" s="108"/>
      <c r="AN76" s="108"/>
      <c r="AO76" s="108"/>
      <c r="AP76" s="108"/>
      <c r="AQ76" s="108"/>
      <c r="AR76" s="108"/>
      <c r="AS76" s="108"/>
      <c r="AT76" s="108"/>
      <c r="AU76" s="108"/>
      <c r="AV76" s="108"/>
      <c r="AW76" s="108"/>
      <c r="AX76" s="108"/>
      <c r="AY76" s="108"/>
      <c r="AZ76" s="108"/>
      <c r="BA76" s="108"/>
      <c r="BB76" s="108"/>
      <c r="BC76" s="108"/>
      <c r="BD76" s="108"/>
      <c r="BE76" s="108"/>
      <c r="BF76" s="108"/>
      <c r="BG76" s="108"/>
    </row>
    <row r="77" spans="1:65" s="125" customFormat="1">
      <c r="A77" s="129" t="s">
        <v>54</v>
      </c>
      <c r="B77" s="90">
        <v>10831</v>
      </c>
      <c r="C77" s="51">
        <v>10828</v>
      </c>
      <c r="D77" s="295">
        <f t="shared" ref="D77:D91" si="17">(C77-B77)/B77</f>
        <v>-2.7698273474286767E-4</v>
      </c>
      <c r="E77" s="298">
        <f t="shared" si="13"/>
        <v>0.16436942133705751</v>
      </c>
      <c r="F77" s="106"/>
      <c r="G77" s="90">
        <v>577</v>
      </c>
      <c r="H77" s="51">
        <v>634</v>
      </c>
      <c r="I77" s="295">
        <f t="shared" si="14"/>
        <v>9.8786828422876949E-2</v>
      </c>
      <c r="J77" s="298">
        <f t="shared" si="15"/>
        <v>0.11089732377120867</v>
      </c>
      <c r="K77" s="218"/>
      <c r="L77" s="212">
        <f t="shared" si="16"/>
        <v>17078.864353312303</v>
      </c>
      <c r="M77" s="106"/>
      <c r="N77" s="106"/>
      <c r="P77" s="108"/>
      <c r="Q77" s="108"/>
      <c r="R77" s="108"/>
      <c r="S77" s="108"/>
      <c r="T77" s="108"/>
      <c r="U77" s="108"/>
      <c r="V77" s="108"/>
      <c r="W77" s="108"/>
      <c r="X77" s="108"/>
      <c r="Y77" s="108"/>
      <c r="Z77" s="108"/>
      <c r="AA77" s="108"/>
      <c r="AB77" s="108"/>
      <c r="AC77" s="108"/>
      <c r="AD77" s="108"/>
      <c r="AE77" s="108"/>
      <c r="AF77" s="108"/>
      <c r="AG77" s="108"/>
      <c r="AH77" s="108"/>
      <c r="AI77" s="108"/>
      <c r="AJ77" s="108"/>
      <c r="AK77" s="108"/>
      <c r="AL77" s="108"/>
      <c r="AM77" s="108"/>
      <c r="AN77" s="108"/>
      <c r="AO77" s="108"/>
      <c r="AP77" s="108"/>
      <c r="AQ77" s="108"/>
      <c r="AR77" s="108"/>
      <c r="AS77" s="108"/>
      <c r="AT77" s="108"/>
      <c r="AU77" s="108"/>
      <c r="AV77" s="108"/>
      <c r="AW77" s="108"/>
      <c r="AX77" s="108"/>
      <c r="AY77" s="108"/>
      <c r="AZ77" s="108"/>
      <c r="BA77" s="108"/>
      <c r="BB77" s="108"/>
      <c r="BC77" s="108"/>
      <c r="BD77" s="108"/>
      <c r="BE77" s="108"/>
      <c r="BF77" s="108"/>
      <c r="BG77" s="108"/>
    </row>
    <row r="78" spans="1:65" s="125" customFormat="1">
      <c r="A78" s="129" t="s">
        <v>93</v>
      </c>
      <c r="B78" s="90">
        <v>4032</v>
      </c>
      <c r="C78" s="51">
        <v>5536</v>
      </c>
      <c r="D78" s="295">
        <f t="shared" si="17"/>
        <v>0.37301587301587302</v>
      </c>
      <c r="E78" s="298">
        <f t="shared" si="13"/>
        <v>8.403667496508592E-2</v>
      </c>
      <c r="F78" s="106"/>
      <c r="G78" s="90">
        <v>360</v>
      </c>
      <c r="H78" s="51">
        <v>527</v>
      </c>
      <c r="I78" s="295">
        <f t="shared" si="14"/>
        <v>0.46388888888888891</v>
      </c>
      <c r="J78" s="298">
        <f t="shared" si="15"/>
        <v>9.2181213923386393E-2</v>
      </c>
      <c r="K78" s="218"/>
      <c r="L78" s="212">
        <f t="shared" si="16"/>
        <v>10504.743833017077</v>
      </c>
      <c r="P78" s="108"/>
      <c r="Q78" s="108"/>
      <c r="R78" s="108"/>
      <c r="S78" s="108"/>
      <c r="T78" s="108"/>
      <c r="U78" s="108"/>
      <c r="V78" s="108"/>
      <c r="W78" s="108"/>
      <c r="X78" s="108"/>
      <c r="Y78" s="108"/>
      <c r="Z78" s="108"/>
      <c r="AA78" s="108"/>
      <c r="AB78" s="108"/>
      <c r="AC78" s="108"/>
      <c r="AD78" s="108"/>
      <c r="AE78" s="108"/>
      <c r="AF78" s="108"/>
      <c r="AG78" s="108"/>
      <c r="AH78" s="108"/>
      <c r="AI78" s="108"/>
      <c r="AJ78" s="108"/>
      <c r="AK78" s="108"/>
      <c r="AL78" s="108"/>
      <c r="AM78" s="108"/>
      <c r="AN78" s="108"/>
      <c r="AO78" s="108"/>
      <c r="AP78" s="108"/>
      <c r="AQ78" s="108"/>
      <c r="AR78" s="108"/>
      <c r="AS78" s="108"/>
      <c r="AT78" s="108"/>
      <c r="AU78" s="108"/>
      <c r="AV78" s="108"/>
      <c r="AW78" s="108"/>
      <c r="AX78" s="108"/>
      <c r="AY78" s="108"/>
      <c r="AZ78" s="108"/>
      <c r="BA78" s="108"/>
      <c r="BB78" s="108"/>
      <c r="BC78" s="108"/>
      <c r="BD78" s="108"/>
      <c r="BE78" s="108"/>
      <c r="BF78" s="108"/>
      <c r="BG78" s="108"/>
    </row>
    <row r="79" spans="1:65" s="125" customFormat="1">
      <c r="A79" s="129" t="s">
        <v>67</v>
      </c>
      <c r="B79" s="90">
        <v>2655</v>
      </c>
      <c r="C79" s="51">
        <v>3170</v>
      </c>
      <c r="D79" s="295">
        <f t="shared" si="17"/>
        <v>0.19397363465160075</v>
      </c>
      <c r="E79" s="298">
        <f t="shared" si="13"/>
        <v>4.8120711640051002E-2</v>
      </c>
      <c r="F79" s="106"/>
      <c r="G79" s="90">
        <v>161</v>
      </c>
      <c r="H79" s="51">
        <v>198</v>
      </c>
      <c r="I79" s="295">
        <f t="shared" si="14"/>
        <v>0.22981366459627328</v>
      </c>
      <c r="J79" s="298">
        <f t="shared" si="15"/>
        <v>3.463354906419451E-2</v>
      </c>
      <c r="K79" s="218"/>
      <c r="L79" s="212">
        <f t="shared" si="16"/>
        <v>16010.101010101011</v>
      </c>
      <c r="P79" s="108"/>
      <c r="Q79" s="108"/>
      <c r="R79" s="108"/>
      <c r="S79" s="108"/>
      <c r="T79" s="108"/>
      <c r="U79" s="108"/>
      <c r="V79" s="108"/>
      <c r="W79" s="108"/>
      <c r="X79" s="108"/>
      <c r="Y79" s="108"/>
      <c r="Z79" s="108"/>
      <c r="AA79" s="108"/>
      <c r="AB79" s="108"/>
      <c r="AC79" s="108"/>
      <c r="AD79" s="108"/>
      <c r="AE79" s="108"/>
      <c r="AF79" s="108"/>
      <c r="AG79" s="108"/>
      <c r="AH79" s="108"/>
      <c r="AI79" s="108"/>
      <c r="AJ79" s="108"/>
      <c r="AK79" s="108"/>
      <c r="AL79" s="108"/>
      <c r="AM79" s="108"/>
      <c r="AN79" s="108"/>
      <c r="AO79" s="108"/>
      <c r="AP79" s="108"/>
      <c r="AQ79" s="108"/>
      <c r="AR79" s="108"/>
      <c r="AS79" s="108"/>
      <c r="AT79" s="108"/>
      <c r="AU79" s="108"/>
      <c r="AV79" s="108"/>
      <c r="AW79" s="108"/>
      <c r="AX79" s="108"/>
      <c r="AY79" s="108"/>
      <c r="AZ79" s="108"/>
      <c r="BA79" s="108"/>
      <c r="BB79" s="108"/>
      <c r="BC79" s="108"/>
      <c r="BD79" s="108"/>
      <c r="BE79" s="108"/>
      <c r="BF79" s="108"/>
      <c r="BG79" s="108"/>
    </row>
    <row r="80" spans="1:65" s="125" customFormat="1">
      <c r="A80" s="129" t="s">
        <v>57</v>
      </c>
      <c r="B80" s="90">
        <v>2683</v>
      </c>
      <c r="C80" s="51">
        <v>2704</v>
      </c>
      <c r="D80" s="295">
        <f t="shared" si="17"/>
        <v>7.8270592620201269E-3</v>
      </c>
      <c r="E80" s="298">
        <f t="shared" si="13"/>
        <v>4.1046815228611332E-2</v>
      </c>
      <c r="F80" s="106"/>
      <c r="G80" s="90">
        <v>300</v>
      </c>
      <c r="H80" s="51">
        <v>279</v>
      </c>
      <c r="I80" s="295">
        <f t="shared" si="14"/>
        <v>-7.0000000000000007E-2</v>
      </c>
      <c r="J80" s="298">
        <f t="shared" si="15"/>
        <v>4.8801819135910446E-2</v>
      </c>
      <c r="K80" s="218"/>
      <c r="L80" s="212">
        <f t="shared" si="16"/>
        <v>9691.7562724014333</v>
      </c>
      <c r="P80" s="108"/>
      <c r="Q80" s="108"/>
      <c r="R80" s="108"/>
      <c r="S80" s="108"/>
      <c r="T80" s="108"/>
      <c r="U80" s="108"/>
      <c r="V80" s="108"/>
      <c r="W80" s="108"/>
      <c r="X80" s="108"/>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c r="AU80" s="108"/>
      <c r="AV80" s="108"/>
      <c r="AW80" s="108"/>
      <c r="AX80" s="108"/>
      <c r="AY80" s="108"/>
      <c r="AZ80" s="108"/>
      <c r="BA80" s="108"/>
      <c r="BB80" s="108"/>
      <c r="BC80" s="108"/>
      <c r="BD80" s="108"/>
      <c r="BE80" s="108"/>
      <c r="BF80" s="108"/>
      <c r="BG80" s="108"/>
    </row>
    <row r="81" spans="1:59" s="125" customFormat="1">
      <c r="A81" s="129" t="s">
        <v>123</v>
      </c>
      <c r="B81" s="90">
        <v>2093</v>
      </c>
      <c r="C81" s="51">
        <v>1783</v>
      </c>
      <c r="D81" s="295">
        <f t="shared" si="17"/>
        <v>-0.14811275680840899</v>
      </c>
      <c r="E81" s="298">
        <f t="shared" si="13"/>
        <v>2.706600279312648E-2</v>
      </c>
      <c r="F81" s="106"/>
      <c r="G81" s="90">
        <v>14</v>
      </c>
      <c r="H81" s="51">
        <v>20</v>
      </c>
      <c r="I81" s="295">
        <f t="shared" si="14"/>
        <v>0.42857142857142855</v>
      </c>
      <c r="J81" s="298">
        <f t="shared" si="15"/>
        <v>3.4983382893125766E-3</v>
      </c>
      <c r="K81" s="218"/>
      <c r="L81" s="212">
        <f t="shared" si="16"/>
        <v>89150</v>
      </c>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c r="AU81" s="108"/>
      <c r="AV81" s="108"/>
      <c r="AW81" s="108"/>
      <c r="AX81" s="108"/>
      <c r="AY81" s="108"/>
      <c r="AZ81" s="108"/>
      <c r="BA81" s="108"/>
      <c r="BB81" s="108"/>
      <c r="BC81" s="108"/>
      <c r="BD81" s="108"/>
      <c r="BE81" s="108"/>
      <c r="BF81" s="108"/>
      <c r="BG81" s="108"/>
    </row>
    <row r="82" spans="1:59" s="125" customFormat="1">
      <c r="A82" s="129" t="s">
        <v>302</v>
      </c>
      <c r="B82" s="90">
        <v>1650</v>
      </c>
      <c r="C82" s="51">
        <v>1529</v>
      </c>
      <c r="D82" s="295">
        <f t="shared" si="17"/>
        <v>-7.3333333333333334E-2</v>
      </c>
      <c r="E82" s="298">
        <f t="shared" si="13"/>
        <v>2.3210273847835326E-2</v>
      </c>
      <c r="F82" s="106"/>
      <c r="G82" s="90">
        <v>93</v>
      </c>
      <c r="H82" s="51">
        <v>82</v>
      </c>
      <c r="I82" s="295">
        <f t="shared" si="14"/>
        <v>-0.11827956989247312</v>
      </c>
      <c r="J82" s="298">
        <f t="shared" si="15"/>
        <v>1.4343186986181564E-2</v>
      </c>
      <c r="K82" s="218"/>
      <c r="L82" s="212">
        <f t="shared" si="16"/>
        <v>18646.341463414636</v>
      </c>
      <c r="P82" s="108"/>
      <c r="Q82" s="108"/>
      <c r="R82" s="108"/>
      <c r="S82" s="108"/>
      <c r="T82" s="108"/>
      <c r="U82" s="108"/>
      <c r="V82" s="108"/>
      <c r="W82" s="108"/>
      <c r="X82" s="108"/>
      <c r="Y82" s="108"/>
      <c r="Z82" s="108"/>
      <c r="AA82" s="108"/>
      <c r="AB82" s="108"/>
      <c r="AC82" s="108"/>
      <c r="AD82" s="108"/>
      <c r="AE82" s="108"/>
      <c r="AF82" s="108"/>
      <c r="AG82" s="108"/>
      <c r="AH82" s="108"/>
      <c r="AI82" s="108"/>
      <c r="AJ82" s="108"/>
      <c r="AK82" s="108"/>
      <c r="AL82" s="108"/>
      <c r="AM82" s="108"/>
      <c r="AN82" s="108"/>
      <c r="AO82" s="108"/>
      <c r="AP82" s="108"/>
      <c r="AQ82" s="108"/>
      <c r="AR82" s="108"/>
      <c r="AS82" s="108"/>
      <c r="AT82" s="108"/>
      <c r="AU82" s="108"/>
      <c r="AV82" s="108"/>
      <c r="AW82" s="108"/>
      <c r="AX82" s="108"/>
      <c r="AY82" s="108"/>
      <c r="AZ82" s="108"/>
      <c r="BA82" s="108"/>
      <c r="BB82" s="108"/>
      <c r="BC82" s="108"/>
      <c r="BD82" s="108"/>
      <c r="BE82" s="108"/>
      <c r="BF82" s="108"/>
      <c r="BG82" s="108"/>
    </row>
    <row r="83" spans="1:59" s="125" customFormat="1">
      <c r="A83" s="129" t="s">
        <v>66</v>
      </c>
      <c r="B83" s="90">
        <v>751</v>
      </c>
      <c r="C83" s="51">
        <v>948</v>
      </c>
      <c r="D83" s="295">
        <f t="shared" si="17"/>
        <v>0.2623169107856192</v>
      </c>
      <c r="E83" s="298">
        <f t="shared" si="13"/>
        <v>1.4390673386362256E-2</v>
      </c>
      <c r="F83" s="106"/>
      <c r="G83" s="90">
        <v>68</v>
      </c>
      <c r="H83" s="51">
        <v>39</v>
      </c>
      <c r="I83" s="295">
        <f t="shared" si="14"/>
        <v>-0.4264705882352941</v>
      </c>
      <c r="J83" s="298">
        <f t="shared" si="15"/>
        <v>6.8217596641595244E-3</v>
      </c>
      <c r="K83" s="218"/>
      <c r="L83" s="212">
        <f t="shared" si="16"/>
        <v>24307.692307692309</v>
      </c>
      <c r="P83" s="108"/>
      <c r="Q83" s="108"/>
      <c r="R83" s="108"/>
      <c r="S83" s="108"/>
      <c r="T83" s="108"/>
      <c r="U83" s="108"/>
      <c r="V83" s="108"/>
      <c r="W83" s="108"/>
      <c r="X83" s="108"/>
      <c r="Y83" s="108"/>
      <c r="Z83" s="108"/>
      <c r="AA83" s="108"/>
      <c r="AB83" s="108"/>
      <c r="AC83" s="108"/>
      <c r="AD83" s="108"/>
      <c r="AE83" s="108"/>
      <c r="AF83" s="108"/>
      <c r="AG83" s="108"/>
      <c r="AH83" s="108"/>
      <c r="AI83" s="108"/>
      <c r="AJ83" s="108"/>
      <c r="AK83" s="108"/>
      <c r="AL83" s="108"/>
      <c r="AM83" s="108"/>
      <c r="AN83" s="108"/>
      <c r="AO83" s="108"/>
      <c r="AP83" s="108"/>
      <c r="AQ83" s="108"/>
      <c r="AR83" s="108"/>
      <c r="AS83" s="108"/>
      <c r="AT83" s="108"/>
      <c r="AU83" s="108"/>
      <c r="AV83" s="108"/>
      <c r="AW83" s="108"/>
      <c r="AX83" s="108"/>
      <c r="AY83" s="108"/>
      <c r="AZ83" s="108"/>
      <c r="BA83" s="108"/>
      <c r="BB83" s="108"/>
      <c r="BC83" s="108"/>
      <c r="BD83" s="108"/>
      <c r="BE83" s="108"/>
      <c r="BF83" s="108"/>
      <c r="BG83" s="108"/>
    </row>
    <row r="84" spans="1:59" s="125" customFormat="1">
      <c r="A84" s="129" t="s">
        <v>74</v>
      </c>
      <c r="B84" s="90">
        <v>901</v>
      </c>
      <c r="C84" s="51">
        <v>882</v>
      </c>
      <c r="D84" s="295">
        <f t="shared" si="17"/>
        <v>-2.1087680355160933E-2</v>
      </c>
      <c r="E84" s="298">
        <f t="shared" si="13"/>
        <v>1.3388791061995264E-2</v>
      </c>
      <c r="F84" s="106"/>
      <c r="G84" s="90">
        <v>34</v>
      </c>
      <c r="H84" s="51">
        <v>35</v>
      </c>
      <c r="I84" s="295">
        <f t="shared" si="14"/>
        <v>2.9411764705882353E-2</v>
      </c>
      <c r="J84" s="298">
        <f t="shared" si="15"/>
        <v>6.1220920062970089E-3</v>
      </c>
      <c r="K84" s="218"/>
      <c r="L84" s="212">
        <f t="shared" si="16"/>
        <v>25200</v>
      </c>
      <c r="P84" s="108"/>
      <c r="Q84" s="108"/>
      <c r="R84" s="108"/>
      <c r="S84" s="108"/>
      <c r="T84" s="108"/>
      <c r="U84" s="108"/>
      <c r="V84" s="108"/>
      <c r="W84" s="108"/>
      <c r="X84" s="108"/>
      <c r="Y84" s="108"/>
      <c r="Z84" s="108"/>
      <c r="AA84" s="108"/>
      <c r="AB84" s="108"/>
      <c r="AC84" s="108"/>
      <c r="AD84" s="108"/>
      <c r="AE84" s="108"/>
      <c r="AF84" s="108"/>
      <c r="AG84" s="108"/>
      <c r="AH84" s="108"/>
      <c r="AI84" s="108"/>
      <c r="AJ84" s="108"/>
      <c r="AK84" s="108"/>
      <c r="AL84" s="108"/>
      <c r="AM84" s="108"/>
      <c r="AN84" s="108"/>
      <c r="AO84" s="108"/>
      <c r="AP84" s="108"/>
      <c r="AQ84" s="108"/>
      <c r="AR84" s="108"/>
      <c r="AS84" s="108"/>
      <c r="AT84" s="108"/>
      <c r="AU84" s="108"/>
      <c r="AV84" s="108"/>
      <c r="AW84" s="108"/>
      <c r="AX84" s="108"/>
      <c r="AY84" s="108"/>
      <c r="AZ84" s="108"/>
      <c r="BA84" s="108"/>
      <c r="BB84" s="108"/>
      <c r="BC84" s="108"/>
      <c r="BD84" s="108"/>
      <c r="BE84" s="108"/>
      <c r="BF84" s="108"/>
      <c r="BG84" s="108"/>
    </row>
    <row r="85" spans="1:59" s="125" customFormat="1">
      <c r="A85" s="129" t="s">
        <v>87</v>
      </c>
      <c r="B85" s="90">
        <v>616</v>
      </c>
      <c r="C85" s="51">
        <v>787</v>
      </c>
      <c r="D85" s="295">
        <f t="shared" si="17"/>
        <v>0.27759740259740262</v>
      </c>
      <c r="E85" s="298">
        <f t="shared" si="13"/>
        <v>1.1946687716315503E-2</v>
      </c>
      <c r="F85" s="106"/>
      <c r="G85" s="90">
        <v>27</v>
      </c>
      <c r="H85" s="51">
        <v>36</v>
      </c>
      <c r="I85" s="295">
        <f t="shared" si="14"/>
        <v>0.33333333333333331</v>
      </c>
      <c r="J85" s="298">
        <f t="shared" si="15"/>
        <v>6.2970089207626378E-3</v>
      </c>
      <c r="K85" s="218"/>
      <c r="L85" s="212">
        <f t="shared" si="16"/>
        <v>21861.111111111109</v>
      </c>
      <c r="P85" s="108"/>
      <c r="Q85" s="108"/>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row>
    <row r="86" spans="1:59" s="125" customFormat="1">
      <c r="A86" s="129" t="s">
        <v>303</v>
      </c>
      <c r="B86" s="90">
        <v>429</v>
      </c>
      <c r="C86" s="51">
        <v>582</v>
      </c>
      <c r="D86" s="295">
        <f t="shared" si="17"/>
        <v>0.35664335664335667</v>
      </c>
      <c r="E86" s="298">
        <f t="shared" si="13"/>
        <v>8.8347804966907532E-3</v>
      </c>
      <c r="F86" s="106"/>
      <c r="G86" s="90">
        <v>6</v>
      </c>
      <c r="H86" s="51">
        <v>12</v>
      </c>
      <c r="I86" s="295">
        <f t="shared" si="14"/>
        <v>1</v>
      </c>
      <c r="J86" s="298">
        <f t="shared" si="15"/>
        <v>2.0990029735875461E-3</v>
      </c>
      <c r="K86" s="218"/>
      <c r="L86" s="212">
        <f t="shared" si="16"/>
        <v>48500</v>
      </c>
      <c r="P86" s="108"/>
      <c r="Q86" s="108"/>
      <c r="R86" s="108"/>
      <c r="S86" s="108"/>
      <c r="T86" s="108"/>
      <c r="U86" s="108"/>
      <c r="V86" s="108"/>
      <c r="W86" s="108"/>
      <c r="X86" s="108"/>
      <c r="Y86" s="108"/>
      <c r="Z86" s="108"/>
      <c r="AA86" s="108"/>
      <c r="AB86" s="108"/>
      <c r="AC86" s="108"/>
      <c r="AD86" s="108"/>
      <c r="AE86" s="108"/>
      <c r="AF86" s="108"/>
      <c r="AG86" s="108"/>
      <c r="AH86" s="108"/>
      <c r="AI86" s="108"/>
      <c r="AJ86" s="108"/>
      <c r="AK86" s="108"/>
      <c r="AL86" s="108"/>
      <c r="AM86" s="108"/>
      <c r="AN86" s="108"/>
      <c r="AO86" s="108"/>
      <c r="AP86" s="108"/>
      <c r="AQ86" s="108"/>
      <c r="AR86" s="108"/>
      <c r="AS86" s="108"/>
      <c r="AT86" s="108"/>
      <c r="AU86" s="108"/>
      <c r="AV86" s="108"/>
      <c r="AW86" s="108"/>
      <c r="AX86" s="108"/>
      <c r="AY86" s="108"/>
      <c r="AZ86" s="108"/>
      <c r="BA86" s="108"/>
      <c r="BB86" s="108"/>
      <c r="BC86" s="108"/>
      <c r="BD86" s="108"/>
      <c r="BE86" s="108"/>
      <c r="BF86" s="108"/>
      <c r="BG86" s="108"/>
    </row>
    <row r="87" spans="1:59" s="125" customFormat="1">
      <c r="A87" s="129" t="s">
        <v>71</v>
      </c>
      <c r="B87" s="90">
        <v>392</v>
      </c>
      <c r="C87" s="51">
        <v>556</v>
      </c>
      <c r="D87" s="295">
        <f t="shared" si="17"/>
        <v>0.41836734693877553</v>
      </c>
      <c r="E87" s="298">
        <f t="shared" si="13"/>
        <v>8.4400995810310284E-3</v>
      </c>
      <c r="F87" s="106"/>
      <c r="G87" s="90">
        <v>16</v>
      </c>
      <c r="H87" s="51">
        <v>20</v>
      </c>
      <c r="I87" s="295">
        <f t="shared" si="14"/>
        <v>0.25</v>
      </c>
      <c r="J87" s="298">
        <f t="shared" si="15"/>
        <v>3.4983382893125766E-3</v>
      </c>
      <c r="K87" s="218"/>
      <c r="L87" s="212">
        <f t="shared" si="16"/>
        <v>27800</v>
      </c>
      <c r="P87" s="108"/>
      <c r="Q87" s="108"/>
      <c r="R87" s="108"/>
      <c r="S87" s="108"/>
      <c r="T87" s="108"/>
      <c r="U87" s="108"/>
      <c r="V87" s="108"/>
      <c r="W87" s="108"/>
      <c r="X87" s="108"/>
      <c r="Y87" s="108"/>
      <c r="Z87" s="108"/>
      <c r="AA87" s="108"/>
      <c r="AB87" s="108"/>
      <c r="AC87" s="108"/>
      <c r="AD87" s="108"/>
      <c r="AE87" s="108"/>
      <c r="AF87" s="108"/>
      <c r="AG87" s="108"/>
      <c r="AH87" s="108"/>
      <c r="AI87" s="108"/>
      <c r="AJ87" s="108"/>
      <c r="AK87" s="108"/>
      <c r="AL87" s="108"/>
      <c r="AM87" s="108"/>
      <c r="AN87" s="108"/>
      <c r="AO87" s="108"/>
      <c r="AP87" s="108"/>
      <c r="AQ87" s="108"/>
      <c r="AR87" s="108"/>
      <c r="AS87" s="108"/>
      <c r="AT87" s="108"/>
      <c r="AU87" s="108"/>
      <c r="AV87" s="108"/>
      <c r="AW87" s="108"/>
      <c r="AX87" s="108"/>
      <c r="AY87" s="108"/>
      <c r="AZ87" s="108"/>
      <c r="BA87" s="108"/>
      <c r="BB87" s="108"/>
      <c r="BC87" s="108"/>
      <c r="BD87" s="108"/>
      <c r="BE87" s="108"/>
      <c r="BF87" s="108"/>
      <c r="BG87" s="108"/>
    </row>
    <row r="88" spans="1:59" s="125" customFormat="1">
      <c r="A88" s="129" t="s">
        <v>61</v>
      </c>
      <c r="B88" s="90">
        <v>503</v>
      </c>
      <c r="C88" s="51">
        <v>542</v>
      </c>
      <c r="D88" s="295">
        <f t="shared" si="17"/>
        <v>7.7534791252485094E-2</v>
      </c>
      <c r="E88" s="298">
        <f t="shared" si="13"/>
        <v>8.2275790879834838E-3</v>
      </c>
      <c r="F88" s="106"/>
      <c r="G88" s="90">
        <v>38</v>
      </c>
      <c r="H88" s="51">
        <v>45</v>
      </c>
      <c r="I88" s="295">
        <f t="shared" si="14"/>
        <v>0.18421052631578946</v>
      </c>
      <c r="J88" s="298">
        <f t="shared" si="15"/>
        <v>7.8712611509532977E-3</v>
      </c>
      <c r="K88" s="218"/>
      <c r="L88" s="212">
        <f t="shared" si="16"/>
        <v>12044.444444444445</v>
      </c>
      <c r="P88" s="108"/>
      <c r="Q88" s="108"/>
      <c r="R88" s="108"/>
      <c r="S88" s="108"/>
      <c r="T88" s="108"/>
      <c r="U88" s="108"/>
      <c r="V88" s="108"/>
      <c r="W88" s="108"/>
      <c r="X88" s="108"/>
      <c r="Y88" s="108"/>
      <c r="Z88" s="108"/>
      <c r="AA88" s="108"/>
      <c r="AB88" s="108"/>
      <c r="AC88" s="108"/>
      <c r="AD88" s="108"/>
      <c r="AE88" s="108"/>
      <c r="AF88" s="108"/>
      <c r="AG88" s="108"/>
      <c r="AH88" s="108"/>
      <c r="AI88" s="108"/>
      <c r="AJ88" s="108"/>
      <c r="AK88" s="108"/>
      <c r="AL88" s="108"/>
      <c r="AM88" s="108"/>
      <c r="AN88" s="108"/>
      <c r="AO88" s="108"/>
      <c r="AP88" s="108"/>
      <c r="AQ88" s="108"/>
      <c r="AR88" s="108"/>
      <c r="AS88" s="108"/>
      <c r="AT88" s="108"/>
      <c r="AU88" s="108"/>
      <c r="AV88" s="108"/>
      <c r="AW88" s="108"/>
      <c r="AX88" s="108"/>
      <c r="AY88" s="108"/>
      <c r="AZ88" s="108"/>
      <c r="BA88" s="108"/>
      <c r="BB88" s="108"/>
      <c r="BC88" s="108"/>
      <c r="BD88" s="108"/>
      <c r="BE88" s="108"/>
      <c r="BF88" s="108"/>
      <c r="BG88" s="108"/>
    </row>
    <row r="89" spans="1:59" s="125" customFormat="1">
      <c r="A89" s="129" t="s">
        <v>59</v>
      </c>
      <c r="B89" s="90">
        <v>588</v>
      </c>
      <c r="C89" s="51">
        <v>394</v>
      </c>
      <c r="D89" s="295">
        <f t="shared" si="17"/>
        <v>-0.32993197278911562</v>
      </c>
      <c r="E89" s="298">
        <f t="shared" si="13"/>
        <v>5.980933875766592E-3</v>
      </c>
      <c r="F89" s="106"/>
      <c r="G89" s="90">
        <v>13</v>
      </c>
      <c r="H89" s="51">
        <v>9</v>
      </c>
      <c r="I89" s="295">
        <f t="shared" si="14"/>
        <v>-0.30769230769230771</v>
      </c>
      <c r="J89" s="298">
        <f t="shared" si="15"/>
        <v>1.5742522301906594E-3</v>
      </c>
      <c r="K89" s="218"/>
      <c r="L89" s="212">
        <f t="shared" si="16"/>
        <v>43777.777777777781</v>
      </c>
      <c r="P89" s="108"/>
      <c r="Q89" s="108"/>
      <c r="R89" s="108"/>
      <c r="S89" s="108"/>
      <c r="T89" s="108"/>
      <c r="U89" s="108"/>
      <c r="V89" s="108"/>
      <c r="W89" s="108"/>
      <c r="X89" s="108"/>
      <c r="Y89" s="108"/>
      <c r="Z89" s="108"/>
      <c r="AA89" s="108"/>
      <c r="AB89" s="108"/>
      <c r="AC89" s="108"/>
      <c r="AD89" s="108"/>
      <c r="AE89" s="108"/>
      <c r="AF89" s="108"/>
      <c r="AG89" s="108"/>
      <c r="AH89" s="108"/>
      <c r="AI89" s="108"/>
      <c r="AJ89" s="108"/>
      <c r="AK89" s="108"/>
      <c r="AL89" s="108"/>
      <c r="AM89" s="108"/>
      <c r="AN89" s="108"/>
      <c r="AO89" s="108"/>
      <c r="AP89" s="108"/>
      <c r="AQ89" s="108"/>
      <c r="AR89" s="108"/>
      <c r="AS89" s="108"/>
      <c r="AT89" s="108"/>
      <c r="AU89" s="108"/>
      <c r="AV89" s="108"/>
      <c r="AW89" s="108"/>
      <c r="AX89" s="108"/>
      <c r="AY89" s="108"/>
      <c r="AZ89" s="108"/>
      <c r="BA89" s="108"/>
      <c r="BB89" s="108"/>
      <c r="BC89" s="108"/>
      <c r="BD89" s="108"/>
      <c r="BE89" s="108"/>
      <c r="BF89" s="108"/>
      <c r="BG89" s="108"/>
    </row>
    <row r="90" spans="1:59" s="125" customFormat="1">
      <c r="A90" s="129" t="s">
        <v>62</v>
      </c>
      <c r="B90" s="90">
        <v>1610</v>
      </c>
      <c r="C90" s="51">
        <v>1993</v>
      </c>
      <c r="D90" s="295">
        <f t="shared" si="17"/>
        <v>0.23788819875776399</v>
      </c>
      <c r="E90" s="298">
        <f t="shared" si="13"/>
        <v>3.0253810188839637E-2</v>
      </c>
      <c r="F90" s="106"/>
      <c r="G90" s="90">
        <v>118</v>
      </c>
      <c r="H90" s="51">
        <v>177</v>
      </c>
      <c r="I90" s="295">
        <f t="shared" si="14"/>
        <v>0.5</v>
      </c>
      <c r="J90" s="298">
        <f t="shared" si="15"/>
        <v>3.0960293860416301E-2</v>
      </c>
      <c r="K90" s="218"/>
      <c r="L90" s="212">
        <f t="shared" si="16"/>
        <v>11259.887005649718</v>
      </c>
      <c r="M90" s="218"/>
      <c r="P90" s="108"/>
      <c r="Q90" s="108"/>
      <c r="R90" s="108"/>
      <c r="S90" s="108"/>
      <c r="T90" s="108"/>
      <c r="U90" s="108"/>
      <c r="V90" s="108"/>
      <c r="W90" s="108"/>
      <c r="X90" s="108"/>
      <c r="Y90" s="108"/>
      <c r="Z90" s="108"/>
      <c r="AA90" s="108"/>
      <c r="AB90" s="108"/>
      <c r="AC90" s="108"/>
      <c r="AD90" s="108"/>
      <c r="AE90" s="108"/>
      <c r="AF90" s="108"/>
      <c r="AG90" s="108"/>
      <c r="AH90" s="108"/>
      <c r="AI90" s="108"/>
      <c r="AJ90" s="108"/>
      <c r="AK90" s="108"/>
      <c r="AL90" s="108"/>
      <c r="AM90" s="108"/>
      <c r="AN90" s="108"/>
      <c r="AO90" s="108"/>
      <c r="AP90" s="108"/>
      <c r="AQ90" s="108"/>
      <c r="AR90" s="108"/>
      <c r="AS90" s="108"/>
      <c r="AT90" s="108"/>
      <c r="AU90" s="108"/>
      <c r="AV90" s="108"/>
      <c r="AW90" s="108"/>
      <c r="AX90" s="108"/>
      <c r="AY90" s="108"/>
      <c r="AZ90" s="108"/>
      <c r="BA90" s="108"/>
      <c r="BB90" s="108"/>
      <c r="BC90" s="108"/>
      <c r="BD90" s="108"/>
      <c r="BE90" s="108"/>
      <c r="BF90" s="108"/>
      <c r="BG90" s="108"/>
    </row>
    <row r="91" spans="1:59" s="125" customFormat="1" ht="14.25" thickBot="1">
      <c r="A91" s="155" t="s">
        <v>18</v>
      </c>
      <c r="B91" s="98">
        <f>SUM(B75:B90)</f>
        <v>60129</v>
      </c>
      <c r="C91" s="99">
        <f>SUM(C75:C90)</f>
        <v>65876</v>
      </c>
      <c r="D91" s="299">
        <f t="shared" si="17"/>
        <v>9.5577840975236569E-2</v>
      </c>
      <c r="E91" s="301">
        <f>SUM(E75:E90)</f>
        <v>0.99999999999999989</v>
      </c>
      <c r="F91" s="220"/>
      <c r="G91" s="98">
        <f>SUM(G75:G90)</f>
        <v>4827</v>
      </c>
      <c r="H91" s="99">
        <f>SUM(H75:H90)</f>
        <v>5717</v>
      </c>
      <c r="I91" s="299">
        <f t="shared" si="14"/>
        <v>0.18437953180029004</v>
      </c>
      <c r="J91" s="301">
        <f>SUM(J75:J90)</f>
        <v>0.99999999999999989</v>
      </c>
      <c r="K91" s="218"/>
      <c r="L91" s="215">
        <f t="shared" si="16"/>
        <v>11522.826657337764</v>
      </c>
      <c r="M91" s="218"/>
      <c r="P91" s="108"/>
      <c r="Q91" s="108"/>
      <c r="R91" s="108"/>
      <c r="S91" s="108"/>
      <c r="T91" s="108"/>
      <c r="U91" s="108"/>
      <c r="V91" s="108"/>
      <c r="W91" s="108"/>
      <c r="X91" s="108"/>
      <c r="Y91" s="108"/>
      <c r="Z91" s="108"/>
      <c r="AA91" s="108"/>
      <c r="AB91" s="108"/>
      <c r="AC91" s="108"/>
      <c r="AD91" s="108"/>
      <c r="AE91" s="108"/>
      <c r="AF91" s="108"/>
      <c r="AG91" s="108"/>
      <c r="AH91" s="108"/>
      <c r="AI91" s="108"/>
      <c r="AJ91" s="108"/>
      <c r="AK91" s="108"/>
      <c r="AL91" s="108"/>
      <c r="AM91" s="108"/>
      <c r="AN91" s="108"/>
      <c r="AO91" s="108"/>
      <c r="AP91" s="108"/>
      <c r="AQ91" s="108"/>
      <c r="AR91" s="108"/>
      <c r="AS91" s="108"/>
      <c r="AT91" s="108"/>
      <c r="AU91" s="108"/>
      <c r="AV91" s="108"/>
      <c r="AW91" s="108"/>
      <c r="AX91" s="108"/>
      <c r="AY91" s="108"/>
      <c r="AZ91" s="108"/>
      <c r="BA91" s="108"/>
      <c r="BB91" s="108"/>
      <c r="BC91" s="108"/>
      <c r="BD91" s="108"/>
      <c r="BE91" s="108"/>
      <c r="BF91" s="108"/>
      <c r="BG91" s="108"/>
    </row>
    <row r="92" spans="1:59">
      <c r="A92" s="6" t="s">
        <v>146</v>
      </c>
      <c r="Q92" s="1"/>
      <c r="R92" s="1"/>
      <c r="S92" s="1"/>
    </row>
    <row r="93" spans="1:59">
      <c r="A93" s="6" t="s">
        <v>94</v>
      </c>
    </row>
    <row r="94" spans="1:59">
      <c r="A94" s="6" t="s">
        <v>64</v>
      </c>
    </row>
    <row r="95" spans="1:59">
      <c r="A95" s="6" t="s">
        <v>130</v>
      </c>
    </row>
    <row r="96" spans="1:59">
      <c r="A96" s="6"/>
    </row>
    <row r="97" spans="1:65" s="45" customFormat="1" ht="13.5" customHeight="1" thickBot="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c r="BH97" s="41"/>
      <c r="BI97" s="41"/>
      <c r="BJ97" s="41"/>
      <c r="BK97" s="41"/>
      <c r="BL97" s="41"/>
      <c r="BM97" s="41"/>
    </row>
    <row r="98" spans="1:65" ht="13.5" customHeight="1">
      <c r="V98" s="15"/>
      <c r="W98" s="15"/>
      <c r="X98" s="15"/>
      <c r="Y98" s="15"/>
    </row>
    <row r="99" spans="1:65">
      <c r="A99" s="16" t="s">
        <v>416</v>
      </c>
      <c r="B99" s="26" t="s">
        <v>305</v>
      </c>
      <c r="C99" s="30"/>
      <c r="D99" s="30"/>
      <c r="E99" s="30"/>
      <c r="F99" s="30"/>
      <c r="G99" s="30"/>
      <c r="H99" s="30"/>
      <c r="I99" s="30"/>
      <c r="J99" s="30"/>
    </row>
    <row r="101" spans="1:65" s="64" customFormat="1" ht="14.25" thickBot="1">
      <c r="B101" s="592" t="s">
        <v>147</v>
      </c>
      <c r="C101" s="593"/>
      <c r="D101" s="291"/>
      <c r="E101" s="291"/>
      <c r="G101" s="592" t="s">
        <v>144</v>
      </c>
      <c r="H101" s="593"/>
      <c r="I101" s="291"/>
      <c r="J101" s="291"/>
      <c r="V101" s="229"/>
      <c r="W101" s="229"/>
      <c r="X101" s="229"/>
      <c r="Y101" s="229"/>
      <c r="Z101" s="229"/>
      <c r="AA101" s="229"/>
      <c r="AB101" s="229"/>
      <c r="AC101" s="229"/>
      <c r="AD101" s="229"/>
      <c r="AE101" s="229"/>
      <c r="AF101" s="229"/>
      <c r="AG101" s="229"/>
      <c r="AH101" s="229"/>
      <c r="AI101" s="229"/>
      <c r="AJ101" s="229"/>
      <c r="AK101" s="229"/>
      <c r="AL101" s="229"/>
      <c r="AM101" s="229"/>
      <c r="AN101" s="229"/>
      <c r="AO101" s="229"/>
      <c r="AP101" s="229"/>
      <c r="AQ101" s="229"/>
      <c r="AR101" s="229"/>
      <c r="AS101" s="229"/>
      <c r="AT101" s="229"/>
      <c r="AU101" s="229"/>
      <c r="AV101" s="229"/>
      <c r="AW101" s="229"/>
      <c r="AX101" s="229"/>
      <c r="AY101" s="229"/>
      <c r="AZ101" s="229"/>
      <c r="BA101" s="229"/>
      <c r="BB101" s="229"/>
      <c r="BC101" s="229"/>
      <c r="BD101" s="229"/>
      <c r="BE101" s="229"/>
      <c r="BF101" s="229"/>
      <c r="BG101" s="229"/>
      <c r="BH101" s="229"/>
      <c r="BI101" s="229"/>
      <c r="BJ101" s="229"/>
      <c r="BK101" s="229"/>
      <c r="BL101" s="229"/>
      <c r="BM101" s="229"/>
    </row>
    <row r="102" spans="1:65" s="125" customFormat="1" ht="14.25" thickBot="1">
      <c r="A102" s="218"/>
      <c r="B102" s="198">
        <v>2013</v>
      </c>
      <c r="C102" s="114">
        <v>2014</v>
      </c>
      <c r="D102" s="114" t="s">
        <v>311</v>
      </c>
      <c r="E102" s="174" t="s">
        <v>42</v>
      </c>
      <c r="F102" s="221"/>
      <c r="G102" s="198">
        <v>2013</v>
      </c>
      <c r="H102" s="114">
        <v>2014</v>
      </c>
      <c r="I102" s="114" t="s">
        <v>311</v>
      </c>
      <c r="J102" s="174" t="s">
        <v>42</v>
      </c>
      <c r="L102" s="292" t="s">
        <v>126</v>
      </c>
      <c r="T102" s="108"/>
      <c r="U102" s="108"/>
      <c r="V102" s="108"/>
      <c r="W102" s="108"/>
      <c r="X102" s="108"/>
      <c r="Y102" s="108"/>
      <c r="Z102" s="108"/>
      <c r="AA102" s="108"/>
      <c r="AB102" s="108"/>
      <c r="AC102" s="108"/>
      <c r="AD102" s="108"/>
      <c r="AE102" s="108"/>
      <c r="AF102" s="108"/>
      <c r="AG102" s="108"/>
      <c r="AH102" s="108"/>
      <c r="AI102" s="108"/>
      <c r="AJ102" s="108"/>
      <c r="AK102" s="108"/>
      <c r="AL102" s="108"/>
      <c r="AM102" s="108"/>
      <c r="AN102" s="108"/>
      <c r="AO102" s="108"/>
      <c r="AP102" s="108"/>
      <c r="AQ102" s="108"/>
      <c r="AR102" s="108"/>
      <c r="AS102" s="108"/>
      <c r="AT102" s="108"/>
      <c r="AU102" s="108"/>
      <c r="AV102" s="108"/>
      <c r="AW102" s="108"/>
      <c r="AX102" s="108"/>
      <c r="AY102" s="108"/>
      <c r="AZ102" s="108"/>
      <c r="BA102" s="108"/>
      <c r="BB102" s="108"/>
      <c r="BC102" s="108"/>
      <c r="BD102" s="108"/>
      <c r="BE102" s="108"/>
      <c r="BF102" s="108"/>
      <c r="BG102" s="108"/>
      <c r="BH102" s="108"/>
      <c r="BI102" s="108"/>
      <c r="BJ102" s="108"/>
      <c r="BK102" s="108"/>
    </row>
    <row r="103" spans="1:65" s="125" customFormat="1">
      <c r="A103" s="121" t="s">
        <v>123</v>
      </c>
      <c r="B103" s="89">
        <v>7607</v>
      </c>
      <c r="C103" s="49">
        <v>9625</v>
      </c>
      <c r="D103" s="296">
        <f t="shared" ref="D103:D135" si="18">(C103-B103)/B103</f>
        <v>0.265281977126331</v>
      </c>
      <c r="E103" s="297">
        <f>C103/C$135</f>
        <v>0.14455641830497273</v>
      </c>
      <c r="F103" s="51"/>
      <c r="G103" s="89">
        <v>110</v>
      </c>
      <c r="H103" s="49">
        <v>131</v>
      </c>
      <c r="I103" s="296">
        <f t="shared" ref="I103:I135" si="19">(H103-G103)/G103</f>
        <v>0.19090909090909092</v>
      </c>
      <c r="J103" s="297">
        <f>H103/H$135</f>
        <v>4.2712748614281058E-2</v>
      </c>
      <c r="L103" s="211">
        <f t="shared" ref="L103:L132" si="20">C103*1000/H103</f>
        <v>73473.282442748095</v>
      </c>
      <c r="T103" s="108"/>
      <c r="U103" s="108"/>
      <c r="V103" s="108"/>
      <c r="W103" s="108"/>
      <c r="X103" s="108"/>
      <c r="Y103" s="108"/>
      <c r="Z103" s="108"/>
      <c r="AA103" s="108"/>
      <c r="AB103" s="108"/>
      <c r="AC103" s="108"/>
      <c r="AD103" s="108"/>
      <c r="AE103" s="108"/>
      <c r="AF103" s="108"/>
      <c r="AG103" s="108"/>
      <c r="AH103" s="108"/>
      <c r="AI103" s="108"/>
      <c r="AJ103" s="108"/>
      <c r="AK103" s="108"/>
      <c r="AL103" s="108"/>
      <c r="AM103" s="108"/>
      <c r="AN103" s="108"/>
      <c r="AO103" s="108"/>
      <c r="AP103" s="108"/>
      <c r="AQ103" s="108"/>
      <c r="AR103" s="108"/>
      <c r="AS103" s="108"/>
      <c r="AT103" s="108"/>
      <c r="AU103" s="108"/>
      <c r="AV103" s="108"/>
      <c r="AW103" s="108"/>
      <c r="AX103" s="108"/>
      <c r="AY103" s="108"/>
      <c r="AZ103" s="108"/>
      <c r="BA103" s="108"/>
      <c r="BB103" s="108"/>
      <c r="BC103" s="108"/>
      <c r="BD103" s="108"/>
      <c r="BE103" s="108"/>
      <c r="BF103" s="108"/>
      <c r="BG103" s="108"/>
      <c r="BH103" s="108"/>
      <c r="BI103" s="108"/>
      <c r="BJ103" s="108"/>
      <c r="BK103" s="108"/>
    </row>
    <row r="104" spans="1:65" s="125" customFormat="1">
      <c r="A104" s="129" t="s">
        <v>65</v>
      </c>
      <c r="B104" s="90">
        <v>6904</v>
      </c>
      <c r="C104" s="51">
        <v>7710</v>
      </c>
      <c r="D104" s="295">
        <f t="shared" si="18"/>
        <v>0.11674391657010429</v>
      </c>
      <c r="E104" s="298">
        <f t="shared" ref="E104:E134" si="21">C104/C$135</f>
        <v>0.11579532313052882</v>
      </c>
      <c r="F104" s="51"/>
      <c r="G104" s="90">
        <v>532</v>
      </c>
      <c r="H104" s="51">
        <v>772</v>
      </c>
      <c r="I104" s="295">
        <f t="shared" si="19"/>
        <v>0.45112781954887216</v>
      </c>
      <c r="J104" s="298">
        <f t="shared" ref="J104:J134" si="22">H104/H$135</f>
        <v>0.25171177045973264</v>
      </c>
      <c r="L104" s="212">
        <f t="shared" si="20"/>
        <v>9987.046632124353</v>
      </c>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c r="AU104" s="108"/>
      <c r="AV104" s="108"/>
      <c r="AW104" s="108"/>
      <c r="AX104" s="108"/>
      <c r="AY104" s="108"/>
      <c r="AZ104" s="108"/>
      <c r="BA104" s="108"/>
      <c r="BB104" s="108"/>
      <c r="BC104" s="108"/>
      <c r="BD104" s="108"/>
      <c r="BE104" s="108"/>
      <c r="BF104" s="108"/>
      <c r="BG104" s="108"/>
      <c r="BH104" s="108"/>
      <c r="BI104" s="108"/>
      <c r="BJ104" s="108"/>
      <c r="BK104" s="108"/>
    </row>
    <row r="105" spans="1:65" s="125" customFormat="1">
      <c r="A105" s="129" t="s">
        <v>69</v>
      </c>
      <c r="B105" s="90">
        <v>1169</v>
      </c>
      <c r="C105" s="51">
        <v>4873</v>
      </c>
      <c r="D105" s="295">
        <f t="shared" si="18"/>
        <v>3.168520102651839</v>
      </c>
      <c r="E105" s="298">
        <f t="shared" si="21"/>
        <v>7.3186849496117631E-2</v>
      </c>
      <c r="F105" s="51"/>
      <c r="G105" s="90">
        <v>31</v>
      </c>
      <c r="H105" s="51">
        <v>189</v>
      </c>
      <c r="I105" s="295">
        <f t="shared" si="19"/>
        <v>5.096774193548387</v>
      </c>
      <c r="J105" s="298">
        <f t="shared" si="22"/>
        <v>6.1623736550374959E-2</v>
      </c>
      <c r="L105" s="212">
        <f t="shared" si="20"/>
        <v>25783.068783068782</v>
      </c>
      <c r="T105" s="108"/>
      <c r="U105" s="108"/>
      <c r="V105" s="108"/>
      <c r="W105" s="108"/>
      <c r="X105" s="108"/>
      <c r="Y105" s="108"/>
      <c r="Z105" s="108"/>
      <c r="AA105" s="108"/>
      <c r="AB105" s="108"/>
      <c r="AC105" s="108"/>
      <c r="AD105" s="108"/>
      <c r="AE105" s="108"/>
      <c r="AF105" s="108"/>
      <c r="AG105" s="108"/>
      <c r="AH105" s="108"/>
      <c r="AI105" s="108"/>
      <c r="AJ105" s="108"/>
      <c r="AK105" s="108"/>
      <c r="AL105" s="108"/>
      <c r="AM105" s="108"/>
      <c r="AN105" s="108"/>
      <c r="AO105" s="108"/>
      <c r="AP105" s="108"/>
      <c r="AQ105" s="108"/>
      <c r="AR105" s="108"/>
      <c r="AS105" s="108"/>
      <c r="AT105" s="108"/>
      <c r="AU105" s="108"/>
      <c r="AV105" s="108"/>
      <c r="AW105" s="108"/>
      <c r="AX105" s="108"/>
      <c r="AY105" s="108"/>
      <c r="AZ105" s="108"/>
      <c r="BA105" s="108"/>
      <c r="BB105" s="108"/>
      <c r="BC105" s="108"/>
      <c r="BD105" s="108"/>
      <c r="BE105" s="108"/>
      <c r="BF105" s="108"/>
      <c r="BG105" s="108"/>
      <c r="BH105" s="108"/>
      <c r="BI105" s="108"/>
      <c r="BJ105" s="108"/>
      <c r="BK105" s="108"/>
    </row>
    <row r="106" spans="1:65" s="125" customFormat="1">
      <c r="A106" s="129" t="s">
        <v>67</v>
      </c>
      <c r="B106" s="90">
        <v>4444</v>
      </c>
      <c r="C106" s="51">
        <v>4431</v>
      </c>
      <c r="D106" s="295">
        <f t="shared" si="18"/>
        <v>-2.9252925292529252E-3</v>
      </c>
      <c r="E106" s="298">
        <f t="shared" si="21"/>
        <v>6.654851839058018E-2</v>
      </c>
      <c r="F106" s="51"/>
      <c r="G106" s="90">
        <v>196</v>
      </c>
      <c r="H106" s="51">
        <v>202</v>
      </c>
      <c r="I106" s="295">
        <f t="shared" si="19"/>
        <v>3.0612244897959183E-2</v>
      </c>
      <c r="J106" s="298">
        <f t="shared" si="22"/>
        <v>6.5862406260189105E-2</v>
      </c>
      <c r="L106" s="212">
        <f t="shared" si="20"/>
        <v>21935.643564356436</v>
      </c>
      <c r="T106" s="108"/>
      <c r="U106" s="108"/>
      <c r="V106" s="108"/>
      <c r="W106" s="108"/>
      <c r="X106" s="108"/>
      <c r="Y106" s="108"/>
      <c r="Z106" s="108"/>
      <c r="AA106" s="108"/>
      <c r="AB106" s="108"/>
      <c r="AC106" s="108"/>
      <c r="AD106" s="108"/>
      <c r="AE106" s="108"/>
      <c r="AF106" s="108"/>
      <c r="AG106" s="108"/>
      <c r="AH106" s="108"/>
      <c r="AI106" s="108"/>
      <c r="AJ106" s="108"/>
      <c r="AK106" s="108"/>
      <c r="AL106" s="108"/>
      <c r="AM106" s="108"/>
      <c r="AN106" s="108"/>
      <c r="AO106" s="108"/>
      <c r="AP106" s="108"/>
      <c r="AQ106" s="108"/>
      <c r="AR106" s="108"/>
      <c r="AS106" s="108"/>
      <c r="AT106" s="108"/>
      <c r="AU106" s="108"/>
      <c r="AV106" s="108"/>
      <c r="AW106" s="108"/>
      <c r="AX106" s="108"/>
      <c r="AY106" s="108"/>
      <c r="AZ106" s="108"/>
      <c r="BA106" s="108"/>
      <c r="BB106" s="108"/>
      <c r="BC106" s="108"/>
      <c r="BD106" s="108"/>
      <c r="BE106" s="108"/>
      <c r="BF106" s="108"/>
      <c r="BG106" s="108"/>
      <c r="BH106" s="108"/>
      <c r="BI106" s="108"/>
      <c r="BJ106" s="108"/>
      <c r="BK106" s="108"/>
    </row>
    <row r="107" spans="1:65" s="125" customFormat="1">
      <c r="A107" s="129" t="s">
        <v>54</v>
      </c>
      <c r="B107" s="90">
        <v>3324</v>
      </c>
      <c r="C107" s="51">
        <v>4242</v>
      </c>
      <c r="D107" s="295">
        <f t="shared" si="18"/>
        <v>0.27617328519855594</v>
      </c>
      <c r="E107" s="298">
        <f t="shared" si="21"/>
        <v>6.3709955994773443E-2</v>
      </c>
      <c r="F107" s="51"/>
      <c r="G107" s="90">
        <v>94</v>
      </c>
      <c r="H107" s="51">
        <v>118</v>
      </c>
      <c r="I107" s="295">
        <f t="shared" si="19"/>
        <v>0.25531914893617019</v>
      </c>
      <c r="J107" s="298">
        <f t="shared" si="22"/>
        <v>3.8474078904466906E-2</v>
      </c>
      <c r="L107" s="212">
        <f t="shared" si="20"/>
        <v>35949.152542372882</v>
      </c>
      <c r="T107" s="108"/>
      <c r="U107" s="108"/>
      <c r="V107" s="108"/>
      <c r="W107" s="108"/>
      <c r="X107" s="108"/>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c r="AU107" s="108"/>
      <c r="AV107" s="108"/>
      <c r="AW107" s="108"/>
      <c r="AX107" s="108"/>
      <c r="AY107" s="108"/>
      <c r="AZ107" s="108"/>
      <c r="BA107" s="108"/>
      <c r="BB107" s="108"/>
      <c r="BC107" s="108"/>
      <c r="BD107" s="108"/>
      <c r="BE107" s="108"/>
      <c r="BF107" s="108"/>
      <c r="BG107" s="108"/>
      <c r="BH107" s="108"/>
      <c r="BI107" s="108"/>
      <c r="BJ107" s="108"/>
      <c r="BK107" s="108"/>
    </row>
    <row r="108" spans="1:65" s="125" customFormat="1">
      <c r="A108" s="129" t="s">
        <v>66</v>
      </c>
      <c r="B108" s="90">
        <v>3718</v>
      </c>
      <c r="C108" s="51">
        <v>3829</v>
      </c>
      <c r="D108" s="295">
        <f t="shared" si="18"/>
        <v>2.9854760623991394E-2</v>
      </c>
      <c r="E108" s="298">
        <f t="shared" si="21"/>
        <v>5.7507171500232795E-2</v>
      </c>
      <c r="F108" s="51"/>
      <c r="G108" s="90">
        <v>82</v>
      </c>
      <c r="H108" s="51">
        <v>90</v>
      </c>
      <c r="I108" s="295">
        <f t="shared" si="19"/>
        <v>9.7560975609756101E-2</v>
      </c>
      <c r="J108" s="298">
        <f t="shared" si="22"/>
        <v>2.9344636452559504E-2</v>
      </c>
      <c r="L108" s="212">
        <f t="shared" si="20"/>
        <v>42544.444444444445</v>
      </c>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8"/>
    </row>
    <row r="109" spans="1:65" s="125" customFormat="1">
      <c r="A109" s="129" t="s">
        <v>55</v>
      </c>
      <c r="B109" s="90">
        <v>2663</v>
      </c>
      <c r="C109" s="51">
        <v>3026</v>
      </c>
      <c r="D109" s="295">
        <f t="shared" si="18"/>
        <v>0.13631242959068721</v>
      </c>
      <c r="E109" s="298">
        <f t="shared" si="21"/>
        <v>4.5447036030217922E-2</v>
      </c>
      <c r="F109" s="51"/>
      <c r="G109" s="90">
        <v>85</v>
      </c>
      <c r="H109" s="51">
        <v>100</v>
      </c>
      <c r="I109" s="295">
        <f t="shared" si="19"/>
        <v>0.17647058823529413</v>
      </c>
      <c r="J109" s="298">
        <f t="shared" si="22"/>
        <v>3.2605151613955004E-2</v>
      </c>
      <c r="L109" s="212">
        <f t="shared" si="20"/>
        <v>30260</v>
      </c>
      <c r="T109" s="108"/>
      <c r="U109" s="108"/>
      <c r="V109" s="108"/>
      <c r="W109" s="108"/>
      <c r="X109" s="108"/>
      <c r="Y109" s="108"/>
      <c r="Z109" s="108"/>
      <c r="AA109" s="108"/>
      <c r="AB109" s="108"/>
      <c r="AC109" s="108"/>
      <c r="AD109" s="108"/>
      <c r="AE109" s="108"/>
      <c r="AF109" s="108"/>
      <c r="AG109" s="108"/>
      <c r="AH109" s="108"/>
      <c r="AI109" s="108"/>
      <c r="AJ109" s="108"/>
      <c r="AK109" s="108"/>
      <c r="AL109" s="108"/>
      <c r="AM109" s="108"/>
      <c r="AN109" s="108"/>
      <c r="AO109" s="108"/>
      <c r="AP109" s="108"/>
      <c r="AQ109" s="108"/>
      <c r="AR109" s="108"/>
      <c r="AS109" s="108"/>
      <c r="AT109" s="108"/>
      <c r="AU109" s="108"/>
      <c r="AV109" s="108"/>
      <c r="AW109" s="108"/>
      <c r="AX109" s="108"/>
      <c r="AY109" s="108"/>
      <c r="AZ109" s="108"/>
      <c r="BA109" s="108"/>
      <c r="BB109" s="108"/>
      <c r="BC109" s="108"/>
      <c r="BD109" s="108"/>
      <c r="BE109" s="108"/>
      <c r="BF109" s="108"/>
      <c r="BG109" s="108"/>
      <c r="BH109" s="108"/>
      <c r="BI109" s="108"/>
      <c r="BJ109" s="108"/>
      <c r="BK109" s="108"/>
    </row>
    <row r="110" spans="1:65" s="125" customFormat="1">
      <c r="A110" s="129" t="s">
        <v>88</v>
      </c>
      <c r="B110" s="90">
        <v>1498</v>
      </c>
      <c r="C110" s="51">
        <v>2407</v>
      </c>
      <c r="D110" s="295">
        <f t="shared" si="18"/>
        <v>0.60680907877169554</v>
      </c>
      <c r="E110" s="298">
        <f t="shared" si="21"/>
        <v>3.6150368712734485E-2</v>
      </c>
      <c r="F110" s="51"/>
      <c r="G110" s="90">
        <v>200</v>
      </c>
      <c r="H110" s="51">
        <v>357</v>
      </c>
      <c r="I110" s="295">
        <f t="shared" si="19"/>
        <v>0.78500000000000003</v>
      </c>
      <c r="J110" s="298">
        <f t="shared" si="22"/>
        <v>0.11640039126181936</v>
      </c>
      <c r="L110" s="212">
        <f t="shared" si="20"/>
        <v>6742.2969187675071</v>
      </c>
      <c r="T110" s="108"/>
      <c r="U110" s="108"/>
      <c r="V110" s="108"/>
      <c r="W110" s="108"/>
      <c r="X110" s="108"/>
      <c r="Y110" s="108"/>
      <c r="Z110" s="108"/>
      <c r="AA110" s="108"/>
      <c r="AB110" s="108"/>
      <c r="AC110" s="108"/>
      <c r="AD110" s="108"/>
      <c r="AE110" s="108"/>
      <c r="AF110" s="108"/>
      <c r="AG110" s="108"/>
      <c r="AH110" s="108"/>
      <c r="AI110" s="108"/>
      <c r="AJ110" s="108"/>
      <c r="AK110" s="108"/>
      <c r="AL110" s="108"/>
      <c r="AM110" s="108"/>
      <c r="AN110" s="108"/>
      <c r="AO110" s="108"/>
      <c r="AP110" s="108"/>
      <c r="AQ110" s="108"/>
      <c r="AR110" s="108"/>
      <c r="AS110" s="108"/>
      <c r="AT110" s="108"/>
      <c r="AU110" s="108"/>
      <c r="AV110" s="108"/>
      <c r="AW110" s="108"/>
      <c r="AX110" s="108"/>
      <c r="AY110" s="108"/>
      <c r="AZ110" s="108"/>
      <c r="BA110" s="108"/>
      <c r="BB110" s="108"/>
      <c r="BC110" s="108"/>
      <c r="BD110" s="108"/>
      <c r="BE110" s="108"/>
      <c r="BF110" s="108"/>
      <c r="BG110" s="108"/>
      <c r="BH110" s="108"/>
      <c r="BI110" s="108"/>
      <c r="BJ110" s="108"/>
      <c r="BK110" s="108"/>
    </row>
    <row r="111" spans="1:65" s="125" customFormat="1">
      <c r="A111" s="129" t="s">
        <v>56</v>
      </c>
      <c r="B111" s="90">
        <v>3439</v>
      </c>
      <c r="C111" s="51">
        <v>2136</v>
      </c>
      <c r="D111" s="295">
        <f t="shared" si="18"/>
        <v>-0.37888921198022679</v>
      </c>
      <c r="E111" s="298">
        <f t="shared" si="21"/>
        <v>3.2080260727212651E-2</v>
      </c>
      <c r="F111" s="51"/>
      <c r="G111" s="90">
        <v>45</v>
      </c>
      <c r="H111" s="51">
        <v>24</v>
      </c>
      <c r="I111" s="295">
        <f t="shared" si="19"/>
        <v>-0.46666666666666667</v>
      </c>
      <c r="J111" s="298">
        <f t="shared" si="22"/>
        <v>7.8252363873492006E-3</v>
      </c>
      <c r="L111" s="212">
        <f t="shared" si="20"/>
        <v>89000</v>
      </c>
      <c r="T111" s="108"/>
      <c r="U111" s="108"/>
      <c r="V111" s="108"/>
      <c r="W111" s="108"/>
      <c r="X111" s="108"/>
      <c r="Y111" s="108"/>
      <c r="Z111" s="108"/>
      <c r="AA111" s="108"/>
      <c r="AB111" s="108"/>
      <c r="AC111" s="108"/>
      <c r="AD111" s="108"/>
      <c r="AE111" s="108"/>
      <c r="AF111" s="108"/>
      <c r="AG111" s="108"/>
      <c r="AH111" s="108"/>
      <c r="AI111" s="108"/>
      <c r="AJ111" s="108"/>
      <c r="AK111" s="108"/>
      <c r="AL111" s="108"/>
      <c r="AM111" s="108"/>
      <c r="AN111" s="108"/>
      <c r="AO111" s="108"/>
      <c r="AP111" s="108"/>
      <c r="AQ111" s="108"/>
      <c r="AR111" s="108"/>
      <c r="AS111" s="108"/>
      <c r="AT111" s="108"/>
      <c r="AU111" s="108"/>
      <c r="AV111" s="108"/>
      <c r="AW111" s="108"/>
      <c r="AX111" s="108"/>
      <c r="AY111" s="108"/>
      <c r="AZ111" s="108"/>
      <c r="BA111" s="108"/>
      <c r="BB111" s="108"/>
      <c r="BC111" s="108"/>
      <c r="BD111" s="108"/>
      <c r="BE111" s="108"/>
      <c r="BF111" s="108"/>
      <c r="BG111" s="108"/>
      <c r="BH111" s="108"/>
      <c r="BI111" s="108"/>
      <c r="BJ111" s="108"/>
      <c r="BK111" s="108"/>
    </row>
    <row r="112" spans="1:65" s="125" customFormat="1">
      <c r="A112" s="129" t="s">
        <v>70</v>
      </c>
      <c r="B112" s="90">
        <v>1623</v>
      </c>
      <c r="C112" s="51">
        <v>1804</v>
      </c>
      <c r="D112" s="295">
        <f t="shared" si="18"/>
        <v>0.1115218730745533</v>
      </c>
      <c r="E112" s="298">
        <f t="shared" si="21"/>
        <v>2.7094002973732035E-2</v>
      </c>
      <c r="F112" s="51"/>
      <c r="G112" s="90">
        <v>94</v>
      </c>
      <c r="H112" s="51">
        <v>114</v>
      </c>
      <c r="I112" s="295">
        <f t="shared" si="19"/>
        <v>0.21276595744680851</v>
      </c>
      <c r="J112" s="298">
        <f t="shared" si="22"/>
        <v>3.7169872839908705E-2</v>
      </c>
      <c r="L112" s="212">
        <f t="shared" si="20"/>
        <v>15824.561403508771</v>
      </c>
      <c r="T112" s="108"/>
      <c r="U112" s="108"/>
      <c r="V112" s="108"/>
      <c r="W112" s="108"/>
      <c r="X112" s="108"/>
      <c r="Y112" s="108"/>
      <c r="Z112" s="108"/>
      <c r="AA112" s="108"/>
      <c r="AB112" s="108"/>
      <c r="AC112" s="108"/>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c r="BH112" s="108"/>
      <c r="BI112" s="108"/>
      <c r="BJ112" s="108"/>
      <c r="BK112" s="108"/>
    </row>
    <row r="113" spans="1:63" s="125" customFormat="1">
      <c r="A113" s="129" t="s">
        <v>59</v>
      </c>
      <c r="B113" s="90">
        <v>1215</v>
      </c>
      <c r="C113" s="51">
        <v>1472</v>
      </c>
      <c r="D113" s="295">
        <f t="shared" si="18"/>
        <v>0.21152263374485597</v>
      </c>
      <c r="E113" s="298">
        <f t="shared" si="21"/>
        <v>2.2107745220251416E-2</v>
      </c>
      <c r="F113" s="51"/>
      <c r="G113" s="90">
        <v>32</v>
      </c>
      <c r="H113" s="51">
        <v>26</v>
      </c>
      <c r="I113" s="295">
        <f t="shared" si="19"/>
        <v>-0.1875</v>
      </c>
      <c r="J113" s="298">
        <f t="shared" si="22"/>
        <v>8.4773394196283013E-3</v>
      </c>
      <c r="L113" s="212">
        <f t="shared" si="20"/>
        <v>56615.384615384617</v>
      </c>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row>
    <row r="114" spans="1:63" s="125" customFormat="1">
      <c r="A114" s="129" t="s">
        <v>89</v>
      </c>
      <c r="B114" s="90">
        <v>890</v>
      </c>
      <c r="C114" s="51">
        <v>1280</v>
      </c>
      <c r="D114" s="295">
        <f t="shared" si="18"/>
        <v>0.43820224719101125</v>
      </c>
      <c r="E114" s="298">
        <f t="shared" si="21"/>
        <v>1.9224126278479491E-2</v>
      </c>
      <c r="F114" s="51"/>
      <c r="G114" s="90">
        <v>18</v>
      </c>
      <c r="H114" s="51">
        <v>23</v>
      </c>
      <c r="I114" s="295">
        <f t="shared" si="19"/>
        <v>0.27777777777777779</v>
      </c>
      <c r="J114" s="298">
        <f t="shared" si="22"/>
        <v>7.4991848712096512E-3</v>
      </c>
      <c r="L114" s="212">
        <f t="shared" si="20"/>
        <v>55652.17391304348</v>
      </c>
      <c r="T114" s="108"/>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108"/>
      <c r="BC114" s="108"/>
      <c r="BD114" s="108"/>
      <c r="BE114" s="108"/>
      <c r="BF114" s="108"/>
      <c r="BG114" s="108"/>
      <c r="BH114" s="108"/>
      <c r="BI114" s="108"/>
      <c r="BJ114" s="108"/>
      <c r="BK114" s="108"/>
    </row>
    <row r="115" spans="1:63" s="125" customFormat="1">
      <c r="A115" s="129" t="s">
        <v>71</v>
      </c>
      <c r="B115" s="90">
        <v>931</v>
      </c>
      <c r="C115" s="51">
        <v>1198</v>
      </c>
      <c r="D115" s="295">
        <f t="shared" si="18"/>
        <v>0.28678839957035446</v>
      </c>
      <c r="E115" s="298">
        <f t="shared" si="21"/>
        <v>1.7992580688764401E-2</v>
      </c>
      <c r="F115" s="51"/>
      <c r="G115" s="90">
        <v>18</v>
      </c>
      <c r="H115" s="51">
        <v>92</v>
      </c>
      <c r="I115" s="295">
        <f t="shared" si="19"/>
        <v>4.1111111111111107</v>
      </c>
      <c r="J115" s="298">
        <f t="shared" si="22"/>
        <v>2.9996739484838605E-2</v>
      </c>
      <c r="L115" s="212">
        <f t="shared" si="20"/>
        <v>13021.739130434782</v>
      </c>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row>
    <row r="116" spans="1:63" s="125" customFormat="1">
      <c r="A116" s="129" t="s">
        <v>85</v>
      </c>
      <c r="B116" s="90">
        <v>908</v>
      </c>
      <c r="C116" s="51">
        <v>1046</v>
      </c>
      <c r="D116" s="295">
        <f t="shared" si="18"/>
        <v>0.15198237885462554</v>
      </c>
      <c r="E116" s="298">
        <f t="shared" si="21"/>
        <v>1.5709715693194959E-2</v>
      </c>
      <c r="F116" s="51"/>
      <c r="G116" s="90">
        <v>19</v>
      </c>
      <c r="H116" s="51">
        <v>27</v>
      </c>
      <c r="I116" s="295">
        <f t="shared" si="19"/>
        <v>0.42105263157894735</v>
      </c>
      <c r="J116" s="298">
        <f t="shared" si="22"/>
        <v>8.8033909357678516E-3</v>
      </c>
      <c r="L116" s="212">
        <f t="shared" si="20"/>
        <v>38740.740740740737</v>
      </c>
      <c r="T116" s="108"/>
      <c r="U116" s="108"/>
      <c r="V116" s="108"/>
      <c r="W116" s="108"/>
      <c r="X116" s="108"/>
      <c r="Y116" s="108"/>
      <c r="Z116" s="108"/>
      <c r="AA116" s="108"/>
      <c r="AB116" s="108"/>
      <c r="AC116" s="108"/>
      <c r="AD116" s="108"/>
      <c r="AE116" s="108"/>
      <c r="AF116" s="108"/>
      <c r="AG116" s="108"/>
      <c r="AH116" s="108"/>
      <c r="AI116" s="108"/>
      <c r="AJ116" s="108"/>
      <c r="AK116" s="108"/>
      <c r="AL116" s="108"/>
      <c r="AM116" s="108"/>
      <c r="AN116" s="108"/>
      <c r="AO116" s="108"/>
      <c r="AP116" s="108"/>
      <c r="AQ116" s="108"/>
      <c r="AR116" s="108"/>
      <c r="AS116" s="108"/>
      <c r="AT116" s="108"/>
      <c r="AU116" s="108"/>
      <c r="AV116" s="108"/>
      <c r="AW116" s="108"/>
      <c r="AX116" s="108"/>
      <c r="AY116" s="108"/>
      <c r="AZ116" s="108"/>
      <c r="BA116" s="108"/>
      <c r="BB116" s="108"/>
      <c r="BC116" s="108"/>
      <c r="BD116" s="108"/>
      <c r="BE116" s="108"/>
      <c r="BF116" s="108"/>
      <c r="BG116" s="108"/>
      <c r="BH116" s="108"/>
      <c r="BI116" s="108"/>
      <c r="BJ116" s="108"/>
      <c r="BK116" s="108"/>
    </row>
    <row r="117" spans="1:63" s="125" customFormat="1">
      <c r="A117" s="129" t="s">
        <v>57</v>
      </c>
      <c r="B117" s="90">
        <v>2484</v>
      </c>
      <c r="C117" s="51">
        <v>976</v>
      </c>
      <c r="D117" s="295">
        <f t="shared" si="18"/>
        <v>-0.60708534621578103</v>
      </c>
      <c r="E117" s="298">
        <f t="shared" si="21"/>
        <v>1.4658396287340612E-2</v>
      </c>
      <c r="F117" s="51"/>
      <c r="G117" s="90">
        <v>52</v>
      </c>
      <c r="H117" s="51">
        <v>30</v>
      </c>
      <c r="I117" s="295">
        <f t="shared" si="19"/>
        <v>-0.42307692307692307</v>
      </c>
      <c r="J117" s="298">
        <f t="shared" si="22"/>
        <v>9.7815454841865008E-3</v>
      </c>
      <c r="L117" s="212">
        <f t="shared" si="20"/>
        <v>32533.333333333332</v>
      </c>
      <c r="T117" s="108"/>
      <c r="U117" s="108"/>
      <c r="V117" s="108"/>
      <c r="W117" s="108"/>
      <c r="X117" s="108"/>
      <c r="Y117" s="108"/>
      <c r="Z117" s="108"/>
      <c r="AA117" s="108"/>
      <c r="AB117" s="108"/>
      <c r="AC117" s="108"/>
      <c r="AD117" s="108"/>
      <c r="AE117" s="108"/>
      <c r="AF117" s="108"/>
      <c r="AG117" s="108"/>
      <c r="AH117" s="108"/>
      <c r="AI117" s="108"/>
      <c r="AJ117" s="108"/>
      <c r="AK117" s="108"/>
      <c r="AL117" s="108"/>
      <c r="AM117" s="108"/>
      <c r="AN117" s="108"/>
      <c r="AO117" s="108"/>
      <c r="AP117" s="108"/>
      <c r="AQ117" s="108"/>
      <c r="AR117" s="108"/>
      <c r="AS117" s="108"/>
      <c r="AT117" s="108"/>
      <c r="AU117" s="108"/>
      <c r="AV117" s="108"/>
      <c r="AW117" s="108"/>
      <c r="AX117" s="108"/>
      <c r="AY117" s="108"/>
      <c r="AZ117" s="108"/>
      <c r="BA117" s="108"/>
      <c r="BB117" s="108"/>
      <c r="BC117" s="108"/>
      <c r="BD117" s="108"/>
      <c r="BE117" s="108"/>
      <c r="BF117" s="108"/>
      <c r="BG117" s="108"/>
      <c r="BH117" s="108"/>
      <c r="BI117" s="108"/>
      <c r="BJ117" s="108"/>
      <c r="BK117" s="108"/>
    </row>
    <row r="118" spans="1:63" s="125" customFormat="1">
      <c r="A118" s="129" t="s">
        <v>75</v>
      </c>
      <c r="B118" s="90">
        <v>1054</v>
      </c>
      <c r="C118" s="51">
        <v>932</v>
      </c>
      <c r="D118" s="295">
        <f t="shared" si="18"/>
        <v>-0.1157495256166983</v>
      </c>
      <c r="E118" s="298">
        <f t="shared" si="21"/>
        <v>1.3997566946517879E-2</v>
      </c>
      <c r="F118" s="51"/>
      <c r="G118" s="90">
        <v>27</v>
      </c>
      <c r="H118" s="51">
        <v>36</v>
      </c>
      <c r="I118" s="295">
        <f t="shared" si="19"/>
        <v>0.33333333333333331</v>
      </c>
      <c r="J118" s="298">
        <f t="shared" si="22"/>
        <v>1.1737854581023801E-2</v>
      </c>
      <c r="L118" s="212">
        <f t="shared" si="20"/>
        <v>25888.888888888891</v>
      </c>
      <c r="T118" s="108"/>
      <c r="U118" s="108"/>
      <c r="V118" s="108"/>
      <c r="W118" s="108"/>
      <c r="X118" s="108"/>
      <c r="Y118" s="108"/>
      <c r="Z118" s="108"/>
      <c r="AA118" s="108"/>
      <c r="AB118" s="108"/>
      <c r="AC118" s="108"/>
      <c r="AD118" s="108"/>
      <c r="AE118" s="108"/>
      <c r="AF118" s="108"/>
      <c r="AG118" s="108"/>
      <c r="AH118" s="108"/>
      <c r="AI118" s="108"/>
      <c r="AJ118" s="108"/>
      <c r="AK118" s="108"/>
      <c r="AL118" s="108"/>
      <c r="AM118" s="108"/>
      <c r="AN118" s="108"/>
      <c r="AO118" s="108"/>
      <c r="AP118" s="108"/>
      <c r="AQ118" s="108"/>
      <c r="AR118" s="108"/>
      <c r="AS118" s="108"/>
      <c r="AT118" s="108"/>
      <c r="AU118" s="108"/>
      <c r="AV118" s="108"/>
      <c r="AW118" s="108"/>
      <c r="AX118" s="108"/>
      <c r="AY118" s="108"/>
      <c r="AZ118" s="108"/>
      <c r="BA118" s="108"/>
      <c r="BB118" s="108"/>
      <c r="BC118" s="108"/>
      <c r="BD118" s="108"/>
      <c r="BE118" s="108"/>
      <c r="BF118" s="108"/>
      <c r="BG118" s="108"/>
      <c r="BH118" s="108"/>
      <c r="BI118" s="108"/>
      <c r="BJ118" s="108"/>
      <c r="BK118" s="108"/>
    </row>
    <row r="119" spans="1:63" s="125" customFormat="1">
      <c r="A119" s="129" t="s">
        <v>93</v>
      </c>
      <c r="B119" s="90">
        <v>1031</v>
      </c>
      <c r="C119" s="51">
        <v>929</v>
      </c>
      <c r="D119" s="295">
        <f t="shared" si="18"/>
        <v>-9.8933074684772068E-2</v>
      </c>
      <c r="E119" s="298">
        <f t="shared" si="21"/>
        <v>1.3952510400552693E-2</v>
      </c>
      <c r="F119" s="51"/>
      <c r="G119" s="90">
        <v>62</v>
      </c>
      <c r="H119" s="51">
        <v>58</v>
      </c>
      <c r="I119" s="295">
        <f t="shared" si="19"/>
        <v>-6.4516129032258063E-2</v>
      </c>
      <c r="J119" s="298">
        <f t="shared" si="22"/>
        <v>1.8910987936093904E-2</v>
      </c>
      <c r="L119" s="212">
        <f t="shared" si="20"/>
        <v>16017.241379310344</v>
      </c>
      <c r="T119" s="108"/>
      <c r="U119" s="108"/>
      <c r="V119" s="108"/>
      <c r="W119" s="108"/>
      <c r="X119" s="108"/>
      <c r="Y119" s="108"/>
      <c r="Z119" s="108"/>
      <c r="AA119" s="108"/>
      <c r="AB119" s="108"/>
      <c r="AC119" s="108"/>
      <c r="AD119" s="108"/>
      <c r="AE119" s="108"/>
      <c r="AF119" s="108"/>
      <c r="AG119" s="108"/>
      <c r="AH119" s="108"/>
      <c r="AI119" s="108"/>
      <c r="AJ119" s="108"/>
      <c r="AK119" s="108"/>
      <c r="AL119" s="108"/>
      <c r="AM119" s="108"/>
      <c r="AN119" s="108"/>
      <c r="AO119" s="108"/>
      <c r="AP119" s="108"/>
      <c r="AQ119" s="108"/>
      <c r="AR119" s="108"/>
      <c r="AS119" s="108"/>
      <c r="AT119" s="108"/>
      <c r="AU119" s="108"/>
      <c r="AV119" s="108"/>
      <c r="AW119" s="108"/>
      <c r="AX119" s="108"/>
      <c r="AY119" s="108"/>
      <c r="AZ119" s="108"/>
      <c r="BA119" s="108"/>
      <c r="BB119" s="108"/>
      <c r="BC119" s="108"/>
      <c r="BD119" s="108"/>
      <c r="BE119" s="108"/>
      <c r="BF119" s="108"/>
      <c r="BG119" s="108"/>
      <c r="BH119" s="108"/>
      <c r="BI119" s="108"/>
      <c r="BJ119" s="108"/>
      <c r="BK119" s="108"/>
    </row>
    <row r="120" spans="1:63" s="125" customFormat="1">
      <c r="A120" s="129" t="s">
        <v>151</v>
      </c>
      <c r="B120" s="90">
        <v>200</v>
      </c>
      <c r="C120" s="51">
        <v>828</v>
      </c>
      <c r="D120" s="295">
        <f t="shared" si="18"/>
        <v>3.14</v>
      </c>
      <c r="E120" s="298">
        <f t="shared" si="21"/>
        <v>1.2435606686391421E-2</v>
      </c>
      <c r="F120" s="51"/>
      <c r="G120" s="90">
        <v>7</v>
      </c>
      <c r="H120" s="51">
        <v>13</v>
      </c>
      <c r="I120" s="295">
        <f t="shared" si="19"/>
        <v>0.8571428571428571</v>
      </c>
      <c r="J120" s="298">
        <f t="shared" si="22"/>
        <v>4.2386697098141506E-3</v>
      </c>
      <c r="L120" s="212">
        <f t="shared" si="20"/>
        <v>63692.307692307695</v>
      </c>
      <c r="T120" s="108"/>
      <c r="U120" s="108"/>
      <c r="V120" s="108"/>
      <c r="W120" s="108"/>
      <c r="X120" s="108"/>
      <c r="Y120" s="108"/>
      <c r="Z120" s="108"/>
      <c r="AA120" s="108"/>
      <c r="AB120" s="108"/>
      <c r="AC120" s="108"/>
      <c r="AD120" s="108"/>
      <c r="AE120" s="108"/>
      <c r="AF120" s="108"/>
      <c r="AG120" s="108"/>
      <c r="AH120" s="108"/>
      <c r="AI120" s="108"/>
      <c r="AJ120" s="108"/>
      <c r="AK120" s="108"/>
      <c r="AL120" s="108"/>
      <c r="AM120" s="108"/>
      <c r="AN120" s="108"/>
      <c r="AO120" s="108"/>
      <c r="AP120" s="108"/>
      <c r="AQ120" s="108"/>
      <c r="AR120" s="108"/>
      <c r="AS120" s="108"/>
      <c r="AT120" s="108"/>
      <c r="AU120" s="108"/>
      <c r="AV120" s="108"/>
      <c r="AW120" s="108"/>
      <c r="AX120" s="108"/>
      <c r="AY120" s="108"/>
      <c r="AZ120" s="108"/>
      <c r="BA120" s="108"/>
      <c r="BB120" s="108"/>
      <c r="BC120" s="108"/>
      <c r="BD120" s="108"/>
      <c r="BE120" s="108"/>
      <c r="BF120" s="108"/>
      <c r="BG120" s="108"/>
      <c r="BH120" s="108"/>
      <c r="BI120" s="108"/>
      <c r="BJ120" s="108"/>
      <c r="BK120" s="108"/>
    </row>
    <row r="121" spans="1:63" s="125" customFormat="1">
      <c r="A121" s="129" t="s">
        <v>90</v>
      </c>
      <c r="B121" s="90">
        <v>843</v>
      </c>
      <c r="C121" s="51">
        <v>816</v>
      </c>
      <c r="D121" s="295">
        <f t="shared" si="18"/>
        <v>-3.2028469750889681E-2</v>
      </c>
      <c r="E121" s="298">
        <f t="shared" si="21"/>
        <v>1.2255380502530677E-2</v>
      </c>
      <c r="F121" s="51"/>
      <c r="G121" s="90">
        <v>61</v>
      </c>
      <c r="H121" s="51">
        <v>79</v>
      </c>
      <c r="I121" s="295">
        <f t="shared" si="19"/>
        <v>0.29508196721311475</v>
      </c>
      <c r="J121" s="298">
        <f t="shared" si="22"/>
        <v>2.5758069775024452E-2</v>
      </c>
      <c r="L121" s="212">
        <f t="shared" si="20"/>
        <v>10329.113924050633</v>
      </c>
      <c r="T121" s="108"/>
      <c r="U121" s="108"/>
      <c r="V121" s="108"/>
      <c r="W121" s="108"/>
      <c r="X121" s="108"/>
      <c r="Y121" s="108"/>
      <c r="Z121" s="108"/>
      <c r="AA121" s="108"/>
      <c r="AB121" s="108"/>
      <c r="AC121" s="108"/>
      <c r="AD121" s="108"/>
      <c r="AE121" s="108"/>
      <c r="AF121" s="108"/>
      <c r="AG121" s="108"/>
      <c r="AH121" s="108"/>
      <c r="AI121" s="108"/>
      <c r="AJ121" s="108"/>
      <c r="AK121" s="108"/>
      <c r="AL121" s="108"/>
      <c r="AM121" s="108"/>
      <c r="AN121" s="108"/>
      <c r="AO121" s="108"/>
      <c r="AP121" s="108"/>
      <c r="AQ121" s="108"/>
      <c r="AR121" s="108"/>
      <c r="AS121" s="108"/>
      <c r="AT121" s="108"/>
      <c r="AU121" s="108"/>
      <c r="AV121" s="108"/>
      <c r="AW121" s="108"/>
      <c r="AX121" s="108"/>
      <c r="AY121" s="108"/>
      <c r="AZ121" s="108"/>
      <c r="BA121" s="108"/>
      <c r="BB121" s="108"/>
      <c r="BC121" s="108"/>
      <c r="BD121" s="108"/>
      <c r="BE121" s="108"/>
      <c r="BF121" s="108"/>
      <c r="BG121" s="108"/>
      <c r="BH121" s="108"/>
      <c r="BI121" s="108"/>
      <c r="BJ121" s="108"/>
      <c r="BK121" s="108"/>
    </row>
    <row r="122" spans="1:63" s="125" customFormat="1">
      <c r="A122" s="129" t="s">
        <v>87</v>
      </c>
      <c r="B122" s="90">
        <v>795</v>
      </c>
      <c r="C122" s="51">
        <v>692</v>
      </c>
      <c r="D122" s="295">
        <f t="shared" si="18"/>
        <v>-0.12955974842767295</v>
      </c>
      <c r="E122" s="298">
        <f t="shared" si="21"/>
        <v>1.0393043269302975E-2</v>
      </c>
      <c r="F122" s="51"/>
      <c r="G122" s="90">
        <v>14</v>
      </c>
      <c r="H122" s="51">
        <v>11</v>
      </c>
      <c r="I122" s="295">
        <f t="shared" si="19"/>
        <v>-0.21428571428571427</v>
      </c>
      <c r="J122" s="298">
        <f t="shared" si="22"/>
        <v>3.5865666775350504E-3</v>
      </c>
      <c r="L122" s="212">
        <f t="shared" si="20"/>
        <v>62909.090909090912</v>
      </c>
      <c r="T122" s="108"/>
      <c r="U122" s="108"/>
      <c r="V122" s="108"/>
      <c r="W122" s="108"/>
      <c r="X122" s="108"/>
      <c r="Y122" s="108"/>
      <c r="Z122" s="108"/>
      <c r="AA122" s="108"/>
      <c r="AB122" s="108"/>
      <c r="AC122" s="108"/>
      <c r="AD122" s="108"/>
      <c r="AE122" s="108"/>
      <c r="AF122" s="108"/>
      <c r="AG122" s="108"/>
      <c r="AH122" s="108"/>
      <c r="AI122" s="108"/>
      <c r="AJ122" s="108"/>
      <c r="AK122" s="108"/>
      <c r="AL122" s="108"/>
      <c r="AM122" s="108"/>
      <c r="AN122" s="108"/>
      <c r="AO122" s="108"/>
      <c r="AP122" s="108"/>
      <c r="AQ122" s="108"/>
      <c r="AR122" s="108"/>
      <c r="AS122" s="108"/>
      <c r="AT122" s="108"/>
      <c r="AU122" s="108"/>
      <c r="AV122" s="108"/>
      <c r="AW122" s="108"/>
      <c r="AX122" s="108"/>
      <c r="AY122" s="108"/>
      <c r="AZ122" s="108"/>
      <c r="BA122" s="108"/>
      <c r="BB122" s="108"/>
      <c r="BC122" s="108"/>
      <c r="BD122" s="108"/>
      <c r="BE122" s="108"/>
      <c r="BF122" s="108"/>
      <c r="BG122" s="108"/>
      <c r="BH122" s="108"/>
      <c r="BI122" s="108"/>
      <c r="BJ122" s="108"/>
      <c r="BK122" s="108"/>
    </row>
    <row r="123" spans="1:63" s="125" customFormat="1">
      <c r="A123" s="129" t="s">
        <v>306</v>
      </c>
      <c r="B123" s="90">
        <v>827</v>
      </c>
      <c r="C123" s="51">
        <v>587</v>
      </c>
      <c r="D123" s="295">
        <f t="shared" si="18"/>
        <v>-0.29020556227327693</v>
      </c>
      <c r="E123" s="298">
        <f t="shared" si="21"/>
        <v>8.816064160521454E-3</v>
      </c>
      <c r="F123" s="51"/>
      <c r="G123" s="90">
        <v>63</v>
      </c>
      <c r="H123" s="51">
        <v>45</v>
      </c>
      <c r="I123" s="295">
        <f t="shared" si="19"/>
        <v>-0.2857142857142857</v>
      </c>
      <c r="J123" s="298">
        <f t="shared" si="22"/>
        <v>1.4672318226279752E-2</v>
      </c>
      <c r="L123" s="212">
        <f t="shared" si="20"/>
        <v>13044.444444444445</v>
      </c>
      <c r="T123" s="108"/>
      <c r="U123" s="108"/>
      <c r="V123" s="108"/>
      <c r="W123" s="108"/>
      <c r="X123" s="108"/>
      <c r="Y123" s="108"/>
      <c r="Z123" s="108"/>
      <c r="AA123" s="108"/>
      <c r="AB123" s="108"/>
      <c r="AC123" s="108"/>
      <c r="AD123" s="108"/>
      <c r="AE123" s="108"/>
      <c r="AF123" s="108"/>
      <c r="AG123" s="108"/>
      <c r="AH123" s="108"/>
      <c r="AI123" s="108"/>
      <c r="AJ123" s="108"/>
      <c r="AK123" s="108"/>
      <c r="AL123" s="108"/>
      <c r="AM123" s="108"/>
      <c r="AN123" s="108"/>
      <c r="AO123" s="108"/>
      <c r="AP123" s="108"/>
      <c r="AQ123" s="108"/>
      <c r="AR123" s="108"/>
      <c r="AS123" s="108"/>
      <c r="AT123" s="108"/>
      <c r="AU123" s="108"/>
      <c r="AV123" s="108"/>
      <c r="AW123" s="108"/>
      <c r="AX123" s="108"/>
      <c r="AY123" s="108"/>
      <c r="AZ123" s="108"/>
      <c r="BA123" s="108"/>
      <c r="BB123" s="108"/>
      <c r="BC123" s="108"/>
      <c r="BD123" s="108"/>
      <c r="BE123" s="108"/>
      <c r="BF123" s="108"/>
      <c r="BG123" s="108"/>
      <c r="BH123" s="108"/>
      <c r="BI123" s="108"/>
      <c r="BJ123" s="108"/>
      <c r="BK123" s="108"/>
    </row>
    <row r="124" spans="1:63" s="125" customFormat="1">
      <c r="A124" s="129" t="s">
        <v>122</v>
      </c>
      <c r="B124" s="90">
        <v>880</v>
      </c>
      <c r="C124" s="51">
        <v>544</v>
      </c>
      <c r="D124" s="295">
        <f t="shared" si="18"/>
        <v>-0.38181818181818183</v>
      </c>
      <c r="E124" s="298">
        <f t="shared" si="21"/>
        <v>8.1702536683537844E-3</v>
      </c>
      <c r="F124" s="51"/>
      <c r="G124" s="90">
        <v>46</v>
      </c>
      <c r="H124" s="51">
        <v>20</v>
      </c>
      <c r="I124" s="295">
        <f t="shared" si="19"/>
        <v>-0.56521739130434778</v>
      </c>
      <c r="J124" s="298">
        <f t="shared" si="22"/>
        <v>6.5210303227910011E-3</v>
      </c>
      <c r="L124" s="212">
        <f t="shared" si="20"/>
        <v>27200</v>
      </c>
      <c r="T124" s="108"/>
      <c r="U124" s="108"/>
      <c r="V124" s="108"/>
      <c r="W124" s="108"/>
      <c r="X124" s="108"/>
      <c r="Y124" s="108"/>
      <c r="Z124" s="108"/>
      <c r="AA124" s="108"/>
      <c r="AB124" s="108"/>
      <c r="AC124" s="108"/>
      <c r="AD124" s="108"/>
      <c r="AE124" s="108"/>
      <c r="AF124" s="108"/>
      <c r="AG124" s="108"/>
      <c r="AH124" s="108"/>
      <c r="AI124" s="108"/>
      <c r="AJ124" s="108"/>
      <c r="AK124" s="108"/>
      <c r="AL124" s="108"/>
      <c r="AM124" s="108"/>
      <c r="AN124" s="108"/>
      <c r="AO124" s="108"/>
      <c r="AP124" s="108"/>
      <c r="AQ124" s="108"/>
      <c r="AR124" s="108"/>
      <c r="AS124" s="108"/>
      <c r="AT124" s="108"/>
      <c r="AU124" s="108"/>
      <c r="AV124" s="108"/>
      <c r="AW124" s="108"/>
      <c r="AX124" s="108"/>
      <c r="AY124" s="108"/>
      <c r="AZ124" s="108"/>
      <c r="BA124" s="108"/>
      <c r="BB124" s="108"/>
      <c r="BC124" s="108"/>
      <c r="BD124" s="108"/>
      <c r="BE124" s="108"/>
      <c r="BF124" s="108"/>
      <c r="BG124" s="108"/>
      <c r="BH124" s="108"/>
      <c r="BI124" s="108"/>
      <c r="BJ124" s="108"/>
      <c r="BK124" s="108"/>
    </row>
    <row r="125" spans="1:63" s="125" customFormat="1">
      <c r="A125" s="129" t="s">
        <v>92</v>
      </c>
      <c r="B125" s="90">
        <v>1754</v>
      </c>
      <c r="C125" s="51">
        <v>495</v>
      </c>
      <c r="D125" s="295">
        <f t="shared" si="18"/>
        <v>-0.71778791334093506</v>
      </c>
      <c r="E125" s="298">
        <f t="shared" si="21"/>
        <v>7.4343300842557407E-3</v>
      </c>
      <c r="F125" s="51"/>
      <c r="G125" s="90">
        <v>74</v>
      </c>
      <c r="H125" s="51">
        <v>8</v>
      </c>
      <c r="I125" s="295">
        <f t="shared" si="19"/>
        <v>-0.89189189189189189</v>
      </c>
      <c r="J125" s="298">
        <f t="shared" si="22"/>
        <v>2.6084121291164004E-3</v>
      </c>
      <c r="L125" s="212">
        <f t="shared" si="20"/>
        <v>61875</v>
      </c>
      <c r="T125" s="108"/>
      <c r="U125" s="108"/>
      <c r="V125" s="108"/>
      <c r="W125" s="108"/>
      <c r="X125" s="108"/>
      <c r="Y125" s="108"/>
      <c r="Z125" s="108"/>
      <c r="AA125" s="108"/>
      <c r="AB125" s="108"/>
      <c r="AC125" s="108"/>
      <c r="AD125" s="108"/>
      <c r="AE125" s="108"/>
      <c r="AF125" s="108"/>
      <c r="AG125" s="108"/>
      <c r="AH125" s="108"/>
      <c r="AI125" s="108"/>
      <c r="AJ125" s="108"/>
      <c r="AK125" s="108"/>
      <c r="AL125" s="108"/>
      <c r="AM125" s="108"/>
      <c r="AN125" s="108"/>
      <c r="AO125" s="108"/>
      <c r="AP125" s="108"/>
      <c r="AQ125" s="108"/>
      <c r="AR125" s="108"/>
      <c r="AS125" s="108"/>
      <c r="AT125" s="108"/>
      <c r="AU125" s="108"/>
      <c r="AV125" s="108"/>
      <c r="AW125" s="108"/>
      <c r="AX125" s="108"/>
      <c r="AY125" s="108"/>
      <c r="AZ125" s="108"/>
      <c r="BA125" s="108"/>
      <c r="BB125" s="108"/>
      <c r="BC125" s="108"/>
      <c r="BD125" s="108"/>
      <c r="BE125" s="108"/>
      <c r="BF125" s="108"/>
      <c r="BG125" s="108"/>
      <c r="BH125" s="108"/>
      <c r="BI125" s="108"/>
      <c r="BJ125" s="108"/>
      <c r="BK125" s="108"/>
    </row>
    <row r="126" spans="1:63" s="125" customFormat="1">
      <c r="A126" s="129" t="s">
        <v>91</v>
      </c>
      <c r="B126" s="90">
        <v>377</v>
      </c>
      <c r="C126" s="51">
        <v>492</v>
      </c>
      <c r="D126" s="295">
        <f t="shared" si="18"/>
        <v>0.30503978779840851</v>
      </c>
      <c r="E126" s="298">
        <f t="shared" si="21"/>
        <v>7.3892735382905545E-3</v>
      </c>
      <c r="F126" s="51"/>
      <c r="G126" s="90">
        <v>17</v>
      </c>
      <c r="H126" s="51">
        <v>20</v>
      </c>
      <c r="I126" s="295">
        <f t="shared" si="19"/>
        <v>0.17647058823529413</v>
      </c>
      <c r="J126" s="298">
        <f t="shared" si="22"/>
        <v>6.5210303227910011E-3</v>
      </c>
      <c r="L126" s="212">
        <f t="shared" si="20"/>
        <v>24600</v>
      </c>
      <c r="T126" s="108"/>
      <c r="U126" s="108"/>
      <c r="V126" s="108"/>
      <c r="W126" s="108"/>
      <c r="X126" s="108"/>
      <c r="Y126" s="108"/>
      <c r="Z126" s="108"/>
      <c r="AA126" s="108"/>
      <c r="AB126" s="108"/>
      <c r="AC126" s="108"/>
      <c r="AD126" s="108"/>
      <c r="AE126" s="108"/>
      <c r="AF126" s="108"/>
      <c r="AG126" s="108"/>
      <c r="AH126" s="108"/>
      <c r="AI126" s="108"/>
      <c r="AJ126" s="108"/>
      <c r="AK126" s="108"/>
      <c r="AL126" s="108"/>
      <c r="AM126" s="108"/>
      <c r="AN126" s="108"/>
      <c r="AO126" s="108"/>
      <c r="AP126" s="108"/>
      <c r="AQ126" s="108"/>
      <c r="AR126" s="108"/>
      <c r="AS126" s="108"/>
      <c r="AT126" s="108"/>
      <c r="AU126" s="108"/>
      <c r="AV126" s="108"/>
      <c r="AW126" s="108"/>
      <c r="AX126" s="108"/>
      <c r="AY126" s="108"/>
      <c r="AZ126" s="108"/>
      <c r="BA126" s="108"/>
      <c r="BB126" s="108"/>
      <c r="BC126" s="108"/>
      <c r="BD126" s="108"/>
      <c r="BE126" s="108"/>
      <c r="BF126" s="108"/>
      <c r="BG126" s="108"/>
      <c r="BH126" s="108"/>
      <c r="BI126" s="108"/>
      <c r="BJ126" s="108"/>
      <c r="BK126" s="108"/>
    </row>
    <row r="127" spans="1:63" s="125" customFormat="1">
      <c r="A127" s="129" t="s">
        <v>307</v>
      </c>
      <c r="B127" s="90">
        <v>500</v>
      </c>
      <c r="C127" s="51">
        <v>475</v>
      </c>
      <c r="D127" s="295">
        <f t="shared" si="18"/>
        <v>-0.05</v>
      </c>
      <c r="E127" s="298">
        <f t="shared" si="21"/>
        <v>7.133953111154499E-3</v>
      </c>
      <c r="F127" s="51"/>
      <c r="G127" s="90">
        <v>8</v>
      </c>
      <c r="H127" s="51">
        <v>7</v>
      </c>
      <c r="I127" s="295">
        <f t="shared" si="19"/>
        <v>-0.125</v>
      </c>
      <c r="J127" s="298">
        <f t="shared" si="22"/>
        <v>2.2823606129768505E-3</v>
      </c>
      <c r="L127" s="212">
        <f t="shared" si="20"/>
        <v>67857.142857142855</v>
      </c>
      <c r="T127" s="108"/>
      <c r="U127" s="108"/>
      <c r="V127" s="108"/>
      <c r="W127" s="108"/>
      <c r="X127" s="108"/>
      <c r="Y127" s="108"/>
      <c r="Z127" s="108"/>
      <c r="AA127" s="108"/>
      <c r="AB127" s="108"/>
      <c r="AC127" s="108"/>
      <c r="AD127" s="108"/>
      <c r="AE127" s="108"/>
      <c r="AF127" s="108"/>
      <c r="AG127" s="108"/>
      <c r="AH127" s="108"/>
      <c r="AI127" s="108"/>
      <c r="AJ127" s="108"/>
      <c r="AK127" s="108"/>
      <c r="AL127" s="108"/>
      <c r="AM127" s="108"/>
      <c r="AN127" s="108"/>
      <c r="AO127" s="108"/>
      <c r="AP127" s="108"/>
      <c r="AQ127" s="108"/>
      <c r="AR127" s="108"/>
      <c r="AS127" s="108"/>
      <c r="AT127" s="108"/>
      <c r="AU127" s="108"/>
      <c r="AV127" s="108"/>
      <c r="AW127" s="108"/>
      <c r="AX127" s="108"/>
      <c r="AY127" s="108"/>
      <c r="AZ127" s="108"/>
      <c r="BA127" s="108"/>
      <c r="BB127" s="108"/>
      <c r="BC127" s="108"/>
      <c r="BD127" s="108"/>
      <c r="BE127" s="108"/>
      <c r="BF127" s="108"/>
      <c r="BG127" s="108"/>
      <c r="BH127" s="108"/>
      <c r="BI127" s="108"/>
      <c r="BJ127" s="108"/>
      <c r="BK127" s="108"/>
    </row>
    <row r="128" spans="1:63" s="125" customFormat="1">
      <c r="A128" s="129" t="s">
        <v>73</v>
      </c>
      <c r="B128" s="90">
        <v>426</v>
      </c>
      <c r="C128" s="51">
        <v>466</v>
      </c>
      <c r="D128" s="295">
        <f t="shared" si="18"/>
        <v>9.3896713615023469E-2</v>
      </c>
      <c r="E128" s="298">
        <f t="shared" si="21"/>
        <v>6.9987834732589396E-3</v>
      </c>
      <c r="F128" s="51"/>
      <c r="G128" s="90">
        <v>7</v>
      </c>
      <c r="H128" s="51">
        <v>8</v>
      </c>
      <c r="I128" s="295">
        <f t="shared" si="19"/>
        <v>0.14285714285714285</v>
      </c>
      <c r="J128" s="298">
        <f t="shared" si="22"/>
        <v>2.6084121291164004E-3</v>
      </c>
      <c r="L128" s="212">
        <f t="shared" si="20"/>
        <v>58250</v>
      </c>
      <c r="T128" s="108"/>
      <c r="U128" s="108"/>
      <c r="V128" s="108"/>
      <c r="W128" s="108"/>
      <c r="X128" s="108"/>
      <c r="Y128" s="108"/>
      <c r="Z128" s="108"/>
      <c r="AA128" s="108"/>
      <c r="AB128" s="108"/>
      <c r="AC128" s="108"/>
      <c r="AD128" s="108"/>
      <c r="AE128" s="108"/>
      <c r="AF128" s="108"/>
      <c r="AG128" s="108"/>
      <c r="AH128" s="108"/>
      <c r="AI128" s="108"/>
      <c r="AJ128" s="108"/>
      <c r="AK128" s="108"/>
      <c r="AL128" s="108"/>
      <c r="AM128" s="108"/>
      <c r="AN128" s="108"/>
      <c r="AO128" s="108"/>
      <c r="AP128" s="108"/>
      <c r="AQ128" s="108"/>
      <c r="AR128" s="108"/>
      <c r="AS128" s="108"/>
      <c r="AT128" s="108"/>
      <c r="AU128" s="108"/>
      <c r="AV128" s="108"/>
      <c r="AW128" s="108"/>
      <c r="AX128" s="108"/>
      <c r="AY128" s="108"/>
      <c r="AZ128" s="108"/>
      <c r="BA128" s="108"/>
      <c r="BB128" s="108"/>
      <c r="BC128" s="108"/>
      <c r="BD128" s="108"/>
      <c r="BE128" s="108"/>
      <c r="BF128" s="108"/>
      <c r="BG128" s="108"/>
      <c r="BH128" s="108"/>
      <c r="BI128" s="108"/>
      <c r="BJ128" s="108"/>
      <c r="BK128" s="108"/>
    </row>
    <row r="129" spans="1:65" s="125" customFormat="1">
      <c r="A129" s="129" t="s">
        <v>68</v>
      </c>
      <c r="B129" s="90">
        <v>298</v>
      </c>
      <c r="C129" s="51">
        <v>460</v>
      </c>
      <c r="D129" s="295">
        <f t="shared" si="18"/>
        <v>0.5436241610738255</v>
      </c>
      <c r="E129" s="298">
        <f t="shared" si="21"/>
        <v>6.9086703813285672E-3</v>
      </c>
      <c r="F129" s="51"/>
      <c r="G129" s="90">
        <v>18</v>
      </c>
      <c r="H129" s="51">
        <v>19</v>
      </c>
      <c r="I129" s="295">
        <f t="shared" si="19"/>
        <v>5.5555555555555552E-2</v>
      </c>
      <c r="J129" s="298">
        <f t="shared" si="22"/>
        <v>6.1949788066514508E-3</v>
      </c>
      <c r="L129" s="212">
        <f t="shared" si="20"/>
        <v>24210.526315789473</v>
      </c>
      <c r="T129" s="108"/>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c r="AX129" s="108"/>
      <c r="AY129" s="108"/>
      <c r="AZ129" s="108"/>
      <c r="BA129" s="108"/>
      <c r="BB129" s="108"/>
      <c r="BC129" s="108"/>
      <c r="BD129" s="108"/>
      <c r="BE129" s="108"/>
      <c r="BF129" s="108"/>
      <c r="BG129" s="108"/>
      <c r="BH129" s="108"/>
      <c r="BI129" s="108"/>
      <c r="BJ129" s="108"/>
      <c r="BK129" s="108"/>
    </row>
    <row r="130" spans="1:65" s="125" customFormat="1">
      <c r="A130" s="129" t="s">
        <v>86</v>
      </c>
      <c r="B130" s="90">
        <v>299</v>
      </c>
      <c r="C130" s="51">
        <v>453</v>
      </c>
      <c r="D130" s="295">
        <f t="shared" si="18"/>
        <v>0.51505016722408026</v>
      </c>
      <c r="E130" s="298">
        <f t="shared" si="21"/>
        <v>6.8035384407431326E-3</v>
      </c>
      <c r="F130" s="51"/>
      <c r="G130" s="90">
        <v>6</v>
      </c>
      <c r="H130" s="51">
        <v>10</v>
      </c>
      <c r="I130" s="295">
        <f t="shared" si="19"/>
        <v>0.66666666666666663</v>
      </c>
      <c r="J130" s="298">
        <f t="shared" si="22"/>
        <v>3.2605151613955006E-3</v>
      </c>
      <c r="L130" s="212">
        <f t="shared" si="20"/>
        <v>45300</v>
      </c>
      <c r="T130" s="108"/>
      <c r="U130" s="108"/>
      <c r="V130" s="108"/>
      <c r="W130" s="108"/>
      <c r="X130" s="108"/>
      <c r="Y130" s="108"/>
      <c r="Z130" s="108"/>
      <c r="AA130" s="108"/>
      <c r="AB130" s="108"/>
      <c r="AC130" s="108"/>
      <c r="AD130" s="108"/>
      <c r="AE130" s="108"/>
      <c r="AF130" s="108"/>
      <c r="AG130" s="108"/>
      <c r="AH130" s="108"/>
      <c r="AI130" s="108"/>
      <c r="AJ130" s="108"/>
      <c r="AK130" s="108"/>
      <c r="AL130" s="108"/>
      <c r="AM130" s="108"/>
      <c r="AN130" s="108"/>
      <c r="AO130" s="108"/>
      <c r="AP130" s="108"/>
      <c r="AQ130" s="108"/>
      <c r="AR130" s="108"/>
      <c r="AS130" s="108"/>
      <c r="AT130" s="108"/>
      <c r="AU130" s="108"/>
      <c r="AV130" s="108"/>
      <c r="AW130" s="108"/>
      <c r="AX130" s="108"/>
      <c r="AY130" s="108"/>
      <c r="AZ130" s="108"/>
      <c r="BA130" s="108"/>
      <c r="BB130" s="108"/>
      <c r="BC130" s="108"/>
      <c r="BD130" s="108"/>
      <c r="BE130" s="108"/>
      <c r="BF130" s="108"/>
      <c r="BG130" s="108"/>
      <c r="BH130" s="108"/>
      <c r="BI130" s="108"/>
      <c r="BJ130" s="108"/>
      <c r="BK130" s="108"/>
    </row>
    <row r="131" spans="1:65" s="125" customFormat="1">
      <c r="A131" s="129" t="s">
        <v>308</v>
      </c>
      <c r="B131" s="90">
        <v>959</v>
      </c>
      <c r="C131" s="51">
        <v>225</v>
      </c>
      <c r="D131" s="295">
        <f t="shared" si="18"/>
        <v>-0.76538060479666314</v>
      </c>
      <c r="E131" s="298">
        <f t="shared" si="21"/>
        <v>3.3792409473889732E-3</v>
      </c>
      <c r="F131" s="51"/>
      <c r="G131" s="90">
        <v>49</v>
      </c>
      <c r="H131" s="51">
        <v>4</v>
      </c>
      <c r="I131" s="295">
        <f t="shared" si="19"/>
        <v>-0.91836734693877553</v>
      </c>
      <c r="J131" s="298">
        <f t="shared" si="22"/>
        <v>1.3042060645582002E-3</v>
      </c>
      <c r="L131" s="212">
        <f t="shared" si="20"/>
        <v>56250</v>
      </c>
      <c r="T131" s="108"/>
      <c r="U131" s="108"/>
      <c r="V131" s="108"/>
      <c r="W131" s="108"/>
      <c r="X131" s="108"/>
      <c r="Y131" s="108"/>
      <c r="Z131" s="108"/>
      <c r="AA131" s="108"/>
      <c r="AB131" s="108"/>
      <c r="AC131" s="108"/>
      <c r="AD131" s="108"/>
      <c r="AE131" s="108"/>
      <c r="AF131" s="108"/>
      <c r="AG131" s="108"/>
      <c r="AH131" s="108"/>
      <c r="AI131" s="108"/>
      <c r="AJ131" s="108"/>
      <c r="AK131" s="108"/>
      <c r="AL131" s="108"/>
      <c r="AM131" s="108"/>
      <c r="AN131" s="108"/>
      <c r="AO131" s="108"/>
      <c r="AP131" s="108"/>
      <c r="AQ131" s="108"/>
      <c r="AR131" s="108"/>
      <c r="AS131" s="108"/>
      <c r="AT131" s="108"/>
      <c r="AU131" s="108"/>
      <c r="AV131" s="108"/>
      <c r="AW131" s="108"/>
      <c r="AX131" s="108"/>
      <c r="AY131" s="108"/>
      <c r="AZ131" s="108"/>
      <c r="BA131" s="108"/>
      <c r="BB131" s="108"/>
      <c r="BC131" s="108"/>
      <c r="BD131" s="108"/>
      <c r="BE131" s="108"/>
      <c r="BF131" s="108"/>
      <c r="BG131" s="108"/>
      <c r="BH131" s="108"/>
      <c r="BI131" s="108"/>
      <c r="BJ131" s="108"/>
      <c r="BK131" s="108"/>
    </row>
    <row r="132" spans="1:65" s="125" customFormat="1">
      <c r="A132" s="129" t="s">
        <v>309</v>
      </c>
      <c r="B132" s="90">
        <v>1391</v>
      </c>
      <c r="C132" s="51">
        <v>62</v>
      </c>
      <c r="D132" s="295">
        <f t="shared" si="18"/>
        <v>-0.95542774982027323</v>
      </c>
      <c r="E132" s="298">
        <f t="shared" si="21"/>
        <v>9.3116861661385038E-4</v>
      </c>
      <c r="F132" s="51"/>
      <c r="G132" s="90">
        <v>12</v>
      </c>
      <c r="H132" s="51">
        <v>2</v>
      </c>
      <c r="I132" s="295">
        <f t="shared" si="19"/>
        <v>-0.83333333333333337</v>
      </c>
      <c r="J132" s="298">
        <f t="shared" si="22"/>
        <v>6.5210303227910009E-4</v>
      </c>
      <c r="L132" s="212">
        <f t="shared" si="20"/>
        <v>31000</v>
      </c>
      <c r="T132" s="108"/>
      <c r="U132" s="108"/>
      <c r="V132" s="108"/>
      <c r="W132" s="108"/>
      <c r="X132" s="108"/>
      <c r="Y132" s="108"/>
      <c r="Z132" s="108"/>
      <c r="AA132" s="108"/>
      <c r="AB132" s="108"/>
      <c r="AC132" s="108"/>
      <c r="AD132" s="108"/>
      <c r="AE132" s="108"/>
      <c r="AF132" s="108"/>
      <c r="AG132" s="108"/>
      <c r="AH132" s="108"/>
      <c r="AI132" s="108"/>
      <c r="AJ132" s="108"/>
      <c r="AK132" s="108"/>
      <c r="AL132" s="108"/>
      <c r="AM132" s="108"/>
      <c r="AN132" s="108"/>
      <c r="AO132" s="108"/>
      <c r="AP132" s="108"/>
      <c r="AQ132" s="108"/>
      <c r="AR132" s="108"/>
      <c r="AS132" s="108"/>
      <c r="AT132" s="108"/>
      <c r="AU132" s="108"/>
      <c r="AV132" s="108"/>
      <c r="AW132" s="108"/>
      <c r="AX132" s="108"/>
      <c r="AY132" s="108"/>
      <c r="AZ132" s="108"/>
      <c r="BA132" s="108"/>
      <c r="BB132" s="108"/>
      <c r="BC132" s="108"/>
      <c r="BD132" s="108"/>
      <c r="BE132" s="108"/>
      <c r="BF132" s="108"/>
      <c r="BG132" s="108"/>
      <c r="BH132" s="108"/>
      <c r="BI132" s="108"/>
      <c r="BJ132" s="108"/>
      <c r="BK132" s="108"/>
    </row>
    <row r="133" spans="1:65" s="125" customFormat="1">
      <c r="A133" s="129" t="s">
        <v>310</v>
      </c>
      <c r="B133" s="90">
        <v>900</v>
      </c>
      <c r="C133" s="51">
        <v>21</v>
      </c>
      <c r="D133" s="295">
        <f t="shared" si="18"/>
        <v>-0.97666666666666668</v>
      </c>
      <c r="E133" s="298">
        <f t="shared" si="21"/>
        <v>3.1539582175630417E-4</v>
      </c>
      <c r="F133" s="51"/>
      <c r="G133" s="90">
        <v>10</v>
      </c>
      <c r="H133" s="51">
        <v>0</v>
      </c>
      <c r="I133" s="295">
        <f t="shared" si="19"/>
        <v>-1</v>
      </c>
      <c r="J133" s="298">
        <f t="shared" si="22"/>
        <v>0</v>
      </c>
      <c r="L133" s="294" t="s">
        <v>20</v>
      </c>
      <c r="T133" s="108"/>
      <c r="U133" s="108"/>
      <c r="V133" s="108"/>
      <c r="W133" s="108"/>
      <c r="X133" s="108"/>
      <c r="Y133" s="108"/>
      <c r="Z133" s="108"/>
      <c r="AA133" s="108"/>
      <c r="AB133" s="108"/>
      <c r="AC133" s="108"/>
      <c r="AD133" s="108"/>
      <c r="AE133" s="108"/>
      <c r="AF133" s="108"/>
      <c r="AG133" s="108"/>
      <c r="AH133" s="108"/>
      <c r="AI133" s="108"/>
      <c r="AJ133" s="108"/>
      <c r="AK133" s="108"/>
      <c r="AL133" s="108"/>
      <c r="AM133" s="108"/>
      <c r="AN133" s="108"/>
      <c r="AO133" s="108"/>
      <c r="AP133" s="108"/>
      <c r="AQ133" s="108"/>
      <c r="AR133" s="108"/>
      <c r="AS133" s="108"/>
      <c r="AT133" s="108"/>
      <c r="AU133" s="108"/>
      <c r="AV133" s="108"/>
      <c r="AW133" s="108"/>
      <c r="AX133" s="108"/>
      <c r="AY133" s="108"/>
      <c r="AZ133" s="108"/>
      <c r="BA133" s="108"/>
      <c r="BB133" s="108"/>
      <c r="BC133" s="108"/>
      <c r="BD133" s="108"/>
      <c r="BE133" s="108"/>
      <c r="BF133" s="108"/>
      <c r="BG133" s="108"/>
      <c r="BH133" s="108"/>
      <c r="BI133" s="108"/>
      <c r="BJ133" s="108"/>
      <c r="BK133" s="108"/>
    </row>
    <row r="134" spans="1:65" s="125" customFormat="1">
      <c r="A134" s="129" t="s">
        <v>62</v>
      </c>
      <c r="B134" s="90">
        <v>8160</v>
      </c>
      <c r="C134" s="51">
        <v>8051</v>
      </c>
      <c r="D134" s="295">
        <f t="shared" si="18"/>
        <v>-1.3357843137254901E-2</v>
      </c>
      <c r="E134" s="298">
        <f t="shared" si="21"/>
        <v>0.12091675052190499</v>
      </c>
      <c r="F134" s="51"/>
      <c r="G134" s="90">
        <v>372</v>
      </c>
      <c r="H134" s="51">
        <v>432</v>
      </c>
      <c r="I134" s="295">
        <f t="shared" si="19"/>
        <v>0.16129032258064516</v>
      </c>
      <c r="J134" s="298">
        <f t="shared" si="22"/>
        <v>0.14085425497228563</v>
      </c>
      <c r="L134" s="212">
        <f>C134*1000/H134</f>
        <v>18636.574074074073</v>
      </c>
      <c r="T134" s="108"/>
      <c r="U134" s="108"/>
      <c r="V134" s="108"/>
      <c r="W134" s="108"/>
      <c r="X134" s="108"/>
      <c r="Y134" s="108"/>
      <c r="Z134" s="108"/>
      <c r="AA134" s="108"/>
      <c r="AB134" s="108"/>
      <c r="AC134" s="108"/>
      <c r="AD134" s="108"/>
      <c r="AE134" s="108"/>
      <c r="AF134" s="108"/>
      <c r="AG134" s="108"/>
      <c r="AH134" s="108"/>
      <c r="AI134" s="108"/>
      <c r="AJ134" s="108"/>
      <c r="AK134" s="108"/>
      <c r="AL134" s="108"/>
      <c r="AM134" s="108"/>
      <c r="AN134" s="108"/>
      <c r="AO134" s="108"/>
      <c r="AP134" s="108"/>
      <c r="AQ134" s="108"/>
      <c r="AR134" s="108"/>
      <c r="AS134" s="108"/>
      <c r="AT134" s="108"/>
      <c r="AU134" s="108"/>
      <c r="AV134" s="108"/>
      <c r="AW134" s="108"/>
      <c r="AX134" s="108"/>
      <c r="AY134" s="108"/>
      <c r="AZ134" s="108"/>
      <c r="BA134" s="108"/>
      <c r="BB134" s="108"/>
      <c r="BC134" s="108"/>
      <c r="BD134" s="108"/>
      <c r="BE134" s="108"/>
      <c r="BF134" s="108"/>
      <c r="BG134" s="108"/>
      <c r="BH134" s="108"/>
      <c r="BI134" s="108"/>
      <c r="BJ134" s="108"/>
      <c r="BK134" s="108"/>
    </row>
    <row r="135" spans="1:65" s="125" customFormat="1" ht="14.25" thickBot="1">
      <c r="A135" s="155" t="s">
        <v>18</v>
      </c>
      <c r="B135" s="98">
        <f>SUM(B103:B134)</f>
        <v>63511</v>
      </c>
      <c r="C135" s="99">
        <f>SUM(C103:C134)</f>
        <v>66583</v>
      </c>
      <c r="D135" s="299">
        <f t="shared" si="18"/>
        <v>4.836957377462172E-2</v>
      </c>
      <c r="E135" s="300">
        <f>SUM(E103:E134)</f>
        <v>0.99999999999999978</v>
      </c>
      <c r="F135" s="220"/>
      <c r="G135" s="98">
        <f>SUM(G103:G134)</f>
        <v>2461</v>
      </c>
      <c r="H135" s="99">
        <f>SUM(H103:H134)</f>
        <v>3067</v>
      </c>
      <c r="I135" s="299">
        <f t="shared" si="19"/>
        <v>0.24624136529865909</v>
      </c>
      <c r="J135" s="300">
        <f>SUM(J103:J134)</f>
        <v>1.0000000000000002</v>
      </c>
      <c r="L135" s="293">
        <f>C135*1000/H135</f>
        <v>21709.488099119662</v>
      </c>
      <c r="T135" s="108"/>
      <c r="U135" s="108"/>
      <c r="V135" s="108"/>
      <c r="W135" s="108"/>
      <c r="X135" s="108"/>
      <c r="Y135" s="108"/>
      <c r="Z135" s="108"/>
      <c r="AA135" s="108"/>
      <c r="AB135" s="108"/>
      <c r="AC135" s="108"/>
      <c r="AD135" s="108"/>
      <c r="AE135" s="108"/>
      <c r="AF135" s="108"/>
      <c r="AG135" s="108"/>
      <c r="AH135" s="108"/>
      <c r="AI135" s="108"/>
      <c r="AJ135" s="108"/>
      <c r="AK135" s="108"/>
      <c r="AL135" s="108"/>
      <c r="AM135" s="108"/>
      <c r="AN135" s="108"/>
      <c r="AO135" s="108"/>
      <c r="AP135" s="108"/>
      <c r="AQ135" s="108"/>
      <c r="AR135" s="108"/>
      <c r="AS135" s="108"/>
      <c r="AT135" s="108"/>
      <c r="AU135" s="108"/>
      <c r="AV135" s="108"/>
      <c r="AW135" s="108"/>
      <c r="AX135" s="108"/>
      <c r="AY135" s="108"/>
      <c r="AZ135" s="108"/>
      <c r="BA135" s="108"/>
      <c r="BB135" s="108"/>
      <c r="BC135" s="108"/>
      <c r="BD135" s="108"/>
      <c r="BE135" s="108"/>
      <c r="BF135" s="108"/>
      <c r="BG135" s="108"/>
      <c r="BH135" s="108"/>
      <c r="BI135" s="108"/>
      <c r="BJ135" s="108"/>
      <c r="BK135" s="108"/>
    </row>
    <row r="136" spans="1:65">
      <c r="A136" s="6" t="s">
        <v>146</v>
      </c>
    </row>
    <row r="137" spans="1:65">
      <c r="A137" s="6" t="s">
        <v>94</v>
      </c>
    </row>
    <row r="138" spans="1:65">
      <c r="A138" s="6" t="s">
        <v>64</v>
      </c>
    </row>
    <row r="139" spans="1:65">
      <c r="A139" s="6" t="s">
        <v>130</v>
      </c>
    </row>
    <row r="141" spans="1:65" s="45" customFormat="1" ht="13.5" customHeight="1" thickBot="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41"/>
      <c r="BG141" s="41"/>
      <c r="BH141" s="41"/>
      <c r="BI141" s="41"/>
      <c r="BJ141" s="41"/>
      <c r="BK141" s="41"/>
      <c r="BL141" s="41"/>
      <c r="BM141" s="41"/>
    </row>
    <row r="142" spans="1:65" ht="13.5" customHeight="1">
      <c r="V142" s="15"/>
      <c r="W142" s="15"/>
      <c r="X142" s="15"/>
      <c r="Y142" s="15"/>
    </row>
  </sheetData>
  <sheetProtection algorithmName="SHA-512" hashValue="rM52R6hdvcbNyqyMMIzC2kOvUCcCCeuWHz/roxKLvq0U3KS2MobM8m6y4/lRL1krdGcXJugDc55Jxa1alG5gPw==" saltValue="MKhj/2q9ys2gUw6u1Sf5uw==" spinCount="100000" sheet="1" formatCells="0" formatColumns="0" formatRows="0" insertColumns="0" insertRows="0" insertHyperlinks="0" deleteColumns="0" deleteRows="0" sort="0" autoFilter="0" pivotTables="0"/>
  <mergeCells count="2">
    <mergeCell ref="B101:C101"/>
    <mergeCell ref="G101:H101"/>
  </mergeCells>
  <phoneticPr fontId="0" type="noConversion"/>
  <pageMargins left="0.74803149606299213" right="0.74803149606299213" top="0.98425196850393704" bottom="0.98425196850393704" header="0.51181102362204722" footer="0.51181102362204722"/>
  <pageSetup paperSize="9" scale="65" orientation="landscape" r:id="rId1"/>
  <headerFooter alignWithMargins="0">
    <oddHeader>&amp;CÉchanges Internationaux</oddHeader>
    <oddFooter>&amp;L&amp;"StopD,Normal"&amp;26MSI&amp;"Arial,Normal"&amp;10 Reports
www.msi-reports.com&amp;RMarché de la Robinetterie Sanitaire en France
Novembre 2015</oddFooter>
  </headerFooter>
  <rowBreaks count="3" manualBreakCount="3">
    <brk id="24" max="16383" man="1"/>
    <brk id="68" max="16383" man="1"/>
    <brk id="97" max="16383" man="1"/>
  </rowBreaks>
  <ignoredErrors>
    <ignoredError sqref="B91:B93 N62 K63:N72 F92:F95 F136 F18 K19:K20 Q63:Q73 Q92:Q95 K92:N95 N73 F63:F82 F87:F90 K73:K82 K87:K91 K136:M136 C18 B135:C136 C91:C95 C62:C72 F91:H9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D69"/>
  <sheetViews>
    <sheetView zoomScaleNormal="100" workbookViewId="0">
      <selection activeCell="C2" sqref="C2"/>
    </sheetView>
  </sheetViews>
  <sheetFormatPr baseColWidth="10" defaultColWidth="9.140625" defaultRowHeight="13.5"/>
  <cols>
    <col min="1" max="1" width="3" style="16" customWidth="1"/>
    <col min="2" max="5" width="3.7109375" style="16" customWidth="1"/>
    <col min="6" max="6" width="1.85546875" style="16" customWidth="1"/>
    <col min="7" max="9" width="3.7109375" style="16" customWidth="1"/>
    <col min="10" max="10" width="1.85546875" style="16" customWidth="1"/>
    <col min="11" max="13" width="3.7109375" style="16" customWidth="1"/>
    <col min="14" max="14" width="2.85546875" style="16" customWidth="1"/>
    <col min="15" max="17" width="3.7109375" style="16" customWidth="1"/>
    <col min="18" max="18" width="1.85546875" style="16" customWidth="1"/>
    <col min="19" max="21" width="3.7109375" style="16" customWidth="1"/>
    <col min="22" max="22" width="2.85546875" style="16" customWidth="1"/>
    <col min="23" max="25" width="3.7109375" style="16" customWidth="1"/>
    <col min="26" max="26" width="1.85546875" style="16" customWidth="1"/>
    <col min="27" max="29" width="3.7109375" style="16" customWidth="1"/>
    <col min="30" max="30" width="2.28515625" style="16" customWidth="1"/>
    <col min="31" max="35" width="3.7109375" style="16" customWidth="1"/>
    <col min="36" max="16384" width="9.140625" style="16"/>
  </cols>
  <sheetData>
    <row r="2" spans="1:35" ht="13.5" customHeight="1">
      <c r="B2" s="23" t="s">
        <v>490</v>
      </c>
      <c r="F2" s="16" t="s">
        <v>175</v>
      </c>
    </row>
    <row r="3" spans="1:35" ht="13.5" customHeight="1" thickBot="1">
      <c r="A3" s="23"/>
      <c r="B3" s="23"/>
    </row>
    <row r="4" spans="1:35" ht="20.25" customHeight="1" thickBot="1">
      <c r="C4" s="621" t="s">
        <v>95</v>
      </c>
      <c r="D4" s="622"/>
      <c r="E4" s="622"/>
      <c r="F4" s="622"/>
      <c r="G4" s="622"/>
      <c r="H4" s="622"/>
      <c r="I4" s="622"/>
      <c r="J4" s="622"/>
      <c r="K4" s="622"/>
      <c r="L4" s="622"/>
      <c r="M4" s="622"/>
      <c r="N4" s="622"/>
      <c r="O4" s="622"/>
      <c r="P4" s="622"/>
      <c r="Q4" s="622"/>
      <c r="R4" s="622"/>
      <c r="S4" s="622"/>
      <c r="T4" s="622"/>
      <c r="U4" s="622"/>
      <c r="V4" s="622"/>
      <c r="W4" s="622"/>
      <c r="X4" s="622"/>
      <c r="Y4" s="622"/>
      <c r="Z4" s="622"/>
      <c r="AA4" s="622"/>
      <c r="AB4" s="622"/>
      <c r="AC4" s="622"/>
      <c r="AD4" s="622"/>
      <c r="AE4" s="622"/>
      <c r="AF4" s="622"/>
      <c r="AG4" s="622"/>
      <c r="AH4" s="623"/>
      <c r="AI4" s="23"/>
    </row>
    <row r="5" spans="1:35" ht="24" customHeight="1" thickBot="1">
      <c r="C5" s="25"/>
      <c r="D5" s="25"/>
      <c r="E5" s="25"/>
      <c r="F5" s="25"/>
      <c r="G5" s="25"/>
      <c r="H5" s="25"/>
      <c r="I5" s="68"/>
      <c r="J5" s="25"/>
      <c r="K5" s="25"/>
      <c r="L5" s="32"/>
      <c r="M5" s="32"/>
      <c r="N5" s="32"/>
      <c r="O5" s="32"/>
      <c r="P5" s="79"/>
      <c r="Q5" s="32"/>
      <c r="R5" s="32"/>
      <c r="S5" s="79"/>
      <c r="U5" s="32"/>
      <c r="V5" s="32"/>
      <c r="W5" s="32"/>
      <c r="X5" s="25"/>
      <c r="Y5" s="25"/>
      <c r="Z5" s="25"/>
      <c r="AA5" s="79"/>
      <c r="AB5" s="25"/>
      <c r="AC5" s="25"/>
      <c r="AD5" s="25"/>
      <c r="AE5" s="25"/>
      <c r="AF5" s="25"/>
      <c r="AG5" s="79"/>
      <c r="AH5" s="25"/>
      <c r="AI5" s="25"/>
    </row>
    <row r="6" spans="1:35" ht="20.25" customHeight="1" thickBot="1">
      <c r="C6" s="624" t="s">
        <v>96</v>
      </c>
      <c r="D6" s="625"/>
      <c r="E6" s="625"/>
      <c r="F6" s="625"/>
      <c r="G6" s="625"/>
      <c r="H6" s="625"/>
      <c r="I6" s="625"/>
      <c r="J6" s="625"/>
      <c r="K6" s="625"/>
      <c r="L6" s="625"/>
      <c r="M6" s="626"/>
      <c r="N6" s="25"/>
      <c r="O6" s="627" t="s">
        <v>97</v>
      </c>
      <c r="P6" s="628"/>
      <c r="Q6" s="628"/>
      <c r="R6" s="628"/>
      <c r="S6" s="628"/>
      <c r="T6" s="628"/>
      <c r="U6" s="629"/>
      <c r="V6" s="9"/>
      <c r="W6" s="630" t="s">
        <v>98</v>
      </c>
      <c r="X6" s="622"/>
      <c r="Y6" s="622"/>
      <c r="Z6" s="622"/>
      <c r="AA6" s="622"/>
      <c r="AB6" s="622"/>
      <c r="AC6" s="623"/>
      <c r="AE6" s="631" t="s">
        <v>21</v>
      </c>
      <c r="AF6" s="632"/>
      <c r="AG6" s="632"/>
      <c r="AH6" s="633"/>
      <c r="AI6" s="25"/>
    </row>
    <row r="7" spans="1:35" ht="3.75" customHeight="1" thickBot="1">
      <c r="C7" s="33"/>
      <c r="D7" s="33"/>
      <c r="E7" s="32"/>
      <c r="F7" s="32"/>
      <c r="G7" s="32"/>
      <c r="H7" s="33"/>
      <c r="I7" s="33"/>
      <c r="J7" s="33"/>
      <c r="K7" s="33"/>
      <c r="L7" s="33"/>
      <c r="M7" s="32"/>
      <c r="N7" s="33"/>
      <c r="P7" s="32"/>
      <c r="Q7" s="34"/>
      <c r="S7" s="32"/>
      <c r="T7" s="32"/>
      <c r="U7" s="32"/>
      <c r="V7" s="32"/>
      <c r="W7" s="32"/>
      <c r="X7" s="32"/>
      <c r="Y7" s="32"/>
      <c r="Z7" s="32"/>
      <c r="AA7" s="32"/>
      <c r="AB7" s="32"/>
      <c r="AC7" s="32"/>
      <c r="AI7" s="32"/>
    </row>
    <row r="8" spans="1:35" ht="14.25" customHeight="1">
      <c r="C8" s="603" t="s">
        <v>99</v>
      </c>
      <c r="D8" s="604"/>
      <c r="E8" s="605"/>
      <c r="F8" s="35"/>
      <c r="G8" s="603" t="s">
        <v>100</v>
      </c>
      <c r="H8" s="604"/>
      <c r="I8" s="605"/>
      <c r="J8" s="35"/>
      <c r="K8" s="603" t="s">
        <v>101</v>
      </c>
      <c r="L8" s="604"/>
      <c r="M8" s="605"/>
      <c r="N8" s="36"/>
      <c r="O8" s="612" t="s">
        <v>15</v>
      </c>
      <c r="P8" s="613"/>
      <c r="Q8" s="614"/>
      <c r="R8" s="36"/>
      <c r="S8" s="612" t="s">
        <v>16</v>
      </c>
      <c r="T8" s="613"/>
      <c r="U8" s="614"/>
      <c r="V8" s="35"/>
      <c r="W8" s="594" t="s">
        <v>104</v>
      </c>
      <c r="X8" s="595"/>
      <c r="Y8" s="596"/>
      <c r="Z8" s="35"/>
      <c r="AA8" s="594" t="s">
        <v>103</v>
      </c>
      <c r="AB8" s="595"/>
      <c r="AC8" s="596"/>
      <c r="AG8" s="33"/>
      <c r="AI8" s="35"/>
    </row>
    <row r="9" spans="1:35">
      <c r="C9" s="606"/>
      <c r="D9" s="607"/>
      <c r="E9" s="608"/>
      <c r="F9" s="35"/>
      <c r="G9" s="606"/>
      <c r="H9" s="607"/>
      <c r="I9" s="608"/>
      <c r="J9" s="35"/>
      <c r="K9" s="606"/>
      <c r="L9" s="607"/>
      <c r="M9" s="608"/>
      <c r="N9" s="36"/>
      <c r="O9" s="615" t="s">
        <v>128</v>
      </c>
      <c r="P9" s="616"/>
      <c r="Q9" s="617"/>
      <c r="R9" s="36"/>
      <c r="S9" s="615" t="s">
        <v>102</v>
      </c>
      <c r="T9" s="616"/>
      <c r="U9" s="617"/>
      <c r="V9" s="35"/>
      <c r="W9" s="597"/>
      <c r="X9" s="598"/>
      <c r="Y9" s="599"/>
      <c r="Z9" s="35"/>
      <c r="AA9" s="597"/>
      <c r="AB9" s="598"/>
      <c r="AC9" s="599"/>
      <c r="AI9" s="35"/>
    </row>
    <row r="10" spans="1:35" ht="14.25" thickBot="1">
      <c r="C10" s="609"/>
      <c r="D10" s="610"/>
      <c r="E10" s="611"/>
      <c r="F10" s="37"/>
      <c r="G10" s="609"/>
      <c r="H10" s="610"/>
      <c r="I10" s="611"/>
      <c r="J10" s="37"/>
      <c r="K10" s="609"/>
      <c r="L10" s="610"/>
      <c r="M10" s="611"/>
      <c r="N10" s="37"/>
      <c r="O10" s="618"/>
      <c r="P10" s="619"/>
      <c r="Q10" s="620"/>
      <c r="R10" s="37"/>
      <c r="S10" s="618"/>
      <c r="T10" s="619"/>
      <c r="U10" s="620"/>
      <c r="V10" s="35"/>
      <c r="W10" s="600"/>
      <c r="X10" s="601"/>
      <c r="Y10" s="602"/>
      <c r="Z10" s="35"/>
      <c r="AA10" s="600"/>
      <c r="AB10" s="601"/>
      <c r="AC10" s="602"/>
      <c r="AI10" s="35"/>
    </row>
    <row r="11" spans="1:35" ht="5.25" customHeight="1">
      <c r="C11" s="38"/>
      <c r="D11" s="38"/>
      <c r="E11" s="38"/>
      <c r="F11" s="32"/>
      <c r="G11" s="38"/>
      <c r="H11" s="38"/>
      <c r="I11" s="38"/>
      <c r="J11" s="32"/>
      <c r="K11" s="38"/>
      <c r="L11" s="38"/>
      <c r="M11" s="38"/>
      <c r="N11" s="32"/>
      <c r="O11" s="38"/>
      <c r="P11" s="38"/>
      <c r="Q11" s="38"/>
      <c r="R11" s="32"/>
      <c r="S11" s="38"/>
      <c r="T11" s="38"/>
      <c r="U11" s="38"/>
      <c r="V11" s="38"/>
      <c r="W11" s="38"/>
      <c r="X11" s="38"/>
      <c r="Y11" s="38"/>
      <c r="Z11" s="38"/>
      <c r="AA11" s="38"/>
      <c r="AB11" s="38"/>
      <c r="AC11" s="38"/>
      <c r="AI11" s="38"/>
    </row>
    <row r="12" spans="1:35">
      <c r="C12" s="38"/>
      <c r="D12" s="38"/>
      <c r="E12" s="38"/>
      <c r="F12" s="32"/>
      <c r="G12" s="38"/>
      <c r="H12" s="38"/>
      <c r="I12" s="38"/>
      <c r="J12" s="32"/>
      <c r="K12" s="38"/>
      <c r="L12" s="38"/>
      <c r="M12" s="38"/>
      <c r="N12" s="32"/>
      <c r="O12" s="79"/>
      <c r="P12" s="38"/>
      <c r="Q12" s="38"/>
      <c r="R12" s="32"/>
      <c r="S12" s="38"/>
      <c r="T12" s="38"/>
      <c r="U12" s="78"/>
      <c r="V12" s="38"/>
      <c r="W12" s="38"/>
      <c r="X12" s="38"/>
      <c r="Y12" s="38"/>
      <c r="Z12" s="38"/>
      <c r="AA12" s="38"/>
      <c r="AB12" s="38"/>
      <c r="AC12" s="38"/>
      <c r="AI12" s="38"/>
    </row>
    <row r="13" spans="1:35" ht="10.5" customHeight="1">
      <c r="C13" s="38"/>
      <c r="D13" s="38"/>
      <c r="E13" s="38"/>
      <c r="F13" s="32"/>
      <c r="G13" s="38"/>
      <c r="H13" s="38"/>
      <c r="I13" s="38"/>
      <c r="J13" s="32"/>
      <c r="K13" s="38"/>
      <c r="L13" s="38"/>
      <c r="M13" s="38"/>
      <c r="N13" s="32"/>
      <c r="O13" s="32"/>
      <c r="P13" s="38"/>
      <c r="Q13" s="38"/>
      <c r="R13" s="38"/>
      <c r="S13" s="32"/>
      <c r="T13" s="38"/>
      <c r="U13" s="38"/>
      <c r="V13" s="38"/>
      <c r="W13" s="32"/>
      <c r="X13" s="38"/>
      <c r="Y13" s="38"/>
      <c r="Z13" s="38"/>
      <c r="AA13" s="38"/>
      <c r="AB13" s="38"/>
      <c r="AC13" s="38"/>
      <c r="AD13" s="38"/>
      <c r="AE13" s="38"/>
      <c r="AF13" s="38"/>
      <c r="AG13" s="38"/>
      <c r="AH13" s="38"/>
      <c r="AI13" s="38"/>
    </row>
    <row r="14" spans="1:35" ht="4.5" customHeight="1">
      <c r="C14" s="38"/>
      <c r="D14" s="38"/>
      <c r="E14" s="38"/>
      <c r="F14" s="32"/>
      <c r="G14" s="38"/>
      <c r="H14" s="38"/>
      <c r="I14" s="38"/>
      <c r="J14" s="32"/>
      <c r="K14" s="38"/>
      <c r="L14" s="38"/>
      <c r="M14" s="38"/>
      <c r="N14" s="32"/>
      <c r="O14" s="32"/>
      <c r="P14" s="38"/>
      <c r="Q14" s="38"/>
      <c r="R14" s="38"/>
      <c r="S14" s="32"/>
      <c r="T14" s="38"/>
      <c r="U14" s="38"/>
      <c r="V14" s="38"/>
      <c r="W14" s="32"/>
      <c r="X14" s="38"/>
      <c r="Y14" s="38"/>
      <c r="Z14" s="38"/>
      <c r="AA14" s="38"/>
      <c r="AB14" s="38"/>
      <c r="AC14" s="38"/>
      <c r="AD14" s="38"/>
      <c r="AE14" s="38"/>
      <c r="AF14" s="38"/>
      <c r="AG14" s="38"/>
      <c r="AH14" s="38"/>
      <c r="AI14" s="38"/>
    </row>
    <row r="15" spans="1:35" ht="10.5" customHeight="1">
      <c r="C15" s="38"/>
      <c r="D15" s="38"/>
      <c r="E15" s="38"/>
      <c r="F15" s="32"/>
      <c r="G15" s="38"/>
      <c r="H15" s="38"/>
      <c r="I15" s="38"/>
      <c r="J15" s="32"/>
      <c r="K15" s="38"/>
      <c r="L15" s="38"/>
      <c r="M15" s="38"/>
      <c r="N15" s="32"/>
      <c r="O15" s="32"/>
      <c r="P15" s="38"/>
      <c r="Q15" s="38"/>
      <c r="R15" s="38"/>
      <c r="S15" s="32"/>
      <c r="T15" s="38"/>
      <c r="U15" s="38"/>
      <c r="V15" s="38"/>
      <c r="W15" s="32"/>
      <c r="X15" s="38"/>
      <c r="Y15" s="38"/>
      <c r="Z15" s="38"/>
      <c r="AA15" s="38"/>
      <c r="AB15" s="38"/>
      <c r="AC15" s="38"/>
      <c r="AD15" s="38"/>
      <c r="AE15" s="38"/>
      <c r="AF15" s="38"/>
      <c r="AG15" s="38"/>
      <c r="AH15" s="38"/>
      <c r="AI15" s="38"/>
    </row>
    <row r="16" spans="1:35" ht="10.5" customHeight="1" thickBot="1">
      <c r="C16" s="23"/>
      <c r="D16" s="23"/>
      <c r="E16" s="23"/>
      <c r="F16" s="23"/>
      <c r="G16" s="23"/>
      <c r="H16" s="23"/>
      <c r="I16" s="23"/>
      <c r="J16" s="23"/>
      <c r="K16" s="23"/>
      <c r="L16" s="23"/>
      <c r="M16" s="23"/>
      <c r="N16" s="23"/>
      <c r="O16" s="23"/>
      <c r="P16" s="23"/>
      <c r="Q16" s="23"/>
      <c r="R16" s="23"/>
      <c r="S16" s="23"/>
      <c r="U16" s="23"/>
      <c r="V16" s="23"/>
      <c r="W16" s="23"/>
      <c r="X16" s="23"/>
      <c r="Y16" s="23"/>
      <c r="Z16" s="23"/>
      <c r="AA16" s="23"/>
      <c r="AB16" s="23"/>
      <c r="AC16" s="23"/>
    </row>
    <row r="17" spans="1:82">
      <c r="C17" s="23"/>
      <c r="D17" s="23"/>
      <c r="E17" s="23"/>
      <c r="F17" s="39"/>
      <c r="G17" s="642" t="s">
        <v>105</v>
      </c>
      <c r="H17" s="643"/>
      <c r="I17" s="643"/>
      <c r="J17" s="643"/>
      <c r="K17" s="643"/>
      <c r="L17" s="643"/>
      <c r="M17" s="644"/>
      <c r="N17" s="23"/>
      <c r="O17" s="23"/>
      <c r="P17" s="23"/>
      <c r="Q17" s="23"/>
      <c r="R17" s="23"/>
      <c r="S17" s="642" t="s">
        <v>129</v>
      </c>
      <c r="T17" s="648"/>
      <c r="U17" s="648"/>
      <c r="V17" s="648"/>
      <c r="W17" s="649"/>
      <c r="X17" s="40"/>
      <c r="Y17" s="40"/>
      <c r="Z17" s="40"/>
      <c r="AA17" s="40"/>
      <c r="AB17" s="40"/>
      <c r="AC17" s="40"/>
      <c r="AD17" s="40"/>
      <c r="AE17" s="40"/>
      <c r="AF17" s="40"/>
      <c r="AG17" s="40"/>
    </row>
    <row r="18" spans="1:82" ht="14.25" thickBot="1">
      <c r="C18" s="40"/>
      <c r="D18" s="40"/>
      <c r="E18" s="40"/>
      <c r="F18" s="9"/>
      <c r="G18" s="645"/>
      <c r="H18" s="646"/>
      <c r="I18" s="646"/>
      <c r="J18" s="646"/>
      <c r="K18" s="646"/>
      <c r="L18" s="646"/>
      <c r="M18" s="647"/>
      <c r="N18" s="40"/>
      <c r="O18" s="40"/>
      <c r="P18" s="40"/>
      <c r="Q18" s="40"/>
      <c r="R18" s="40"/>
      <c r="S18" s="650"/>
      <c r="T18" s="651"/>
      <c r="U18" s="651"/>
      <c r="V18" s="651"/>
      <c r="W18" s="652"/>
      <c r="Z18" s="40"/>
      <c r="AA18" s="40"/>
      <c r="AB18" s="40"/>
      <c r="AC18" s="40"/>
      <c r="AD18" s="40"/>
      <c r="AE18" s="40"/>
      <c r="AF18" s="40"/>
      <c r="AG18" s="40"/>
      <c r="AH18" s="40"/>
      <c r="AI18" s="40"/>
    </row>
    <row r="19" spans="1:82">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row>
    <row r="20" spans="1:82">
      <c r="B20" s="14" t="s">
        <v>338</v>
      </c>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row>
    <row r="21" spans="1:82">
      <c r="B21" s="14" t="s">
        <v>106</v>
      </c>
      <c r="R21" s="23"/>
    </row>
    <row r="23" spans="1:82" s="22" customFormat="1" ht="14.25" thickBot="1">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row>
    <row r="24" spans="1:82" s="19" customFormat="1">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row>
    <row r="25" spans="1:82" ht="13.5" customHeight="1">
      <c r="B25" s="23" t="s">
        <v>395</v>
      </c>
      <c r="F25" s="16" t="s">
        <v>176</v>
      </c>
    </row>
    <row r="26" spans="1:82" ht="13.5" customHeight="1" thickBot="1">
      <c r="A26" s="23"/>
      <c r="B26" s="23"/>
    </row>
    <row r="27" spans="1:82" ht="20.25" customHeight="1" thickBot="1">
      <c r="C27" s="621" t="s">
        <v>95</v>
      </c>
      <c r="D27" s="634"/>
      <c r="E27" s="634"/>
      <c r="F27" s="634"/>
      <c r="G27" s="634"/>
      <c r="H27" s="634"/>
      <c r="I27" s="634"/>
      <c r="J27" s="634"/>
      <c r="K27" s="634"/>
      <c r="L27" s="634"/>
      <c r="M27" s="634"/>
      <c r="N27" s="634"/>
      <c r="O27" s="634"/>
      <c r="P27" s="634"/>
      <c r="Q27" s="634"/>
      <c r="R27" s="634"/>
      <c r="S27" s="634"/>
      <c r="T27" s="634"/>
      <c r="U27" s="634"/>
      <c r="V27" s="634"/>
      <c r="W27" s="634"/>
      <c r="X27" s="634"/>
      <c r="Y27" s="634"/>
      <c r="Z27" s="634"/>
      <c r="AA27" s="634"/>
      <c r="AB27" s="634"/>
      <c r="AC27" s="634"/>
      <c r="AD27" s="634"/>
      <c r="AE27" s="634"/>
      <c r="AF27" s="634"/>
      <c r="AG27" s="634"/>
      <c r="AH27" s="635"/>
      <c r="AI27" s="23"/>
    </row>
    <row r="28" spans="1:82" ht="24" customHeight="1" thickBot="1">
      <c r="C28" s="25"/>
      <c r="D28" s="25"/>
      <c r="E28" s="25"/>
      <c r="F28" s="25"/>
      <c r="G28" s="25"/>
      <c r="H28" s="25"/>
      <c r="I28" s="68">
        <v>0.37</v>
      </c>
      <c r="J28" s="25"/>
      <c r="K28" s="25"/>
      <c r="L28" s="32"/>
      <c r="M28" s="32"/>
      <c r="N28" s="32"/>
      <c r="O28" s="32"/>
      <c r="P28" s="79"/>
      <c r="Q28" s="79">
        <v>0.53</v>
      </c>
      <c r="R28" s="32"/>
      <c r="S28" s="32"/>
      <c r="T28" s="32"/>
      <c r="U28" s="25"/>
      <c r="V28" s="25"/>
      <c r="W28" s="25"/>
      <c r="X28" s="79">
        <v>0.05</v>
      </c>
      <c r="Y28" s="25"/>
      <c r="Z28" s="25"/>
      <c r="AA28" s="25"/>
      <c r="AB28" s="25"/>
      <c r="AC28" s="25"/>
      <c r="AD28" s="79"/>
      <c r="AE28" s="25"/>
      <c r="AF28" s="25"/>
      <c r="AG28" s="336">
        <v>0.05</v>
      </c>
    </row>
    <row r="29" spans="1:82" ht="20.25" customHeight="1" thickBot="1">
      <c r="C29" s="624" t="s">
        <v>96</v>
      </c>
      <c r="D29" s="636"/>
      <c r="E29" s="636"/>
      <c r="F29" s="636"/>
      <c r="G29" s="636"/>
      <c r="H29" s="636"/>
      <c r="I29" s="636"/>
      <c r="J29" s="636"/>
      <c r="K29" s="636"/>
      <c r="L29" s="636"/>
      <c r="M29" s="637"/>
      <c r="N29" s="25"/>
      <c r="O29" s="627" t="s">
        <v>97</v>
      </c>
      <c r="P29" s="638"/>
      <c r="Q29" s="638"/>
      <c r="R29" s="638"/>
      <c r="S29" s="638"/>
      <c r="T29" s="638"/>
      <c r="U29" s="639"/>
      <c r="V29" s="9"/>
      <c r="W29" s="630" t="s">
        <v>98</v>
      </c>
      <c r="X29" s="640"/>
      <c r="Y29" s="640"/>
      <c r="Z29" s="640"/>
      <c r="AA29" s="640"/>
      <c r="AB29" s="640"/>
      <c r="AC29" s="641"/>
      <c r="AE29" s="631" t="s">
        <v>21</v>
      </c>
      <c r="AF29" s="632"/>
      <c r="AG29" s="632"/>
      <c r="AH29" s="633"/>
      <c r="AI29" s="25"/>
    </row>
    <row r="30" spans="1:82" ht="3.75" customHeight="1" thickBot="1">
      <c r="C30" s="33"/>
      <c r="D30" s="33"/>
      <c r="E30" s="32"/>
      <c r="F30" s="32"/>
      <c r="G30" s="32"/>
      <c r="H30" s="33"/>
      <c r="I30" s="33"/>
      <c r="J30" s="33"/>
      <c r="K30" s="33"/>
      <c r="L30" s="33"/>
      <c r="M30" s="32"/>
      <c r="N30" s="33"/>
      <c r="P30" s="32"/>
      <c r="Q30" s="34"/>
      <c r="S30" s="32"/>
      <c r="T30" s="32"/>
      <c r="U30" s="32"/>
      <c r="V30" s="32"/>
      <c r="W30" s="32"/>
      <c r="X30" s="32"/>
      <c r="Y30" s="32"/>
      <c r="Z30" s="32"/>
      <c r="AA30" s="32"/>
      <c r="AB30" s="32"/>
      <c r="AC30" s="32"/>
      <c r="AI30" s="32"/>
    </row>
    <row r="31" spans="1:82" ht="14.25" customHeight="1">
      <c r="C31" s="603" t="s">
        <v>99</v>
      </c>
      <c r="D31" s="604"/>
      <c r="E31" s="605"/>
      <c r="F31" s="35"/>
      <c r="G31" s="603" t="s">
        <v>100</v>
      </c>
      <c r="H31" s="604"/>
      <c r="I31" s="605"/>
      <c r="J31" s="35"/>
      <c r="K31" s="603" t="s">
        <v>101</v>
      </c>
      <c r="L31" s="604"/>
      <c r="M31" s="605"/>
      <c r="N31" s="36"/>
      <c r="O31" s="612" t="s">
        <v>15</v>
      </c>
      <c r="P31" s="613"/>
      <c r="Q31" s="614"/>
      <c r="R31" s="36"/>
      <c r="S31" s="612" t="s">
        <v>16</v>
      </c>
      <c r="T31" s="613"/>
      <c r="U31" s="614"/>
      <c r="V31" s="35"/>
      <c r="W31" s="594" t="s">
        <v>104</v>
      </c>
      <c r="X31" s="595"/>
      <c r="Y31" s="596"/>
      <c r="Z31" s="35"/>
      <c r="AA31" s="594" t="s">
        <v>103</v>
      </c>
      <c r="AB31" s="595"/>
      <c r="AC31" s="596"/>
      <c r="AG31" s="33"/>
      <c r="AI31" s="35"/>
    </row>
    <row r="32" spans="1:82">
      <c r="C32" s="606"/>
      <c r="D32" s="607"/>
      <c r="E32" s="608"/>
      <c r="F32" s="35"/>
      <c r="G32" s="606"/>
      <c r="H32" s="607"/>
      <c r="I32" s="608"/>
      <c r="J32" s="35"/>
      <c r="K32" s="606"/>
      <c r="L32" s="607"/>
      <c r="M32" s="608"/>
      <c r="N32" s="36"/>
      <c r="O32" s="615" t="s">
        <v>128</v>
      </c>
      <c r="P32" s="616"/>
      <c r="Q32" s="617"/>
      <c r="R32" s="36"/>
      <c r="S32" s="615" t="s">
        <v>102</v>
      </c>
      <c r="T32" s="616"/>
      <c r="U32" s="617"/>
      <c r="V32" s="35"/>
      <c r="W32" s="597"/>
      <c r="X32" s="598"/>
      <c r="Y32" s="599"/>
      <c r="Z32" s="35"/>
      <c r="AA32" s="597"/>
      <c r="AB32" s="598"/>
      <c r="AC32" s="599"/>
      <c r="AI32" s="35"/>
    </row>
    <row r="33" spans="2:35" ht="14.25" thickBot="1">
      <c r="C33" s="609"/>
      <c r="D33" s="610"/>
      <c r="E33" s="611"/>
      <c r="F33" s="37"/>
      <c r="G33" s="609"/>
      <c r="H33" s="610"/>
      <c r="I33" s="611"/>
      <c r="J33" s="37"/>
      <c r="K33" s="609"/>
      <c r="L33" s="610"/>
      <c r="M33" s="611"/>
      <c r="N33" s="37"/>
      <c r="O33" s="618"/>
      <c r="P33" s="619"/>
      <c r="Q33" s="620"/>
      <c r="R33" s="37"/>
      <c r="S33" s="618"/>
      <c r="T33" s="619"/>
      <c r="U33" s="620"/>
      <c r="V33" s="35"/>
      <c r="W33" s="600"/>
      <c r="X33" s="601"/>
      <c r="Y33" s="602"/>
      <c r="Z33" s="35"/>
      <c r="AA33" s="600"/>
      <c r="AB33" s="601"/>
      <c r="AC33" s="602"/>
      <c r="AI33" s="35"/>
    </row>
    <row r="34" spans="2:35" ht="5.25" customHeight="1">
      <c r="C34" s="38"/>
      <c r="D34" s="38"/>
      <c r="E34" s="38"/>
      <c r="F34" s="32"/>
      <c r="G34" s="38"/>
      <c r="H34" s="38"/>
      <c r="I34" s="38"/>
      <c r="J34" s="32"/>
      <c r="K34" s="38"/>
      <c r="L34" s="38"/>
      <c r="M34" s="38"/>
      <c r="N34" s="32"/>
      <c r="O34" s="38"/>
      <c r="P34" s="38"/>
      <c r="Q34" s="38"/>
      <c r="R34" s="32"/>
      <c r="S34" s="38"/>
      <c r="T34" s="38"/>
      <c r="U34" s="38"/>
      <c r="V34" s="38"/>
      <c r="W34" s="38"/>
      <c r="X34" s="38"/>
      <c r="Y34" s="38"/>
      <c r="Z34" s="38"/>
      <c r="AA34" s="38"/>
      <c r="AB34" s="38"/>
      <c r="AC34" s="38"/>
      <c r="AI34" s="38"/>
    </row>
    <row r="35" spans="2:35">
      <c r="C35" s="38"/>
      <c r="D35" s="38"/>
      <c r="E35" s="38"/>
      <c r="F35" s="32"/>
      <c r="G35" s="38"/>
      <c r="H35" s="38"/>
      <c r="I35" s="38"/>
      <c r="J35" s="32"/>
      <c r="K35" s="38"/>
      <c r="L35" s="38"/>
      <c r="M35" s="38"/>
      <c r="N35" s="32"/>
      <c r="O35" s="79">
        <v>0.47</v>
      </c>
      <c r="P35" s="38"/>
      <c r="Q35" s="38"/>
      <c r="R35" s="32"/>
      <c r="S35" s="38"/>
      <c r="T35" s="38"/>
      <c r="U35" s="78">
        <v>0.06</v>
      </c>
      <c r="V35" s="38"/>
      <c r="W35" s="38"/>
      <c r="X35" s="38"/>
      <c r="Y35" s="38"/>
      <c r="Z35" s="38"/>
      <c r="AA35" s="38"/>
      <c r="AB35" s="38"/>
      <c r="AC35" s="38"/>
      <c r="AI35" s="38"/>
    </row>
    <row r="36" spans="2:35" ht="10.5" customHeight="1">
      <c r="C36" s="38"/>
      <c r="D36" s="38"/>
      <c r="E36" s="38"/>
      <c r="F36" s="32"/>
      <c r="G36" s="38"/>
      <c r="H36" s="38"/>
      <c r="I36" s="38"/>
      <c r="J36" s="32"/>
      <c r="K36" s="38"/>
      <c r="L36" s="38"/>
      <c r="M36" s="38"/>
      <c r="N36" s="32"/>
      <c r="O36" s="32"/>
      <c r="P36" s="38"/>
      <c r="Q36" s="38"/>
      <c r="R36" s="38"/>
      <c r="S36" s="32"/>
      <c r="T36" s="38"/>
      <c r="U36" s="38"/>
      <c r="V36" s="38"/>
      <c r="W36" s="32"/>
      <c r="X36" s="38"/>
      <c r="Y36" s="38"/>
      <c r="Z36" s="38"/>
      <c r="AA36" s="38"/>
      <c r="AB36" s="38"/>
      <c r="AC36" s="38"/>
      <c r="AD36" s="38"/>
      <c r="AE36" s="38"/>
      <c r="AF36" s="38"/>
      <c r="AG36" s="38"/>
      <c r="AH36" s="38"/>
      <c r="AI36" s="38"/>
    </row>
    <row r="37" spans="2:35" ht="4.5" customHeight="1">
      <c r="C37" s="38"/>
      <c r="D37" s="38"/>
      <c r="E37" s="38"/>
      <c r="F37" s="32"/>
      <c r="G37" s="38"/>
      <c r="H37" s="38"/>
      <c r="I37" s="38"/>
      <c r="J37" s="32"/>
      <c r="K37" s="38"/>
      <c r="L37" s="38"/>
      <c r="M37" s="38"/>
      <c r="N37" s="32"/>
      <c r="O37" s="32"/>
      <c r="P37" s="38"/>
      <c r="Q37" s="38"/>
      <c r="R37" s="38"/>
      <c r="S37" s="32"/>
      <c r="T37" s="38"/>
      <c r="U37" s="38"/>
      <c r="V37" s="38"/>
      <c r="W37" s="32"/>
      <c r="X37" s="38"/>
      <c r="Y37" s="38"/>
      <c r="Z37" s="38"/>
      <c r="AA37" s="38"/>
      <c r="AB37" s="38"/>
      <c r="AC37" s="38"/>
      <c r="AD37" s="38"/>
      <c r="AE37" s="38"/>
      <c r="AF37" s="38"/>
      <c r="AG37" s="38"/>
      <c r="AH37" s="38"/>
      <c r="AI37" s="38"/>
    </row>
    <row r="38" spans="2:35" ht="10.5" customHeight="1">
      <c r="C38" s="38"/>
      <c r="D38" s="38"/>
      <c r="E38" s="38"/>
      <c r="F38" s="32"/>
      <c r="G38" s="38"/>
      <c r="H38" s="38"/>
      <c r="I38" s="38"/>
      <c r="J38" s="32"/>
      <c r="K38" s="38"/>
      <c r="L38" s="38"/>
      <c r="M38" s="38"/>
      <c r="N38" s="32"/>
      <c r="O38" s="32"/>
      <c r="P38" s="38"/>
      <c r="Q38" s="38"/>
      <c r="R38" s="38"/>
      <c r="S38" s="32"/>
      <c r="T38" s="38"/>
      <c r="U38" s="38"/>
      <c r="V38" s="38"/>
      <c r="W38" s="32"/>
      <c r="X38" s="38"/>
      <c r="Y38" s="38"/>
      <c r="Z38" s="38"/>
      <c r="AA38" s="38"/>
      <c r="AB38" s="38"/>
      <c r="AC38" s="38"/>
      <c r="AD38" s="38"/>
      <c r="AE38" s="38"/>
      <c r="AF38" s="38"/>
      <c r="AG38" s="38"/>
    </row>
    <row r="39" spans="2:35" ht="10.5" customHeight="1" thickBot="1">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row>
    <row r="40" spans="2:35">
      <c r="C40" s="23"/>
      <c r="D40" s="23"/>
      <c r="E40" s="23"/>
      <c r="F40" s="39"/>
      <c r="G40" s="642" t="s">
        <v>105</v>
      </c>
      <c r="H40" s="643"/>
      <c r="I40" s="643"/>
      <c r="J40" s="643"/>
      <c r="K40" s="643"/>
      <c r="L40" s="643"/>
      <c r="M40" s="644"/>
      <c r="N40" s="23"/>
      <c r="O40" s="23"/>
      <c r="P40" s="23"/>
      <c r="Q40" s="23"/>
      <c r="R40" s="23"/>
      <c r="S40" s="642" t="s">
        <v>13</v>
      </c>
      <c r="T40" s="648"/>
      <c r="U40" s="648"/>
      <c r="V40" s="648"/>
      <c r="W40" s="649"/>
      <c r="X40" s="40"/>
      <c r="Y40" s="40"/>
      <c r="Z40" s="40"/>
      <c r="AA40" s="40"/>
      <c r="AB40" s="40"/>
      <c r="AC40" s="40"/>
      <c r="AD40" s="40"/>
      <c r="AE40" s="40"/>
      <c r="AF40" s="40"/>
      <c r="AG40" s="40"/>
    </row>
    <row r="41" spans="2:35" ht="14.25" thickBot="1">
      <c r="C41" s="40"/>
      <c r="D41" s="40"/>
      <c r="E41" s="40"/>
      <c r="F41" s="9"/>
      <c r="G41" s="645"/>
      <c r="H41" s="646"/>
      <c r="I41" s="646"/>
      <c r="J41" s="646"/>
      <c r="K41" s="646"/>
      <c r="L41" s="646"/>
      <c r="M41" s="647"/>
      <c r="N41" s="40"/>
      <c r="O41" s="40"/>
      <c r="P41" s="40"/>
      <c r="Q41" s="40"/>
      <c r="R41" s="40"/>
      <c r="S41" s="650"/>
      <c r="T41" s="651"/>
      <c r="U41" s="651"/>
      <c r="V41" s="651"/>
      <c r="W41" s="652"/>
      <c r="X41" s="23"/>
      <c r="Z41" s="40"/>
      <c r="AA41" s="40"/>
      <c r="AB41" s="40"/>
      <c r="AC41" s="40"/>
      <c r="AD41" s="40"/>
      <c r="AE41" s="40"/>
      <c r="AF41" s="40"/>
      <c r="AG41" s="40"/>
      <c r="AH41" s="40"/>
      <c r="AI41" s="40"/>
    </row>
    <row r="42" spans="2:35">
      <c r="C42" s="40"/>
      <c r="D42" s="40"/>
      <c r="E42" s="40"/>
      <c r="F42" s="40"/>
      <c r="G42" s="40"/>
      <c r="H42" s="40"/>
      <c r="I42" s="40"/>
      <c r="J42" s="40"/>
      <c r="K42" s="40"/>
      <c r="L42" s="40"/>
      <c r="M42" s="40"/>
      <c r="N42" s="40"/>
      <c r="O42" s="40"/>
      <c r="P42" s="40"/>
      <c r="Q42" s="40"/>
      <c r="R42" s="40"/>
      <c r="S42" s="40"/>
      <c r="T42" s="40"/>
      <c r="U42" s="40"/>
      <c r="V42" s="40"/>
      <c r="W42" s="40"/>
      <c r="X42" s="23"/>
      <c r="Y42" s="40"/>
      <c r="Z42" s="40"/>
      <c r="AA42" s="40"/>
      <c r="AB42" s="40"/>
      <c r="AC42" s="40"/>
      <c r="AD42" s="40"/>
      <c r="AE42" s="40"/>
      <c r="AF42" s="40"/>
      <c r="AG42" s="40"/>
      <c r="AH42" s="40"/>
      <c r="AI42" s="40"/>
    </row>
    <row r="43" spans="2:35">
      <c r="B43" s="14" t="s">
        <v>30</v>
      </c>
      <c r="C43" s="14"/>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row>
    <row r="44" spans="2:35">
      <c r="B44" s="14" t="s">
        <v>139</v>
      </c>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row>
    <row r="45" spans="2:35">
      <c r="B45" s="14" t="s">
        <v>127</v>
      </c>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row>
    <row r="46" spans="2:35">
      <c r="B46" s="14" t="s">
        <v>152</v>
      </c>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row>
    <row r="47" spans="2:35">
      <c r="B47" s="14" t="s">
        <v>153</v>
      </c>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row>
    <row r="48" spans="2:35">
      <c r="B48" s="14" t="s">
        <v>17</v>
      </c>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row>
    <row r="49" spans="1:82">
      <c r="B49" s="14" t="s">
        <v>29</v>
      </c>
    </row>
    <row r="51" spans="1:82" s="22" customFormat="1" ht="14.25" thickBot="1">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row>
    <row r="52" spans="1:82" s="19" customFormat="1">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row>
    <row r="53" spans="1:82">
      <c r="B53" s="23" t="s">
        <v>396</v>
      </c>
      <c r="F53" s="16" t="s">
        <v>177</v>
      </c>
    </row>
    <row r="54" spans="1:82" ht="14.25" thickBot="1">
      <c r="B54" s="23"/>
    </row>
    <row r="55" spans="1:82" ht="22.5" customHeight="1" thickBot="1">
      <c r="A55" s="23"/>
      <c r="B55" s="23"/>
      <c r="C55" s="621" t="s">
        <v>95</v>
      </c>
      <c r="D55" s="634"/>
      <c r="E55" s="634"/>
      <c r="F55" s="634"/>
      <c r="G55" s="634"/>
      <c r="H55" s="634"/>
      <c r="I55" s="634"/>
      <c r="J55" s="634"/>
      <c r="K55" s="634"/>
      <c r="L55" s="634"/>
      <c r="M55" s="634"/>
      <c r="N55" s="634"/>
      <c r="O55" s="634"/>
      <c r="P55" s="634"/>
      <c r="Q55" s="635"/>
      <c r="R55" s="2"/>
      <c r="S55" s="2"/>
      <c r="T55" s="2"/>
      <c r="U55" s="2"/>
      <c r="V55" s="2"/>
      <c r="W55" s="2"/>
      <c r="X55" s="2"/>
      <c r="Y55" s="2"/>
      <c r="Z55" s="2"/>
      <c r="AA55" s="2"/>
      <c r="AB55" s="2"/>
      <c r="AC55" s="2"/>
      <c r="AD55" s="2"/>
      <c r="AE55" s="2"/>
      <c r="AF55" s="2"/>
      <c r="AG55" s="2"/>
      <c r="AH55" s="2"/>
      <c r="AI55" s="23"/>
    </row>
    <row r="56" spans="1:82" ht="30.75" customHeight="1" thickBot="1">
      <c r="C56" s="25"/>
      <c r="D56" s="68">
        <v>0.03</v>
      </c>
      <c r="E56" s="80"/>
      <c r="F56" s="25"/>
      <c r="G56" s="75"/>
      <c r="H56" s="25"/>
      <c r="I56" s="68">
        <v>0.94</v>
      </c>
      <c r="J56" s="25"/>
      <c r="K56" s="25"/>
      <c r="L56" s="32"/>
      <c r="M56" s="32"/>
      <c r="N56" s="32"/>
      <c r="P56" s="68">
        <v>0.03</v>
      </c>
      <c r="R56" s="32"/>
      <c r="S56" s="25"/>
      <c r="T56" s="25"/>
      <c r="U56" s="25"/>
      <c r="V56" s="71"/>
      <c r="W56" s="25"/>
      <c r="X56" s="25"/>
      <c r="Y56" s="25"/>
      <c r="Z56" s="25"/>
      <c r="AA56" s="25"/>
      <c r="AB56" s="71"/>
      <c r="AC56" s="25"/>
      <c r="AD56" s="25"/>
    </row>
    <row r="57" spans="1:82" ht="22.5" customHeight="1">
      <c r="F57" s="659" t="s">
        <v>6</v>
      </c>
      <c r="G57" s="660"/>
      <c r="H57" s="660"/>
      <c r="I57" s="661"/>
      <c r="J57" s="662"/>
      <c r="K57" s="74"/>
      <c r="M57" s="663" t="s">
        <v>4</v>
      </c>
      <c r="N57" s="643"/>
      <c r="O57" s="643"/>
      <c r="P57" s="643"/>
      <c r="Q57" s="644"/>
      <c r="T57" s="73"/>
      <c r="U57" s="73"/>
      <c r="V57" s="73"/>
      <c r="W57" s="73"/>
      <c r="AC57" s="23"/>
      <c r="AD57" s="57"/>
    </row>
    <row r="58" spans="1:82" ht="27" customHeight="1" thickBot="1">
      <c r="F58" s="609" t="s">
        <v>5</v>
      </c>
      <c r="G58" s="610"/>
      <c r="H58" s="610"/>
      <c r="I58" s="664"/>
      <c r="J58" s="665"/>
      <c r="K58" s="57"/>
      <c r="M58" s="645"/>
      <c r="N58" s="646"/>
      <c r="O58" s="646"/>
      <c r="P58" s="646"/>
      <c r="Q58" s="647"/>
      <c r="Y58" s="73"/>
      <c r="Z58" s="57"/>
      <c r="AA58" s="73"/>
      <c r="AB58" s="73"/>
      <c r="AH58" s="23"/>
      <c r="AI58" s="57"/>
    </row>
    <row r="59" spans="1:82">
      <c r="C59" s="57"/>
      <c r="D59" s="57"/>
      <c r="E59" s="57"/>
      <c r="F59" s="57"/>
      <c r="G59" s="57"/>
      <c r="H59" s="57"/>
      <c r="I59" s="57"/>
      <c r="J59" s="57"/>
      <c r="K59" s="57"/>
      <c r="L59" s="57"/>
      <c r="M59" s="32"/>
      <c r="Q59" s="25"/>
      <c r="V59" s="40"/>
      <c r="W59" s="40"/>
      <c r="X59" s="40"/>
      <c r="Y59" s="40"/>
      <c r="Z59" s="40"/>
      <c r="AA59" s="40"/>
      <c r="AB59" s="40"/>
      <c r="AC59" s="40"/>
      <c r="AD59" s="23"/>
      <c r="AE59" s="23"/>
      <c r="AF59" s="23"/>
      <c r="AG59" s="23"/>
      <c r="AH59" s="23"/>
      <c r="AI59" s="40"/>
    </row>
    <row r="60" spans="1:82" ht="14.25" thickBot="1">
      <c r="C60" s="38"/>
      <c r="D60" s="38"/>
      <c r="E60" s="38"/>
      <c r="F60" s="32"/>
      <c r="G60" s="38"/>
      <c r="H60" s="38"/>
      <c r="I60" s="38"/>
      <c r="J60" s="32"/>
      <c r="K60" s="38"/>
      <c r="L60" s="38"/>
      <c r="M60" s="32"/>
      <c r="N60" s="25"/>
      <c r="O60" s="40"/>
      <c r="P60" s="40"/>
      <c r="Q60" s="40"/>
      <c r="S60" s="25"/>
      <c r="T60" s="40"/>
      <c r="U60" s="40"/>
      <c r="V60" s="40"/>
      <c r="W60" s="25"/>
      <c r="X60" s="40"/>
      <c r="Y60" s="40"/>
      <c r="Z60" s="40"/>
      <c r="AA60" s="40"/>
      <c r="AB60" s="40"/>
      <c r="AC60" s="40"/>
      <c r="AD60" s="40"/>
      <c r="AE60" s="40"/>
      <c r="AF60" s="40"/>
      <c r="AG60" s="40"/>
      <c r="AH60" s="40"/>
      <c r="AI60" s="40"/>
    </row>
    <row r="61" spans="1:82">
      <c r="C61" s="56"/>
      <c r="D61" s="76"/>
      <c r="E61" s="76"/>
      <c r="F61" s="653" t="s">
        <v>7</v>
      </c>
      <c r="G61" s="654"/>
      <c r="H61" s="654"/>
      <c r="I61" s="654"/>
      <c r="J61" s="655"/>
      <c r="K61" s="38"/>
      <c r="L61" s="38"/>
      <c r="M61" s="642" t="s">
        <v>13</v>
      </c>
      <c r="N61" s="643"/>
      <c r="O61" s="643"/>
      <c r="P61" s="643"/>
      <c r="Q61" s="644"/>
      <c r="S61" s="25"/>
      <c r="T61" s="40"/>
      <c r="U61" s="40"/>
      <c r="V61" s="40"/>
      <c r="W61" s="25"/>
      <c r="X61" s="40"/>
      <c r="Y61" s="40"/>
      <c r="Z61" s="40"/>
      <c r="AA61" s="40"/>
      <c r="AB61" s="40"/>
      <c r="AC61" s="40"/>
      <c r="AD61" s="40"/>
      <c r="AE61" s="40"/>
      <c r="AF61" s="40"/>
      <c r="AG61" s="40"/>
      <c r="AH61" s="40"/>
      <c r="AI61" s="40"/>
    </row>
    <row r="62" spans="1:82" ht="14.25" thickBot="1">
      <c r="C62" s="76"/>
      <c r="D62" s="76"/>
      <c r="E62" s="76"/>
      <c r="F62" s="656"/>
      <c r="G62" s="657"/>
      <c r="H62" s="657"/>
      <c r="I62" s="657"/>
      <c r="J62" s="658"/>
      <c r="K62" s="38"/>
      <c r="L62" s="38"/>
      <c r="M62" s="645"/>
      <c r="N62" s="646"/>
      <c r="O62" s="646"/>
      <c r="P62" s="646"/>
      <c r="Q62" s="647"/>
      <c r="S62" s="25"/>
      <c r="T62" s="40"/>
      <c r="U62" s="40"/>
      <c r="V62" s="40"/>
      <c r="W62" s="40"/>
      <c r="X62" s="40"/>
      <c r="Y62" s="40"/>
      <c r="Z62" s="40"/>
      <c r="AA62" s="40"/>
      <c r="AB62" s="40"/>
      <c r="AC62" s="40"/>
      <c r="AD62" s="40"/>
      <c r="AE62" s="40"/>
      <c r="AF62" s="40"/>
    </row>
    <row r="63" spans="1:82">
      <c r="C63" s="38"/>
      <c r="D63" s="38"/>
      <c r="E63" s="39"/>
      <c r="F63" s="25"/>
      <c r="G63" s="38"/>
      <c r="H63" s="38"/>
      <c r="I63" s="38"/>
      <c r="J63" s="25"/>
      <c r="K63" s="38"/>
      <c r="L63" s="38"/>
      <c r="M63" s="38"/>
      <c r="N63" s="32"/>
      <c r="O63" s="25"/>
      <c r="P63" s="40"/>
      <c r="Q63" s="40"/>
      <c r="R63" s="40"/>
      <c r="S63" s="25"/>
      <c r="T63" s="40"/>
      <c r="U63" s="40"/>
      <c r="V63" s="40"/>
      <c r="W63" s="40"/>
      <c r="X63" s="40"/>
      <c r="Y63" s="40"/>
      <c r="Z63" s="40"/>
      <c r="AA63" s="40"/>
      <c r="AB63" s="40"/>
    </row>
    <row r="64" spans="1:82">
      <c r="B64" s="14" t="s">
        <v>11</v>
      </c>
      <c r="C64" s="14"/>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row>
    <row r="65" spans="2:82">
      <c r="B65" s="14" t="s">
        <v>339</v>
      </c>
      <c r="D65" s="40"/>
      <c r="E65" s="40"/>
      <c r="F65" s="40"/>
      <c r="G65" s="40"/>
      <c r="H65" s="40"/>
      <c r="I65" s="40"/>
      <c r="J65" s="40"/>
      <c r="K65" s="40"/>
      <c r="L65" s="40"/>
      <c r="M65" s="40"/>
      <c r="N65" s="40"/>
      <c r="O65" s="40"/>
      <c r="P65" s="40"/>
      <c r="Q65" s="40"/>
      <c r="R65" s="40"/>
      <c r="S65" s="40"/>
      <c r="U65" s="40"/>
      <c r="V65" s="40"/>
      <c r="W65" s="40"/>
      <c r="X65" s="40"/>
      <c r="Y65" s="40"/>
      <c r="Z65" s="40"/>
      <c r="AA65" s="40"/>
      <c r="AB65" s="40"/>
      <c r="AC65" s="40"/>
      <c r="AD65" s="40"/>
      <c r="AE65" s="40"/>
      <c r="AF65" s="40"/>
      <c r="AG65" s="40"/>
      <c r="AH65" s="40"/>
      <c r="AI65" s="40"/>
    </row>
    <row r="66" spans="2:82">
      <c r="B66" s="14" t="s">
        <v>29</v>
      </c>
    </row>
    <row r="68" spans="2:82" s="22" customFormat="1" ht="14.25" thickBot="1">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row>
    <row r="69" spans="2:82" s="19" customFormat="1">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row>
  </sheetData>
  <sheetProtection algorithmName="SHA-512" hashValue="buhYPxGKYl/TeMYKxJeWFoSNDTdmzKHhDpPQPEM46qhQ9BnqNvqMFOm1OXtYFH1jiHLSjs10M988dZoKocBZKg==" saltValue="CHbmJerP8bXEGDeKyKYVTw==" spinCount="100000" sheet="1" formatCells="0" formatColumns="0" formatRows="0" insertColumns="0" insertRows="0" insertHyperlinks="0" deleteColumns="0" deleteRows="0" sort="0" autoFilter="0" pivotTables="0"/>
  <mergeCells count="38">
    <mergeCell ref="S40:W41"/>
    <mergeCell ref="C55:Q55"/>
    <mergeCell ref="F57:J57"/>
    <mergeCell ref="M57:Q58"/>
    <mergeCell ref="F58:J58"/>
    <mergeCell ref="C31:E33"/>
    <mergeCell ref="G31:I33"/>
    <mergeCell ref="K31:M33"/>
    <mergeCell ref="O31:Q31"/>
    <mergeCell ref="F61:J62"/>
    <mergeCell ref="M61:Q62"/>
    <mergeCell ref="G40:M41"/>
    <mergeCell ref="C8:E10"/>
    <mergeCell ref="S8:U8"/>
    <mergeCell ref="S9:U10"/>
    <mergeCell ref="G8:I10"/>
    <mergeCell ref="S32:U33"/>
    <mergeCell ref="C27:AH27"/>
    <mergeCell ref="C29:M29"/>
    <mergeCell ref="O29:U29"/>
    <mergeCell ref="W29:AC29"/>
    <mergeCell ref="AE29:AH29"/>
    <mergeCell ref="AA31:AC33"/>
    <mergeCell ref="O32:Q33"/>
    <mergeCell ref="G17:M18"/>
    <mergeCell ref="S17:W18"/>
    <mergeCell ref="S31:U31"/>
    <mergeCell ref="W31:Y33"/>
    <mergeCell ref="C4:AH4"/>
    <mergeCell ref="C6:M6"/>
    <mergeCell ref="O6:U6"/>
    <mergeCell ref="W6:AC6"/>
    <mergeCell ref="AE6:AH6"/>
    <mergeCell ref="AA8:AC10"/>
    <mergeCell ref="K8:M10"/>
    <mergeCell ref="O8:Q8"/>
    <mergeCell ref="O9:Q10"/>
    <mergeCell ref="W8:Y10"/>
  </mergeCells>
  <phoneticPr fontId="0" type="noConversion"/>
  <pageMargins left="0.74803149606299213" right="0.74803149606299213" top="0.98425196850393704" bottom="0.98425196850393704" header="0.51181102362204722" footer="0.51181102362204722"/>
  <pageSetup paperSize="9" orientation="landscape" r:id="rId1"/>
  <headerFooter alignWithMargins="0">
    <oddHeader>&amp;CDistribution</oddHeader>
    <oddFooter>&amp;L&amp;"StopD,Normal"&amp;26MSI&amp;"Arial,Normal"&amp;10 Reports
www.msi-reports.com&amp;RMarché de la Robinetterie Sanitaire en France
Novembre 2015</oddFooter>
  </headerFooter>
  <rowBreaks count="2" manualBreakCount="2">
    <brk id="23" max="16383" man="1"/>
    <brk id="5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6"/>
  <sheetViews>
    <sheetView zoomScaleNormal="100" workbookViewId="0">
      <selection activeCell="A2" sqref="A2"/>
    </sheetView>
  </sheetViews>
  <sheetFormatPr baseColWidth="10" defaultRowHeight="12.75"/>
  <cols>
    <col min="1" max="1" width="40" customWidth="1"/>
    <col min="2" max="2" width="14.140625" customWidth="1"/>
    <col min="3" max="256" width="9.140625" customWidth="1"/>
  </cols>
  <sheetData>
    <row r="2" spans="1:4" ht="13.5">
      <c r="A2" s="41" t="s">
        <v>397</v>
      </c>
      <c r="B2" s="8" t="s">
        <v>417</v>
      </c>
      <c r="C2" s="15"/>
    </row>
    <row r="3" spans="1:4" ht="14.25" thickBot="1">
      <c r="A3" s="16"/>
      <c r="B3" s="16"/>
      <c r="C3" s="16"/>
    </row>
    <row r="4" spans="1:4" s="218" customFormat="1" ht="13.5" thickBot="1">
      <c r="A4" s="145"/>
      <c r="B4" s="330" t="s">
        <v>148</v>
      </c>
    </row>
    <row r="5" spans="1:4" s="218" customFormat="1" ht="13.5">
      <c r="A5" s="209" t="s">
        <v>22</v>
      </c>
      <c r="B5" s="331">
        <v>0.16</v>
      </c>
    </row>
    <row r="6" spans="1:4" s="218" customFormat="1" ht="13.5">
      <c r="A6" s="189" t="s">
        <v>107</v>
      </c>
      <c r="B6" s="332">
        <v>0.12</v>
      </c>
    </row>
    <row r="7" spans="1:4" s="218" customFormat="1" ht="13.5">
      <c r="A7" s="189" t="s">
        <v>109</v>
      </c>
      <c r="B7" s="332">
        <v>0.1</v>
      </c>
    </row>
    <row r="8" spans="1:4" s="218" customFormat="1" ht="13.5">
      <c r="A8" s="189" t="s">
        <v>108</v>
      </c>
      <c r="B8" s="332">
        <v>0.06</v>
      </c>
    </row>
    <row r="9" spans="1:4" s="218" customFormat="1" ht="13.5">
      <c r="A9" s="189" t="s">
        <v>10</v>
      </c>
      <c r="B9" s="332">
        <v>0.05</v>
      </c>
    </row>
    <row r="10" spans="1:4" s="218" customFormat="1" ht="13.5">
      <c r="A10" s="189" t="s">
        <v>327</v>
      </c>
      <c r="B10" s="333" t="s">
        <v>328</v>
      </c>
    </row>
    <row r="11" spans="1:4" s="218" customFormat="1" ht="13.5">
      <c r="A11" s="189" t="s">
        <v>9</v>
      </c>
      <c r="B11" s="333" t="s">
        <v>328</v>
      </c>
    </row>
    <row r="12" spans="1:4" s="218" customFormat="1" ht="13.5">
      <c r="A12" s="189" t="s">
        <v>111</v>
      </c>
      <c r="B12" s="333" t="s">
        <v>329</v>
      </c>
    </row>
    <row r="13" spans="1:4" s="218" customFormat="1" ht="13.5">
      <c r="A13" s="189" t="s">
        <v>110</v>
      </c>
      <c r="B13" s="332">
        <v>0.03</v>
      </c>
    </row>
    <row r="14" spans="1:4" s="218" customFormat="1" ht="13.5">
      <c r="A14" s="189" t="s">
        <v>337</v>
      </c>
      <c r="B14" s="333" t="s">
        <v>330</v>
      </c>
    </row>
    <row r="15" spans="1:4" s="218" customFormat="1" ht="13.5">
      <c r="A15" s="189" t="s">
        <v>112</v>
      </c>
      <c r="B15" s="332">
        <v>0.02</v>
      </c>
    </row>
    <row r="16" spans="1:4" s="218" customFormat="1" ht="13.5">
      <c r="A16" s="189" t="s">
        <v>12</v>
      </c>
      <c r="B16" s="332">
        <v>0.02</v>
      </c>
      <c r="D16" s="334"/>
    </row>
    <row r="17" spans="1:3" s="218" customFormat="1" ht="13.5">
      <c r="A17" s="189" t="s">
        <v>23</v>
      </c>
      <c r="B17" s="333">
        <v>1.4999999999999999E-2</v>
      </c>
    </row>
    <row r="18" spans="1:3" s="218" customFormat="1" ht="13.5">
      <c r="A18" s="189" t="s">
        <v>119</v>
      </c>
      <c r="B18" s="333">
        <v>1.4999999999999999E-2</v>
      </c>
    </row>
    <row r="19" spans="1:3" s="218" customFormat="1" ht="13.5">
      <c r="A19" s="189" t="s">
        <v>143</v>
      </c>
      <c r="B19" s="332" t="s">
        <v>331</v>
      </c>
    </row>
    <row r="20" spans="1:3" s="218" customFormat="1" ht="13.5" thickBot="1">
      <c r="A20" s="214" t="s">
        <v>18</v>
      </c>
      <c r="B20" s="335">
        <v>1</v>
      </c>
    </row>
    <row r="21" spans="1:3" ht="13.5">
      <c r="A21" s="6" t="s">
        <v>142</v>
      </c>
      <c r="B21" s="31"/>
      <c r="C21" s="27"/>
    </row>
    <row r="22" spans="1:3" ht="13.5">
      <c r="A22" s="6" t="s">
        <v>418</v>
      </c>
      <c r="B22" s="31"/>
      <c r="C22" s="27"/>
    </row>
    <row r="23" spans="1:3" ht="13.5">
      <c r="A23" s="6" t="s">
        <v>0</v>
      </c>
      <c r="B23" s="31"/>
      <c r="C23" s="27"/>
    </row>
    <row r="24" spans="1:3" ht="13.5">
      <c r="A24" s="6" t="s">
        <v>29</v>
      </c>
      <c r="B24" s="27"/>
      <c r="C24" s="6"/>
    </row>
    <row r="26" spans="1:3" s="45" customFormat="1" ht="13.5" customHeight="1" thickBot="1"/>
  </sheetData>
  <sheetProtection algorithmName="SHA-512" hashValue="JO2kTUdSCRaBUO6aanT8gZFXicFjvym+Sa62U+F+p59fNI+6zoVMIRdmvi2Ov68wR80nfpjLlbIZqGX0oGqWuQ==" saltValue="06vlUO8rOfu+a66W0Z9eVQ==" spinCount="100000" sheet="1" formatCells="0" formatColumns="0" formatRows="0" insertColumns="0" insertRows="0" insertHyperlinks="0" deleteColumns="0" deleteRows="0" sort="0" autoFilter="0" pivotTables="0"/>
  <phoneticPr fontId="0" type="noConversion"/>
  <pageMargins left="0.74803149606299213" right="0.74803149606299213" top="0.98425196850393704" bottom="0.98425196850393704" header="0.51181102362204722" footer="0.51181102362204722"/>
  <pageSetup paperSize="9" scale="65" orientation="landscape" r:id="rId1"/>
  <headerFooter alignWithMargins="0">
    <oddHeader>&amp;CParts de Marché</oddHeader>
    <oddFooter>&amp;L&amp;"StopD,Normal"&amp;26MSI&amp;"Arial,Normal"&amp;10 Reports
www.msi-reports.com&amp;RMarché de la Robinetterie Sanitaire en France
Novembre 2015</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9"/>
  <sheetViews>
    <sheetView zoomScaleNormal="100" workbookViewId="0"/>
  </sheetViews>
  <sheetFormatPr baseColWidth="10" defaultRowHeight="12.75"/>
  <cols>
    <col min="1" max="1" width="19" customWidth="1"/>
    <col min="2" max="27" width="9.7109375" customWidth="1"/>
    <col min="28" max="256" width="9.140625" customWidth="1"/>
  </cols>
  <sheetData>
    <row r="1" spans="1:20" s="44" customFormat="1" ht="21.75" customHeight="1">
      <c r="A1" s="337" t="s">
        <v>51</v>
      </c>
      <c r="B1" s="338"/>
      <c r="C1" s="338"/>
      <c r="D1" s="338"/>
      <c r="E1" s="338"/>
      <c r="F1" s="338"/>
      <c r="G1" s="338"/>
      <c r="H1" s="338"/>
      <c r="I1" s="338"/>
      <c r="J1" s="338"/>
      <c r="K1" s="338"/>
      <c r="L1" s="338"/>
      <c r="M1" s="338"/>
      <c r="N1" s="338"/>
      <c r="O1" s="338"/>
      <c r="P1" s="338"/>
      <c r="Q1" s="338"/>
      <c r="R1" s="338"/>
      <c r="S1" s="338"/>
      <c r="T1" s="338"/>
    </row>
    <row r="2" spans="1:20" s="15" customFormat="1" ht="13.5" customHeight="1"/>
    <row r="3" spans="1:20" ht="13.5">
      <c r="A3" s="23" t="s">
        <v>398</v>
      </c>
      <c r="B3" s="8" t="s">
        <v>289</v>
      </c>
      <c r="C3" s="15"/>
      <c r="D3" s="15"/>
      <c r="E3" s="15"/>
      <c r="F3" s="15"/>
      <c r="G3" s="15"/>
      <c r="H3" s="15"/>
      <c r="I3" s="15"/>
    </row>
    <row r="4" spans="1:20" ht="14.25" thickBot="1">
      <c r="A4" s="15"/>
      <c r="B4" s="15"/>
      <c r="C4" s="15"/>
      <c r="D4" s="15"/>
      <c r="E4" s="15"/>
      <c r="F4" s="15"/>
      <c r="G4" s="15"/>
      <c r="H4" s="15"/>
      <c r="I4" s="15"/>
    </row>
    <row r="5" spans="1:20" s="218" customFormat="1" ht="14.25" thickBot="1">
      <c r="A5" s="125"/>
      <c r="B5" s="222">
        <v>2003</v>
      </c>
      <c r="C5" s="47">
        <v>2004</v>
      </c>
      <c r="D5" s="3">
        <v>2005</v>
      </c>
      <c r="E5" s="3">
        <v>2006</v>
      </c>
      <c r="F5" s="3">
        <v>2007</v>
      </c>
      <c r="G5" s="3">
        <v>2008</v>
      </c>
      <c r="H5" s="47">
        <v>2009</v>
      </c>
      <c r="I5" s="47">
        <v>2010</v>
      </c>
      <c r="J5" s="47">
        <v>2011</v>
      </c>
      <c r="K5" s="47">
        <v>2012</v>
      </c>
      <c r="L5" s="48">
        <v>2013</v>
      </c>
    </row>
    <row r="6" spans="1:20" s="218" customFormat="1" ht="13.5">
      <c r="A6" s="121" t="s">
        <v>46</v>
      </c>
      <c r="B6" s="102">
        <v>98941</v>
      </c>
      <c r="C6" s="92">
        <v>99020</v>
      </c>
      <c r="D6" s="92">
        <v>89707</v>
      </c>
      <c r="E6" s="52">
        <v>98200</v>
      </c>
      <c r="F6" s="52">
        <v>105100</v>
      </c>
      <c r="G6" s="52">
        <v>105400</v>
      </c>
      <c r="H6" s="52">
        <v>99000</v>
      </c>
      <c r="I6" s="51">
        <v>109852.3</v>
      </c>
      <c r="J6" s="51">
        <v>118607.4</v>
      </c>
      <c r="K6" s="49">
        <v>124120.8</v>
      </c>
      <c r="L6" s="50">
        <v>116219.1</v>
      </c>
    </row>
    <row r="7" spans="1:20" s="218" customFormat="1" ht="13.5">
      <c r="A7" s="129" t="s">
        <v>47</v>
      </c>
      <c r="B7" s="102">
        <v>4293</v>
      </c>
      <c r="C7" s="92">
        <v>2412</v>
      </c>
      <c r="D7" s="92">
        <v>634</v>
      </c>
      <c r="E7" s="92">
        <v>1100</v>
      </c>
      <c r="F7" s="52">
        <v>2300</v>
      </c>
      <c r="G7" s="51">
        <v>3000</v>
      </c>
      <c r="H7" s="51">
        <v>2400</v>
      </c>
      <c r="I7" s="51">
        <v>1491.1</v>
      </c>
      <c r="J7" s="51">
        <v>1604.7</v>
      </c>
      <c r="K7" s="51">
        <v>1943</v>
      </c>
      <c r="L7" s="53">
        <v>2309.6999999999998</v>
      </c>
    </row>
    <row r="8" spans="1:20" s="218" customFormat="1" ht="14.25" thickBot="1">
      <c r="A8" s="133" t="s">
        <v>45</v>
      </c>
      <c r="B8" s="226">
        <f t="shared" ref="B8:L8" si="0">B7/B6</f>
        <v>4.3389494749396101E-2</v>
      </c>
      <c r="C8" s="227">
        <f t="shared" si="0"/>
        <v>2.4358715411028076E-2</v>
      </c>
      <c r="D8" s="227">
        <f t="shared" si="0"/>
        <v>7.0674529300946412E-3</v>
      </c>
      <c r="E8" s="227">
        <f t="shared" si="0"/>
        <v>1.1201629327902239E-2</v>
      </c>
      <c r="F8" s="227">
        <f t="shared" si="0"/>
        <v>2.1883920076117985E-2</v>
      </c>
      <c r="G8" s="227">
        <f t="shared" si="0"/>
        <v>2.8462998102466792E-2</v>
      </c>
      <c r="H8" s="227">
        <f t="shared" si="0"/>
        <v>2.4242424242424242E-2</v>
      </c>
      <c r="I8" s="227">
        <f t="shared" si="0"/>
        <v>1.3573680296179506E-2</v>
      </c>
      <c r="J8" s="227">
        <f t="shared" si="0"/>
        <v>1.3529509963122032E-2</v>
      </c>
      <c r="K8" s="227">
        <f t="shared" si="0"/>
        <v>1.5654104710894547E-2</v>
      </c>
      <c r="L8" s="228">
        <f t="shared" si="0"/>
        <v>1.9873669646383423E-2</v>
      </c>
    </row>
    <row r="9" spans="1:20" ht="13.5">
      <c r="A9" s="6" t="s">
        <v>49</v>
      </c>
      <c r="B9" s="46"/>
      <c r="C9" s="46"/>
      <c r="D9" s="46"/>
      <c r="E9" s="46"/>
      <c r="F9" s="46"/>
      <c r="G9" s="46"/>
      <c r="H9" s="46"/>
      <c r="I9" s="27"/>
    </row>
    <row r="10" spans="1:20" ht="13.5">
      <c r="A10" s="6" t="s">
        <v>115</v>
      </c>
      <c r="B10" s="46"/>
      <c r="C10" s="46"/>
      <c r="D10" s="46"/>
      <c r="E10" s="46"/>
      <c r="F10" s="46"/>
      <c r="G10" s="46"/>
      <c r="H10" s="46"/>
      <c r="I10" s="15"/>
      <c r="K10" s="5"/>
    </row>
    <row r="11" spans="1:20" ht="13.5">
      <c r="A11" s="6" t="s">
        <v>116</v>
      </c>
      <c r="B11" s="46"/>
      <c r="C11" s="46"/>
      <c r="D11" s="46"/>
      <c r="E11" s="46"/>
      <c r="F11" s="46"/>
      <c r="G11" s="46"/>
      <c r="H11" s="46"/>
      <c r="I11" s="15"/>
    </row>
    <row r="12" spans="1:20" ht="13.5">
      <c r="A12" s="6" t="s">
        <v>114</v>
      </c>
      <c r="B12" s="46"/>
      <c r="C12" s="46"/>
      <c r="D12" s="46"/>
      <c r="E12" s="46"/>
      <c r="F12" s="46"/>
      <c r="G12" s="46"/>
      <c r="H12" s="46"/>
      <c r="I12" s="15"/>
    </row>
    <row r="13" spans="1:20" ht="14.25">
      <c r="B13" s="4"/>
      <c r="C13" s="4"/>
      <c r="D13" s="4"/>
      <c r="E13" s="4"/>
      <c r="F13" s="4"/>
      <c r="G13" s="4"/>
      <c r="H13" s="4"/>
      <c r="I13" s="4"/>
    </row>
    <row r="14" spans="1:20" s="45" customFormat="1" ht="13.5" customHeight="1" thickBot="1"/>
    <row r="15" spans="1:20" s="19" customFormat="1" ht="13.5">
      <c r="B15" s="15"/>
      <c r="C15" s="15"/>
      <c r="D15" s="15"/>
      <c r="E15" s="15"/>
      <c r="F15" s="15"/>
      <c r="G15" s="15"/>
      <c r="H15" s="15"/>
      <c r="I15" s="15"/>
    </row>
    <row r="16" spans="1:20" s="1" customFormat="1" ht="13.5" customHeight="1">
      <c r="A16" s="23" t="s">
        <v>399</v>
      </c>
      <c r="B16" s="8" t="s">
        <v>287</v>
      </c>
      <c r="C16" s="15"/>
      <c r="D16" s="15"/>
      <c r="E16" s="15"/>
      <c r="F16" s="15"/>
      <c r="G16" s="15"/>
      <c r="H16" s="15"/>
      <c r="I16" s="15"/>
      <c r="J16" s="15"/>
      <c r="K16" s="15"/>
      <c r="L16" s="15"/>
      <c r="M16" s="15"/>
      <c r="N16" s="15"/>
      <c r="O16" s="15"/>
      <c r="P16" s="15"/>
      <c r="Q16" s="15"/>
    </row>
    <row r="17" spans="1:17" s="1" customFormat="1" ht="13.5" customHeight="1" thickBot="1">
      <c r="A17" s="15"/>
      <c r="B17" s="15"/>
      <c r="C17" s="15"/>
      <c r="D17" s="15"/>
      <c r="E17" s="15"/>
      <c r="F17" s="15"/>
      <c r="G17" s="15"/>
      <c r="H17" s="15"/>
      <c r="I17" s="15"/>
      <c r="J17" s="15"/>
      <c r="K17" s="15"/>
      <c r="L17" s="15"/>
      <c r="M17" s="15"/>
      <c r="N17" s="15"/>
      <c r="O17" s="15"/>
      <c r="P17" s="15"/>
      <c r="Q17" s="15"/>
    </row>
    <row r="18" spans="1:17" s="218" customFormat="1" ht="13.5" customHeight="1" thickBot="1">
      <c r="A18" s="125"/>
      <c r="B18" s="223">
        <v>2003</v>
      </c>
      <c r="C18" s="224">
        <v>2004</v>
      </c>
      <c r="D18" s="140">
        <v>2005</v>
      </c>
      <c r="E18" s="140">
        <v>2006</v>
      </c>
      <c r="F18" s="224">
        <v>2007</v>
      </c>
      <c r="G18" s="140">
        <v>2008</v>
      </c>
      <c r="H18" s="224">
        <v>2009</v>
      </c>
      <c r="I18" s="224">
        <v>2010</v>
      </c>
      <c r="J18" s="224">
        <v>2011</v>
      </c>
      <c r="K18" s="224">
        <v>2012</v>
      </c>
      <c r="L18" s="225">
        <v>2013</v>
      </c>
      <c r="M18" s="125"/>
      <c r="N18" s="125"/>
      <c r="O18" s="125"/>
      <c r="P18" s="125"/>
      <c r="Q18" s="125"/>
    </row>
    <row r="19" spans="1:17" s="218" customFormat="1" ht="13.5" customHeight="1">
      <c r="A19" s="121" t="s">
        <v>46</v>
      </c>
      <c r="B19" s="329">
        <v>137037</v>
      </c>
      <c r="C19" s="290">
        <v>143075</v>
      </c>
      <c r="D19" s="290">
        <v>151567</v>
      </c>
      <c r="E19" s="290">
        <v>106511</v>
      </c>
      <c r="F19" s="290">
        <v>107174</v>
      </c>
      <c r="G19" s="49">
        <v>101200</v>
      </c>
      <c r="H19" s="49">
        <v>79300</v>
      </c>
      <c r="I19" s="49">
        <v>77884.399999999994</v>
      </c>
      <c r="J19" s="49">
        <v>85657.1</v>
      </c>
      <c r="K19" s="49">
        <v>88394.5</v>
      </c>
      <c r="L19" s="50">
        <v>89717.2</v>
      </c>
      <c r="M19" s="108"/>
      <c r="N19" s="108"/>
      <c r="O19" s="125"/>
      <c r="P19" s="125"/>
      <c r="Q19" s="125"/>
    </row>
    <row r="20" spans="1:17" s="218" customFormat="1" ht="13.5" customHeight="1">
      <c r="A20" s="129" t="s">
        <v>113</v>
      </c>
      <c r="B20" s="91" t="s">
        <v>20</v>
      </c>
      <c r="C20" s="52">
        <v>45900</v>
      </c>
      <c r="D20" s="52">
        <v>57100</v>
      </c>
      <c r="E20" s="52">
        <v>10500</v>
      </c>
      <c r="F20" s="52">
        <v>6800</v>
      </c>
      <c r="G20" s="51">
        <v>7500</v>
      </c>
      <c r="H20" s="51">
        <v>4400</v>
      </c>
      <c r="I20" s="51">
        <v>8895.7000000000007</v>
      </c>
      <c r="J20" s="51">
        <v>6631.6</v>
      </c>
      <c r="K20" s="51">
        <v>7272.5</v>
      </c>
      <c r="L20" s="53">
        <v>9596.7999999999993</v>
      </c>
      <c r="M20" s="108"/>
      <c r="N20" s="108"/>
      <c r="O20" s="125"/>
      <c r="P20" s="125"/>
      <c r="Q20" s="125"/>
    </row>
    <row r="21" spans="1:17" s="218" customFormat="1" ht="13.5" customHeight="1">
      <c r="A21" s="129" t="s">
        <v>47</v>
      </c>
      <c r="B21" s="91">
        <v>-8048</v>
      </c>
      <c r="C21" s="52">
        <v>-2555</v>
      </c>
      <c r="D21" s="52">
        <v>5177</v>
      </c>
      <c r="E21" s="52">
        <v>-1872</v>
      </c>
      <c r="F21" s="51">
        <v>800</v>
      </c>
      <c r="G21" s="51">
        <v>6000</v>
      </c>
      <c r="H21" s="51">
        <v>2200</v>
      </c>
      <c r="I21" s="51">
        <v>-1334.5</v>
      </c>
      <c r="J21" s="51">
        <v>251.8</v>
      </c>
      <c r="K21" s="51">
        <v>932</v>
      </c>
      <c r="L21" s="53">
        <v>698.6</v>
      </c>
      <c r="M21" s="108"/>
      <c r="N21" s="108"/>
      <c r="O21" s="125"/>
      <c r="P21" s="125"/>
      <c r="Q21" s="125"/>
    </row>
    <row r="22" spans="1:17" s="218" customFormat="1" ht="13.5" customHeight="1" thickBot="1">
      <c r="A22" s="133" t="s">
        <v>45</v>
      </c>
      <c r="B22" s="137">
        <f t="shared" ref="B22:L22" si="1">B21/B19</f>
        <v>-5.872866452126068E-2</v>
      </c>
      <c r="C22" s="138">
        <f t="shared" si="1"/>
        <v>-1.7857766905469159E-2</v>
      </c>
      <c r="D22" s="138">
        <f t="shared" si="1"/>
        <v>3.4156511641716202E-2</v>
      </c>
      <c r="E22" s="138">
        <f t="shared" si="1"/>
        <v>-1.7575649463435702E-2</v>
      </c>
      <c r="F22" s="138">
        <f t="shared" si="1"/>
        <v>7.4644969862093418E-3</v>
      </c>
      <c r="G22" s="138">
        <f t="shared" si="1"/>
        <v>5.9288537549407112E-2</v>
      </c>
      <c r="H22" s="138">
        <f t="shared" si="1"/>
        <v>2.7742749054224466E-2</v>
      </c>
      <c r="I22" s="138">
        <f t="shared" si="1"/>
        <v>-1.7134368371586609E-2</v>
      </c>
      <c r="J22" s="138">
        <f t="shared" si="1"/>
        <v>2.9396278884062151E-3</v>
      </c>
      <c r="K22" s="138">
        <f t="shared" si="1"/>
        <v>1.0543642421191364E-2</v>
      </c>
      <c r="L22" s="139">
        <f t="shared" si="1"/>
        <v>7.7866897317348293E-3</v>
      </c>
      <c r="M22" s="108"/>
      <c r="N22" s="108"/>
      <c r="O22" s="125"/>
      <c r="P22" s="125"/>
      <c r="Q22" s="125"/>
    </row>
    <row r="23" spans="1:17" s="1" customFormat="1" ht="13.5" customHeight="1">
      <c r="A23" s="6" t="s">
        <v>49</v>
      </c>
      <c r="B23" s="6"/>
      <c r="C23" s="6"/>
      <c r="D23" s="6"/>
      <c r="E23" s="6"/>
      <c r="F23" s="6"/>
      <c r="G23" s="6"/>
      <c r="H23" s="6"/>
      <c r="I23" s="27"/>
      <c r="J23" s="15"/>
      <c r="K23" s="15"/>
      <c r="L23" s="15"/>
      <c r="M23" s="15"/>
      <c r="N23" s="15"/>
      <c r="O23" s="15"/>
      <c r="P23" s="15"/>
      <c r="Q23" s="15"/>
    </row>
    <row r="24" spans="1:17" s="1" customFormat="1" ht="13.5" customHeight="1">
      <c r="A24" s="6" t="s">
        <v>48</v>
      </c>
      <c r="B24" s="6"/>
      <c r="C24" s="6"/>
      <c r="D24" s="6"/>
      <c r="E24" s="6"/>
      <c r="F24" s="6"/>
      <c r="G24" s="6"/>
      <c r="H24" s="6"/>
      <c r="I24" s="15"/>
      <c r="J24" s="15"/>
      <c r="K24" s="15"/>
      <c r="L24" s="15"/>
      <c r="M24" s="15"/>
      <c r="N24" s="15"/>
      <c r="O24" s="15"/>
      <c r="P24" s="15"/>
      <c r="Q24" s="15"/>
    </row>
    <row r="25" spans="1:17" s="1" customFormat="1" ht="13.5" customHeight="1">
      <c r="A25" s="6" t="s">
        <v>114</v>
      </c>
      <c r="B25" s="30"/>
      <c r="C25" s="30"/>
      <c r="D25" s="30"/>
      <c r="E25" s="30"/>
      <c r="F25" s="30"/>
      <c r="G25" s="30"/>
      <c r="H25" s="30"/>
      <c r="I25" s="15"/>
      <c r="J25" s="15"/>
      <c r="K25" s="15"/>
      <c r="L25" s="15"/>
      <c r="M25" s="15"/>
      <c r="N25" s="15"/>
      <c r="O25" s="15"/>
      <c r="P25" s="15"/>
      <c r="Q25" s="15"/>
    </row>
    <row r="26" spans="1:17" s="1" customFormat="1" ht="13.5" customHeight="1">
      <c r="A26" s="6"/>
      <c r="B26" s="6"/>
      <c r="C26" s="6"/>
      <c r="D26" s="6"/>
      <c r="E26" s="6"/>
      <c r="F26" s="6"/>
      <c r="G26" s="15"/>
      <c r="H26" s="15"/>
      <c r="I26" s="15"/>
      <c r="J26" s="15"/>
      <c r="K26" s="15"/>
      <c r="L26" s="15"/>
      <c r="M26" s="15"/>
      <c r="N26" s="15"/>
      <c r="O26" s="15"/>
      <c r="P26" s="15"/>
      <c r="Q26" s="15"/>
    </row>
    <row r="27" spans="1:17" s="45" customFormat="1" ht="13.5" customHeight="1" thickBot="1"/>
    <row r="28" spans="1:17" s="15" customFormat="1" ht="13.5" customHeight="1"/>
    <row r="29" spans="1:17" s="1" customFormat="1" ht="13.5" customHeight="1">
      <c r="A29" s="23" t="s">
        <v>400</v>
      </c>
      <c r="B29" s="8" t="s">
        <v>288</v>
      </c>
      <c r="C29" s="15"/>
      <c r="D29" s="15"/>
      <c r="E29" s="15"/>
      <c r="F29" s="15"/>
      <c r="G29" s="15"/>
      <c r="H29" s="15"/>
      <c r="I29" s="15"/>
      <c r="J29" s="15"/>
      <c r="K29" s="15"/>
      <c r="L29" s="15"/>
      <c r="M29" s="15"/>
      <c r="N29" s="15"/>
      <c r="O29" s="15"/>
      <c r="P29" s="15"/>
      <c r="Q29" s="15"/>
    </row>
    <row r="30" spans="1:17" s="1" customFormat="1" ht="13.5" customHeight="1" thickBot="1">
      <c r="A30" s="15"/>
      <c r="B30" s="15"/>
      <c r="C30" s="15"/>
      <c r="D30" s="15"/>
      <c r="E30" s="15"/>
      <c r="F30" s="15"/>
      <c r="G30" s="15"/>
      <c r="H30" s="15"/>
      <c r="I30" s="15"/>
      <c r="J30" s="15"/>
      <c r="K30" s="15"/>
      <c r="L30" s="15"/>
      <c r="M30" s="15"/>
      <c r="N30" s="15"/>
      <c r="O30" s="15"/>
      <c r="P30" s="15"/>
      <c r="Q30" s="15"/>
    </row>
    <row r="31" spans="1:17" s="218" customFormat="1" ht="13.5" customHeight="1" thickBot="1">
      <c r="A31" s="125"/>
      <c r="B31" s="222">
        <v>2003</v>
      </c>
      <c r="C31" s="47">
        <v>2004</v>
      </c>
      <c r="D31" s="3">
        <v>2005</v>
      </c>
      <c r="E31" s="3">
        <v>2006</v>
      </c>
      <c r="F31" s="3">
        <v>2007</v>
      </c>
      <c r="G31" s="3">
        <v>2008</v>
      </c>
      <c r="H31" s="47">
        <v>2009</v>
      </c>
      <c r="I31" s="47">
        <v>2010</v>
      </c>
      <c r="J31" s="224">
        <v>2011</v>
      </c>
      <c r="K31" s="224">
        <v>2012</v>
      </c>
      <c r="L31" s="225">
        <v>2013</v>
      </c>
      <c r="M31" s="125"/>
      <c r="N31" s="125"/>
      <c r="O31" s="125"/>
      <c r="P31" s="125"/>
      <c r="Q31" s="125"/>
    </row>
    <row r="32" spans="1:17" s="218" customFormat="1" ht="13.5" customHeight="1">
      <c r="A32" s="121" t="s">
        <v>46</v>
      </c>
      <c r="B32" s="102">
        <v>140895</v>
      </c>
      <c r="C32" s="92">
        <v>138827</v>
      </c>
      <c r="D32" s="92">
        <v>131787</v>
      </c>
      <c r="E32" s="92">
        <v>142586</v>
      </c>
      <c r="F32" s="52" t="s">
        <v>20</v>
      </c>
      <c r="G32" s="51">
        <v>148500</v>
      </c>
      <c r="H32" s="51">
        <v>128000</v>
      </c>
      <c r="I32" s="51">
        <v>134722.29999999999</v>
      </c>
      <c r="J32" s="49">
        <v>146880.70000000001</v>
      </c>
      <c r="K32" s="49">
        <v>163382.20000000001</v>
      </c>
      <c r="L32" s="50">
        <v>155841.9</v>
      </c>
      <c r="M32" s="125"/>
      <c r="N32" s="125"/>
      <c r="O32" s="125"/>
      <c r="P32" s="125"/>
      <c r="Q32" s="125"/>
    </row>
    <row r="33" spans="1:17" s="218" customFormat="1" ht="13.5" customHeight="1">
      <c r="A33" s="129" t="s">
        <v>113</v>
      </c>
      <c r="B33" s="102" t="s">
        <v>20</v>
      </c>
      <c r="C33" s="92">
        <v>0</v>
      </c>
      <c r="D33" s="92">
        <v>47400</v>
      </c>
      <c r="E33" s="92">
        <v>0</v>
      </c>
      <c r="F33" s="52" t="s">
        <v>20</v>
      </c>
      <c r="G33" s="51">
        <v>64100</v>
      </c>
      <c r="H33" s="51">
        <v>0</v>
      </c>
      <c r="I33" s="51">
        <v>0</v>
      </c>
      <c r="J33" s="51">
        <v>0</v>
      </c>
      <c r="K33" s="51">
        <v>0</v>
      </c>
      <c r="L33" s="53">
        <v>0</v>
      </c>
      <c r="M33" s="125"/>
      <c r="N33" s="125"/>
      <c r="O33" s="125"/>
      <c r="P33" s="125"/>
      <c r="Q33" s="125"/>
    </row>
    <row r="34" spans="1:17" s="218" customFormat="1" ht="13.5" customHeight="1">
      <c r="A34" s="129" t="s">
        <v>47</v>
      </c>
      <c r="B34" s="102">
        <v>-5932</v>
      </c>
      <c r="C34" s="92">
        <v>-11101</v>
      </c>
      <c r="D34" s="92">
        <v>-22467</v>
      </c>
      <c r="E34" s="92">
        <v>-30775</v>
      </c>
      <c r="F34" s="52" t="s">
        <v>20</v>
      </c>
      <c r="G34" s="51">
        <v>-25200</v>
      </c>
      <c r="H34" s="51">
        <v>-28200</v>
      </c>
      <c r="I34" s="51">
        <v>-45984</v>
      </c>
      <c r="J34" s="51">
        <v>42540.9</v>
      </c>
      <c r="K34" s="51">
        <v>-9741.4</v>
      </c>
      <c r="L34" s="53">
        <v>-11865.2</v>
      </c>
      <c r="M34" s="125"/>
      <c r="N34" s="125"/>
      <c r="O34" s="125"/>
      <c r="P34" s="125"/>
      <c r="Q34" s="125"/>
    </row>
    <row r="35" spans="1:17" s="218" customFormat="1" ht="13.5" customHeight="1" thickBot="1">
      <c r="A35" s="133" t="s">
        <v>45</v>
      </c>
      <c r="B35" s="226">
        <f>B34/B32</f>
        <v>-4.2102274743603389E-2</v>
      </c>
      <c r="C35" s="227">
        <f t="shared" ref="C35:L35" si="2">C34/C32</f>
        <v>-7.9962831437688633E-2</v>
      </c>
      <c r="D35" s="227">
        <f t="shared" si="2"/>
        <v>-0.17047963759703158</v>
      </c>
      <c r="E35" s="227">
        <f t="shared" si="2"/>
        <v>-0.21583465417362152</v>
      </c>
      <c r="F35" s="227" t="s">
        <v>20</v>
      </c>
      <c r="G35" s="227">
        <f t="shared" si="2"/>
        <v>-0.16969696969696971</v>
      </c>
      <c r="H35" s="227">
        <f t="shared" si="2"/>
        <v>-0.22031249999999999</v>
      </c>
      <c r="I35" s="227">
        <f t="shared" si="2"/>
        <v>-0.34132433902924758</v>
      </c>
      <c r="J35" s="138">
        <f t="shared" si="2"/>
        <v>0.28962893014534924</v>
      </c>
      <c r="K35" s="138">
        <f t="shared" si="2"/>
        <v>-5.9623386146104039E-2</v>
      </c>
      <c r="L35" s="139">
        <f t="shared" si="2"/>
        <v>-7.6136135403893315E-2</v>
      </c>
      <c r="M35" s="125"/>
      <c r="N35" s="125"/>
      <c r="O35" s="125"/>
      <c r="P35" s="125"/>
      <c r="Q35" s="125"/>
    </row>
    <row r="36" spans="1:17" s="1" customFormat="1" ht="13.5" customHeight="1">
      <c r="A36" s="6" t="s">
        <v>49</v>
      </c>
      <c r="B36" s="46"/>
      <c r="C36" s="46"/>
      <c r="D36" s="46"/>
      <c r="E36" s="46"/>
      <c r="F36" s="46"/>
      <c r="G36" s="46"/>
      <c r="H36" s="46"/>
      <c r="I36" s="27"/>
      <c r="J36" s="15"/>
      <c r="K36" s="15"/>
      <c r="L36" s="15"/>
      <c r="M36" s="15"/>
      <c r="N36" s="15"/>
      <c r="O36" s="15"/>
      <c r="P36" s="15"/>
      <c r="Q36" s="15"/>
    </row>
    <row r="37" spans="1:17" s="1" customFormat="1" ht="13.5" customHeight="1">
      <c r="A37" s="6" t="s">
        <v>48</v>
      </c>
      <c r="B37" s="46"/>
      <c r="C37" s="46"/>
      <c r="D37" s="46"/>
      <c r="E37" s="46"/>
      <c r="F37" s="46"/>
      <c r="G37" s="46"/>
      <c r="H37" s="46"/>
      <c r="I37" s="15"/>
      <c r="J37" s="15"/>
      <c r="K37" s="15"/>
      <c r="L37" s="15"/>
      <c r="M37" s="15"/>
      <c r="N37" s="15"/>
      <c r="O37" s="15"/>
      <c r="P37" s="15"/>
      <c r="Q37" s="15"/>
    </row>
    <row r="38" spans="1:17" s="1" customFormat="1" ht="13.5" customHeight="1">
      <c r="A38" s="6" t="s">
        <v>114</v>
      </c>
      <c r="B38" s="46"/>
      <c r="C38" s="46"/>
      <c r="D38" s="46"/>
      <c r="E38" s="46"/>
      <c r="F38" s="46"/>
      <c r="G38" s="46"/>
      <c r="H38" s="46"/>
      <c r="I38" s="15"/>
      <c r="J38" s="15"/>
      <c r="K38" s="15"/>
      <c r="L38" s="15"/>
      <c r="M38" s="15"/>
      <c r="N38" s="15"/>
      <c r="O38" s="15"/>
      <c r="P38" s="15"/>
      <c r="Q38" s="15"/>
    </row>
    <row r="39" spans="1:17" s="1" customFormat="1" ht="13.5" customHeight="1">
      <c r="A39" s="6"/>
      <c r="B39" s="46"/>
      <c r="C39" s="46"/>
      <c r="D39" s="46"/>
      <c r="E39" s="46"/>
      <c r="F39" s="46"/>
      <c r="G39" s="46"/>
      <c r="H39" s="46"/>
      <c r="I39" s="15"/>
      <c r="J39" s="15"/>
      <c r="K39" s="15"/>
      <c r="L39" s="15"/>
      <c r="M39" s="15"/>
      <c r="N39" s="15"/>
      <c r="O39" s="15"/>
      <c r="P39" s="15"/>
      <c r="Q39" s="15"/>
    </row>
    <row r="40" spans="1:17" s="45" customFormat="1" ht="13.5" customHeight="1" thickBot="1"/>
    <row r="41" spans="1:17" s="19" customFormat="1" ht="13.5">
      <c r="B41" s="15"/>
      <c r="C41" s="15"/>
      <c r="D41" s="15"/>
      <c r="E41" s="15"/>
      <c r="F41" s="15"/>
      <c r="G41" s="15"/>
      <c r="H41" s="15"/>
      <c r="I41" s="15"/>
    </row>
    <row r="42" spans="1:17" s="19" customFormat="1" ht="13.5">
      <c r="A42" s="23" t="s">
        <v>401</v>
      </c>
      <c r="B42" s="8" t="s">
        <v>334</v>
      </c>
      <c r="C42" s="15"/>
      <c r="D42" s="15"/>
      <c r="E42" s="15"/>
      <c r="F42" s="15"/>
      <c r="G42" s="15"/>
      <c r="H42" s="15"/>
      <c r="I42" s="15"/>
    </row>
    <row r="43" spans="1:17" s="19" customFormat="1" ht="14.25" thickBot="1">
      <c r="A43" s="15"/>
      <c r="B43" s="15"/>
      <c r="C43" s="15"/>
      <c r="D43" s="15"/>
      <c r="E43" s="15"/>
      <c r="F43" s="15"/>
      <c r="G43" s="15"/>
      <c r="H43" s="15"/>
      <c r="I43" s="15"/>
    </row>
    <row r="44" spans="1:17" s="162" customFormat="1" ht="14.25" thickBot="1">
      <c r="A44" s="125"/>
      <c r="B44" s="222">
        <v>2003</v>
      </c>
      <c r="C44" s="47">
        <v>2004</v>
      </c>
      <c r="D44" s="3">
        <v>2005</v>
      </c>
      <c r="E44" s="3">
        <v>2006</v>
      </c>
      <c r="F44" s="3">
        <v>2007</v>
      </c>
      <c r="G44" s="3">
        <v>2008</v>
      </c>
      <c r="H44" s="47">
        <v>2009</v>
      </c>
      <c r="I44" s="47">
        <v>2010</v>
      </c>
      <c r="J44" s="224">
        <v>2011</v>
      </c>
      <c r="K44" s="224">
        <v>2012</v>
      </c>
      <c r="L44" s="225">
        <v>2013</v>
      </c>
    </row>
    <row r="45" spans="1:17" s="162" customFormat="1" ht="13.5">
      <c r="A45" s="121" t="s">
        <v>46</v>
      </c>
      <c r="B45" s="102">
        <v>54105</v>
      </c>
      <c r="C45" s="92">
        <v>60833</v>
      </c>
      <c r="D45" s="92">
        <v>56605</v>
      </c>
      <c r="E45" s="92">
        <v>58418</v>
      </c>
      <c r="F45" s="52">
        <v>57794</v>
      </c>
      <c r="G45" s="51">
        <v>60967</v>
      </c>
      <c r="H45" s="51">
        <v>54920</v>
      </c>
      <c r="I45" s="51">
        <v>49475</v>
      </c>
      <c r="J45" s="49">
        <v>47573.3</v>
      </c>
      <c r="K45" s="49">
        <v>49746.400000000001</v>
      </c>
      <c r="L45" s="50">
        <v>49698</v>
      </c>
    </row>
    <row r="46" spans="1:17" s="162" customFormat="1" ht="13.5">
      <c r="A46" s="129" t="s">
        <v>113</v>
      </c>
      <c r="B46" s="102" t="s">
        <v>20</v>
      </c>
      <c r="C46" s="92">
        <v>5350</v>
      </c>
      <c r="D46" s="92">
        <v>5030</v>
      </c>
      <c r="E46" s="92">
        <v>4480</v>
      </c>
      <c r="F46" s="52">
        <v>4020</v>
      </c>
      <c r="G46" s="51">
        <v>3400</v>
      </c>
      <c r="H46" s="51">
        <v>3170</v>
      </c>
      <c r="I46" s="51">
        <v>2690.9</v>
      </c>
      <c r="J46" s="51">
        <v>0</v>
      </c>
      <c r="K46" s="51">
        <v>2649.3</v>
      </c>
      <c r="L46" s="53">
        <v>2786.8</v>
      </c>
    </row>
    <row r="47" spans="1:17" s="162" customFormat="1" ht="13.5">
      <c r="A47" s="129" t="s">
        <v>47</v>
      </c>
      <c r="B47" s="102">
        <v>-624</v>
      </c>
      <c r="C47" s="92">
        <v>349</v>
      </c>
      <c r="D47" s="92">
        <v>807</v>
      </c>
      <c r="E47" s="92">
        <v>-392</v>
      </c>
      <c r="F47" s="52">
        <v>-1125</v>
      </c>
      <c r="G47" s="51">
        <v>-407</v>
      </c>
      <c r="H47" s="51">
        <v>-1380</v>
      </c>
      <c r="I47" s="51">
        <v>-8315.7000000000007</v>
      </c>
      <c r="J47" s="51">
        <v>-730.9</v>
      </c>
      <c r="K47" s="51">
        <v>-1864.7</v>
      </c>
      <c r="L47" s="53">
        <v>-955.6</v>
      </c>
    </row>
    <row r="48" spans="1:17" s="162" customFormat="1" ht="14.25" thickBot="1">
      <c r="A48" s="133" t="s">
        <v>45</v>
      </c>
      <c r="B48" s="226">
        <f t="shared" ref="B48:L48" si="3">B47/B45</f>
        <v>-1.1533130024951483E-2</v>
      </c>
      <c r="C48" s="227">
        <f t="shared" si="3"/>
        <v>5.7370177370834911E-3</v>
      </c>
      <c r="D48" s="227">
        <f t="shared" si="3"/>
        <v>1.4256691105026057E-2</v>
      </c>
      <c r="E48" s="227">
        <f t="shared" si="3"/>
        <v>-6.7102605361361225E-3</v>
      </c>
      <c r="F48" s="227">
        <f t="shared" si="3"/>
        <v>-1.9465688479772987E-2</v>
      </c>
      <c r="G48" s="227">
        <f t="shared" si="3"/>
        <v>-6.6757426148572182E-3</v>
      </c>
      <c r="H48" s="227">
        <f t="shared" si="3"/>
        <v>-2.5127458120903133E-2</v>
      </c>
      <c r="I48" s="227">
        <f t="shared" si="3"/>
        <v>-0.16807882769075291</v>
      </c>
      <c r="J48" s="138">
        <f t="shared" si="3"/>
        <v>-1.536365986803522E-2</v>
      </c>
      <c r="K48" s="138">
        <f>K47/K45</f>
        <v>-3.7484119453870028E-2</v>
      </c>
      <c r="L48" s="139">
        <f t="shared" si="3"/>
        <v>-1.9228137953237554E-2</v>
      </c>
    </row>
    <row r="49" spans="1:20" s="19" customFormat="1" ht="13.5">
      <c r="A49" s="6" t="s">
        <v>49</v>
      </c>
      <c r="B49" s="46"/>
      <c r="C49" s="46"/>
      <c r="D49" s="46"/>
      <c r="E49" s="46"/>
      <c r="F49" s="46"/>
      <c r="G49" s="46"/>
      <c r="H49" s="46"/>
      <c r="I49" s="27"/>
    </row>
    <row r="50" spans="1:20" s="19" customFormat="1" ht="13.5">
      <c r="A50" s="6" t="s">
        <v>48</v>
      </c>
      <c r="B50" s="46"/>
      <c r="C50" s="46"/>
      <c r="D50" s="46"/>
      <c r="E50" s="46"/>
      <c r="F50" s="46"/>
      <c r="G50" s="46"/>
      <c r="H50" s="46"/>
      <c r="I50" s="15"/>
    </row>
    <row r="51" spans="1:20" s="19" customFormat="1" ht="13.5">
      <c r="A51" s="6" t="s">
        <v>114</v>
      </c>
      <c r="B51" s="46"/>
      <c r="C51" s="46"/>
      <c r="D51" s="46"/>
      <c r="E51" s="46"/>
      <c r="F51" s="46"/>
      <c r="G51" s="46"/>
      <c r="H51" s="46"/>
      <c r="I51" s="15"/>
    </row>
    <row r="52" spans="1:20" ht="14.25">
      <c r="B52" s="4"/>
      <c r="C52" s="4"/>
      <c r="D52" s="4"/>
      <c r="E52" s="4"/>
      <c r="F52" s="4"/>
      <c r="G52" s="4"/>
      <c r="H52" s="4"/>
      <c r="I52" s="4"/>
    </row>
    <row r="53" spans="1:20" ht="14.25">
      <c r="B53" s="4"/>
      <c r="C53" s="4"/>
      <c r="D53" s="4"/>
      <c r="E53" s="4"/>
      <c r="F53" s="4"/>
      <c r="G53" s="4"/>
      <c r="H53" s="4"/>
      <c r="I53" s="4"/>
    </row>
    <row r="54" spans="1:20" s="44" customFormat="1" ht="21.75" customHeight="1">
      <c r="A54" s="337" t="s">
        <v>335</v>
      </c>
      <c r="B54" s="338"/>
      <c r="C54" s="338"/>
      <c r="D54" s="338"/>
      <c r="E54" s="338"/>
      <c r="F54" s="338"/>
      <c r="G54" s="338"/>
      <c r="H54" s="338"/>
      <c r="I54" s="338"/>
      <c r="J54" s="338"/>
      <c r="K54" s="338"/>
      <c r="L54" s="338"/>
      <c r="M54" s="338"/>
      <c r="N54" s="338"/>
      <c r="O54" s="338"/>
      <c r="P54" s="338"/>
      <c r="Q54" s="338"/>
      <c r="R54" s="338"/>
      <c r="S54" s="338"/>
      <c r="T54" s="338"/>
    </row>
    <row r="55" spans="1:20" ht="14.25">
      <c r="B55" s="4"/>
      <c r="C55" s="4"/>
      <c r="D55" s="4"/>
      <c r="E55" s="4"/>
      <c r="F55" s="4"/>
      <c r="G55" s="4"/>
      <c r="H55" s="4"/>
      <c r="I55" s="4"/>
    </row>
    <row r="56" spans="1:20" ht="13.5">
      <c r="A56" s="23" t="s">
        <v>402</v>
      </c>
      <c r="B56" s="8" t="s">
        <v>290</v>
      </c>
      <c r="C56" s="15"/>
      <c r="D56" s="15"/>
      <c r="E56" s="15"/>
      <c r="F56" s="15"/>
      <c r="G56" s="15"/>
      <c r="H56" s="15"/>
      <c r="I56" s="15"/>
    </row>
    <row r="57" spans="1:20" ht="14.25" thickBot="1">
      <c r="A57" s="15"/>
      <c r="B57" s="15"/>
      <c r="C57" s="15"/>
      <c r="D57" s="15"/>
      <c r="E57" s="15"/>
      <c r="F57" s="15"/>
      <c r="G57" s="15"/>
      <c r="H57" s="15"/>
      <c r="I57" s="15"/>
    </row>
    <row r="58" spans="1:20" s="218" customFormat="1" ht="14.25" thickBot="1">
      <c r="A58" s="125"/>
      <c r="B58" s="222">
        <v>2003</v>
      </c>
      <c r="C58" s="47">
        <v>2004</v>
      </c>
      <c r="D58" s="3">
        <v>2005</v>
      </c>
      <c r="E58" s="3">
        <v>2006</v>
      </c>
      <c r="F58" s="3">
        <v>2007</v>
      </c>
      <c r="G58" s="3">
        <v>2008</v>
      </c>
      <c r="H58" s="47">
        <v>2009</v>
      </c>
      <c r="I58" s="47">
        <v>2010</v>
      </c>
      <c r="J58" s="47">
        <v>2011</v>
      </c>
      <c r="K58" s="48">
        <v>2012</v>
      </c>
    </row>
    <row r="59" spans="1:20" s="218" customFormat="1" ht="13.5">
      <c r="A59" s="121" t="s">
        <v>46</v>
      </c>
      <c r="B59" s="102">
        <v>14295</v>
      </c>
      <c r="C59" s="92">
        <v>12838</v>
      </c>
      <c r="D59" s="92">
        <v>10365</v>
      </c>
      <c r="E59" s="52">
        <v>9470</v>
      </c>
      <c r="F59" s="52">
        <v>8320</v>
      </c>
      <c r="G59" s="52">
        <v>7890</v>
      </c>
      <c r="H59" s="52">
        <v>6659</v>
      </c>
      <c r="I59" s="51">
        <v>5478.4</v>
      </c>
      <c r="J59" s="51">
        <v>4731.5</v>
      </c>
      <c r="K59" s="50">
        <v>4157.3</v>
      </c>
    </row>
    <row r="60" spans="1:20" s="218" customFormat="1" ht="13.5">
      <c r="A60" s="129" t="s">
        <v>47</v>
      </c>
      <c r="B60" s="102">
        <v>-404</v>
      </c>
      <c r="C60" s="92">
        <v>338</v>
      </c>
      <c r="D60" s="92">
        <v>417</v>
      </c>
      <c r="E60" s="92">
        <v>10</v>
      </c>
      <c r="F60" s="52">
        <v>150</v>
      </c>
      <c r="G60" s="51">
        <v>80</v>
      </c>
      <c r="H60" s="51">
        <v>-54</v>
      </c>
      <c r="I60" s="51">
        <v>-81.2</v>
      </c>
      <c r="J60" s="51">
        <v>-212.4</v>
      </c>
      <c r="K60" s="53">
        <v>-233.1</v>
      </c>
    </row>
    <row r="61" spans="1:20" s="218" customFormat="1" ht="14.25" thickBot="1">
      <c r="A61" s="133" t="s">
        <v>45</v>
      </c>
      <c r="B61" s="226">
        <f t="shared" ref="B61:K61" si="4">B60/B59</f>
        <v>-2.826162994053865E-2</v>
      </c>
      <c r="C61" s="227">
        <f t="shared" si="4"/>
        <v>2.6328088487303319E-2</v>
      </c>
      <c r="D61" s="227">
        <f t="shared" si="4"/>
        <v>4.0231548480463099E-2</v>
      </c>
      <c r="E61" s="227">
        <f t="shared" si="4"/>
        <v>1.0559662090813093E-3</v>
      </c>
      <c r="F61" s="227">
        <f t="shared" si="4"/>
        <v>1.8028846153846152E-2</v>
      </c>
      <c r="G61" s="227">
        <f t="shared" si="4"/>
        <v>1.0139416983523447E-2</v>
      </c>
      <c r="H61" s="227">
        <f t="shared" si="4"/>
        <v>-8.1093257245832707E-3</v>
      </c>
      <c r="I61" s="227">
        <f t="shared" si="4"/>
        <v>-1.4821845794392524E-2</v>
      </c>
      <c r="J61" s="227">
        <f t="shared" si="4"/>
        <v>-4.4890626651167706E-2</v>
      </c>
      <c r="K61" s="228">
        <f t="shared" si="4"/>
        <v>-5.6070045462199021E-2</v>
      </c>
    </row>
    <row r="62" spans="1:20" ht="13.5">
      <c r="A62" s="6" t="s">
        <v>49</v>
      </c>
      <c r="B62" s="46"/>
      <c r="C62" s="46"/>
      <c r="D62" s="46"/>
      <c r="E62" s="46"/>
      <c r="F62" s="46"/>
      <c r="G62" s="46"/>
      <c r="H62" s="46"/>
      <c r="I62" s="27"/>
    </row>
    <row r="63" spans="1:20" ht="13.5">
      <c r="A63" s="6" t="s">
        <v>115</v>
      </c>
      <c r="B63" s="46"/>
      <c r="C63" s="46"/>
      <c r="D63" s="46"/>
      <c r="E63" s="46"/>
      <c r="F63" s="46"/>
      <c r="G63" s="46"/>
      <c r="H63" s="46"/>
      <c r="I63" s="5"/>
    </row>
    <row r="64" spans="1:20" ht="13.5">
      <c r="A64" s="6" t="s">
        <v>116</v>
      </c>
      <c r="B64" s="46"/>
      <c r="C64" s="46"/>
      <c r="D64" s="46"/>
      <c r="E64" s="46"/>
      <c r="F64" s="46"/>
      <c r="G64" s="46"/>
      <c r="H64" s="46"/>
      <c r="I64" s="15"/>
    </row>
    <row r="65" spans="1:14" ht="13.5">
      <c r="A65" s="6" t="s">
        <v>114</v>
      </c>
      <c r="B65" s="46"/>
      <c r="C65" s="46"/>
      <c r="D65" s="46"/>
      <c r="E65" s="46"/>
      <c r="F65" s="46"/>
      <c r="G65" s="46"/>
      <c r="H65" s="46"/>
      <c r="I65" s="15"/>
    </row>
    <row r="66" spans="1:14" ht="14.25">
      <c r="B66" s="4"/>
      <c r="C66" s="4"/>
      <c r="D66" s="4"/>
      <c r="E66" s="4"/>
      <c r="F66" s="4"/>
      <c r="G66" s="4"/>
      <c r="H66" s="4"/>
      <c r="I66" s="4"/>
    </row>
    <row r="67" spans="1:14" s="45" customFormat="1" ht="13.5" customHeight="1" thickBot="1"/>
    <row r="68" spans="1:14" s="19" customFormat="1" ht="13.5">
      <c r="B68" s="15"/>
      <c r="C68" s="15"/>
      <c r="D68" s="15"/>
      <c r="E68" s="15"/>
      <c r="F68" s="15"/>
      <c r="G68" s="15"/>
      <c r="H68" s="15"/>
      <c r="I68" s="15"/>
    </row>
    <row r="69" spans="1:14" ht="13.5">
      <c r="A69" s="23" t="s">
        <v>403</v>
      </c>
      <c r="B69" s="8" t="s">
        <v>291</v>
      </c>
      <c r="C69" s="15"/>
      <c r="D69" s="15"/>
      <c r="E69" s="15"/>
      <c r="F69" s="15"/>
      <c r="G69" s="15"/>
      <c r="H69" s="15"/>
      <c r="I69" s="15"/>
    </row>
    <row r="70" spans="1:14" ht="14.25" thickBot="1">
      <c r="A70" s="15"/>
      <c r="B70" s="15"/>
      <c r="C70" s="15"/>
      <c r="D70" s="15"/>
      <c r="E70" s="15"/>
      <c r="F70" s="15"/>
      <c r="G70" s="15"/>
      <c r="H70" s="15"/>
      <c r="I70" s="15"/>
    </row>
    <row r="71" spans="1:14" s="218" customFormat="1" ht="14.25" thickBot="1">
      <c r="A71" s="125"/>
      <c r="B71" s="222">
        <v>2003</v>
      </c>
      <c r="C71" s="47">
        <v>2004</v>
      </c>
      <c r="D71" s="3">
        <v>2005</v>
      </c>
      <c r="E71" s="3">
        <v>2006</v>
      </c>
      <c r="F71" s="3">
        <v>2007</v>
      </c>
      <c r="G71" s="3">
        <v>2008</v>
      </c>
      <c r="H71" s="47">
        <v>2009</v>
      </c>
      <c r="I71" s="47">
        <v>2010</v>
      </c>
      <c r="J71" s="47">
        <v>2011</v>
      </c>
      <c r="K71" s="47">
        <v>2012</v>
      </c>
      <c r="L71" s="48">
        <v>2013</v>
      </c>
    </row>
    <row r="72" spans="1:14" s="218" customFormat="1" ht="13.5">
      <c r="A72" s="121" t="s">
        <v>46</v>
      </c>
      <c r="B72" s="102">
        <v>17531</v>
      </c>
      <c r="C72" s="92">
        <v>19430</v>
      </c>
      <c r="D72" s="92">
        <v>21797</v>
      </c>
      <c r="E72" s="52">
        <v>26420</v>
      </c>
      <c r="F72" s="52">
        <v>32170</v>
      </c>
      <c r="G72" s="52">
        <v>39310</v>
      </c>
      <c r="H72" s="52">
        <v>39960</v>
      </c>
      <c r="I72" s="51">
        <v>44292.3</v>
      </c>
      <c r="J72" s="51">
        <v>49458.7</v>
      </c>
      <c r="K72" s="51">
        <v>51335.5</v>
      </c>
      <c r="L72" s="50">
        <v>55896.800000000003</v>
      </c>
    </row>
    <row r="73" spans="1:14" s="218" customFormat="1" ht="13.5">
      <c r="A73" s="129" t="s">
        <v>47</v>
      </c>
      <c r="B73" s="102">
        <v>-91</v>
      </c>
      <c r="C73" s="92">
        <v>403</v>
      </c>
      <c r="D73" s="92">
        <v>-177</v>
      </c>
      <c r="E73" s="92">
        <v>350</v>
      </c>
      <c r="F73" s="52">
        <v>210</v>
      </c>
      <c r="G73" s="51">
        <v>1090</v>
      </c>
      <c r="H73" s="51">
        <v>1110</v>
      </c>
      <c r="I73" s="51">
        <v>819.3</v>
      </c>
      <c r="J73" s="51">
        <v>800.2</v>
      </c>
      <c r="K73" s="51">
        <v>801.2</v>
      </c>
      <c r="L73" s="53">
        <v>1059.8</v>
      </c>
    </row>
    <row r="74" spans="1:14" s="218" customFormat="1" ht="14.25" thickBot="1">
      <c r="A74" s="133" t="s">
        <v>45</v>
      </c>
      <c r="B74" s="226">
        <f t="shared" ref="B74:L74" si="5">B73/B72</f>
        <v>-5.1908048599623524E-3</v>
      </c>
      <c r="C74" s="227">
        <f t="shared" si="5"/>
        <v>2.0741121976325272E-2</v>
      </c>
      <c r="D74" s="227">
        <f t="shared" si="5"/>
        <v>-8.1203835390191315E-3</v>
      </c>
      <c r="E74" s="227">
        <f t="shared" si="5"/>
        <v>1.3247539742619227E-2</v>
      </c>
      <c r="F74" s="227">
        <f t="shared" si="5"/>
        <v>6.5278209511967673E-3</v>
      </c>
      <c r="G74" s="227">
        <f t="shared" si="5"/>
        <v>2.7728313406257948E-2</v>
      </c>
      <c r="H74" s="227">
        <f t="shared" si="5"/>
        <v>2.7777777777777776E-2</v>
      </c>
      <c r="I74" s="227">
        <f t="shared" si="5"/>
        <v>1.849757181270785E-2</v>
      </c>
      <c r="J74" s="227">
        <f t="shared" si="5"/>
        <v>1.6179155537852798E-2</v>
      </c>
      <c r="K74" s="227">
        <f t="shared" si="5"/>
        <v>1.5607133465145952E-2</v>
      </c>
      <c r="L74" s="228">
        <f t="shared" si="5"/>
        <v>1.8959940461708003E-2</v>
      </c>
    </row>
    <row r="75" spans="1:14" ht="13.5">
      <c r="A75" s="6" t="s">
        <v>49</v>
      </c>
      <c r="B75" s="234"/>
      <c r="C75" s="234"/>
      <c r="D75" s="234"/>
      <c r="E75" s="234"/>
      <c r="F75" s="234"/>
      <c r="G75" s="234"/>
      <c r="H75" s="234"/>
      <c r="I75" s="63"/>
      <c r="J75" s="235"/>
      <c r="K75" s="235"/>
      <c r="L75" s="235"/>
      <c r="M75" s="235"/>
      <c r="N75" s="235"/>
    </row>
    <row r="76" spans="1:14" ht="13.5">
      <c r="A76" s="6" t="s">
        <v>115</v>
      </c>
      <c r="B76" s="46"/>
      <c r="C76" s="46"/>
      <c r="D76" s="46"/>
      <c r="E76" s="46"/>
      <c r="F76" s="46"/>
      <c r="G76" s="46"/>
      <c r="H76" s="46"/>
      <c r="I76" s="15"/>
      <c r="J76" s="5"/>
    </row>
    <row r="77" spans="1:14" ht="13.5">
      <c r="A77" s="6" t="s">
        <v>116</v>
      </c>
      <c r="B77" s="46"/>
      <c r="C77" s="46"/>
      <c r="D77" s="46"/>
      <c r="E77" s="46"/>
      <c r="F77" s="46"/>
      <c r="G77" s="46"/>
      <c r="H77" s="46"/>
      <c r="I77" s="15"/>
    </row>
    <row r="78" spans="1:14" ht="13.5">
      <c r="A78" s="6" t="s">
        <v>114</v>
      </c>
      <c r="B78" s="46"/>
      <c r="C78" s="46"/>
      <c r="D78" s="46"/>
      <c r="E78" s="46"/>
      <c r="F78" s="46"/>
      <c r="G78" s="46"/>
      <c r="H78" s="46"/>
      <c r="I78" s="15"/>
    </row>
    <row r="79" spans="1:14" ht="14.25">
      <c r="B79" s="4"/>
      <c r="C79" s="4"/>
      <c r="D79" s="4"/>
      <c r="E79" s="4"/>
      <c r="F79" s="4"/>
      <c r="G79" s="4"/>
      <c r="H79" s="4"/>
      <c r="I79" s="4"/>
    </row>
    <row r="80" spans="1:14" ht="14.25">
      <c r="B80" s="4"/>
      <c r="C80" s="4"/>
      <c r="D80" s="4"/>
      <c r="E80" s="4"/>
      <c r="F80" s="4"/>
      <c r="G80" s="4"/>
      <c r="H80" s="4"/>
      <c r="I80" s="4"/>
    </row>
    <row r="81" spans="1:12" ht="13.5">
      <c r="A81" s="23" t="s">
        <v>404</v>
      </c>
      <c r="B81" s="8" t="s">
        <v>178</v>
      </c>
      <c r="C81" s="15"/>
      <c r="D81" s="15"/>
      <c r="E81" s="15"/>
      <c r="F81" s="15"/>
      <c r="G81" s="15"/>
      <c r="H81" s="15"/>
      <c r="I81" s="15"/>
    </row>
    <row r="82" spans="1:12" ht="14.25" thickBot="1">
      <c r="A82" s="15"/>
      <c r="B82" s="15"/>
      <c r="C82" s="15"/>
      <c r="D82" s="15"/>
      <c r="E82" s="15"/>
      <c r="F82" s="15"/>
      <c r="G82" s="15"/>
      <c r="H82" s="15"/>
      <c r="I82" s="15"/>
    </row>
    <row r="83" spans="1:12" s="218" customFormat="1" ht="14.25" thickBot="1">
      <c r="A83" s="125"/>
      <c r="B83" s="222">
        <v>2004</v>
      </c>
      <c r="C83" s="3">
        <v>2005</v>
      </c>
      <c r="D83" s="3">
        <v>2006</v>
      </c>
      <c r="E83" s="3">
        <v>2007</v>
      </c>
      <c r="F83" s="3">
        <v>2008</v>
      </c>
      <c r="G83" s="47">
        <v>2009</v>
      </c>
      <c r="H83" s="47">
        <v>2010</v>
      </c>
      <c r="I83" s="47">
        <v>2011</v>
      </c>
      <c r="J83" s="47">
        <v>2012</v>
      </c>
      <c r="K83" s="48">
        <v>2013</v>
      </c>
    </row>
    <row r="84" spans="1:12" s="218" customFormat="1" ht="13.5">
      <c r="A84" s="121" t="s">
        <v>46</v>
      </c>
      <c r="B84" s="111">
        <v>18460</v>
      </c>
      <c r="C84" s="112">
        <v>18730</v>
      </c>
      <c r="D84" s="290">
        <v>24780</v>
      </c>
      <c r="E84" s="290">
        <v>35390</v>
      </c>
      <c r="F84" s="290">
        <v>44450</v>
      </c>
      <c r="G84" s="290">
        <v>42120</v>
      </c>
      <c r="H84" s="49">
        <v>50691.8</v>
      </c>
      <c r="I84" s="290" t="s">
        <v>20</v>
      </c>
      <c r="J84" s="290" t="s">
        <v>20</v>
      </c>
      <c r="K84" s="50">
        <v>68464</v>
      </c>
    </row>
    <row r="85" spans="1:12" s="218" customFormat="1" ht="13.5">
      <c r="A85" s="129" t="s">
        <v>113</v>
      </c>
      <c r="B85" s="102">
        <v>12590</v>
      </c>
      <c r="C85" s="92">
        <v>12080</v>
      </c>
      <c r="D85" s="52">
        <v>17990</v>
      </c>
      <c r="E85" s="52">
        <v>27280</v>
      </c>
      <c r="F85" s="52">
        <v>35410</v>
      </c>
      <c r="G85" s="52">
        <v>32090</v>
      </c>
      <c r="H85" s="51">
        <v>36814.5</v>
      </c>
      <c r="I85" s="52" t="s">
        <v>20</v>
      </c>
      <c r="J85" s="52" t="s">
        <v>20</v>
      </c>
      <c r="K85" s="53">
        <v>51258.1</v>
      </c>
    </row>
    <row r="86" spans="1:12" s="218" customFormat="1" ht="13.5">
      <c r="A86" s="129" t="s">
        <v>47</v>
      </c>
      <c r="B86" s="102">
        <v>1080</v>
      </c>
      <c r="C86" s="92">
        <v>880</v>
      </c>
      <c r="D86" s="92">
        <v>1830</v>
      </c>
      <c r="E86" s="52">
        <v>2600</v>
      </c>
      <c r="F86" s="51">
        <v>3540</v>
      </c>
      <c r="G86" s="51">
        <v>3280</v>
      </c>
      <c r="H86" s="51">
        <v>4075.8</v>
      </c>
      <c r="I86" s="52" t="s">
        <v>20</v>
      </c>
      <c r="J86" s="52" t="s">
        <v>20</v>
      </c>
      <c r="K86" s="53">
        <v>4742.8</v>
      </c>
    </row>
    <row r="87" spans="1:12" s="218" customFormat="1" ht="14.25" thickBot="1">
      <c r="A87" s="133" t="s">
        <v>45</v>
      </c>
      <c r="B87" s="226">
        <f t="shared" ref="B87:K87" si="6">B86/B84</f>
        <v>5.8504875406283859E-2</v>
      </c>
      <c r="C87" s="227">
        <f t="shared" si="6"/>
        <v>4.6983449012279764E-2</v>
      </c>
      <c r="D87" s="227">
        <f t="shared" si="6"/>
        <v>7.3849878934624691E-2</v>
      </c>
      <c r="E87" s="227">
        <f t="shared" si="6"/>
        <v>7.34670810963549E-2</v>
      </c>
      <c r="F87" s="227">
        <f t="shared" si="6"/>
        <v>7.96400449943757E-2</v>
      </c>
      <c r="G87" s="227">
        <f t="shared" si="6"/>
        <v>7.7872744539411204E-2</v>
      </c>
      <c r="H87" s="227">
        <f t="shared" si="6"/>
        <v>8.040353666667982E-2</v>
      </c>
      <c r="I87" s="227" t="s">
        <v>20</v>
      </c>
      <c r="J87" s="227" t="s">
        <v>20</v>
      </c>
      <c r="K87" s="228">
        <f t="shared" si="6"/>
        <v>6.9274363168964709E-2</v>
      </c>
    </row>
    <row r="88" spans="1:12" ht="13.5">
      <c r="A88" s="6" t="s">
        <v>49</v>
      </c>
      <c r="B88" s="46"/>
      <c r="C88" s="46"/>
      <c r="D88" s="46"/>
      <c r="E88" s="46"/>
      <c r="F88" s="46"/>
      <c r="G88" s="46"/>
      <c r="H88" s="46"/>
      <c r="I88" s="27"/>
    </row>
    <row r="89" spans="1:12" ht="13.5">
      <c r="A89" s="6" t="s">
        <v>48</v>
      </c>
      <c r="B89" s="54"/>
      <c r="C89" s="54"/>
      <c r="D89" s="54"/>
      <c r="E89" s="54"/>
      <c r="F89" s="54"/>
      <c r="G89" s="54"/>
      <c r="H89" s="54"/>
      <c r="I89" s="15"/>
    </row>
    <row r="90" spans="1:12" ht="13.5">
      <c r="A90" s="6" t="s">
        <v>114</v>
      </c>
      <c r="B90" s="46"/>
      <c r="C90" s="46"/>
      <c r="D90" s="46"/>
      <c r="E90" s="46"/>
      <c r="F90" s="46"/>
      <c r="G90" s="46"/>
      <c r="I90" s="15"/>
    </row>
    <row r="91" spans="1:12" ht="13.5">
      <c r="A91" s="6"/>
      <c r="B91" s="46"/>
      <c r="C91" s="46"/>
      <c r="D91" s="46"/>
      <c r="E91" s="46"/>
      <c r="F91" s="46"/>
      <c r="G91" s="46"/>
      <c r="I91" s="15"/>
    </row>
    <row r="92" spans="1:12" s="45" customFormat="1" ht="13.5" customHeight="1" thickBot="1"/>
    <row r="93" spans="1:12" s="19" customFormat="1" ht="13.5">
      <c r="B93" s="15"/>
      <c r="C93" s="15"/>
      <c r="D93" s="15"/>
      <c r="E93" s="15"/>
      <c r="F93" s="15"/>
      <c r="G93" s="15"/>
      <c r="H93" s="15"/>
      <c r="I93" s="15"/>
    </row>
    <row r="94" spans="1:12" ht="13.5">
      <c r="A94" s="23" t="s">
        <v>405</v>
      </c>
      <c r="B94" s="8" t="s">
        <v>179</v>
      </c>
      <c r="C94" s="15"/>
      <c r="D94" s="15"/>
      <c r="E94" s="15"/>
      <c r="F94" s="15"/>
      <c r="G94" s="15"/>
      <c r="H94" s="15"/>
      <c r="I94" s="15"/>
    </row>
    <row r="95" spans="1:12" ht="14.25" thickBot="1">
      <c r="A95" s="15"/>
      <c r="B95" s="15"/>
      <c r="C95" s="15"/>
      <c r="D95" s="15"/>
      <c r="E95" s="15"/>
      <c r="F95" s="15"/>
      <c r="G95" s="15"/>
      <c r="H95" s="15"/>
      <c r="I95" s="15"/>
    </row>
    <row r="96" spans="1:12" s="218" customFormat="1" ht="14.25" thickBot="1">
      <c r="A96" s="125"/>
      <c r="B96" s="222">
        <v>2004</v>
      </c>
      <c r="C96" s="3">
        <v>2005</v>
      </c>
      <c r="D96" s="3">
        <v>2006</v>
      </c>
      <c r="E96" s="3">
        <v>2007</v>
      </c>
      <c r="F96" s="3">
        <v>2008</v>
      </c>
      <c r="G96" s="47">
        <v>2009</v>
      </c>
      <c r="H96" s="47">
        <v>2010</v>
      </c>
      <c r="I96" s="47">
        <v>2011</v>
      </c>
      <c r="J96" s="47">
        <v>2012</v>
      </c>
      <c r="K96" s="47">
        <v>2013</v>
      </c>
      <c r="L96" s="48">
        <v>2014</v>
      </c>
    </row>
    <row r="97" spans="1:12" s="218" customFormat="1" ht="13.5">
      <c r="A97" s="121" t="s">
        <v>46</v>
      </c>
      <c r="B97" s="102">
        <v>5572</v>
      </c>
      <c r="C97" s="92">
        <v>7490</v>
      </c>
      <c r="D97" s="52">
        <v>10080</v>
      </c>
      <c r="E97" s="52">
        <v>11960</v>
      </c>
      <c r="F97" s="52">
        <v>13580</v>
      </c>
      <c r="G97" s="52">
        <v>11750</v>
      </c>
      <c r="H97" s="52">
        <v>12020.9</v>
      </c>
      <c r="I97" s="52">
        <v>12828.7</v>
      </c>
      <c r="J97" s="51">
        <v>13623.2</v>
      </c>
      <c r="K97" s="51">
        <v>14567.3</v>
      </c>
      <c r="L97" s="50">
        <v>14430.3</v>
      </c>
    </row>
    <row r="98" spans="1:12" s="218" customFormat="1" ht="13.5">
      <c r="A98" s="129" t="s">
        <v>47</v>
      </c>
      <c r="B98" s="102">
        <v>266</v>
      </c>
      <c r="C98" s="92">
        <v>430</v>
      </c>
      <c r="D98" s="92">
        <v>670</v>
      </c>
      <c r="E98" s="52">
        <v>780</v>
      </c>
      <c r="F98" s="51">
        <v>960</v>
      </c>
      <c r="G98" s="51">
        <v>740</v>
      </c>
      <c r="H98" s="51">
        <v>755.3</v>
      </c>
      <c r="I98" s="51">
        <v>702</v>
      </c>
      <c r="J98" s="51">
        <v>666.9</v>
      </c>
      <c r="K98" s="51">
        <v>834.8</v>
      </c>
      <c r="L98" s="53">
        <v>720.2</v>
      </c>
    </row>
    <row r="99" spans="1:12" s="218" customFormat="1" ht="14.25" thickBot="1">
      <c r="A99" s="133" t="s">
        <v>45</v>
      </c>
      <c r="B99" s="226">
        <f t="shared" ref="B99:L99" si="7">B98/B97</f>
        <v>4.7738693467336682E-2</v>
      </c>
      <c r="C99" s="227">
        <f t="shared" si="7"/>
        <v>5.7409879839786383E-2</v>
      </c>
      <c r="D99" s="227">
        <f t="shared" si="7"/>
        <v>6.6468253968253968E-2</v>
      </c>
      <c r="E99" s="227">
        <f t="shared" si="7"/>
        <v>6.5217391304347824E-2</v>
      </c>
      <c r="F99" s="227">
        <f t="shared" si="7"/>
        <v>7.0692194403534608E-2</v>
      </c>
      <c r="G99" s="227">
        <f t="shared" si="7"/>
        <v>6.2978723404255324E-2</v>
      </c>
      <c r="H99" s="227">
        <f t="shared" si="7"/>
        <v>6.2832233859361611E-2</v>
      </c>
      <c r="I99" s="227">
        <f t="shared" si="7"/>
        <v>5.4721055134191302E-2</v>
      </c>
      <c r="J99" s="227">
        <f t="shared" si="7"/>
        <v>4.895325620999471E-2</v>
      </c>
      <c r="K99" s="227">
        <f t="shared" si="7"/>
        <v>5.7306432901086682E-2</v>
      </c>
      <c r="L99" s="228">
        <f t="shared" si="7"/>
        <v>4.9908872303417118E-2</v>
      </c>
    </row>
    <row r="100" spans="1:12" ht="13.5">
      <c r="A100" s="6" t="s">
        <v>49</v>
      </c>
      <c r="B100" s="234"/>
      <c r="C100" s="234"/>
      <c r="D100" s="234"/>
      <c r="E100" s="234"/>
      <c r="F100" s="234"/>
      <c r="G100" s="234"/>
      <c r="H100" s="234"/>
      <c r="I100" s="63"/>
      <c r="J100" s="235"/>
      <c r="K100" s="235"/>
      <c r="L100" s="235"/>
    </row>
    <row r="101" spans="1:12" ht="13.5">
      <c r="A101" s="6" t="s">
        <v>115</v>
      </c>
      <c r="B101" s="46"/>
      <c r="C101" s="46"/>
      <c r="D101" s="46"/>
      <c r="E101" s="46"/>
      <c r="F101" s="46"/>
      <c r="G101" s="46"/>
      <c r="H101" s="5"/>
      <c r="I101" s="15"/>
    </row>
    <row r="102" spans="1:12" ht="13.5">
      <c r="A102" s="6" t="s">
        <v>116</v>
      </c>
      <c r="B102" s="46"/>
      <c r="C102" s="46"/>
      <c r="D102" s="46"/>
      <c r="E102" s="46"/>
      <c r="F102" s="46"/>
      <c r="G102" s="46"/>
      <c r="H102" s="46"/>
      <c r="I102" s="15"/>
    </row>
    <row r="103" spans="1:12">
      <c r="A103" s="6" t="s">
        <v>114</v>
      </c>
      <c r="B103" s="46"/>
      <c r="C103" s="46"/>
      <c r="D103" s="46"/>
      <c r="E103" s="46"/>
      <c r="F103" s="46"/>
      <c r="G103" s="46"/>
      <c r="H103" s="46"/>
    </row>
    <row r="104" spans="1:12" ht="14.25">
      <c r="B104" s="4"/>
      <c r="C104" s="4"/>
      <c r="D104" s="4"/>
      <c r="E104" s="4"/>
      <c r="F104" s="4"/>
      <c r="G104" s="4"/>
      <c r="H104" s="4"/>
      <c r="I104" s="4"/>
    </row>
    <row r="105" spans="1:12" s="45" customFormat="1" ht="13.5" customHeight="1" thickBot="1"/>
    <row r="106" spans="1:12" s="19" customFormat="1" ht="13.5">
      <c r="B106" s="15"/>
      <c r="C106" s="15"/>
      <c r="D106" s="15"/>
      <c r="E106" s="15"/>
      <c r="F106" s="15"/>
      <c r="G106" s="15"/>
      <c r="H106" s="15"/>
      <c r="I106" s="15"/>
    </row>
    <row r="107" spans="1:12" ht="13.5">
      <c r="A107" s="23" t="s">
        <v>406</v>
      </c>
      <c r="B107" s="8" t="s">
        <v>292</v>
      </c>
      <c r="C107" s="15"/>
      <c r="D107" s="15"/>
      <c r="E107" s="15"/>
      <c r="F107" s="15"/>
      <c r="G107" s="15"/>
      <c r="H107" s="15"/>
      <c r="I107" s="15"/>
    </row>
    <row r="108" spans="1:12" ht="14.25" thickBot="1">
      <c r="A108" s="15"/>
      <c r="B108" s="15"/>
      <c r="C108" s="15"/>
      <c r="D108" s="15"/>
      <c r="E108" s="15"/>
      <c r="F108" s="15"/>
      <c r="G108" s="15"/>
      <c r="H108" s="15"/>
      <c r="I108" s="15"/>
    </row>
    <row r="109" spans="1:12" s="218" customFormat="1" ht="14.25" thickBot="1">
      <c r="A109" s="125"/>
      <c r="B109" s="222">
        <v>2003</v>
      </c>
      <c r="C109" s="47">
        <v>2004</v>
      </c>
      <c r="D109" s="3">
        <v>2005</v>
      </c>
      <c r="E109" s="3">
        <v>2006</v>
      </c>
      <c r="F109" s="3">
        <v>2007</v>
      </c>
      <c r="G109" s="3">
        <v>2008</v>
      </c>
      <c r="H109" s="47">
        <v>2009</v>
      </c>
      <c r="I109" s="47">
        <v>2010</v>
      </c>
      <c r="J109" s="47">
        <v>2011</v>
      </c>
      <c r="K109" s="47">
        <v>2012</v>
      </c>
      <c r="L109" s="48">
        <v>2013</v>
      </c>
    </row>
    <row r="110" spans="1:12" s="218" customFormat="1" ht="13.5">
      <c r="A110" s="121" t="s">
        <v>46</v>
      </c>
      <c r="B110" s="102">
        <v>3724</v>
      </c>
      <c r="C110" s="92">
        <v>5528</v>
      </c>
      <c r="D110" s="92">
        <v>5477</v>
      </c>
      <c r="E110" s="52">
        <v>7140</v>
      </c>
      <c r="F110" s="52">
        <v>9230</v>
      </c>
      <c r="G110" s="52">
        <v>9231.6</v>
      </c>
      <c r="H110" s="52">
        <v>8863.7000000000007</v>
      </c>
      <c r="I110" s="52">
        <v>9544.6</v>
      </c>
      <c r="J110" s="51">
        <v>10281.1</v>
      </c>
      <c r="K110" s="51">
        <v>10391.4</v>
      </c>
      <c r="L110" s="50">
        <v>9514.2000000000007</v>
      </c>
    </row>
    <row r="111" spans="1:12" s="218" customFormat="1" ht="13.5">
      <c r="A111" s="129" t="s">
        <v>47</v>
      </c>
      <c r="B111" s="102">
        <v>168</v>
      </c>
      <c r="C111" s="92">
        <v>139</v>
      </c>
      <c r="D111" s="92">
        <v>50</v>
      </c>
      <c r="E111" s="92">
        <v>240</v>
      </c>
      <c r="F111" s="52">
        <v>350</v>
      </c>
      <c r="G111" s="51">
        <v>330</v>
      </c>
      <c r="H111" s="51">
        <v>492.7</v>
      </c>
      <c r="I111" s="51">
        <v>436</v>
      </c>
      <c r="J111" s="51">
        <v>720.8</v>
      </c>
      <c r="K111" s="51">
        <v>689.6</v>
      </c>
      <c r="L111" s="53">
        <v>650.20000000000005</v>
      </c>
    </row>
    <row r="112" spans="1:12" s="218" customFormat="1" ht="14.25" thickBot="1">
      <c r="A112" s="133" t="s">
        <v>45</v>
      </c>
      <c r="B112" s="226">
        <f t="shared" ref="B112:L112" si="8">B111/B110</f>
        <v>4.5112781954887216E-2</v>
      </c>
      <c r="C112" s="227">
        <f t="shared" si="8"/>
        <v>2.5144717800289436E-2</v>
      </c>
      <c r="D112" s="227">
        <f t="shared" si="8"/>
        <v>9.1290852656563809E-3</v>
      </c>
      <c r="E112" s="227">
        <f t="shared" si="8"/>
        <v>3.3613445378151259E-2</v>
      </c>
      <c r="F112" s="227">
        <f t="shared" si="8"/>
        <v>3.7919826652221017E-2</v>
      </c>
      <c r="G112" s="227">
        <f t="shared" si="8"/>
        <v>3.5746782789548938E-2</v>
      </c>
      <c r="H112" s="227">
        <f t="shared" si="8"/>
        <v>5.5586267585771176E-2</v>
      </c>
      <c r="I112" s="227">
        <f t="shared" si="8"/>
        <v>4.568027994887161E-2</v>
      </c>
      <c r="J112" s="227">
        <f t="shared" si="8"/>
        <v>7.0109229557148545E-2</v>
      </c>
      <c r="K112" s="227">
        <f t="shared" si="8"/>
        <v>6.636256904748157E-2</v>
      </c>
      <c r="L112" s="228">
        <f t="shared" si="8"/>
        <v>6.8339955014609738E-2</v>
      </c>
    </row>
    <row r="113" spans="1:11" ht="13.5">
      <c r="A113" s="6" t="s">
        <v>49</v>
      </c>
      <c r="B113" s="46"/>
      <c r="C113" s="46"/>
      <c r="D113" s="46"/>
      <c r="E113" s="46"/>
      <c r="F113" s="46"/>
      <c r="G113" s="46"/>
      <c r="H113" s="46"/>
      <c r="I113" s="27"/>
    </row>
    <row r="114" spans="1:11" ht="13.5">
      <c r="A114" s="6" t="s">
        <v>115</v>
      </c>
      <c r="B114" s="46"/>
      <c r="C114" s="46"/>
      <c r="D114" s="46"/>
      <c r="E114" s="46"/>
      <c r="F114" s="46"/>
      <c r="G114" s="46"/>
      <c r="H114" s="46"/>
      <c r="I114" s="5"/>
    </row>
    <row r="115" spans="1:11" ht="13.5">
      <c r="A115" s="6" t="s">
        <v>116</v>
      </c>
      <c r="B115" s="46"/>
      <c r="C115" s="46"/>
      <c r="D115" s="46"/>
      <c r="E115" s="55"/>
      <c r="F115" s="46"/>
      <c r="G115" s="46"/>
      <c r="H115" s="46"/>
      <c r="I115" s="15"/>
    </row>
    <row r="116" spans="1:11" ht="13.5">
      <c r="A116" s="6" t="s">
        <v>114</v>
      </c>
      <c r="B116" s="46"/>
      <c r="D116" s="46"/>
      <c r="E116" s="55"/>
      <c r="F116" s="46"/>
      <c r="G116" s="46"/>
      <c r="H116" s="46"/>
      <c r="I116" s="15"/>
    </row>
    <row r="118" spans="1:11" s="45" customFormat="1" ht="13.5" customHeight="1" thickBot="1"/>
    <row r="119" spans="1:11" s="19" customFormat="1" ht="13.5">
      <c r="B119" s="15"/>
      <c r="C119" s="15"/>
      <c r="D119" s="15"/>
      <c r="E119" s="15"/>
      <c r="F119" s="15"/>
      <c r="G119" s="15"/>
      <c r="H119" s="15"/>
      <c r="I119" s="15"/>
    </row>
    <row r="120" spans="1:11" ht="13.5">
      <c r="A120" s="23" t="s">
        <v>407</v>
      </c>
      <c r="B120" s="8" t="s">
        <v>332</v>
      </c>
      <c r="C120" s="15"/>
      <c r="D120" s="15"/>
      <c r="E120" s="15"/>
      <c r="F120" s="15"/>
      <c r="G120" s="15"/>
      <c r="H120" s="15"/>
      <c r="I120" s="15"/>
    </row>
    <row r="121" spans="1:11" ht="14.25" thickBot="1">
      <c r="A121" s="15"/>
      <c r="B121" s="15"/>
      <c r="C121" s="15"/>
      <c r="D121" s="15"/>
      <c r="E121" s="15"/>
      <c r="F121" s="15"/>
      <c r="G121" s="15"/>
      <c r="H121" s="15"/>
      <c r="I121" s="15"/>
    </row>
    <row r="122" spans="1:11" s="218" customFormat="1" ht="14.25" thickBot="1">
      <c r="A122" s="125"/>
      <c r="B122" s="222">
        <v>2004</v>
      </c>
      <c r="C122" s="3">
        <v>2005</v>
      </c>
      <c r="D122" s="3">
        <v>2006</v>
      </c>
      <c r="E122" s="3">
        <v>2007</v>
      </c>
      <c r="F122" s="3">
        <v>2008</v>
      </c>
      <c r="G122" s="47">
        <v>2009</v>
      </c>
      <c r="H122" s="47">
        <v>2010</v>
      </c>
      <c r="I122" s="47">
        <v>2011</v>
      </c>
      <c r="J122" s="47">
        <v>2012</v>
      </c>
      <c r="K122" s="48">
        <v>2013</v>
      </c>
    </row>
    <row r="123" spans="1:11" s="218" customFormat="1" ht="13.5">
      <c r="A123" s="121" t="s">
        <v>46</v>
      </c>
      <c r="B123" s="102">
        <v>30590</v>
      </c>
      <c r="C123" s="92">
        <v>33500</v>
      </c>
      <c r="D123" s="52">
        <v>37220</v>
      </c>
      <c r="E123" s="52">
        <v>37920</v>
      </c>
      <c r="F123" s="52">
        <v>40400</v>
      </c>
      <c r="G123" s="52">
        <v>39000</v>
      </c>
      <c r="H123" s="52">
        <v>37982.800000000003</v>
      </c>
      <c r="I123" s="51">
        <v>38223.4</v>
      </c>
      <c r="J123" s="51">
        <v>38998.9</v>
      </c>
      <c r="K123" s="50">
        <v>38316.800000000003</v>
      </c>
    </row>
    <row r="124" spans="1:11" s="218" customFormat="1" ht="13.5">
      <c r="A124" s="129" t="s">
        <v>47</v>
      </c>
      <c r="B124" s="102">
        <v>2710</v>
      </c>
      <c r="C124" s="92">
        <v>2760</v>
      </c>
      <c r="D124" s="92">
        <v>3430</v>
      </c>
      <c r="E124" s="52">
        <v>2620</v>
      </c>
      <c r="F124" s="51">
        <v>1500</v>
      </c>
      <c r="G124" s="51">
        <v>1600</v>
      </c>
      <c r="H124" s="51">
        <v>1232.9000000000001</v>
      </c>
      <c r="I124" s="51">
        <v>1215.4000000000001</v>
      </c>
      <c r="J124" s="51">
        <v>1552.2</v>
      </c>
      <c r="K124" s="53">
        <v>1135.4000000000001</v>
      </c>
    </row>
    <row r="125" spans="1:11" s="218" customFormat="1" ht="14.25" thickBot="1">
      <c r="A125" s="133" t="s">
        <v>45</v>
      </c>
      <c r="B125" s="226">
        <f t="shared" ref="B125:K125" si="9">B124/B123</f>
        <v>8.8591042824452432E-2</v>
      </c>
      <c r="C125" s="227">
        <f t="shared" si="9"/>
        <v>8.2388059701492544E-2</v>
      </c>
      <c r="D125" s="227">
        <f t="shared" si="9"/>
        <v>9.2154755507791508E-2</v>
      </c>
      <c r="E125" s="227">
        <f t="shared" si="9"/>
        <v>6.9092827004219412E-2</v>
      </c>
      <c r="F125" s="227">
        <f t="shared" si="9"/>
        <v>3.7128712871287127E-2</v>
      </c>
      <c r="G125" s="227">
        <f t="shared" si="9"/>
        <v>4.1025641025641026E-2</v>
      </c>
      <c r="H125" s="227">
        <f t="shared" si="9"/>
        <v>3.2459429004707392E-2</v>
      </c>
      <c r="I125" s="227">
        <f t="shared" si="9"/>
        <v>3.1797276014169332E-2</v>
      </c>
      <c r="J125" s="227">
        <f t="shared" si="9"/>
        <v>3.9801122595765522E-2</v>
      </c>
      <c r="K125" s="228">
        <f t="shared" si="9"/>
        <v>2.9631910806747954E-2</v>
      </c>
    </row>
    <row r="126" spans="1:11" ht="13.5">
      <c r="A126" s="6" t="s">
        <v>49</v>
      </c>
      <c r="B126" s="46"/>
      <c r="C126" s="46"/>
      <c r="D126" s="46"/>
      <c r="E126" s="46"/>
      <c r="F126" s="46"/>
      <c r="G126" s="46"/>
      <c r="H126" s="46"/>
      <c r="I126" s="27"/>
    </row>
    <row r="127" spans="1:11" ht="13.5">
      <c r="A127" s="6" t="s">
        <v>115</v>
      </c>
      <c r="B127" s="46"/>
      <c r="C127" s="46"/>
      <c r="D127" s="46"/>
      <c r="E127" s="46"/>
      <c r="F127" s="46"/>
      <c r="G127" s="46"/>
      <c r="H127" s="46"/>
      <c r="I127" s="5"/>
    </row>
    <row r="128" spans="1:11" ht="13.5">
      <c r="A128" s="6" t="s">
        <v>116</v>
      </c>
      <c r="B128" s="46"/>
      <c r="C128" s="46"/>
      <c r="D128" s="46"/>
      <c r="E128" s="55"/>
      <c r="F128" s="46"/>
      <c r="G128" s="46"/>
      <c r="H128" s="46"/>
      <c r="I128" s="15"/>
    </row>
    <row r="129" spans="1:20" ht="13.5">
      <c r="A129" s="6" t="s">
        <v>114</v>
      </c>
      <c r="B129" s="46"/>
      <c r="C129" s="46"/>
      <c r="D129" s="46"/>
      <c r="E129" s="55"/>
      <c r="F129" s="46"/>
      <c r="G129" s="46"/>
      <c r="H129" s="46"/>
      <c r="I129" s="15"/>
    </row>
    <row r="132" spans="1:20" s="44" customFormat="1" ht="21.75" customHeight="1">
      <c r="A132" s="337" t="s">
        <v>336</v>
      </c>
      <c r="B132" s="338"/>
      <c r="C132" s="338"/>
      <c r="D132" s="338"/>
      <c r="E132" s="338"/>
      <c r="F132" s="338"/>
      <c r="G132" s="338"/>
      <c r="H132" s="338"/>
      <c r="I132" s="338"/>
      <c r="J132" s="338"/>
      <c r="K132" s="338"/>
      <c r="L132" s="338"/>
      <c r="M132" s="338"/>
      <c r="N132" s="338"/>
      <c r="O132" s="338"/>
      <c r="P132" s="338"/>
      <c r="Q132" s="338"/>
      <c r="R132" s="338"/>
      <c r="S132" s="338"/>
      <c r="T132" s="338"/>
    </row>
    <row r="134" spans="1:20" ht="13.5">
      <c r="A134" s="23" t="s">
        <v>408</v>
      </c>
      <c r="B134" s="8" t="s">
        <v>293</v>
      </c>
      <c r="C134" s="15"/>
      <c r="D134" s="15"/>
      <c r="E134" s="15"/>
      <c r="F134" s="15"/>
      <c r="G134" s="15"/>
      <c r="H134" s="15"/>
    </row>
    <row r="135" spans="1:20" ht="14.25" thickBot="1">
      <c r="A135" s="15"/>
      <c r="B135" s="15"/>
      <c r="C135" s="15"/>
      <c r="D135" s="15"/>
      <c r="E135" s="15"/>
      <c r="F135" s="15"/>
      <c r="G135" s="15"/>
      <c r="H135" s="15"/>
    </row>
    <row r="136" spans="1:20" s="218" customFormat="1" ht="14.25" thickBot="1">
      <c r="A136" s="125"/>
      <c r="B136" s="116">
        <v>2001</v>
      </c>
      <c r="C136" s="47">
        <v>2002</v>
      </c>
      <c r="D136" s="3">
        <v>2003</v>
      </c>
      <c r="E136" s="47">
        <v>2004</v>
      </c>
      <c r="F136" s="3">
        <v>2005</v>
      </c>
      <c r="G136" s="3">
        <v>2006</v>
      </c>
      <c r="H136" s="3">
        <v>2007</v>
      </c>
      <c r="I136" s="3">
        <v>2008</v>
      </c>
      <c r="J136" s="47">
        <v>2009</v>
      </c>
      <c r="K136" s="224">
        <v>2010</v>
      </c>
      <c r="L136" s="225">
        <v>2011</v>
      </c>
    </row>
    <row r="137" spans="1:20" s="218" customFormat="1" ht="13.5">
      <c r="A137" s="121" t="s">
        <v>46</v>
      </c>
      <c r="B137" s="102">
        <v>6566</v>
      </c>
      <c r="C137" s="92">
        <v>6232</v>
      </c>
      <c r="D137" s="92">
        <v>6013</v>
      </c>
      <c r="E137" s="92">
        <v>6129</v>
      </c>
      <c r="F137" s="92">
        <v>5372</v>
      </c>
      <c r="G137" s="52">
        <v>5780</v>
      </c>
      <c r="H137" s="52">
        <v>5840</v>
      </c>
      <c r="I137" s="52">
        <v>4220</v>
      </c>
      <c r="J137" s="52">
        <v>3099</v>
      </c>
      <c r="K137" s="49">
        <v>3920.6</v>
      </c>
      <c r="L137" s="50">
        <v>3988.7</v>
      </c>
    </row>
    <row r="138" spans="1:20" s="218" customFormat="1" ht="13.5">
      <c r="A138" s="129" t="s">
        <v>113</v>
      </c>
      <c r="B138" s="102" t="s">
        <v>20</v>
      </c>
      <c r="C138" s="92" t="s">
        <v>20</v>
      </c>
      <c r="D138" s="92" t="s">
        <v>20</v>
      </c>
      <c r="E138" s="92">
        <v>3320</v>
      </c>
      <c r="F138" s="92">
        <v>2980</v>
      </c>
      <c r="G138" s="51">
        <v>3880</v>
      </c>
      <c r="H138" s="52">
        <v>4020</v>
      </c>
      <c r="I138" s="52">
        <v>2780</v>
      </c>
      <c r="J138" s="52">
        <v>1949</v>
      </c>
      <c r="K138" s="51">
        <v>2390.8000000000002</v>
      </c>
      <c r="L138" s="53">
        <v>2472</v>
      </c>
    </row>
    <row r="139" spans="1:20" s="218" customFormat="1" ht="13.5">
      <c r="A139" s="129" t="s">
        <v>47</v>
      </c>
      <c r="B139" s="102">
        <v>698</v>
      </c>
      <c r="C139" s="92">
        <v>543</v>
      </c>
      <c r="D139" s="92">
        <v>359</v>
      </c>
      <c r="E139" s="92">
        <v>399</v>
      </c>
      <c r="F139" s="92">
        <v>225</v>
      </c>
      <c r="G139" s="92">
        <v>210</v>
      </c>
      <c r="H139" s="52">
        <v>90</v>
      </c>
      <c r="I139" s="51">
        <v>-470</v>
      </c>
      <c r="J139" s="51">
        <v>-575</v>
      </c>
      <c r="K139" s="51">
        <v>-60.2</v>
      </c>
      <c r="L139" s="53">
        <v>-5.4</v>
      </c>
    </row>
    <row r="140" spans="1:20" s="218" customFormat="1" ht="14.25" thickBot="1">
      <c r="A140" s="133" t="s">
        <v>45</v>
      </c>
      <c r="B140" s="226">
        <f t="shared" ref="B140:L140" si="10">B139/B137</f>
        <v>0.10630520865062443</v>
      </c>
      <c r="C140" s="227">
        <f t="shared" si="10"/>
        <v>8.7130937098844674E-2</v>
      </c>
      <c r="D140" s="227">
        <f t="shared" si="10"/>
        <v>5.9703974721436889E-2</v>
      </c>
      <c r="E140" s="227">
        <f t="shared" si="10"/>
        <v>6.5100342633382283E-2</v>
      </c>
      <c r="F140" s="227">
        <f t="shared" si="10"/>
        <v>4.1883842144452718E-2</v>
      </c>
      <c r="G140" s="227">
        <f t="shared" si="10"/>
        <v>3.6332179930795849E-2</v>
      </c>
      <c r="H140" s="227">
        <f t="shared" si="10"/>
        <v>1.5410958904109588E-2</v>
      </c>
      <c r="I140" s="227">
        <f t="shared" si="10"/>
        <v>-0.11137440758293839</v>
      </c>
      <c r="J140" s="227">
        <f t="shared" si="10"/>
        <v>-0.18554372378186512</v>
      </c>
      <c r="K140" s="138">
        <f t="shared" si="10"/>
        <v>-1.5354792633780544E-2</v>
      </c>
      <c r="L140" s="139">
        <f t="shared" si="10"/>
        <v>-1.3538245543660843E-3</v>
      </c>
    </row>
    <row r="141" spans="1:20">
      <c r="A141" s="6" t="s">
        <v>49</v>
      </c>
      <c r="B141" s="46"/>
      <c r="C141" s="46"/>
      <c r="D141" s="46"/>
      <c r="E141" s="46"/>
      <c r="F141" s="46"/>
      <c r="G141" s="46"/>
      <c r="H141" s="46"/>
    </row>
    <row r="142" spans="1:20" ht="13.5">
      <c r="A142" s="6" t="s">
        <v>48</v>
      </c>
      <c r="B142" s="46"/>
      <c r="C142" s="46"/>
      <c r="D142" s="46"/>
      <c r="E142" s="28"/>
      <c r="F142" s="28"/>
      <c r="G142" s="28"/>
      <c r="H142" s="28"/>
      <c r="I142" s="28"/>
      <c r="J142" s="28"/>
      <c r="K142" s="28"/>
    </row>
    <row r="143" spans="1:20">
      <c r="A143" s="6" t="s">
        <v>114</v>
      </c>
      <c r="B143" s="46"/>
      <c r="C143" s="46"/>
      <c r="D143" s="46"/>
      <c r="E143" s="46"/>
      <c r="F143" s="46"/>
      <c r="G143" s="46"/>
      <c r="H143" s="46"/>
    </row>
    <row r="144" spans="1:20" ht="14.25">
      <c r="B144" s="4"/>
      <c r="C144" s="4"/>
      <c r="D144" s="4"/>
      <c r="E144" s="4"/>
      <c r="F144" s="4"/>
      <c r="G144" s="4"/>
      <c r="H144" s="4"/>
      <c r="I144" s="4"/>
    </row>
    <row r="145" spans="1:12" s="45" customFormat="1" ht="13.5" customHeight="1" thickBot="1"/>
    <row r="146" spans="1:12" s="19" customFormat="1" ht="13.5">
      <c r="B146" s="15"/>
      <c r="C146" s="15"/>
      <c r="D146" s="15"/>
      <c r="E146" s="15"/>
      <c r="F146" s="15"/>
      <c r="G146" s="15"/>
      <c r="H146" s="15"/>
      <c r="I146" s="15"/>
    </row>
    <row r="147" spans="1:12" ht="13.5">
      <c r="A147" s="23" t="s">
        <v>409</v>
      </c>
      <c r="B147" s="8" t="s">
        <v>333</v>
      </c>
      <c r="C147" s="15"/>
      <c r="D147" s="15"/>
      <c r="E147" s="15"/>
      <c r="F147" s="15"/>
      <c r="G147" s="15"/>
      <c r="H147" s="15"/>
      <c r="I147" s="15"/>
    </row>
    <row r="148" spans="1:12" ht="14.25" thickBot="1">
      <c r="A148" s="15"/>
      <c r="B148" s="15"/>
      <c r="C148" s="15"/>
      <c r="D148" s="15"/>
      <c r="E148" s="15"/>
      <c r="F148" s="15"/>
      <c r="G148" s="15"/>
      <c r="H148" s="15"/>
      <c r="I148" s="15"/>
    </row>
    <row r="149" spans="1:12" s="218" customFormat="1" ht="14.25" thickBot="1">
      <c r="A149" s="125"/>
      <c r="B149" s="222">
        <v>2003</v>
      </c>
      <c r="C149" s="47">
        <v>2004</v>
      </c>
      <c r="D149" s="3">
        <v>2005</v>
      </c>
      <c r="E149" s="3">
        <v>2006</v>
      </c>
      <c r="F149" s="3">
        <v>2007</v>
      </c>
      <c r="G149" s="3">
        <v>2008</v>
      </c>
      <c r="H149" s="47">
        <v>2009</v>
      </c>
      <c r="I149" s="47">
        <v>2010</v>
      </c>
      <c r="J149" s="47">
        <v>2011</v>
      </c>
      <c r="K149" s="224">
        <v>2012</v>
      </c>
      <c r="L149" s="225">
        <v>2013</v>
      </c>
    </row>
    <row r="150" spans="1:12" s="218" customFormat="1" ht="13.5">
      <c r="A150" s="121" t="s">
        <v>46</v>
      </c>
      <c r="B150" s="102">
        <v>16782</v>
      </c>
      <c r="C150" s="92">
        <v>19081</v>
      </c>
      <c r="D150" s="92">
        <v>21713</v>
      </c>
      <c r="E150" s="52">
        <v>21930</v>
      </c>
      <c r="F150" s="52">
        <v>27170</v>
      </c>
      <c r="G150" s="52">
        <v>32100</v>
      </c>
      <c r="H150" s="52">
        <v>21080</v>
      </c>
      <c r="I150" s="52">
        <v>24041.5</v>
      </c>
      <c r="J150" s="52">
        <v>24905.200000000001</v>
      </c>
      <c r="K150" s="49">
        <v>28103.8</v>
      </c>
      <c r="L150" s="50">
        <v>28400.7</v>
      </c>
    </row>
    <row r="151" spans="1:12" s="218" customFormat="1" ht="13.5">
      <c r="A151" s="129" t="s">
        <v>113</v>
      </c>
      <c r="B151" s="102" t="s">
        <v>20</v>
      </c>
      <c r="C151" s="92">
        <v>13750</v>
      </c>
      <c r="D151" s="92">
        <v>15790</v>
      </c>
      <c r="E151" s="52">
        <v>16170</v>
      </c>
      <c r="F151" s="52">
        <v>21350</v>
      </c>
      <c r="G151" s="52">
        <v>25850</v>
      </c>
      <c r="H151" s="52">
        <v>15430</v>
      </c>
      <c r="I151" s="52">
        <v>18433.400000000001</v>
      </c>
      <c r="J151" s="52">
        <v>20520.8</v>
      </c>
      <c r="K151" s="51">
        <v>22613.8</v>
      </c>
      <c r="L151" s="53">
        <v>23882.2</v>
      </c>
    </row>
    <row r="152" spans="1:12" s="218" customFormat="1" ht="13.5">
      <c r="A152" s="129" t="s">
        <v>47</v>
      </c>
      <c r="B152" s="102">
        <v>929</v>
      </c>
      <c r="C152" s="92">
        <v>791</v>
      </c>
      <c r="D152" s="92">
        <v>825</v>
      </c>
      <c r="E152" s="92">
        <v>800</v>
      </c>
      <c r="F152" s="52">
        <v>1180</v>
      </c>
      <c r="G152" s="51">
        <v>2970</v>
      </c>
      <c r="H152" s="51">
        <v>1480</v>
      </c>
      <c r="I152" s="51">
        <v>1598.6</v>
      </c>
      <c r="J152" s="51">
        <v>665.5</v>
      </c>
      <c r="K152" s="51">
        <v>1750.2</v>
      </c>
      <c r="L152" s="53">
        <v>1903.8</v>
      </c>
    </row>
    <row r="153" spans="1:12" s="218" customFormat="1" ht="14.25" thickBot="1">
      <c r="A153" s="133" t="s">
        <v>45</v>
      </c>
      <c r="B153" s="226">
        <f t="shared" ref="B153:L153" si="11">B152/B150</f>
        <v>5.5356930044094865E-2</v>
      </c>
      <c r="C153" s="227">
        <f t="shared" si="11"/>
        <v>4.1454850374718306E-2</v>
      </c>
      <c r="D153" s="227">
        <f t="shared" si="11"/>
        <v>3.7995670796297148E-2</v>
      </c>
      <c r="E153" s="227">
        <f t="shared" si="11"/>
        <v>3.6479708162334701E-2</v>
      </c>
      <c r="F153" s="227">
        <f t="shared" si="11"/>
        <v>4.3430253956569749E-2</v>
      </c>
      <c r="G153" s="227">
        <f t="shared" si="11"/>
        <v>9.2523364485981308E-2</v>
      </c>
      <c r="H153" s="227">
        <f t="shared" si="11"/>
        <v>7.020872865275142E-2</v>
      </c>
      <c r="I153" s="227">
        <f t="shared" si="11"/>
        <v>6.6493355239897675E-2</v>
      </c>
      <c r="J153" s="227">
        <f t="shared" si="11"/>
        <v>2.6721327273019287E-2</v>
      </c>
      <c r="K153" s="138">
        <f t="shared" si="11"/>
        <v>6.2276275806118747E-2</v>
      </c>
      <c r="L153" s="139">
        <f t="shared" si="11"/>
        <v>6.703355903199569E-2</v>
      </c>
    </row>
    <row r="154" spans="1:12" ht="13.5">
      <c r="A154" s="6" t="s">
        <v>49</v>
      </c>
      <c r="B154" s="46"/>
      <c r="C154" s="46"/>
      <c r="D154" s="46"/>
      <c r="E154" s="46"/>
      <c r="F154" s="46"/>
      <c r="G154" s="46"/>
      <c r="H154" s="46"/>
      <c r="I154" s="27"/>
    </row>
    <row r="155" spans="1:12" ht="13.5">
      <c r="A155" s="6" t="s">
        <v>48</v>
      </c>
      <c r="B155" s="46"/>
      <c r="C155" s="46"/>
      <c r="D155" s="46"/>
      <c r="E155" s="28"/>
      <c r="F155" s="28"/>
      <c r="G155" s="28"/>
      <c r="H155" s="28"/>
      <c r="I155" s="28"/>
      <c r="J155" s="28"/>
      <c r="K155" s="28"/>
    </row>
    <row r="156" spans="1:12" ht="13.5">
      <c r="A156" s="6" t="s">
        <v>114</v>
      </c>
      <c r="B156" s="46"/>
      <c r="C156" s="46"/>
      <c r="D156" s="46"/>
      <c r="E156" s="54"/>
      <c r="F156" s="54"/>
      <c r="G156" s="54"/>
      <c r="H156" s="54"/>
      <c r="I156" s="54"/>
      <c r="J156" s="54"/>
      <c r="K156" s="28"/>
    </row>
    <row r="158" spans="1:12" s="45" customFormat="1" ht="13.5" customHeight="1" thickBot="1"/>
    <row r="159" spans="1:12" s="19" customFormat="1" ht="13.5">
      <c r="B159" s="15"/>
      <c r="C159" s="15"/>
      <c r="D159" s="15"/>
      <c r="E159" s="15"/>
      <c r="F159" s="15"/>
      <c r="G159" s="15"/>
      <c r="H159" s="15"/>
      <c r="I159" s="15"/>
    </row>
  </sheetData>
  <sheetProtection algorithmName="SHA-512" hashValue="ki3e44J6kGg8Zyn0X/MJXdI/xpZmy8XeNDjXjtBPP7eIecFg8h/4+hTK3NDEbP+GH2RrUanMEUdstBlofhF9zA==" saltValue="jgNRAPZFLbG4L2pdBGeZqQ==" spinCount="100000" sheet="1" formatCells="0" formatColumns="0" formatRows="0" insertColumns="0" insertRows="0" insertHyperlinks="0" deleteColumns="0" deleteRows="0" sort="0" autoFilter="0" pivotTables="0"/>
  <phoneticPr fontId="0" type="noConversion"/>
  <pageMargins left="0.74803149606299213" right="0.74803149606299213" top="0.98425196850393704" bottom="0.98425196850393704" header="0.51181102362204722" footer="0.51181102362204722"/>
  <pageSetup paperSize="9" scale="65" orientation="landscape" r:id="rId1"/>
  <headerFooter alignWithMargins="0">
    <oddHeader>&amp;CProfils</oddHeader>
    <oddFooter>&amp;L&amp;"StopD,Normal"&amp;26MSI &amp;"Arial,Normal"&amp;10Reports
www.msi-reports.com&amp;RMarché de la Robinetterie Sanitaire en France
Novembre 2015</oddFooter>
  </headerFooter>
  <rowBreaks count="4" manualBreakCount="4">
    <brk id="41" max="16383" man="1"/>
    <brk id="53" max="16383" man="1"/>
    <brk id="93" max="16383" man="1"/>
    <brk id="13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6</vt:i4>
      </vt:variant>
    </vt:vector>
  </HeadingPairs>
  <TitlesOfParts>
    <vt:vector size="12" baseType="lpstr">
      <vt:lpstr>PEISR</vt:lpstr>
      <vt:lpstr>Taille de Marché</vt:lpstr>
      <vt:lpstr>Échanges Internationaux</vt:lpstr>
      <vt:lpstr>Distribution</vt:lpstr>
      <vt:lpstr>Parts de Marché</vt:lpstr>
      <vt:lpstr>Profils</vt:lpstr>
      <vt:lpstr>Distribution!Zone_d_impression</vt:lpstr>
      <vt:lpstr>'Échanges Internationaux'!Zone_d_impression</vt:lpstr>
      <vt:lpstr>'Parts de Marché'!Zone_d_impression</vt:lpstr>
      <vt:lpstr>PEISR!Zone_d_impression</vt:lpstr>
      <vt:lpstr>Profils!Zone_d_impression</vt:lpstr>
      <vt:lpstr>'Taille de Marché'!Zone_d_impression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Geneviève</dc:creator>
  <cp:lastModifiedBy>Andrew</cp:lastModifiedBy>
  <cp:lastPrinted>2015-11-04T08:11:10Z</cp:lastPrinted>
  <dcterms:created xsi:type="dcterms:W3CDTF">1996-10-14T23:33:28Z</dcterms:created>
  <dcterms:modified xsi:type="dcterms:W3CDTF">2015-11-04T08:11:49Z</dcterms:modified>
</cp:coreProperties>
</file>