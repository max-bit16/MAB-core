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hidePivotFieldList="1" defaultThemeVersion="124226"/>
  <mc:AlternateContent xmlns:mc="http://schemas.openxmlformats.org/markup-compatibility/2006">
    <mc:Choice Requires="x15">
      <x15ac:absPath xmlns:x15ac="http://schemas.microsoft.com/office/spreadsheetml/2010/11/ac" url="/Users/maxlevy-soula/Desktop/COS - CDC/"/>
    </mc:Choice>
  </mc:AlternateContent>
  <xr:revisionPtr revIDLastSave="0" documentId="13_ncr:1_{99C298EA-8667-B74E-8FB5-4D5B9328D4F7}" xr6:coauthVersionLast="47" xr6:coauthVersionMax="47" xr10:uidLastSave="{00000000-0000-0000-0000-000000000000}"/>
  <bookViews>
    <workbookView xWindow="260" yWindow="520" windowWidth="21860" windowHeight="16360" activeTab="3" xr2:uid="{00000000-000D-0000-FFFF-FFFF00000000}"/>
  </bookViews>
  <sheets>
    <sheet name="Zones" sheetId="1" r:id="rId1"/>
    <sheet name="Calcul Market sur la base de CB" sheetId="4" r:id="rId2"/>
    <sheet name="Feuille CB calcul Market" sheetId="3" r:id="rId3"/>
    <sheet name="Budget"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 r="E17" i="5"/>
  <c r="F17" i="5"/>
  <c r="G17" i="5"/>
  <c r="D17" i="5"/>
  <c r="E11" i="5"/>
  <c r="F11" i="5"/>
  <c r="G11" i="5"/>
  <c r="H11" i="5"/>
  <c r="D11" i="5"/>
  <c r="I48" i="5"/>
  <c r="I47" i="5"/>
  <c r="I42" i="5"/>
  <c r="I41" i="5"/>
  <c r="I40" i="5"/>
  <c r="I39" i="5"/>
  <c r="I38" i="5"/>
  <c r="I37" i="5"/>
  <c r="I36" i="5"/>
  <c r="I35" i="5"/>
  <c r="I34" i="5"/>
  <c r="I33" i="5"/>
  <c r="I32" i="5"/>
  <c r="I31" i="5"/>
  <c r="I30" i="5"/>
  <c r="H29" i="5"/>
  <c r="G29" i="5"/>
  <c r="F29" i="5"/>
  <c r="E29" i="5"/>
  <c r="I29" i="5" s="1"/>
  <c r="D29" i="5"/>
  <c r="I28" i="5"/>
  <c r="H27" i="5"/>
  <c r="G27" i="5"/>
  <c r="F27" i="5"/>
  <c r="E27" i="5"/>
  <c r="D27" i="5"/>
  <c r="I27" i="5" s="1"/>
  <c r="H26" i="5"/>
  <c r="G26" i="5"/>
  <c r="F26" i="5"/>
  <c r="I26" i="5" s="1"/>
  <c r="E26" i="5"/>
  <c r="D26" i="5"/>
  <c r="I25" i="5"/>
  <c r="H24" i="5"/>
  <c r="G24" i="5"/>
  <c r="F24" i="5"/>
  <c r="E24" i="5"/>
  <c r="I24" i="5" s="1"/>
  <c r="D24" i="5"/>
  <c r="I23" i="5"/>
  <c r="I22" i="5"/>
  <c r="I21" i="5"/>
  <c r="I20" i="5"/>
  <c r="H19" i="5"/>
  <c r="G19" i="5"/>
  <c r="E19" i="5"/>
  <c r="D19" i="5"/>
  <c r="H18" i="5"/>
  <c r="G18" i="5"/>
  <c r="F18" i="5"/>
  <c r="E18" i="5"/>
  <c r="D18" i="5"/>
  <c r="D45" i="5" s="1"/>
  <c r="F19" i="5"/>
  <c r="I16" i="5"/>
  <c r="I15" i="5"/>
  <c r="I14" i="5"/>
  <c r="I13" i="5"/>
  <c r="I12" i="5"/>
  <c r="I11" i="5"/>
  <c r="I9" i="5"/>
  <c r="I8" i="5"/>
  <c r="F32" i="4"/>
  <c r="J6" i="4"/>
  <c r="G12" i="4"/>
  <c r="J25" i="4"/>
  <c r="K25" i="4" s="1"/>
  <c r="J28" i="4"/>
  <c r="K28" i="4" s="1"/>
  <c r="I16" i="4"/>
  <c r="J16" i="4" s="1"/>
  <c r="K16" i="4" s="1"/>
  <c r="I11" i="4"/>
  <c r="J11" i="4" s="1"/>
  <c r="K11" i="4" s="1"/>
  <c r="I34" i="4"/>
  <c r="J34" i="4" s="1"/>
  <c r="K34" i="4" s="1"/>
  <c r="I24" i="4"/>
  <c r="J24" i="4" s="1"/>
  <c r="K24" i="4" s="1"/>
  <c r="I31" i="4"/>
  <c r="J31" i="4" s="1"/>
  <c r="K31" i="4" s="1"/>
  <c r="I26" i="4"/>
  <c r="J26" i="4" s="1"/>
  <c r="K26" i="4" s="1"/>
  <c r="I19" i="4"/>
  <c r="J19" i="4" s="1"/>
  <c r="K19" i="4" s="1"/>
  <c r="I35" i="4"/>
  <c r="J35" i="4" s="1"/>
  <c r="K35" i="4" s="1"/>
  <c r="I17" i="4"/>
  <c r="J17" i="4" s="1"/>
  <c r="K17" i="4" s="1"/>
  <c r="I22" i="4"/>
  <c r="J22" i="4" s="1"/>
  <c r="K22" i="4" s="1"/>
  <c r="I21" i="4"/>
  <c r="J21" i="4" s="1"/>
  <c r="K21" i="4" s="1"/>
  <c r="I10" i="4"/>
  <c r="J10" i="4" s="1"/>
  <c r="K10" i="4" s="1"/>
  <c r="I36" i="4"/>
  <c r="J36" i="4" s="1"/>
  <c r="K36" i="4" s="1"/>
  <c r="I6" i="4"/>
  <c r="K6" i="4" s="1"/>
  <c r="I25" i="4"/>
  <c r="I29" i="4"/>
  <c r="J29" i="4" s="1"/>
  <c r="K29" i="4" s="1"/>
  <c r="I37" i="4"/>
  <c r="J37" i="4" s="1"/>
  <c r="K37" i="4" s="1"/>
  <c r="I14" i="4"/>
  <c r="J14" i="4" s="1"/>
  <c r="K14" i="4" s="1"/>
  <c r="I32" i="4"/>
  <c r="J32" i="4" s="1"/>
  <c r="K32" i="4" s="1"/>
  <c r="I13" i="4"/>
  <c r="J13" i="4" s="1"/>
  <c r="K13" i="4" s="1"/>
  <c r="I27" i="4"/>
  <c r="J27" i="4" s="1"/>
  <c r="K27" i="4" s="1"/>
  <c r="I23" i="4"/>
  <c r="J23" i="4" s="1"/>
  <c r="K23" i="4" s="1"/>
  <c r="I38" i="4"/>
  <c r="J38" i="4" s="1"/>
  <c r="K38" i="4" s="1"/>
  <c r="I4" i="4"/>
  <c r="J4" i="4" s="1"/>
  <c r="K4" i="4" s="1"/>
  <c r="I20" i="4"/>
  <c r="J20" i="4" s="1"/>
  <c r="K20" i="4" s="1"/>
  <c r="I18" i="4"/>
  <c r="J18" i="4" s="1"/>
  <c r="K18" i="4" s="1"/>
  <c r="I12" i="4"/>
  <c r="J12" i="4" s="1"/>
  <c r="K12" i="4" s="1"/>
  <c r="I33" i="4"/>
  <c r="J33" i="4" s="1"/>
  <c r="K33" i="4" s="1"/>
  <c r="I9" i="4"/>
  <c r="J9" i="4" s="1"/>
  <c r="K9" i="4" s="1"/>
  <c r="I7" i="4"/>
  <c r="J7" i="4" s="1"/>
  <c r="K7" i="4" s="1"/>
  <c r="I28" i="4"/>
  <c r="I30" i="4"/>
  <c r="J30" i="4" s="1"/>
  <c r="K30" i="4" s="1"/>
  <c r="I15" i="4"/>
  <c r="J15" i="4" s="1"/>
  <c r="K15" i="4" s="1"/>
  <c r="H34" i="4"/>
  <c r="G28" i="4"/>
  <c r="H28" i="4" s="1"/>
  <c r="F33" i="4"/>
  <c r="G33" i="4" s="1"/>
  <c r="H33" i="4" s="1"/>
  <c r="F9" i="4"/>
  <c r="G9" i="4" s="1"/>
  <c r="H9" i="4" s="1"/>
  <c r="F7" i="4"/>
  <c r="G7" i="4" s="1"/>
  <c r="H7" i="4" s="1"/>
  <c r="F28" i="4"/>
  <c r="F30" i="4"/>
  <c r="G30" i="4" s="1"/>
  <c r="H30" i="4" s="1"/>
  <c r="G34" i="4"/>
  <c r="G35" i="4"/>
  <c r="H35" i="4" s="1"/>
  <c r="G17" i="4"/>
  <c r="H17" i="4" s="1"/>
  <c r="G22" i="4"/>
  <c r="H22" i="4" s="1"/>
  <c r="G36" i="4"/>
  <c r="H36" i="4" s="1"/>
  <c r="G37" i="4"/>
  <c r="H37" i="4" s="1"/>
  <c r="G38" i="4"/>
  <c r="H38" i="4" s="1"/>
  <c r="F14" i="4"/>
  <c r="G14" i="4" s="1"/>
  <c r="H14" i="4" s="1"/>
  <c r="G32" i="4"/>
  <c r="H32" i="4" s="1"/>
  <c r="F13" i="4"/>
  <c r="G13" i="4" s="1"/>
  <c r="H13" i="4" s="1"/>
  <c r="F27" i="4"/>
  <c r="G27" i="4" s="1"/>
  <c r="H27" i="4" s="1"/>
  <c r="F23" i="4"/>
  <c r="G23" i="4" s="1"/>
  <c r="H23" i="4" s="1"/>
  <c r="F4" i="4"/>
  <c r="G4" i="4" s="1"/>
  <c r="H4" i="4" s="1"/>
  <c r="F20" i="4"/>
  <c r="G20" i="4" s="1"/>
  <c r="H20" i="4" s="1"/>
  <c r="F18" i="4"/>
  <c r="G18" i="4" s="1"/>
  <c r="H18" i="4" s="1"/>
  <c r="F12" i="4"/>
  <c r="H12" i="4" s="1"/>
  <c r="F24" i="4"/>
  <c r="G24" i="4" s="1"/>
  <c r="H24" i="4" s="1"/>
  <c r="F11" i="4"/>
  <c r="G11" i="4" s="1"/>
  <c r="H11" i="4" s="1"/>
  <c r="F31" i="4"/>
  <c r="G31" i="4" s="1"/>
  <c r="H31" i="4" s="1"/>
  <c r="F26" i="4"/>
  <c r="G26" i="4" s="1"/>
  <c r="H26" i="4" s="1"/>
  <c r="F19" i="4"/>
  <c r="G19" i="4" s="1"/>
  <c r="H19" i="4" s="1"/>
  <c r="F17" i="4"/>
  <c r="F22" i="4"/>
  <c r="F21" i="4"/>
  <c r="G21" i="4" s="1"/>
  <c r="H21" i="4" s="1"/>
  <c r="F10" i="4"/>
  <c r="G10" i="4" s="1"/>
  <c r="H10" i="4" s="1"/>
  <c r="F6" i="4"/>
  <c r="G6" i="4" s="1"/>
  <c r="H6" i="4" s="1"/>
  <c r="F25" i="4"/>
  <c r="G25" i="4" s="1"/>
  <c r="H25" i="4" s="1"/>
  <c r="F29" i="4"/>
  <c r="G29" i="4" s="1"/>
  <c r="H29" i="4" s="1"/>
  <c r="F16" i="4"/>
  <c r="G8" i="4"/>
  <c r="H8" i="4" s="1"/>
  <c r="G5" i="4"/>
  <c r="H5" i="4" s="1"/>
  <c r="G3" i="4"/>
  <c r="F19" i="3"/>
  <c r="F14" i="3"/>
  <c r="M30" i="3"/>
  <c r="L30" i="3"/>
  <c r="I28" i="3"/>
  <c r="J28" i="3" s="1"/>
  <c r="K28" i="3" s="1"/>
  <c r="F28" i="3"/>
  <c r="G28" i="3" s="1"/>
  <c r="H28" i="3" s="1"/>
  <c r="I27" i="3"/>
  <c r="J27" i="3" s="1"/>
  <c r="K27" i="3" s="1"/>
  <c r="G27" i="3"/>
  <c r="H27" i="3" s="1"/>
  <c r="F27" i="3"/>
  <c r="J26" i="3"/>
  <c r="K26" i="3" s="1"/>
  <c r="I26" i="3"/>
  <c r="F26" i="3"/>
  <c r="G26" i="3" s="1"/>
  <c r="H26" i="3" s="1"/>
  <c r="I25" i="3"/>
  <c r="I31" i="3" s="1"/>
  <c r="F25" i="3"/>
  <c r="G25" i="3" s="1"/>
  <c r="H25" i="3" s="1"/>
  <c r="I24" i="3"/>
  <c r="J24" i="3" s="1"/>
  <c r="K24" i="3" s="1"/>
  <c r="F24" i="3"/>
  <c r="G24" i="3" s="1"/>
  <c r="H24" i="3" s="1"/>
  <c r="I23" i="3"/>
  <c r="J23" i="3" s="1"/>
  <c r="K23" i="3" s="1"/>
  <c r="G23" i="3"/>
  <c r="H23" i="3" s="1"/>
  <c r="F23" i="3"/>
  <c r="J22" i="3"/>
  <c r="K22" i="3" s="1"/>
  <c r="I22" i="3"/>
  <c r="F22" i="3"/>
  <c r="G22" i="3" s="1"/>
  <c r="H22" i="3" s="1"/>
  <c r="I21" i="3"/>
  <c r="J21" i="3" s="1"/>
  <c r="K21" i="3" s="1"/>
  <c r="F21" i="3"/>
  <c r="G21" i="3" s="1"/>
  <c r="H21" i="3" s="1"/>
  <c r="I20" i="3"/>
  <c r="J20" i="3" s="1"/>
  <c r="K20" i="3" s="1"/>
  <c r="H7" i="3" s="1"/>
  <c r="F20" i="3"/>
  <c r="G20" i="3" s="1"/>
  <c r="H20" i="3" s="1"/>
  <c r="I19" i="3"/>
  <c r="J19" i="3" s="1"/>
  <c r="K19" i="3" s="1"/>
  <c r="G19" i="3"/>
  <c r="H19" i="3" s="1"/>
  <c r="J18" i="3"/>
  <c r="K18" i="3" s="1"/>
  <c r="I18" i="3"/>
  <c r="G18" i="3"/>
  <c r="H18" i="3" s="1"/>
  <c r="F18" i="3"/>
  <c r="K17" i="3"/>
  <c r="J17" i="3"/>
  <c r="G17" i="3"/>
  <c r="H17" i="3" s="1"/>
  <c r="F17" i="3"/>
  <c r="O16" i="3"/>
  <c r="P16" i="3" s="1"/>
  <c r="J16" i="3"/>
  <c r="K16" i="3" s="1"/>
  <c r="I16" i="3"/>
  <c r="G16" i="3"/>
  <c r="H16" i="3" s="1"/>
  <c r="F16" i="3"/>
  <c r="O15" i="3"/>
  <c r="P15" i="3" s="1"/>
  <c r="Q15" i="3" s="1"/>
  <c r="I15" i="3"/>
  <c r="J15" i="3" s="1"/>
  <c r="K15" i="3" s="1"/>
  <c r="F15" i="3"/>
  <c r="G15" i="3" s="1"/>
  <c r="H15" i="3" s="1"/>
  <c r="P14" i="3"/>
  <c r="Q14" i="3" s="1"/>
  <c r="I14" i="3"/>
  <c r="J14" i="3" s="1"/>
  <c r="K14" i="3" s="1"/>
  <c r="G14" i="3"/>
  <c r="H14" i="3" s="1"/>
  <c r="K13" i="3"/>
  <c r="G13" i="3"/>
  <c r="H13" i="3" s="1"/>
  <c r="F13" i="3"/>
  <c r="K12" i="3"/>
  <c r="H12" i="3"/>
  <c r="G12" i="3"/>
  <c r="K11" i="3"/>
  <c r="F11" i="3"/>
  <c r="G11" i="3" s="1"/>
  <c r="H11" i="3" s="1"/>
  <c r="K10" i="3"/>
  <c r="G10" i="3"/>
  <c r="H10" i="3" s="1"/>
  <c r="F10" i="3"/>
  <c r="K9" i="3"/>
  <c r="G9" i="3"/>
  <c r="G6" i="3"/>
  <c r="D6" i="3"/>
  <c r="E5" i="3"/>
  <c r="D5" i="3"/>
  <c r="E3" i="3"/>
  <c r="C3" i="3"/>
  <c r="H45" i="5" l="1"/>
  <c r="F45" i="5"/>
  <c r="I18" i="5"/>
  <c r="E45" i="5"/>
  <c r="G45" i="5"/>
  <c r="I19" i="5"/>
  <c r="I17" i="5"/>
  <c r="I10" i="5"/>
  <c r="F15" i="4"/>
  <c r="G15" i="4" s="1"/>
  <c r="H15" i="4" s="1"/>
  <c r="G16" i="4"/>
  <c r="H16" i="4" s="1"/>
  <c r="J25" i="3"/>
  <c r="K25" i="3" s="1"/>
  <c r="I45" i="5" l="1"/>
</calcChain>
</file>

<file path=xl/sharedStrings.xml><?xml version="1.0" encoding="utf-8"?>
<sst xmlns="http://schemas.openxmlformats.org/spreadsheetml/2006/main" count="425" uniqueCount="249">
  <si>
    <t>Continent</t>
  </si>
  <si>
    <t>Zone</t>
  </si>
  <si>
    <t>Pays</t>
  </si>
  <si>
    <t>Population (millions)</t>
  </si>
  <si>
    <t>PIB/hab</t>
  </si>
  <si>
    <t>Europe</t>
  </si>
  <si>
    <t>Afrique</t>
  </si>
  <si>
    <t>Asie</t>
  </si>
  <si>
    <t>Zone 1</t>
  </si>
  <si>
    <t>Zone 2</t>
  </si>
  <si>
    <t>Zone 3</t>
  </si>
  <si>
    <t>Lettonie</t>
  </si>
  <si>
    <t>Estonie</t>
  </si>
  <si>
    <t>Lituanie</t>
  </si>
  <si>
    <t>Moldavie</t>
  </si>
  <si>
    <t>Kosovo</t>
  </si>
  <si>
    <t>Macédoine du Nord</t>
  </si>
  <si>
    <t>Bosnie-Herzégovine</t>
  </si>
  <si>
    <t>Sénégal</t>
  </si>
  <si>
    <t>Mali</t>
  </si>
  <si>
    <t>Guinée</t>
  </si>
  <si>
    <t>Côte d’Ivoire</t>
  </si>
  <si>
    <t>Nigéria</t>
  </si>
  <si>
    <t>Niger</t>
  </si>
  <si>
    <t>Tchad</t>
  </si>
  <si>
    <t>Cameroun</t>
  </si>
  <si>
    <t>République Centrafricaine</t>
  </si>
  <si>
    <t>République Démocratique du Congo</t>
  </si>
  <si>
    <t>République du Congo</t>
  </si>
  <si>
    <t>Gabon</t>
  </si>
  <si>
    <t>Turquie</t>
  </si>
  <si>
    <t>Arménie</t>
  </si>
  <si>
    <t>Géorgie</t>
  </si>
  <si>
    <t>Azerbaïdjan</t>
  </si>
  <si>
    <t>Ouzbékistan</t>
  </si>
  <si>
    <t>Kazakhstan</t>
  </si>
  <si>
    <t>Kirghizistan</t>
  </si>
  <si>
    <t>Tadjikistan</t>
  </si>
  <si>
    <t>IDE Français</t>
  </si>
  <si>
    <t>Urbanisation</t>
  </si>
  <si>
    <t>57.58%</t>
  </si>
  <si>
    <t>68.67%</t>
  </si>
  <si>
    <t>69.81%</t>
  </si>
  <si>
    <t>68.69%</t>
  </si>
  <si>
    <t>43.37%</t>
  </si>
  <si>
    <t>x</t>
  </si>
  <si>
    <t>59.48%</t>
  </si>
  <si>
    <t>50.27%</t>
  </si>
  <si>
    <t>49.58%</t>
  </si>
  <si>
    <t>46.19%</t>
  </si>
  <si>
    <t>38.09%</t>
  </si>
  <si>
    <t>53.15%</t>
  </si>
  <si>
    <t>54.28%</t>
  </si>
  <si>
    <t>17.05%</t>
  </si>
  <si>
    <t>24.37%</t>
  </si>
  <si>
    <t>59.32%</t>
  </si>
  <si>
    <t>43.61%</t>
  </si>
  <si>
    <t>47.44%</t>
  </si>
  <si>
    <t>69.19%</t>
  </si>
  <si>
    <t>91.03%</t>
  </si>
  <si>
    <t>77.46%</t>
  </si>
  <si>
    <t>63.74%</t>
  </si>
  <si>
    <t>60.73%</t>
  </si>
  <si>
    <t>50.53%</t>
  </si>
  <si>
    <t>58.18%</t>
  </si>
  <si>
    <t>37.80%</t>
  </si>
  <si>
    <t>28.23%</t>
  </si>
  <si>
    <t>La France était le 8ème investisseur étranger en Moldavie en 2023[2], avec un stock d'IDE en hausse de +30% sur un an, à 202,9 M€ sur un total de 4,6 Mds€</t>
  </si>
  <si>
    <t xml:space="preserve">66,8 MEUR en provenance de France ; 14ème investisseur du pays </t>
  </si>
  <si>
    <t>En 2022 la France était le 34ème investisseur en Macédoine du Nord, avec un stock d'IDE de 17,5 MEUR</t>
  </si>
  <si>
    <t>La France occupe le 27ème rang (-2 places par rapport à 2021) avec un stock d'IDE de 14,0 MEUR</t>
  </si>
  <si>
    <t>La France reste le premier investisseur au Sénégal avec 16% des stocks d’IDE en 2023, mais voit son poids relatif décliner progressivement (66% du stock d’IDE en 2015). Toutefois, les stocks d’IDE français au Sénégal ont connu une forte hausse entre 2011 et 2023, passant de 980 M EUR à 2,4 Mds EUR(+144%) sur la période.</t>
  </si>
  <si>
    <t>La France est le 6ème fournisseur du pays. D’après la Banque de France, en 2022, le stock d’IDE français au Mali s’est élevé à 179 M EUR</t>
  </si>
  <si>
    <t>Selon la Banque de France, en 2022, le stock d'IDE net français en Guinée s'établit à 186 M EUR tandis que les flux nets d'investissements français en Guinée ont été de -12 M EUR (-5 M EUR en 2021).</t>
  </si>
  <si>
    <t>Résumé FICHE PAYS - BPI France</t>
  </si>
  <si>
    <t>Contexte économique
La croissance est attendue à 4,1 % en 2024 (après 5,7 % en 2023), affectée par l’explosion d’un dépôt de carburant. Reprise estimée à 5,6 % en 2025. PIB estimé à 25 Mds USD, inflation à 11 %.
Secteurs clés
Secteur minier dominant (bauxite, or, fer), 90 % des exportations. Projets majeurs : Simandou (fer), GNL (Kamsar), Amaria (hydro). Agriculture (25 % du PIB) et numérique (Orange Digital Center) en développement.
Finances publiques
Déficit budgétaire prévu à –3 % du PIB en 2024. Dette publique modérée (35,1 % du PIB). Endettement majoritairement concessionnel, peu risqué à court terme.
Comptes extérieurs
Déficit courant élevé (–10,6 % du PIB). Réserves de change faibles (2,2 mois d’importations). IDE concentrés dans le secteur minier (9,3 % du PIB en 2023).
Secteur bancaire
Peu profond, dominé par 8 banques. Prêts concentrés sur le commerce et les transports. Taux de créances douteuses élevé (11 %).
Climat des affaires et gouvernance
Environnement juridique et réglementaire peu favorable (rang 184/214 en gouvernance). Corruption élevée. Transition politique en cours, élections prévues en 2025.
Enjeux environnementaux
Forte vulnérabilité climatique. Faibles émissions de CO2 mais pression environnementale du secteur minier. Potentiel important en hydroélectricité.
Opportunités
Infrastructures minières, transformation locale des minerais, énergies renouvelables, agriculture, services numériques.</t>
  </si>
  <si>
    <t>Contexte économique
Le Cameroun reste la première économie de la CEMAC avec un PIB de 56 Mds USD en 2025 et une croissance estimée à 3,6 %, portée par les infrastructures, l’agriculture et le gaz naturel. L’inflation est maîtrisée (3,4 %), mais la croissance reste exposée à des risques politiques internes et à la baisse des revenus pétroliers. Le pays table sur une accélération modérée à 4 % en 2026.
Secteurs clés
Agriculture : 20 % du PIB, 60 % des emplois (cacao, café, banane).
Hydrocarbures : pétrole en déclin, gaz naturel en forte progression (site flottant Hilli Episeyo).
Mines : projets actifs sur la bauxite, le fer, le nickel, le cobalt, et exploration du lithium.
Industrie : cimenterie en croissance, part de 15 % du PIB.
Services : plus de 50 % du PIB, dominés par le commerce et les transports.
Finances publiques
Le déficit budgétaire reste modéré (–0,8 % du PIB en 2025), avec une dette publique en baisse (39,9 % du PIB en 2025). Toutefois, le poids du service de la dette reste élevé (près de 32 % des recettes budgétaires), avec un risque de surendettement toujours considéré comme élevé par le FMI. Les arriérés domestiques diminuent, mais restent un sujet sensible.
Comptes extérieurs
Le déficit courant reste contenu (–2,8 % du PIB en 2025) malgré une baisse attendue des exportations pétrolières. Le commerce est dominé par les matières premières : cacao (15–17 %), pétrole (50 % des exportations), bois, coton. Les réserves de la CEMAC couvrent environ 4,5 mois d’importations, en amélioration grâce aux politiques régionales.
Système bancaire
Le système bancaire est stable mais exposé au risque souverain (37 % des actifs détenus en titres publics). Le taux de créances douteuses est élevé mais stable (~13 %). Des réformes sont en cours pour créer un registre de crédit, un système de rating et un fonds de garantie PME.
Climat des affaires
Peu favorable : le Cameroun est classé 187ᵉ/214 pays par la Banque mondiale en matière de gouvernance. La corruption et les tensions politiques freinent les investissements. Le climat sécuritaire reste instable dans les régions anglophones et au nord face à Boko Haram.
Politique et gouvernance
Paul Biya, au pouvoir depuis 1982, pourrait se représenter à l’élection présidentielle d’octobre 2025. Le contexte électoral est propice à une hausse des tensions sociales et politiques, notamment en raison de la répression de l’opposition et du conflit non résolu dans les régions anglophones.
Environnement
Le Cameroun est très vulnérable au changement climatique (133ᵉ/181), avec des risques accrus d’inondations et de déforestation. Cependant, le pays bénéficie d’un mix énergétique majoritairement renouvelable (hydroélectricité) et a lancé plusieurs projets solaires. Un financement du FMI (183 M$) a été accordé en 2024 au titre de la Facilité pour la Résilience et la Durabilité.</t>
  </si>
  <si>
    <t>Économie
Croissance soutenue à +6,5 % en 2024 et 2025, tirée par l’agriculture (cacao, anacarde), les hydrocarbures (champ Baleine) et les mines (or, manganèse, lithium). Le PND 2021–2025 stimule les investissements publics et privés. PIB estimé à 95,5 Mds USD en 2025.
Secteurs clés
Agriculture (17 % du PIB, 40 % de la production mondiale de cacao)
Hydrocarbures (objectif 150 000 barils/j d’ici 2027)
Mines (or, manganèse, lithium)
Industrie agroalimentaire dynamique
Services (commerce, transport, tourisme, numérique)
Finances publiques
Déficit budgétaire attendu à –3 % du PIB en 2025. Dette publique maîtrisée (55,9 % du PIB), service élevé mais en baisse. Réformes fiscales en cours (digitalisation, hausse des recettes).
Échanges extérieurs
Exportations dominées par le cacao (&gt;35 %). Déficit courant en nette amélioration (–1,3 % du PIB prévu en 2025). IDE en hausse, France 1er investisseur. Risque de change atténué (FCFA indexé à l’euro).
Secteur bancaire
Solide (ratio de fonds propres &gt;13 %). NPL à 7,3 %, inférieur à la moyenne UEMOA. Système globalement sain malgré des faiblesses sur deux banques publiques.
Gouvernance &amp; politique
Situation politique apaisée depuis 2020 mais incertitudes avant la présidentielle de 2025. Fragilité sécuritaire au nord (risque terroriste). Inclusion sur la liste grise du GAFI en 2024.
Environnement
Très vulnérable au changement climatique. Objectif de 45 % d’énergies renouvelables d’ici 2030. Projets en cours (biomasse, solaire, reforestation via crédits carbone). Financement FMI de 1,3 Md USD obtenu en 2024 pour la résilience climatique.</t>
  </si>
  <si>
    <t>Économie
Croissance modérée attendue à +3,3 % en 2024, freinée par l’inflation élevée (33 %) et des taux d’intérêt très hauts (26,25 %). PIB estimé à 253 Mds USD. Croissance tirée par les services (TIC, commerce). Le pétrole reste clé (90 % des exportations) mais la production est contrainte.
Secteurs clés
Pétrole (40 % recettes budgétaires) &amp; gaz (projets d’export)
Services (43 % du PIB)
Agriculture (23 % du PIB)
Début d’industrialisation (raffinerie Dangote, lithium, gazoducs)
Finances publiques
Déficit élevé (–4,6 % du PIB en 2024), dette publique en hausse (46,6 %). Poids du service de la dette très lourd (77 % des recettes fédérales). Réformes fiscales engagées mais recettes encore faibles.
Échanges extérieurs
Léger excédent courant en 2024 (+0,6 %) grâce à la baisse des importations. Dette extérieure en hausse rapide (44 % du PIB), forte volatilité du naira. Réserves de change en baisse (5 mois d’importations).
Climat des affaires &amp; politique
Risque élevé : gouvernance faible (rang 184/214), corruption, instabilité sécuritaire (Boko Haram, tensions dans le Delta). Président Tinubu élu en 2023. Réformes attendues mais effets lents à se concrétiser.
Environnement
Très vulnérable au climat. Objectif –20 % à –47 % d’émissions de GES d’ici 2030, neutralité carbone en 2060. Engagements annoncés, mais dépendance persistante aux énergies fossiles.</t>
  </si>
  <si>
    <t>Économie
Croissance prévue à +6,9 % en 2021 après un ralentissement à +1,2 % en 2020 (COVID-19, inondations, fermeture des frontières). PIB estimé à 16 Mds USD. Économie dominée par l’agriculture (38 % du PIB) et les projets d’infrastructure (oléoduc Agadem-Sèmè, barrage Kandadji).
Secteurs clés
Agriculture vivrière (80 % pop. active)
Mines : uranium (40 % des exportations), or (exploité artisanalement), pétrole (en développement)
Industrie peu développée, activités artisanales (savons, agro)
Projets miniers &amp; énergétiques en cours
Finances publiques
Déficit public élevé (–4,4 % du PIB en 2021). Dette publique autour de 45 %. Service de la dette lourd (jusqu’à 45 % des recettes). Dépendance à l’endettement extérieur concessionnel.
Échanges extérieurs
Déficit courant très important (–17 % du PIB). Exportations concentrées sur uranium, pétrole, or. Importations alimentaires et équipements en hausse. Risque élevé lié à la volatilité des cours. IDE concentrés dans les mines.
Système bancaire
Faible bancarisation (15,5 %), secteur dominé par 5 banques. Risques élevés sur les prêts non performants (~15 %). Forte exposition aux secteurs vulnérables (commerce, import/export).
Gouvernance &amp; politique
Succession présidentielle pacifique en 2021 (élection de M. Bazoum), mais contexte fragile (tentative de coup d’État, insécurité). Gouvernance faible, mais progrès « Doing Business ». Sécurité dégradée à la frontière Mali–Burkina Faso.
Environnement
2ᵉ pays le plus vulnérable au monde au changement climatique (180ᵉ/181 ND-GAIN). Objectif : 30 % d’énergies renouvelables d’ici 2030 (hydroélectricité Kandadji). Émissions très faibles mais hausse progressive.</t>
  </si>
  <si>
    <t>Économie
Croissance modérée à +3,1 % en 2024, ralentissant à +2,6 % en 2025. PIB estimé à 20,9 Mds USD. L’économie reste dominée par les hydrocarbures et le manganèse. Efforts de diversification, notamment via le Plan national de transition 2024–2026.
Secteurs clés
Pétrole (4ᵉ producteur en Afrique subsaharienne)
Manganèse (2ᵉ producteur mondial, Eramet/Comilog)
Forêt (88 % du territoire, importante ressource carbone)
Agriculture et transformation agro en développement
Finances publiques
Déficit budgétaire creusé (–4 % du PIB en 2024, –6,5 % en 2025). Dette publique élevée (73 % du PIB en 2024, estimée à 80 % en 2025). Poids du service de la dette très élevé (~20 % des recettes).
Échanges extérieurs
Excédent courant en repli (5,1 % du PIB en 2024, 3 % prévu en 2025). Forte dépendance aux cours du pétrole. IDE concentrés dans les secteurs extractifs. Rachat partiel d’un Eurobond prévu en 2025.
Secteur bancaire
Globalement sain (ratio de solvabilité &gt;14 %), mais 3 banques publiques sous-capitalisées en restructuration. Inclusion financière en progrès (67 % ont un compte ou mobile money).
Gouvernance &amp; politique
Coup d’État en 2023 ; transition politique en cours. Nouvelle Constitution approuvée fin 2024. Élections prévues mi-2025. Stabilité incertaine, corruption et gouvernance encore faibles (170ᵉ/184).
Environnement
Créditeur net en carbone grâce à ses forêts. Loi sur les crédits carbone en place. Membre actif des initiatives climatiques (fonds océans, CAFI). Première zone industrielle carbone-neutre d’Afrique.</t>
  </si>
  <si>
    <t>Économie
Croissance fortement ralentie par la guerre en Ukraine et l’inflation (33 % mi-2022). Stagnation du PIB attendue en 2022 (+0,3 %) après +13,9 % en 2021. PIB estimé à 13,8 Mds USD, dépendant de l’agriculture, des transferts d’expatriés (15 % du PIB) et du commerce avec la Russie et l’Ukraine.
Secteurs clés
Agriculture (céréales, fruits, vin)
Agroalimentaire
Commerce et transports
Dépendance forte à l’énergie russe (gaz, pétrole, électricité)
Finances publiques
Déficit en forte hausse (–7,2 % du PIB en 2022), en lien avec le soutien social, l’accueil des réfugiés et la hausse des prix de l’énergie. Dette modérée (38 %) mais en augmentation.
Échanges extérieurs
Déficit courant élevé (–13 % du PIB). Exportations agricoles peu diversifiées. Fortes importations énergétiques, dépendance aux cours mondiaux. Dette extérieure importante (70 % du PIB), en majorité privée.
Secteur bancaire
Stabilisé après la crise de 2014. Capitalisation forte (ratio &gt;26 %), liquidités suffisantes. NPL autour de 6 %. Secteurs exposés : agriculture, énergie.
Politique &amp; gouvernance
Pro-européenne (statut de candidat à l’UE en 2022), mais exposée aux tensions régionales, notamment en Transnistrie. Gouvernance et lutte contre la corruption en amélioration mais encore faibles.
Environnement
Vulnérabilité élevée au changement climatique (agriculture sensible). Objectif –70 % d’émissions d’ici 2030. Dépendance énergétique persistante, émissions en hausse (+2 %/an).</t>
  </si>
  <si>
    <t>Économie
Croissance attendue autour de +3 % en 2024-2025, mais menacée par une récession technique fin 2024. PIB estimé à 1 114 Mds USD. Inflation très élevée (+55,5 %), taux d’intérêt fortement relevés. La consommation résiste grâce aux mesures fiscales et au crédit bancaire.
Secteurs clés
Industrie manufacturière (22 % du PIB)
Commerce &amp; transport (26 %)
Construction (4,9 %)
Agriculture (6,5 %)
Finances publiques
Déficit budgétaire élevé (–5,4 % du PIB), dette publique modérée (31 %) mais structure fragile (64 % en devises, maturité courte). Consolidation en cours mais contraintes fortes.
Échanges extérieurs
Déficit courant en baisse (–2,8 %), réserves de change faibles (2 mois d’importations), dette externe importante et à court terme (35 %). Tensions persistantes sur la livre (TRY).
Secteur bancaire
Résilient mais vulnérable : solvabilité correcte, risque élevé de refinancement, prêts non performants sous-estimés (~9 % restructurés). Forte exposition aux taux élevés et à la liquidité en TRY.
Gouvernance &amp; politique
Présidence Erdoğan prolongée, mais popularité en baisse. Relations extérieures complexes (UE, États-Unis, Israël). Gouvernance affaiblie (libertés, corruption). Volatilité politique = risque financier.
Environnement
Engagement de –21 % d’émissions GES d’ici 2030. Énergies renouvelables en développement (40 % des capacités prévues). Risque climatique modéré, mais dépendance persistante au charbon et au gaz.</t>
  </si>
  <si>
    <t>Économie
Croissance dynamique en 2022 (+12,6 %) grâce à l’arrivée de capitaux et de sociétés russes. Prévision 2023 : +7 %, ralentissant vers 5 % en 2024. PIB estimé à 25–27 Mds USD. Risques liés au Haut-Karabagh et aux tensions géopolitiques.
Secteurs clés
Agriculture (12 % du PIB)
Mines (cuivre, or, zinc)
Services (commerce, TIC – entreprises étrangères présentes)
Industrie manufacturière (agro, chimie)
Finances publiques
Déficit contenu autour de –3 % du PIB. Dette publique stabilisée à ~48–50 %. Dépendance élevée à la dette en devises (~60 %). Dépenses d’investissement en hausse.
Échanges extérieurs
Solde courant quasi équilibré en 2022, attendu en léger déficit (–1,4 % à –2,4 %) en 2023–24. Exportations peu diversifiées (cuivre, or, agro). Réduction des échanges avec la Russie prévue. Dette extérieure en baisse (~62 % du PIB), majoritairement concessionnelle.
Secteur bancaire
Solide capitalisation (&gt;20 %), prêts non performants &lt;3 %. Forte dollarisation (dépôts et crédits), dépendance aux banques russes. Exposition au secteur immobilier croissante.
Politique &amp; gouvernance
Contexte instable après la crise du Haut-Karabagh. Le Premier ministre Pashinian reste en poste malgré une forte baisse de popularité. Rapprochement stratégique avec l’UE. Progrès notables dans la lutte anticorruption (63e rang TI en 2022).
Environnement
Faible émetteur de GES (0,02 % mondial). Objectif –40 % d’émissions d’ici 2030. Mix énergétique encore dépendant du gaz, mais ambition de doubler la part des renouvelables. Risques climatiques liés à l’agriculture.</t>
  </si>
  <si>
    <t>Économie
PIB estimé à 35,4 Mds USD en 2025. Croissance dynamique à +6 %, tirée par la consommation et l’investissement public (transports, énergie, digital). Ralentissement attendu en 2026 (+5 %). PIB/habitant : 9 570 USD.
Secteurs clés
Services (~60 % du PIB) : tourisme, finance, commerce
Industrie (~17 %) : agro, ciment, métallurgie, chimie
Agriculture (~6 %) : vin, noisettes, viande
Construction (~13 %)
Finances publiques
Déficit maîtrisé autour de –2,5 % du PIB. Dette publique en baisse (36 % du PIB), mais 70 % libellée en devises = vulnérabilité au change.
Échanges extérieurs
Déficit courant stable (–4,4 %). Exportations peu diversifiées (cuivre, vin, acier, véhicules d’occasion). Russie, Chine et Turquie = principaux partenaires. IDE en repli (1,3 Md USD). Réserves de change faibles (&lt;3 mois d’importation). Dette extérieure encore élevée (68 % du PIB).
Secteur bancaire
Solide (capitalisation &gt;22 %, NPL bas à 1,5 %) mais très dollarisé : 40 % des prêts et 50 % des dépôts en USD. Risque de change élevé.
Gouvernance &amp; politique
Instabilité croissante depuis fin 2024 (élections contestées, suspension des négociations d’adhésion à l’UE). Tensions politiques majeures, protestations réprimées. Méfiance accrue des investisseurs étrangers.
Environnement
Émissions GES faibles. Objectif –35 % d’ici 2030. Potentiel important en hydroélectricité. Faible mobilisation de financements climatiques. Vulnérabilité modérée (73e ND-GAIN).</t>
  </si>
  <si>
    <t>Économie
PIB estimé à 81 Mds USD en 2024. Croissance modérée (+2,3 %), tirée par les secteurs hors hydrocarbures. Inflation en baisse (10,3 % en 2023 à 5,7 % en 2024). Forte dépendance aux hydrocarbures (36 % du PIB), efforts de diversification encore limités.
Secteurs clés
Pétrole &amp; gaz (90 % des exportations)
Pétrochimie, électricité (gaz)
Construction, transports
Agriculture (7 %)
Services publics et commerce
Finances publiques
Excédent budgétaire réduit à +0,4 % en 2024. Recettes dépendantes du pétrole (55–60 %). Dette publique faible (&lt;20 % du PIB), mais garanties publiques non incluses. Fonds souverain (SOFAZ) = 60 % du PIB → bonne marge de manœuvre.
Échanges extérieurs
Excédent courant autour de +13 % du PIB. Dette extérieure en baisse (32 %). Réserves confortables (~7 mois d’importations). Exportations de gaz vers l’Europe en hausse (objectif : +20 Md m³ à horizon 2027). Manat stable face au dollar (taux fixe).
Secteur bancaire
Amélioration post-crises (2015, 2020), mais toujours fragile. NPL officiels à 3,1 %, sous-estimés selon le FMI. Dédollarisation en progrès. Capitalisation correcte (18,5 %).
Gouvernance &amp; politique
Régime autoritaire d’Aliyev. Élections anticipées prévues février 2024. Stabilisation après reprise totale du Haut-Karabagh (sept. 2023). Réformes en cours, mais gouvernance encore faible (157ᵉ sur 180 à l’indice de corruption).
Environnement
Objectif : –35 % d’émissions GES d’ici 2030. Vulnérabilité forte dans l’agriculture (sécheresses, inondations). Potentiel renouvelable important mais peu exploité. Hôte de la COP 29 à Bakou en novembre 2024.</t>
  </si>
  <si>
    <t>Économie
PIB estimé à 293 Mds USD (2024), avec une croissance de +3,9 % en 2024 et +4,8 % en 2025, portée par le rebond post-inondations et l’extension des capacités pétrolières. PIB/hab. : 14 570 USD. L’inflation reste élevée (8,5 %).
Secteurs clés
Hydrocarbures (13e producteur mondial de pétrole)
Extraction minière : uranium (1er mondial), cuivre, lithium
Métallurgie, pétrochimie
Services (commerce, transports, TIC, services publics)
Transports/logistique stratégique (projet Kazakhstan 2050)
Finances publiques
Déficit budgétaire modéré (~–3 %) soutenu par le Fonds souverain (20 % du PIB). Dette publique très basse (25 % du PIB). Politique budgétaire expansionniste (post-inondations, relance sociale). TVA relevée.
Échanges extérieurs
Solde courant déficitaire (~–2,3 % du PIB en 2025), forte dépendance aux hydrocarbures et aux cours mondiaux. Exportations pénalisées par quotas OPEP+, blé concurrencé par la Russie. Dette extérieure en baisse (&lt;60 %, majoritairement privée). Réserves solides (6,5 mois d'importations).
Secteur bancaire
Résilience améliorée : capitalisation &gt;21 %, NPL &lt;3 %. Dollarisation en net recul. Vulnérabilité structurelle persistante malgré concentration et restructurations post-crises.
Gouvernance &amp; politique
Président Tokayev stable depuis 2019, réformes en cours (lutte anticorruption, privatisations). Relations équilibrées avec UE, France, Turquie. Tensions latentes avec la Russie (transit pétrolier, commerce).
Environnement
12ᵉ pays le plus émetteur/hab. GES majoritairement liés au charbon. Objectifs : –15 % à –25 % d’ici 2030, neutralité carbone en 2060. Fort potentiel renouvelable (éolien, nucléaire), plans hydriques signés en 2024.</t>
  </si>
  <si>
    <t>Économie
Croissance dynamique (+5,6 % en 2024), portée par les investissements publics, les transferts d’expatriés et la consommation. PIB estimé à 113 Mds USD, PIB/hab. à 3 051 USD. Inflation élevée (~10 %).
Secteurs clés
Agriculture (25 % du PIB, coton)
Mines : or (1er produit d’export), uranium, cuivre
Services publics (40 %) et tourisme en développement
Objectif : hub régional logistique et transports
Finances publiques
Déficit public en réduction : –4 % en 2024, visée à –3 % en 2025. Dette publique modérée (34 % du PIB), largement concessionnelle. Fonds de développement mobilisable (~7 % du PIB).
Échanges extérieurs
Déficit courant élevé (–6 % du PIB), dû aux importations massives. Transferts d’expatriés importants (~13,5 % du PIB). Réserves de change solides (8 mois d’importations). Dette extérieure stabilisée à 60 % du PIB.
Secteur bancaire
Solide capitalisation (17,5 %), NPL à 3,5 %. Système encore dominé par les banques publiques (2/3 des actifs), mais programme de privatisation en cours. Forte dollarisation en baisse.
Gouvernance &amp; politique
Président Mirziyoyev réélu en 2023, pouvoir renforcé. Volonté affirmée de réformes économiques, mais climat politique toujours contrôlé. Gouvernance en progrès (155e rang sur 214 – Banque Mondiale). Objectif d’adhésion à l’OMC d’ici 2026.
Environnement
Objectif –35 % d’émissions d’ici 2030, neutralité carbone 2050. Part des renouvelables visée à 25 %. Risques de sécheresse importants. Partenariats en cours avec TotalEnergies, EDF, Voltalia, Rosatom (centrale nucléaire prévue).</t>
  </si>
  <si>
    <t>La France est par ailleurs le premier investisseur de la Côte d'Ivoire, avec un stock d'IDE de 2,45 Md€</t>
  </si>
  <si>
    <t>Le Nigéria est le premier partenaire commercial de la France en Afrique subsaharienne, et le 4e en Afrique derrière le Maroc, l’Algérie et la Tunisie. En 2021, les exportations françaises vers le Nigéria ont augmenté fortement en valeur par rapport à l’année précédente, passant de de 528 à 611 M EUR (soit +16%).</t>
  </si>
  <si>
    <t>206 M EUR, 12e clients, 12e fournisseurs</t>
  </si>
  <si>
    <t>847M€, 13e client et fournisseurs</t>
  </si>
  <si>
    <t>En 2K23, 844 M 14e fournisseur et le 14e client de la Lituanie</t>
  </si>
  <si>
    <t xml:space="preserve">1er client, 3ème fournisseur. D'après la CNUCED, les flux d'IDE entrants au Niger ont atteint 966 M USD en 2023, tandis que le stock d'IDE entrant se situe à 9,9 Mds USD. Les flux nets d'IDE français au Niger sont en général négatifs depuis 2016 : en 2023, ils s'établissent à -1,1 Md EUR. </t>
  </si>
  <si>
    <t>Le stock d'IDE français au Tchad était de 111 millions d'euros en 2019 (dernière donnée disponible), un niveau inférieur à celui du début des années 2000 (autour de 180 millions d'euros). La France est l’un des premiers partenaires économiques du Tchad.</t>
  </si>
  <si>
    <t>Le Cameroun est le premier partenaire commercial de la France en Afrique centrale (hors hydrocarbures). La France est le 2e partenaire commercial du Cameroun. Avec un total de 1,1 Md€ en 2020, le stock d’IDE français au Cameroun est le deuxième d’Afrique centrale, derrière le Congo (2,8 Md€). Les investissements français se maintiennent au-dessus de 1 Md€ depuis 2017, après plusieurs années de baisse.</t>
  </si>
  <si>
    <t xml:space="preserve">Le stock des IDE français en République centrafricaine s’établissait à 214 M EUR en 2021, en hausse depuis 2019. </t>
  </si>
  <si>
    <t>Les exportations vers la RDC ont fortement progressé dans le début des années 2000, en passant de 20 M€ (2000) jusqu’à un pic de 244 M€ en 2015. Depuis lors, elles se sont régulièrement contractées (237 M€
en 2016, 128 M€ en 2017 et 107 M€ en 2018) du fait de la contraction de la demande congolaise et de la montée en puissance des importations chinoises et des autres pays émergents (Afrique du sud et Inde).</t>
  </si>
  <si>
    <t>La France est l'un des principaux investisseurs au Congo, avec un stock d'investissements directs étrangers (IDE) de 3,9 milliards EUR en 2019.</t>
  </si>
  <si>
    <t>Les flux d'IDE français à destination du Gabon ont chuté significativement, s'établissant à 159 M€ en 2023, contre 689 M€ en 2022. Le Gabon est la 8ème destination des investissements français, en nombre d’implantations, sur le continent.</t>
  </si>
  <si>
    <t xml:space="preserve">De 2003 à 2023, la Turquie a attiré 262 milliards USD d’IDE, avec la France parmi les 5 premiers investisseurs européens. En 2009-2010, la France représentait environ 9–10 % des IDE entrants en Turquie, soit environ 600 millions USD annuels, derrière l’Autriche (~28 %) et devant l’Allemagne (~9 %). </t>
  </si>
  <si>
    <t>La France est, après la Russie, le deuxième investisseur étranger en Arménie depuis 2016 avec un stock d'IDE d'environ 236M$ en 2022</t>
  </si>
  <si>
    <t>En 2017, la France a investi 21 M USD en Géorgie (contre 37 M USD en 2007).</t>
  </si>
  <si>
    <t>En 2017, le stock d’IDE entrants en Azerbaïdjan s’élève à 29,5 Mds USD, soit une hausse de 10,4% par rapport à l’année 2016 (26,7 Mds USD). Le stock d’IDE représente 72,4% du PIB 2017 azerbaïdjanais. Selon les données de la CNUCED, les flux d’IDE entrant en Azerbaïdjan se sont élevés en 2017 à 2,8 Mds USD, en forte baisse par rapport à 2016 (4,5 Mds USD).  Le stock total d’IDE représente 29,5 Mds USD (contre 26,7 Mds USD en 2016), soit 72,3% du PIB. Le stock d’IDE a ainsi plus que triplé depuis 2008 (6,6 Mds USD), du fait des investissements dans le secteur pétrolier.</t>
  </si>
  <si>
    <t>37 M€ (2019 peak) → 8 M€ (2023), Mines, infrastructure/énergie, construction, automobile, aéronautique</t>
  </si>
  <si>
    <t>Au 1er juillet 2023, le stock total d’IDE entrants au Kazakhstan s’est établi à 158 Md USD (60,9% du PIB), en hausse de 4,6% en g.a., après avoir stagné autour de 152 Md entre 2020 et 2022. Les flux nets d’IDE entrants au Kazakhstan ont ainsi atteint 4,1 Md USD au S1 2023 (contre 2,8 Md au S1 2022), essentiellement grâce à des investissements des Etats-Unis (1,3 Md USD), néerlandais (0,9 M USD), suisses (0,7 Md USD) et chinois (0,5 Md USD). Les Pays-Bas demeurent de loin le premier investisseur étranger, avec 38% du stock d’investissement total début juillet 2023 (61 Md USD), suivis des États-Unis à 28% (45 Md USD) et de la France à 8% (12,8 Md USD).</t>
  </si>
  <si>
    <t>Selon le Rapport sur l'investissement dans le monde 2023 de la CNUCED, les flux d'IDE vers le Kirghizstan ont atteint 291 millions USD en 2022, en hausse de 28,6 % par rapport au niveau enregistré un an plus tôt. À la fin de la même période, le stock d'IDE atteignait 3,7 milliards USD, soit environ 34,1 % du PIB du pays. Selon les données du Comité national des statistiques, les IDE sont principalement dirigés vers l'industrie minière, suivie par l'industrie manufacturière et l'intermédiation financière et l'assurance. 
Les flux annuels d’IDE France → Kirghizistan sont faibles et irréguliers, généralement entre quelques dizaines de millions d’euros.
En 2008, le stock bilateral était d’environ 12 M€, atteignant 34 M€ en 2014</t>
  </si>
  <si>
    <t xml:space="preserve">Les IDE français vers le Tadjikistan restent modestes (≈ 77 M$), mais couvrent des secteurs stratégiques tels que l’hydroélectricité et les infrastructures essentielles, soutenus par des accords bilatéraux solides et une aide via l’AFD. </t>
  </si>
  <si>
    <t>Marché mature (~4 Mds €), en sortie de contraction, relancé par les projets énergies et transports.
Croissance attendue de +5 % par an à moyen terme.
Présence française structurante via grands groupes (Bouygues, Ingérop), spécialistes infra (Consolis), investisseurs énergies (Mirova).</t>
  </si>
  <si>
    <t>Marché intermédiaire (~3,2 Mds €), en reprise grâce à Rail Baltica et projets publics.
Croissance prévue : +3–4 % par an à moyen terme.
Présence française active (Eiffage), avec potentiel en ingénierie et énergie.</t>
  </si>
  <si>
    <t>Marché solide (~6 Mds €), en croissance soutenue, leader régional.
Croissance annuelle stable autour de +5–7 %.
Présence française ancrée : Colas Rail, EDF, ingénierie active.</t>
  </si>
  <si>
    <t>Marché en véritable reprise (+5–10 % t/t), porteur dans l’industriel et la réhabilitation.
Présence française forte : ciment (Lafarge), banque, agro‑alimentaire, IT.
Opportunités : équipements béton, rénovation énergétique, logistique, infrastructures urbaines.</t>
  </si>
  <si>
    <t>Pays émergent, avec des croissances annuelles estimées à +5–8 %.
Projets structurants : réhabilitation d’infrastructure routière, ponts (ex. via KfW), et logements sociaux.
Présence française modérée avec une JV aéroportuaire.
Opportunités : infrastructures routières, aéroportuaires, bâtiments publics.</t>
  </si>
  <si>
    <t>Croissance solide (+6–7 % en 2024), portée par structures routières et ferroviaires (corridors E75/E90) et rénovation urbaine (Skopje).
Projets majeurs : route et rail vers la Grèce, 2ᵉ ligne de tram à Skopje, bâtiments publics.
Bouygues, Vinci : actifs sur projets d’infrastructure via appels d’offre UE.
Egis, Systra, Ingérop : ingénierie rail &amp; mobilité.
Colas : possible interventions dans routes/asphalte.</t>
  </si>
  <si>
    <t>Croissance modeste (+2–4 %), freinée par fragmentation institutionnelle.
Projets clés : rénovation d’autoroutes (corridor Vc), ponts, écoles, hôpitaux.
Marché encore fragile, malgré des besoins d’infrastructures.
Présence française faible à ce jour, mais créneau possible dans la réhabilitation des réseaux publics.
Opportunités ciblées : planification UE, ingénierie, rénovations publiques.</t>
  </si>
  <si>
    <t>Poids dans l’industrie : secteur (incluant construction) = ~7,5 milliards USD en 2023, avec une croissance annuelle de +3,7 %. 
Projets phares : réhabilitation routière, ville nouvelle de Diamniadio (~2 Mds $), immobilier haut de gamme à Dakar avec régulation en cours
Bouygues, Vinci, Colas : actifs sur les routes et infrastructures urbaines.
AFD : financements pour eau potable (Dakar), électricité (centrales de Tobène, Cap-des-Biches)
Marché solide : croissance modérée, mais dynamique dans l’immobilier et les infrastructures.
Présence française bien implantée, en BTP et financement.
Opportunités : logements, ville nouvelle, gestion urbaine, eau &amp; énergie.</t>
  </si>
  <si>
    <t>Secteur essentiel : environ 6–8 % du PIB, porté par projets ruraux, logement, écoles et santé.
Enjeux liés à l’urbanisation (Bamako ~15 %/an) et aux programmes de réhabilitation avec partenaires internationaux (UE, AFD).
Marché stratégique : besoins élevés mais fragilité sécuritaire (zones instables).
Présence française surtout via AFD.
Opportunités : infrastructures rurales, eau, santé, petits ouvrages publics.</t>
  </si>
  <si>
    <t>Poids estimé à 6–8 % du PIB, dominé par grands ouvrages liés au secteur minier (ports, routes).
Projets en cours : barrage Pita (40 MW, 92 M $), barrages Amaria/Souapiti, infrastructures ferroviaires autour de Simandou
Eiffage International construit le barrage de Pita (40 MW).
Orano (ex-Areva) sur sites miniers, équipements lourds.
Artelia / Egis : ingénierie minière et énergétique possible.
Présence concrète d’Eiffage et autres français via projets hydrauliques.
Opportunités : énergie (hydro/solaire), routes minières, logistique portuaire.
Marché de niche lié aux mines &amp; énergie.</t>
  </si>
  <si>
    <t>Secteur en plein essor : +6,5 % de croissance en 2024–2025, poids &gt; 15 % du PIB 
Projets majeurs : Grand Abidjan modernisation, routes, logements, agriculture et industrie agroalimentaire.
Vinci, Bouygues, Eiffage : actifs dans routes, logements, infrastructures urbaines.
AFD : financement de réhabilitation urbaine, eau potable, services.
Artelia/Systra : ingénierie urbaine, transport, énergie renouvelable.
Marché mature et diversifié : forte croissance, urbanisation rapide.
Présence française historique, bien structurée.
Opportunités : logements sociaux, routes, énergie, eau.</t>
  </si>
  <si>
    <t>Marché de la construction
Taille (2024) : ~34,4 Mds USD (~28 tn NGN)
Croissance : +8 % en 2024, prévision +3–4 % par an jusqu’en 2028
Présence française
Bouygues Construction Nigeria (aéroports, stades)
Plus de 100 entreprises françaises actives (TotalEnergies, Schneider, Danone…)
En résumé
Marché immense et en croissance
Présence française forte et multisectorielle
Opportunités : infrastructures, logements, transport, énergie</t>
  </si>
  <si>
    <t>Secteur estimé à 6–8 % du PIB
Marché centré sur projets d’infrastructures rurales et sociales
Marché instable</t>
  </si>
  <si>
    <t>Marché en difficulté, mais à fort besoin social
Présence française limitée
Opportunités : petits ouvrages, eau, routes</t>
  </si>
  <si>
    <t>Marché de la construction
Taille estimée &gt; 5 Mds USD
Croissance annuelle : +5 à +7 %
Présence française
Bouygues, Vinci, Colas historiquement actifs
Part de marché française en baisse (de 40 % à 10 %)
En résumé
Marché structuré et diversifié
Présence française en déclin face à la concurrence chinoise
Opportunités : urbain, logistique, énergie</t>
  </si>
  <si>
    <t>Marché à haut risque, mais à fort besoin
Présence française marginale
Opportunités : coopération, logistique, génie civil basique</t>
  </si>
  <si>
    <t>Fort potentiel dans la réhabilitation des infrastructures
Présence française très faible
Opportunités : routes, transports, mines</t>
  </si>
  <si>
    <t>Marché restreint mais stable
Présence française ciblée (énergie, logistique)
Opportunités : infrastructures portuaires, bâtiments publics</t>
  </si>
  <si>
    <t>Marché en mutation
Présence française décroissante
Opportunités : zones industrielles, projets durables</t>
  </si>
  <si>
    <t>Taille : ~150 Mds USD en 2023 (≈ 5 % du PIB)
Croissance 2024 : +3 % ; prévision +4 % en 2025–2026
Projets majeurs : autoroutes (prolongement du réseau), aéroports (Istanbul 3e piste), logements sociaux, énergie (centrales gaz/solaire)
Bouygues, Vinci, Colas : actifs sur autoroutes, métros (Istanbul), bâtiments publics
Egis, Systra, Artelia : ingénierie transport/urbain
Alstom, Schneider, EDF : équipements, infrastructures énergétiques
Marché très vaste et diversifié
Forte présence française multi‑secteurs
Opportunités : transport urbain, énergie, logement, PPP</t>
  </si>
  <si>
    <t>Taille modeste (~1,5 Mds USD)
Croissance 2023‑24 : +6–7 %, tirée par l’agro-industrie, logement, TIC
Projets : modernisation de routes/réseaux, plusieurs zones industrielles, résidences étudiantes
PME/ingénierie : Egis, Artelia (projets urbains, génie civil)
Secteurs supports : TIC (Pentalog), agroalimentaire (Lactalis, etc.)
Marché en petite taille mais croissant
Présence française modérée mais active en ingénierie
Opportunités : rénovation routière, zones industrielles</t>
  </si>
  <si>
    <t>Colas, Bouygues, Vinci : infrastructures transport/logistique
Egis, Systra, Artelia : ingénierie rail, urbanisme
EDF, Schneider : énergie, réseaux
Marché dynamique, aligné UE
Forte présence d’ingénierie française
Opportunités : transport, énergie, immobilier
Taille : ~3,5 Mds USD
Croissance 2024 : +6 %; prévision +5 % en 2025</t>
  </si>
  <si>
    <t xml:space="preserve">Taille : ~10 Mds USD, dominée par hydrocarbures
Croissance 2024 : +4–5 %
Projets : pipeline TAP, corridors logistiques, aéroports, logements
Vinci, Colas : routes, installations portuaires
Egis, Artelia : PPP, ingénierie
TotalEnergies, Schneider, Orano : énergie, mines, équipements
Marché robuste autour de l’énergie/logistique
Présence française multiforme
Opportunités : énergie, transport </t>
  </si>
  <si>
    <t>Taille : ~8 Mds USD
Croissance 2024 : +5,6 %
Projets : routes, chemins de fer, barrage de Qanime, villes nouvelles
Orano : projet uranium South Djengeldi
Vinci, Bouygues : potentiels sur routes/logements
Egis, Artelia, Systra : ingénierie infrastructures
Marché en accélération
Présence française en développement, surtout énergie
Opportunités : routes, énergie, urbanisme</t>
  </si>
  <si>
    <t>Taille : ~0,7 Mds USD
Croissance 2023‑24 : +5 %
Projets : barrage de Rogun (hydro), aéroport Douchanbé, routes
AFD 
Entreprises françaises implantées (services et BTP)
Présence française via l’AFD, idées de partenariat
Opportunités : énergie, transport, routes</t>
  </si>
  <si>
    <t>Taille limitée (&lt; 1 Mds USD)
Croissance 2024 : +4–6 %
Projets : hydroélectricité (turbines), routes rurales, écoles
PME &amp; ingénierie (Egis, Artelia)
AFD : financements énergie/eau, forum juin 2025 avec 30 entreprises
Marché de niche, développement rural
Présence française modeste mais active
Opportunités : rural, électricité</t>
  </si>
  <si>
    <t>Taille : ~50 Mds USD
Croissance 2024 : +3,9 % ; 2025 : +4,8 %
Projets : Kazakhstan 2050, lignes ferroviaires, énergie, villes nouvelles
Vinci, Bouygues, Colas : concessions, routes urbaines
Egis, Systra, Artelia : rail/logistique
EDF, TotalEnergies, Schneider : énergie, équipements nucléaires
Marché d’envergure, mix énergie/transport
Bonne présence française
Opportunités : transport, énergie (nucléaire/renouvelables)</t>
  </si>
  <si>
    <t>Potentiel</t>
  </si>
  <si>
    <t>UK</t>
  </si>
  <si>
    <t>UK potentiel</t>
  </si>
  <si>
    <t>1,24% du potentiel en 2024</t>
  </si>
  <si>
    <t>Suisse</t>
  </si>
  <si>
    <t xml:space="preserve">Estimation 1 avec la France comme pays de référence </t>
  </si>
  <si>
    <t xml:space="preserve">Estimation 2 avec la Pologne comme pays de référence  </t>
  </si>
  <si>
    <t xml:space="preserve">Estimation 3 pour le Maghreb avec le Maroc comme pays de référence  </t>
  </si>
  <si>
    <t>Exemple pour l'Italie : (58,76/67)*(38373/43000)=0,78, 635x0,78 = 495</t>
  </si>
  <si>
    <t>Exemple pour la Tchéquie : (10,7/38)*(28000/20800) = 0,38, 325*0,38= 63</t>
  </si>
  <si>
    <t>Calculer une évolution cumulée sur une période donnée</t>
  </si>
  <si>
    <t>Projeter une croissance annuelle régulière</t>
  </si>
  <si>
    <t>Exemple avec l'Algérie : (44/37)*(4717/3700)*59,87 = 90 77</t>
  </si>
  <si>
    <t>Habitant (en millions)</t>
  </si>
  <si>
    <t>PIB par hab (en euros)</t>
  </si>
  <si>
    <t xml:space="preserve">PIB (en milliards) </t>
  </si>
  <si>
    <t>Marché de la robinetterie sanitaire (en millions d'euros) (estimé sur des facteurs d'ajustement basé sur la population et le développement économique)</t>
  </si>
  <si>
    <t>Marché de la robinetterie de collectivité  (estimé pour chaque pays en fonction du marché de la robinetterie sanitaire)</t>
  </si>
  <si>
    <t>En plein potentiel (en millions d'euros) (x0,35, basé sur la France)</t>
  </si>
  <si>
    <t>Marché de la robinetterie de collectivité (estimé à 10% du marché de la robinetterie sanitaire)</t>
  </si>
  <si>
    <t>Évolution du marché de la robinetterie sanitaire sur 3 ans (2022-2024) : taux totale = (valeurfin-valeurdébut/valeurdébut)x100</t>
  </si>
  <si>
    <t>CAGR 2022-2024 : (valeur2024/valeur2022)*1/2 -1</t>
  </si>
  <si>
    <t>France</t>
  </si>
  <si>
    <t>Allemagne</t>
  </si>
  <si>
    <t>Italie</t>
  </si>
  <si>
    <t xml:space="preserve">Pologne </t>
  </si>
  <si>
    <t xml:space="preserve">Région </t>
  </si>
  <si>
    <t>AK DENIZ (Maghreb)</t>
  </si>
  <si>
    <t>Maroc</t>
  </si>
  <si>
    <t>Algérie</t>
  </si>
  <si>
    <t xml:space="preserve">Tunisie </t>
  </si>
  <si>
    <t>PST</t>
  </si>
  <si>
    <t xml:space="preserve">Slovaquie </t>
  </si>
  <si>
    <t>Tchéquie</t>
  </si>
  <si>
    <t>KARA DENIZ</t>
  </si>
  <si>
    <t xml:space="preserve">Roumanie </t>
  </si>
  <si>
    <t>Bulgarie</t>
  </si>
  <si>
    <t xml:space="preserve">Serbie </t>
  </si>
  <si>
    <t xml:space="preserve">Hongrie </t>
  </si>
  <si>
    <t>ADRIA basse</t>
  </si>
  <si>
    <t>Grèce</t>
  </si>
  <si>
    <t xml:space="preserve">Albanie </t>
  </si>
  <si>
    <t>Croatie</t>
  </si>
  <si>
    <t>Slovénie</t>
  </si>
  <si>
    <t>Pologne</t>
  </si>
  <si>
    <t xml:space="preserve">Base : Pologne </t>
  </si>
  <si>
    <t>Base : France</t>
  </si>
  <si>
    <t>Marché de la robinetterie sanitaire (en millions d'euros) (estimé sur des facteurs d'ajustement basé sur la population et le développement économique)2</t>
  </si>
  <si>
    <t>En plein potentiel (en millions d'euros) (x0,35, basé sur la France)3</t>
  </si>
  <si>
    <t xml:space="preserve">Devise : euros </t>
  </si>
  <si>
    <t xml:space="preserve">Listes des dépenses de prospection </t>
  </si>
  <si>
    <t>Explications</t>
  </si>
  <si>
    <t>Année</t>
  </si>
  <si>
    <t>TOTAL</t>
  </si>
  <si>
    <t>N1</t>
  </si>
  <si>
    <t>N2</t>
  </si>
  <si>
    <t>N3</t>
  </si>
  <si>
    <t>N4</t>
  </si>
  <si>
    <t xml:space="preserve">N5 </t>
  </si>
  <si>
    <t xml:space="preserve">Marge pour les déplacements </t>
  </si>
  <si>
    <t>Hôtels, restauration, déplacements de proximité -&gt; ensemble</t>
  </si>
  <si>
    <t xml:space="preserve">Marges de séjours </t>
  </si>
  <si>
    <t xml:space="preserve">Recrutements </t>
  </si>
  <si>
    <t>Salaires Manager</t>
  </si>
  <si>
    <t>Salaires Commerciaux</t>
  </si>
  <si>
    <t>Charges patronales Manager</t>
  </si>
  <si>
    <t xml:space="preserve">Charges patronales Commerciaux </t>
  </si>
  <si>
    <t xml:space="preserve">Frais de personnels </t>
  </si>
  <si>
    <t xml:space="preserve">Frais annexes </t>
  </si>
  <si>
    <t>2k + 1k + 1200 + 1500 + 750 (d'après les coûts du doc "budget Maroc") ; +500 en N3 et N5</t>
  </si>
  <si>
    <t xml:space="preserve">10 - Participation en tant qu'exposant a) </t>
  </si>
  <si>
    <t xml:space="preserve">Entre 1K et 2K par event ; 3 par an </t>
  </si>
  <si>
    <t xml:space="preserve">10 - b) </t>
  </si>
  <si>
    <t xml:space="preserve">3K à 4K par gros event ; 2 par an </t>
  </si>
  <si>
    <t xml:space="preserve">10 - c) Marges </t>
  </si>
  <si>
    <t>entre 500 et 1500 de marge</t>
  </si>
  <si>
    <t xml:space="preserve">11 - Mission collective </t>
  </si>
  <si>
    <t xml:space="preserve">Entre 1000 et 2000 ; 2 par an </t>
  </si>
  <si>
    <t>12 - Participation en tant qu'exposant organisé par BPI France</t>
  </si>
  <si>
    <t xml:space="preserve">Entre 500 à 1500 par an </t>
  </si>
  <si>
    <t xml:space="preserve">13 - Merch, accessoires </t>
  </si>
  <si>
    <t xml:space="preserve">Entre 500 et 1000 par an </t>
  </si>
  <si>
    <t xml:space="preserve">14 - Exposition de produits </t>
  </si>
  <si>
    <t xml:space="preserve">? </t>
  </si>
  <si>
    <t xml:space="preserve">15 - Echantillon et dégustation </t>
  </si>
  <si>
    <t xml:space="preserve">Entre 200 et 400 par an </t>
  </si>
  <si>
    <t xml:space="preserve">16 - Etude de marché </t>
  </si>
  <si>
    <t xml:space="preserve">Entre 3K et 5K ; N2 et N6 ? </t>
  </si>
  <si>
    <t>17 - Adaptation de produits</t>
  </si>
  <si>
    <t xml:space="preserve">En 5 ans = 10K à 20K </t>
  </si>
  <si>
    <t>18 - Dépôts PI</t>
  </si>
  <si>
    <t>En 5 ans = autour de 7K</t>
  </si>
  <si>
    <t>19 - Etudes, avant-projets gratuits et remises d'offre</t>
  </si>
  <si>
    <t xml:space="preserve">20 - Traduction et interprétariat </t>
  </si>
  <si>
    <t xml:space="preserve">Entre 5K et 7K ; 1 à 3 fois en 5 ans ; amélioration du processus donc baisse de prix </t>
  </si>
  <si>
    <t xml:space="preserve">21 - Pub </t>
  </si>
  <si>
    <t xml:space="preserve">8K à 12K en 5 ans </t>
  </si>
  <si>
    <t xml:space="preserve">22 - Conseils juridiques </t>
  </si>
  <si>
    <t>Entre 5K à 10K ; 1 fois</t>
  </si>
  <si>
    <t xml:space="preserve">23 - ? </t>
  </si>
  <si>
    <t>24 - Utilisation de société de conseil et/ou de gestion de l'export</t>
  </si>
  <si>
    <t>TOTAL par an</t>
  </si>
  <si>
    <t>6 mois</t>
  </si>
  <si>
    <t>N5</t>
  </si>
  <si>
    <t xml:space="preserve">TOT </t>
  </si>
  <si>
    <t>Objectifs CA :</t>
  </si>
  <si>
    <t xml:space="preserve">Urgences, autres : autour de 25k </t>
  </si>
  <si>
    <t>200 par personne, par jour  ; pour chaque déplacements de commerciaux</t>
  </si>
  <si>
    <t>Entre 1000 et 3000, par commerciaux</t>
  </si>
  <si>
    <t xml:space="preserve">Entre 10k et 15k </t>
  </si>
  <si>
    <t xml:space="preserve">3 commerciaux export, basé sur fiche métier : autour de 36000 </t>
  </si>
  <si>
    <t xml:space="preserve">% à % du salaire </t>
  </si>
  <si>
    <t xml:space="preserve">1 manager : basé sur fiche métier </t>
  </si>
  <si>
    <t>Déplacements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</si>
</sst>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 * #,##0_)\ &quot;€&quot;_ ;_ * \(#,##0\)\ &quot;€&quot;_ ;_ * &quot;-&quot;_)\ &quot;€&quot;_ ;_ @_ "/>
    <numFmt numFmtId="44" formatCode="_ * #,##0.00_)\ &quot;€&quot;_ ;_ * \(#,##0.00\)\ &quot;€&quot;_ ;_ * &quot;-&quot;??_)\ &quot;€&quot;_ ;_ @_ "/>
    <numFmt numFmtId="43" formatCode="_ * #,##0.00_)_ ;_ * \(#,##0.00\)_ ;_ * &quot;-&quot;??_)_ ;_ @_ "/>
    <numFmt numFmtId="164" formatCode="_ * #,##0.00_)\ _€_ ;_ * \(#,##0.00\)\ _€_ ;_ * &quot;-&quot;??_)\ _€_ ;_ @_ "/>
    <numFmt numFmtId="165" formatCode="_(* #,##0.00_);_(* \(#,##0.00\);_(* &quot;-&quot;??_);_(@_)"/>
    <numFmt numFmtId="166" formatCode="_ * #,##0_)\ &quot;€&quot;_ ;_ * \(#,##0\)\ &quot;€&quot;_ ;_ * &quot;-&quot;??_)\ &quot;€&quot;_ ;_ @_ "/>
  </numFmts>
  <fonts count="1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3"/>
      <color theme="3"/>
      <name val="Calibri"/>
      <family val="2"/>
      <scheme val="minor"/>
    </font>
    <font>
      <b/>
      <sz val="12"/>
      <color theme="1"/>
      <name val="Calibri"/>
      <family val="2"/>
      <scheme val="minor"/>
    </font>
    <font>
      <sz val="11"/>
      <color theme="1"/>
      <name val="Calibri"/>
      <family val="2"/>
      <scheme val="minor"/>
    </font>
    <font>
      <b/>
      <sz val="15"/>
      <color theme="3"/>
      <name val="Calibri"/>
      <family val="2"/>
      <scheme val="minor"/>
    </font>
    <font>
      <sz val="12"/>
      <color rgb="FF9C0006"/>
      <name val="Calibri"/>
      <family val="2"/>
      <scheme val="minor"/>
    </font>
    <font>
      <sz val="12"/>
      <name val="Calibri"/>
      <family val="2"/>
      <scheme val="minor"/>
    </font>
    <font>
      <sz val="10"/>
      <name val="Helvetica"/>
      <family val="2"/>
    </font>
    <font>
      <sz val="12"/>
      <color rgb="FF000000"/>
      <name val="Calibri"/>
      <family val="2"/>
      <scheme val="minor"/>
    </font>
    <font>
      <b/>
      <sz val="11"/>
      <color theme="1"/>
      <name val="Calibri"/>
      <family val="2"/>
      <scheme val="minor"/>
    </font>
    <font>
      <b/>
      <sz val="12"/>
      <color rgb="FFC00000"/>
      <name val="Calibri"/>
      <family val="2"/>
      <scheme val="minor"/>
    </font>
  </fonts>
  <fills count="11">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rgb="FFFFC7CE"/>
      </patternFill>
    </fill>
    <fill>
      <patternFill patternType="solid">
        <fgColor theme="8" tint="0.39997558519241921"/>
        <bgColor indexed="65"/>
      </patternFill>
    </fill>
  </fills>
  <borders count="3">
    <border>
      <left/>
      <right/>
      <top/>
      <bottom/>
      <diagonal/>
    </border>
    <border>
      <left/>
      <right/>
      <top/>
      <bottom style="thick">
        <color theme="4" tint="0.499984740745262"/>
      </bottom>
      <diagonal/>
    </border>
    <border>
      <left/>
      <right/>
      <top/>
      <bottom style="thick">
        <color theme="4"/>
      </bottom>
      <diagonal/>
    </border>
  </borders>
  <cellStyleXfs count="14">
    <xf numFmtId="0" fontId="0" fillId="0" borderId="0"/>
    <xf numFmtId="0" fontId="5" fillId="0" borderId="1" applyNumberFormat="0" applyFill="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8" fillId="0" borderId="2" applyNumberFormat="0" applyFill="0" applyAlignment="0" applyProtection="0"/>
    <xf numFmtId="0" fontId="9" fillId="9" borderId="0" applyNumberFormat="0" applyBorder="0" applyAlignment="0" applyProtection="0"/>
    <xf numFmtId="0" fontId="1" fillId="10" borderId="0" applyNumberFormat="0" applyBorder="0" applyAlignment="0" applyProtection="0"/>
  </cellStyleXfs>
  <cellXfs count="87">
    <xf numFmtId="0" fontId="0" fillId="0" borderId="0" xfId="0"/>
    <xf numFmtId="0" fontId="6" fillId="2" borderId="0" xfId="2" applyFont="1" applyAlignment="1">
      <alignment horizontal="center" vertical="center"/>
    </xf>
    <xf numFmtId="0" fontId="6" fillId="3" borderId="0" xfId="3" applyFont="1" applyAlignment="1">
      <alignment horizontal="center" vertical="center"/>
    </xf>
    <xf numFmtId="0" fontId="6" fillId="4" borderId="0" xfId="4" applyFont="1" applyAlignment="1">
      <alignment horizontal="center" vertical="center"/>
    </xf>
    <xf numFmtId="0" fontId="6" fillId="5" borderId="0" xfId="5" applyFont="1" applyAlignment="1">
      <alignment horizontal="center" vertical="center"/>
    </xf>
    <xf numFmtId="0" fontId="6" fillId="6" borderId="0" xfId="6" applyFont="1" applyAlignment="1">
      <alignment horizontal="center" vertical="center"/>
    </xf>
    <xf numFmtId="0" fontId="6" fillId="7" borderId="0" xfId="7" applyFont="1" applyAlignment="1">
      <alignment horizontal="center" vertical="center"/>
    </xf>
    <xf numFmtId="0" fontId="6" fillId="8" borderId="0" xfId="8" applyFont="1" applyAlignment="1">
      <alignment horizontal="center" vertical="center"/>
    </xf>
    <xf numFmtId="0" fontId="5" fillId="0" borderId="1" xfId="1" applyAlignment="1">
      <alignment horizontal="center" vertical="center"/>
    </xf>
    <xf numFmtId="0" fontId="0" fillId="0" borderId="0" xfId="0" applyAlignment="1">
      <alignment horizontal="center" vertical="center"/>
    </xf>
    <xf numFmtId="0" fontId="4" fillId="2" borderId="0" xfId="2" applyAlignment="1">
      <alignment horizontal="center" vertical="center"/>
    </xf>
    <xf numFmtId="0" fontId="4" fillId="3" borderId="0" xfId="3" applyAlignment="1">
      <alignment horizontal="center" vertical="center"/>
    </xf>
    <xf numFmtId="0" fontId="4" fillId="4" borderId="0" xfId="4" applyAlignment="1">
      <alignment horizontal="center" vertical="center"/>
    </xf>
    <xf numFmtId="0" fontId="4" fillId="5" borderId="0" xfId="5" applyAlignment="1">
      <alignment horizontal="center" vertical="center"/>
    </xf>
    <xf numFmtId="0" fontId="4" fillId="6" borderId="0" xfId="6" applyAlignment="1">
      <alignment horizontal="center" vertical="center"/>
    </xf>
    <xf numFmtId="0" fontId="4" fillId="7" borderId="0" xfId="7" applyAlignment="1">
      <alignment horizontal="center" vertical="center"/>
    </xf>
    <xf numFmtId="0" fontId="4" fillId="8" borderId="0" xfId="8" applyAlignment="1">
      <alignment horizontal="center" vertical="center"/>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center"/>
    </xf>
    <xf numFmtId="0" fontId="4" fillId="4" borderId="0" xfId="4" applyAlignment="1">
      <alignment horizontal="center" vertical="center" wrapText="1"/>
    </xf>
    <xf numFmtId="0" fontId="3" fillId="2" borderId="0" xfId="2" applyFont="1" applyAlignment="1">
      <alignment horizontal="center" vertical="center" wrapText="1"/>
    </xf>
    <xf numFmtId="0" fontId="4" fillId="2" borderId="0" xfId="2" applyAlignment="1">
      <alignment horizontal="center" vertical="center" wrapText="1"/>
    </xf>
    <xf numFmtId="0" fontId="4" fillId="3" borderId="0" xfId="3" applyAlignment="1">
      <alignment horizontal="center" vertical="center" wrapText="1"/>
    </xf>
    <xf numFmtId="0" fontId="2" fillId="3" borderId="0" xfId="3" applyFont="1" applyAlignment="1">
      <alignment horizontal="center" vertical="center" wrapText="1"/>
    </xf>
    <xf numFmtId="0" fontId="4" fillId="5" borderId="0" xfId="5" applyAlignment="1">
      <alignment horizontal="center" vertical="center" wrapText="1"/>
    </xf>
    <xf numFmtId="0" fontId="4" fillId="6" borderId="0" xfId="6" applyAlignment="1">
      <alignment horizontal="center" vertical="center" wrapText="1"/>
    </xf>
    <xf numFmtId="0" fontId="4" fillId="7" borderId="0" xfId="7" applyAlignment="1">
      <alignment horizontal="center" vertical="center" wrapText="1"/>
    </xf>
    <xf numFmtId="0" fontId="4" fillId="8" borderId="0" xfId="8" applyAlignment="1">
      <alignment horizontal="center" vertical="center" wrapText="1"/>
    </xf>
    <xf numFmtId="0" fontId="2" fillId="4" borderId="0" xfId="4" applyFont="1" applyAlignment="1">
      <alignment horizontal="center" vertical="center" wrapText="1"/>
    </xf>
    <xf numFmtId="0" fontId="2" fillId="5" borderId="0" xfId="5" applyFont="1" applyAlignment="1">
      <alignment horizontal="center" vertical="center" wrapText="1"/>
    </xf>
    <xf numFmtId="0" fontId="2" fillId="6" borderId="0" xfId="6" applyFont="1" applyAlignment="1">
      <alignment horizontal="center" vertical="center" wrapText="1"/>
    </xf>
    <xf numFmtId="0" fontId="2" fillId="7" borderId="0" xfId="7" applyFont="1" applyAlignment="1">
      <alignment horizontal="center" vertical="center" wrapText="1"/>
    </xf>
    <xf numFmtId="0" fontId="2" fillId="8" borderId="0" xfId="8" applyFont="1" applyAlignment="1">
      <alignment horizontal="center" vertical="center" wrapText="1"/>
    </xf>
    <xf numFmtId="0" fontId="9" fillId="9" borderId="0" xfId="12" applyAlignment="1">
      <alignment horizontal="left" vertical="top" wrapText="1"/>
    </xf>
    <xf numFmtId="0" fontId="5" fillId="0" borderId="1" xfId="1" applyFill="1" applyAlignment="1">
      <alignment horizontal="center" vertical="center" wrapText="1"/>
    </xf>
    <xf numFmtId="0" fontId="5" fillId="0" borderId="1" xfId="1" applyFill="1" applyAlignment="1">
      <alignment horizontal="center" vertical="center"/>
    </xf>
    <xf numFmtId="0" fontId="5" fillId="0" borderId="1" xfId="1" applyFill="1" applyAlignment="1">
      <alignment horizontal="center" wrapText="1"/>
    </xf>
    <xf numFmtId="9" fontId="0" fillId="0" borderId="0" xfId="0" applyNumberFormat="1" applyAlignment="1">
      <alignment horizontal="center" vertical="center" wrapText="1"/>
    </xf>
    <xf numFmtId="0" fontId="10" fillId="0" borderId="0" xfId="0" applyFont="1" applyAlignment="1">
      <alignment horizontal="center" vertical="top" wrapText="1"/>
    </xf>
    <xf numFmtId="10" fontId="0" fillId="0" borderId="0" xfId="0" applyNumberFormat="1" applyAlignment="1">
      <alignment horizontal="center" vertical="center" wrapText="1"/>
    </xf>
    <xf numFmtId="3" fontId="10" fillId="0" borderId="0" xfId="0" applyNumberFormat="1" applyFont="1" applyAlignment="1">
      <alignment horizontal="center" vertical="top" wrapText="1"/>
    </xf>
    <xf numFmtId="164" fontId="0" fillId="0" borderId="0" xfId="0" applyNumberFormat="1" applyAlignment="1">
      <alignment horizontal="center" vertical="top" wrapText="1"/>
    </xf>
    <xf numFmtId="3" fontId="11" fillId="0" borderId="0" xfId="0" applyNumberFormat="1" applyFont="1" applyAlignment="1">
      <alignment horizontal="center" vertical="top" wrapText="1"/>
    </xf>
    <xf numFmtId="165" fontId="0" fillId="0" borderId="0" xfId="0" applyNumberFormat="1" applyAlignment="1">
      <alignment horizontal="center" vertical="top" wrapText="1"/>
    </xf>
    <xf numFmtId="10" fontId="12" fillId="0" borderId="0" xfId="0" applyNumberFormat="1" applyFont="1" applyAlignment="1">
      <alignment horizontal="center" vertical="center" wrapText="1"/>
    </xf>
    <xf numFmtId="0" fontId="12" fillId="0" borderId="0" xfId="0" applyFont="1" applyAlignment="1">
      <alignment horizontal="center" vertical="center"/>
    </xf>
    <xf numFmtId="43" fontId="0" fillId="0" borderId="0" xfId="9" applyFont="1" applyAlignment="1">
      <alignment horizontal="center" vertical="top" wrapText="1"/>
    </xf>
    <xf numFmtId="43" fontId="10" fillId="0" borderId="0" xfId="9" applyFont="1" applyFill="1" applyAlignment="1">
      <alignment horizontal="center" vertical="top" wrapText="1"/>
    </xf>
    <xf numFmtId="10" fontId="12" fillId="0" borderId="0" xfId="0" applyNumberFormat="1" applyFont="1" applyAlignment="1">
      <alignment horizontal="center" vertical="center"/>
    </xf>
    <xf numFmtId="43" fontId="0" fillId="0" borderId="0" xfId="9" applyFont="1" applyFill="1" applyAlignment="1">
      <alignment horizontal="center" vertical="top" wrapText="1"/>
    </xf>
    <xf numFmtId="9" fontId="2" fillId="0" borderId="0" xfId="0" applyNumberFormat="1" applyFont="1" applyAlignment="1">
      <alignment horizontal="center" vertical="center" wrapText="1"/>
    </xf>
    <xf numFmtId="0" fontId="2" fillId="0" borderId="0" xfId="0" applyFont="1" applyAlignment="1">
      <alignment horizontal="center" vertical="center" wrapText="1"/>
    </xf>
    <xf numFmtId="43" fontId="0" fillId="0" borderId="0" xfId="9" applyFont="1" applyAlignment="1">
      <alignment horizontal="center" vertical="top"/>
    </xf>
    <xf numFmtId="43" fontId="0" fillId="0" borderId="0" xfId="9" applyFont="1" applyAlignment="1">
      <alignment horizontal="center"/>
    </xf>
    <xf numFmtId="10" fontId="0" fillId="0" borderId="0" xfId="0" applyNumberFormat="1" applyAlignment="1">
      <alignment horizontal="center" vertical="top"/>
    </xf>
    <xf numFmtId="9" fontId="0" fillId="0" borderId="0" xfId="0" applyNumberFormat="1" applyAlignment="1">
      <alignment horizontal="center" vertical="top"/>
    </xf>
    <xf numFmtId="0" fontId="5" fillId="0" borderId="1" xfId="1" applyAlignment="1">
      <alignment horizontal="center" vertical="center" wrapText="1"/>
    </xf>
    <xf numFmtId="0" fontId="8" fillId="0" borderId="2" xfId="11"/>
    <xf numFmtId="2" fontId="0" fillId="0" borderId="0" xfId="10" applyNumberFormat="1" applyFont="1" applyAlignment="1">
      <alignment horizontal="center" vertical="center"/>
    </xf>
    <xf numFmtId="2" fontId="0" fillId="0" borderId="0" xfId="0" applyNumberFormat="1"/>
    <xf numFmtId="0" fontId="5" fillId="0" borderId="0" xfId="1" applyBorder="1" applyAlignment="1">
      <alignment horizontal="center" vertical="center"/>
    </xf>
    <xf numFmtId="0" fontId="5" fillId="0" borderId="0" xfId="1" applyBorder="1" applyAlignment="1">
      <alignment horizontal="center" vertical="top" wrapText="1"/>
    </xf>
    <xf numFmtId="0" fontId="6" fillId="7" borderId="1" xfId="7" applyFont="1" applyBorder="1" applyAlignment="1">
      <alignment horizontal="center" vertical="center"/>
    </xf>
    <xf numFmtId="0" fontId="6" fillId="6" borderId="0" xfId="6" applyFont="1" applyBorder="1" applyAlignment="1">
      <alignment horizontal="center" vertical="center"/>
    </xf>
    <xf numFmtId="0" fontId="6" fillId="3" borderId="0" xfId="3" applyFont="1" applyBorder="1" applyAlignment="1">
      <alignment horizontal="center" vertical="center"/>
    </xf>
    <xf numFmtId="0" fontId="4" fillId="7" borderId="1" xfId="7" applyBorder="1" applyAlignment="1">
      <alignment horizontal="center" vertical="center" wrapText="1"/>
    </xf>
    <xf numFmtId="0" fontId="4" fillId="6" borderId="0" xfId="6" applyBorder="1" applyAlignment="1">
      <alignment horizontal="center" vertical="center" wrapText="1"/>
    </xf>
    <xf numFmtId="0" fontId="4" fillId="3" borderId="0" xfId="3" applyBorder="1" applyAlignment="1">
      <alignment horizontal="center" vertical="center" wrapText="1"/>
    </xf>
    <xf numFmtId="0" fontId="5" fillId="0" borderId="1" xfId="1" applyAlignment="1">
      <alignment horizontal="center" vertical="top" wrapText="1"/>
    </xf>
    <xf numFmtId="0" fontId="4" fillId="7" borderId="1" xfId="7" applyBorder="1" applyAlignment="1">
      <alignment horizontal="center" vertical="center"/>
    </xf>
    <xf numFmtId="0" fontId="4" fillId="6" borderId="0" xfId="6" applyBorder="1" applyAlignment="1">
      <alignment horizontal="center" vertical="center"/>
    </xf>
    <xf numFmtId="0" fontId="4" fillId="3" borderId="0" xfId="3" applyBorder="1" applyAlignment="1">
      <alignment horizontal="center" vertical="center"/>
    </xf>
    <xf numFmtId="43" fontId="0" fillId="0" borderId="0" xfId="9" applyFont="1" applyAlignment="1">
      <alignment horizontal="center" vertical="center" wrapText="1"/>
    </xf>
    <xf numFmtId="0" fontId="13" fillId="0" borderId="0" xfId="0" applyFont="1" applyAlignment="1">
      <alignment horizontal="center" vertical="center"/>
    </xf>
    <xf numFmtId="166" fontId="0" fillId="0" borderId="0" xfId="10" applyNumberFormat="1" applyFont="1"/>
    <xf numFmtId="166" fontId="0" fillId="0" borderId="0" xfId="10" applyNumberFormat="1" applyFont="1" applyAlignment="1">
      <alignment horizontal="left" vertical="top"/>
    </xf>
    <xf numFmtId="44" fontId="0" fillId="0" borderId="0" xfId="10" applyFont="1" applyAlignment="1">
      <alignment horizontal="left" vertical="top"/>
    </xf>
    <xf numFmtId="0" fontId="1" fillId="10" borderId="0" xfId="13"/>
    <xf numFmtId="0" fontId="1" fillId="10" borderId="0" xfId="13" applyAlignment="1">
      <alignment horizontal="left" vertical="top" wrapText="1"/>
    </xf>
    <xf numFmtId="42" fontId="1" fillId="10" borderId="0" xfId="13" applyNumberFormat="1"/>
    <xf numFmtId="0" fontId="14" fillId="0" borderId="0" xfId="0" applyFont="1" applyAlignment="1">
      <alignment horizontal="right" vertical="center"/>
    </xf>
    <xf numFmtId="44" fontId="1" fillId="0" borderId="0" xfId="10" applyFont="1"/>
    <xf numFmtId="166" fontId="1" fillId="0" borderId="0" xfId="10" applyNumberFormat="1" applyFont="1"/>
    <xf numFmtId="44" fontId="0" fillId="0" borderId="0" xfId="10" applyFont="1" applyAlignment="1">
      <alignment horizontal="left" vertical="top" wrapText="1"/>
    </xf>
  </cellXfs>
  <cellStyles count="14">
    <cellStyle name="20 % - Accent1" xfId="2" builtinId="30"/>
    <cellStyle name="20 % - Accent2" xfId="4" builtinId="34"/>
    <cellStyle name="20 % - Accent3" xfId="7" builtinId="38"/>
    <cellStyle name="40 % - Accent1" xfId="3" builtinId="31"/>
    <cellStyle name="40 % - Accent2" xfId="5" builtinId="35"/>
    <cellStyle name="40 % - Accent3" xfId="8" builtinId="39"/>
    <cellStyle name="60 % - Accent2" xfId="6" builtinId="36"/>
    <cellStyle name="60 % - Accent5" xfId="13" builtinId="48"/>
    <cellStyle name="Insatisfaisant" xfId="12" builtinId="27"/>
    <cellStyle name="Milliers" xfId="9" builtinId="3"/>
    <cellStyle name="Monétaire" xfId="10" builtinId="4"/>
    <cellStyle name="Normal" xfId="0" builtinId="0"/>
    <cellStyle name="Titre 1" xfId="11" builtinId="16"/>
    <cellStyle name="Titre 2" xfId="1" builtinId="17"/>
  </cellStyles>
  <dxfs count="13">
    <dxf>
      <numFmt numFmtId="2" formatCode="0.00"/>
    </dxf>
    <dxf>
      <numFmt numFmtId="2" formatCode="0.00"/>
    </dxf>
    <dxf>
      <numFmt numFmtId="2" formatCode="0.0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border outline="0">
        <bottom style="thick">
          <color theme="4" tint="0.499984740745262"/>
        </bottom>
      </border>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812800</xdr:colOff>
      <xdr:row>31</xdr:row>
      <xdr:rowOff>165100</xdr:rowOff>
    </xdr:from>
    <xdr:to>
      <xdr:col>5</xdr:col>
      <xdr:colOff>228600</xdr:colOff>
      <xdr:row>45</xdr:row>
      <xdr:rowOff>0</xdr:rowOff>
    </xdr:to>
    <xdr:sp macro="" textlink="">
      <xdr:nvSpPr>
        <xdr:cNvPr id="2" name="ZoneTexte 1">
          <a:extLst>
            <a:ext uri="{FF2B5EF4-FFF2-40B4-BE49-F238E27FC236}">
              <a16:creationId xmlns:a16="http://schemas.microsoft.com/office/drawing/2014/main" id="{577FECF3-320A-404D-88CA-7A37D598F6A1}"/>
            </a:ext>
          </a:extLst>
        </xdr:cNvPr>
        <xdr:cNvSpPr txBox="1"/>
      </xdr:nvSpPr>
      <xdr:spPr>
        <a:xfrm>
          <a:off x="812800" y="8712200"/>
          <a:ext cx="4940300" cy="267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Indicateur de potentiel : </a:t>
          </a:r>
        </a:p>
        <a:p>
          <a:r>
            <a:rPr lang="fr-FR" sz="1100"/>
            <a:t>Marché de la robinetterie sanitaire en France : 635 millions d'euros</a:t>
          </a:r>
        </a:p>
        <a:p>
          <a:r>
            <a:rPr lang="fr-FR" sz="1100"/>
            <a:t>Le marché de la robinetterie de collectivité en France représente 10% du marché total. </a:t>
          </a:r>
        </a:p>
        <a:p>
          <a:r>
            <a:rPr lang="fr-FR" sz="1100"/>
            <a:t>0,1x635 = 63,5</a:t>
          </a:r>
        </a:p>
        <a:p>
          <a:r>
            <a:rPr lang="fr-FR" sz="1100"/>
            <a:t>Ventes Presto France : 22,6 millions d'euros </a:t>
          </a:r>
        </a:p>
        <a:p>
          <a:r>
            <a:rPr lang="fr-FR" sz="1100"/>
            <a:t>Population France : 68 millions </a:t>
          </a:r>
        </a:p>
        <a:p>
          <a:r>
            <a:rPr lang="fr-FR" sz="1100"/>
            <a:t>Part de marché en France : 22,6/63,5 = 0,35</a:t>
          </a:r>
        </a:p>
        <a:p>
          <a:r>
            <a:rPr lang="fr-FR" sz="1100"/>
            <a:t>Exemple avec la Pologne : </a:t>
          </a:r>
        </a:p>
        <a:p>
          <a:r>
            <a:rPr lang="fr-FR" sz="1100"/>
            <a:t>Estimation du marché de la robinetterie sanitaire en Pologne : 355 millions </a:t>
          </a:r>
        </a:p>
        <a:p>
          <a:r>
            <a:rPr lang="fr-FR" sz="1100"/>
            <a:t>0,1x355 = 35 </a:t>
          </a:r>
        </a:p>
        <a:p>
          <a:r>
            <a:rPr lang="fr-FR" sz="1100"/>
            <a:t>Marché totale de la robinetterie de collectivité en Pologne : 35 millions d'euros </a:t>
          </a:r>
        </a:p>
        <a:p>
          <a:r>
            <a:rPr lang="fr-FR" sz="1100"/>
            <a:t>En plein potentiel, le CA de Presto en Pologne peut représenter : </a:t>
          </a:r>
        </a:p>
        <a:p>
          <a:r>
            <a:rPr lang="fr-FR" sz="1100"/>
            <a:t>0,35x35 = 12,25 millions </a:t>
          </a:r>
        </a:p>
        <a:p>
          <a:endParaRPr lang="fr-FR" sz="1100"/>
        </a:p>
      </xdr:txBody>
    </xdr:sp>
    <xdr:clientData/>
  </xdr:twoCellAnchor>
  <xdr:twoCellAnchor>
    <xdr:from>
      <xdr:col>5</xdr:col>
      <xdr:colOff>1104900</xdr:colOff>
      <xdr:row>32</xdr:row>
      <xdr:rowOff>101600</xdr:rowOff>
    </xdr:from>
    <xdr:to>
      <xdr:col>7</xdr:col>
      <xdr:colOff>1460500</xdr:colOff>
      <xdr:row>52</xdr:row>
      <xdr:rowOff>0</xdr:rowOff>
    </xdr:to>
    <xdr:sp macro="" textlink="">
      <xdr:nvSpPr>
        <xdr:cNvPr id="3" name="ZoneTexte 2">
          <a:extLst>
            <a:ext uri="{FF2B5EF4-FFF2-40B4-BE49-F238E27FC236}">
              <a16:creationId xmlns:a16="http://schemas.microsoft.com/office/drawing/2014/main" id="{6513CFF1-F94E-A14F-825D-5BFE86603BBA}"/>
            </a:ext>
          </a:extLst>
        </xdr:cNvPr>
        <xdr:cNvSpPr txBox="1"/>
      </xdr:nvSpPr>
      <xdr:spPr>
        <a:xfrm>
          <a:off x="6629400" y="8851900"/>
          <a:ext cx="5308600" cy="396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mn-lt"/>
              <a:ea typeface="+mn-ea"/>
              <a:cs typeface="+mn-cs"/>
            </a:rPr>
            <a:t>Quelle estimation est la plus fiable ?</a:t>
          </a:r>
        </a:p>
        <a:p>
          <a:endParaRPr lang="fr-FR" sz="1100" b="0" i="0" u="none" strike="noStrike">
            <a:solidFill>
              <a:schemeClr val="dk1"/>
            </a:solidFill>
            <a:effectLst/>
            <a:latin typeface="+mn-lt"/>
            <a:ea typeface="+mn-ea"/>
            <a:cs typeface="+mn-cs"/>
          </a:endParaRPr>
        </a:p>
        <a:p>
          <a:r>
            <a:rPr lang="fr-FR" b="0"/>
            <a:t>- La France ayant un marché plus grand, mais avec plus d'importations, son estimation pour des pays similaires est plus prudente.</a:t>
          </a:r>
        </a:p>
        <a:p>
          <a:endParaRPr lang="fr-FR" b="0"/>
        </a:p>
        <a:p>
          <a:r>
            <a:rPr lang="fr-FR" b="0"/>
            <a:t>- La Pologne ayant un marché plus petit, mais avec une consommation locale plus forte, elle est perçue comme plus comparable à des pays comme la Grèce ou la Croatie, qui ont également un bon équilibre entre production et importation.</a:t>
          </a:r>
          <a:endParaRPr lang="fr-FR" sz="1100" b="0" i="0" u="none" strike="noStrike">
            <a:solidFill>
              <a:schemeClr val="dk1"/>
            </a:solidFill>
            <a:effectLst/>
            <a:latin typeface="+mn-lt"/>
            <a:ea typeface="+mn-ea"/>
            <a:cs typeface="+mn-cs"/>
          </a:endParaRP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a:t>
          </a:r>
          <a:r>
            <a:rPr lang="fr-FR" sz="1100" b="0" i="0" u="none" strike="noStrike" baseline="0">
              <a:solidFill>
                <a:schemeClr val="dk1"/>
              </a:solidFill>
              <a:effectLst/>
              <a:latin typeface="+mn-lt"/>
              <a:ea typeface="+mn-ea"/>
              <a:cs typeface="+mn-cs"/>
            </a:rPr>
            <a:t> </a:t>
          </a:r>
          <a:r>
            <a:rPr lang="fr-FR" sz="1100" b="0" i="0" u="none" strike="noStrike">
              <a:solidFill>
                <a:schemeClr val="dk1"/>
              </a:solidFill>
              <a:effectLst/>
              <a:latin typeface="+mn-lt"/>
              <a:ea typeface="+mn-ea"/>
              <a:cs typeface="+mn-cs"/>
            </a:rPr>
            <a:t>Si on veut une estimation prudente et plus conforme aux tendances de consommation européenne, il vaut mieux utiliser la France.</a:t>
          </a:r>
        </a:p>
        <a:p>
          <a:endParaRPr lang="fr-FR" sz="1100" b="0" i="0" u="none" strike="noStrike">
            <a:solidFill>
              <a:schemeClr val="dk1"/>
            </a:solidFill>
            <a:effectLst/>
            <a:latin typeface="+mn-lt"/>
            <a:ea typeface="+mn-ea"/>
            <a:cs typeface="+mn-cs"/>
          </a:endParaRPr>
        </a:p>
        <a:p>
          <a:r>
            <a:rPr lang="fr-FR" sz="1100" b="0" i="0" u="none" strike="noStrike">
              <a:solidFill>
                <a:schemeClr val="dk1"/>
              </a:solidFill>
              <a:effectLst/>
              <a:latin typeface="+mn-lt"/>
              <a:ea typeface="+mn-ea"/>
              <a:cs typeface="+mn-cs"/>
            </a:rPr>
            <a:t>-</a:t>
          </a:r>
          <a:r>
            <a:rPr lang="fr-FR" sz="1100" b="0" i="0" u="none" strike="noStrike" baseline="0">
              <a:solidFill>
                <a:schemeClr val="dk1"/>
              </a:solidFill>
              <a:effectLst/>
              <a:latin typeface="+mn-lt"/>
              <a:ea typeface="+mn-ea"/>
              <a:cs typeface="+mn-cs"/>
            </a:rPr>
            <a:t> </a:t>
          </a:r>
          <a:r>
            <a:rPr lang="fr-FR" sz="1100" b="0" i="0" u="none" strike="noStrike">
              <a:solidFill>
                <a:schemeClr val="dk1"/>
              </a:solidFill>
              <a:effectLst/>
              <a:latin typeface="+mn-lt"/>
              <a:ea typeface="+mn-ea"/>
              <a:cs typeface="+mn-cs"/>
            </a:rPr>
            <a:t>Si on veut une estimation plus optimiste et mieux adaptée à l’économie des pays d’Europe centrale et balkanique, la Pologne est un meilleur point de référence.</a:t>
          </a:r>
        </a:p>
        <a:p>
          <a:endParaRPr lang="fr-FR" sz="1100" b="0" i="0" u="none" strike="noStrike">
            <a:solidFill>
              <a:schemeClr val="dk1"/>
            </a:solidFill>
            <a:effectLst/>
            <a:latin typeface="+mn-lt"/>
            <a:ea typeface="+mn-ea"/>
            <a:cs typeface="+mn-cs"/>
          </a:endParaRPr>
        </a:p>
        <a:p>
          <a:r>
            <a:rPr lang="fr-FR" b="0"/>
            <a:t>- La France a un coût de la vie plus élevé, donc le marché de la robinetterie sanitaire est davantage concentré sur des produits haut de gamme et chers.</a:t>
          </a:r>
        </a:p>
        <a:p>
          <a:endParaRPr lang="fr-FR" b="0"/>
        </a:p>
        <a:p>
          <a:r>
            <a:rPr lang="fr-FR" b="0"/>
            <a:t>- La Pologne, bien que plus petite en volume de marché, a un coût de la vie plus proche de celui des pays d’Europe de l’Est comme la Grèce, Croatie, Slovénie.</a:t>
          </a:r>
          <a:br>
            <a:rPr lang="fr-FR" b="0"/>
          </a:br>
          <a:endParaRPr lang="fr-FR" b="0"/>
        </a:p>
        <a:p>
          <a:r>
            <a:rPr lang="fr-FR" b="0"/>
            <a:t>Ainsi, en prenant la Pologne comme référence, les ratios sont plus favorables à ces pays.</a:t>
          </a:r>
          <a:endParaRPr lang="fr-FR" sz="1100" b="0"/>
        </a:p>
      </xdr:txBody>
    </xdr:sp>
    <xdr:clientData/>
  </xdr:twoCellAnchor>
  <xdr:twoCellAnchor>
    <xdr:from>
      <xdr:col>8</xdr:col>
      <xdr:colOff>76200</xdr:colOff>
      <xdr:row>33</xdr:row>
      <xdr:rowOff>114300</xdr:rowOff>
    </xdr:from>
    <xdr:to>
      <xdr:col>10</xdr:col>
      <xdr:colOff>444500</xdr:colOff>
      <xdr:row>44</xdr:row>
      <xdr:rowOff>50800</xdr:rowOff>
    </xdr:to>
    <xdr:sp macro="" textlink="">
      <xdr:nvSpPr>
        <xdr:cNvPr id="4" name="ZoneTexte 3">
          <a:extLst>
            <a:ext uri="{FF2B5EF4-FFF2-40B4-BE49-F238E27FC236}">
              <a16:creationId xmlns:a16="http://schemas.microsoft.com/office/drawing/2014/main" id="{11A4791E-5571-9048-8180-C9325D98649F}"/>
            </a:ext>
          </a:extLst>
        </xdr:cNvPr>
        <xdr:cNvSpPr txBox="1"/>
      </xdr:nvSpPr>
      <xdr:spPr>
        <a:xfrm>
          <a:off x="13004800" y="9067800"/>
          <a:ext cx="5321300"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mn-lt"/>
              <a:ea typeface="+mn-ea"/>
              <a:cs typeface="+mn-cs"/>
            </a:rPr>
            <a:t>-</a:t>
          </a:r>
          <a:r>
            <a:rPr lang="fr-FR" sz="1100" b="0" i="0" u="none" strike="noStrike" baseline="0">
              <a:solidFill>
                <a:schemeClr val="dk1"/>
              </a:solidFill>
              <a:effectLst/>
              <a:latin typeface="+mn-lt"/>
              <a:ea typeface="+mn-ea"/>
              <a:cs typeface="+mn-cs"/>
            </a:rPr>
            <a:t> </a:t>
          </a:r>
          <a:r>
            <a:rPr lang="fr-FR" sz="1100" b="0" i="0" u="none" strike="noStrike">
              <a:solidFill>
                <a:schemeClr val="dk1"/>
              </a:solidFill>
              <a:effectLst/>
              <a:latin typeface="+mn-lt"/>
              <a:ea typeface="+mn-ea"/>
              <a:cs typeface="+mn-cs"/>
            </a:rPr>
            <a:t>Comparaison avec des pays déjà étudiés (France, Allemagne, Pologne, etc.) pour établir une échelle de référence.</a:t>
          </a:r>
        </a:p>
        <a:p>
          <a:br>
            <a:rPr lang="fr-FR" b="0"/>
          </a:br>
          <a:r>
            <a:rPr lang="fr-FR" b="0"/>
            <a:t>-</a:t>
          </a:r>
          <a:r>
            <a:rPr lang="fr-FR" b="0" baseline="0"/>
            <a:t> </a:t>
          </a:r>
          <a:r>
            <a:rPr lang="fr-FR" sz="1100" b="0" i="0" u="none" strike="noStrike">
              <a:solidFill>
                <a:schemeClr val="dk1"/>
              </a:solidFill>
              <a:effectLst/>
              <a:latin typeface="+mn-lt"/>
              <a:ea typeface="+mn-ea"/>
              <a:cs typeface="+mn-cs"/>
            </a:rPr>
            <a:t>Facteurs économiques et structurels, comme le niveau d’investissement en infrastructures publiques et les normes sanitaires.</a:t>
          </a:r>
        </a:p>
        <a:p>
          <a:br>
            <a:rPr lang="fr-FR" b="0"/>
          </a:br>
          <a:r>
            <a:rPr lang="fr-FR" b="0"/>
            <a:t>-</a:t>
          </a:r>
          <a:r>
            <a:rPr lang="fr-FR" b="0" baseline="0"/>
            <a:t> </a:t>
          </a:r>
          <a:r>
            <a:rPr lang="fr-FR" sz="1100" b="0" i="0" u="none" strike="noStrike">
              <a:solidFill>
                <a:schemeClr val="dk1"/>
              </a:solidFill>
              <a:effectLst/>
              <a:latin typeface="+mn-lt"/>
              <a:ea typeface="+mn-ea"/>
              <a:cs typeface="+mn-cs"/>
            </a:rPr>
            <a:t>Secteurs influents (tourisme, ERP, construction), qui jouent un rôle dans la demande en robinetterie de collectivité.</a:t>
          </a:r>
        </a:p>
        <a:p>
          <a:br>
            <a:rPr lang="fr-FR" b="0"/>
          </a:br>
          <a:r>
            <a:rPr lang="fr-FR" b="0"/>
            <a:t>-</a:t>
          </a:r>
          <a:r>
            <a:rPr lang="fr-FR" b="0" baseline="0"/>
            <a:t> </a:t>
          </a:r>
          <a:r>
            <a:rPr lang="fr-FR" sz="1100" b="0" i="0" u="none" strike="noStrike">
              <a:solidFill>
                <a:schemeClr val="dk1"/>
              </a:solidFill>
              <a:effectLst/>
              <a:latin typeface="+mn-lt"/>
              <a:ea typeface="+mn-ea"/>
              <a:cs typeface="+mn-cs"/>
            </a:rPr>
            <a:t>Régulations et standards européens, qui poussent certains pays à avoir un marché plus développé que d’autres.</a:t>
          </a:r>
        </a:p>
        <a:p>
          <a:endParaRPr lang="fr-FR" sz="1100" b="0" i="0" u="none" strike="noStrike">
            <a:solidFill>
              <a:schemeClr val="dk1"/>
            </a:solidFill>
            <a:effectLst/>
            <a:latin typeface="+mn-lt"/>
            <a:ea typeface="+mn-ea"/>
            <a:cs typeface="+mn-cs"/>
          </a:endParaRPr>
        </a:p>
        <a:p>
          <a:endParaRPr lang="fr-FR" sz="1100" b="0"/>
        </a:p>
      </xdr:txBody>
    </xdr:sp>
    <xdr:clientData/>
  </xdr:twoCellAnchor>
  <xdr:twoCellAnchor>
    <xdr:from>
      <xdr:col>1</xdr:col>
      <xdr:colOff>50800</xdr:colOff>
      <xdr:row>46</xdr:row>
      <xdr:rowOff>25400</xdr:rowOff>
    </xdr:from>
    <xdr:to>
      <xdr:col>5</xdr:col>
      <xdr:colOff>266700</xdr:colOff>
      <xdr:row>54</xdr:row>
      <xdr:rowOff>0</xdr:rowOff>
    </xdr:to>
    <xdr:sp macro="" textlink="">
      <xdr:nvSpPr>
        <xdr:cNvPr id="5" name="ZoneTexte 4">
          <a:extLst>
            <a:ext uri="{FF2B5EF4-FFF2-40B4-BE49-F238E27FC236}">
              <a16:creationId xmlns:a16="http://schemas.microsoft.com/office/drawing/2014/main" id="{D9A67DE1-7764-7243-BE59-F9E77CE7F60D}"/>
            </a:ext>
          </a:extLst>
        </xdr:cNvPr>
        <xdr:cNvSpPr txBox="1"/>
      </xdr:nvSpPr>
      <xdr:spPr>
        <a:xfrm>
          <a:off x="876300" y="11620500"/>
          <a:ext cx="491490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Pour</a:t>
          </a:r>
          <a:r>
            <a:rPr lang="fr-FR" sz="1100" baseline="0"/>
            <a:t> le Maghreb, le Portugal et l'Espagne, le pays référent pourrait être le Maroc. </a:t>
          </a:r>
        </a:p>
        <a:p>
          <a:endParaRPr lang="fr-FR" sz="1100" baseline="0"/>
        </a:p>
        <a:p>
          <a:r>
            <a:rPr lang="fr-FR" sz="1100" baseline="0"/>
            <a:t>Pour la région PST, la région Kara Deniz et la région Ak Deniz, le pays référent pourrait être la Pologne. </a:t>
          </a:r>
        </a:p>
        <a:p>
          <a:endParaRPr lang="fr-FR" sz="1100" baseline="0"/>
        </a:p>
        <a:p>
          <a:r>
            <a:rPr lang="fr-FR" sz="1100" baseline="0"/>
            <a:t>Pour les pays développés comme l'Allemagne, les UK ou la Suisse, le pays référent pourrait être la France. </a:t>
          </a:r>
        </a:p>
      </xdr:txBody>
    </xdr:sp>
    <xdr:clientData/>
  </xdr:twoCellAnchor>
  <xdr:twoCellAnchor>
    <xdr:from>
      <xdr:col>11</xdr:col>
      <xdr:colOff>177800</xdr:colOff>
      <xdr:row>34</xdr:row>
      <xdr:rowOff>127000</xdr:rowOff>
    </xdr:from>
    <xdr:to>
      <xdr:col>13</xdr:col>
      <xdr:colOff>88900</xdr:colOff>
      <xdr:row>44</xdr:row>
      <xdr:rowOff>101600</xdr:rowOff>
    </xdr:to>
    <xdr:sp macro="" textlink="">
      <xdr:nvSpPr>
        <xdr:cNvPr id="6" name="ZoneTexte 5">
          <a:extLst>
            <a:ext uri="{FF2B5EF4-FFF2-40B4-BE49-F238E27FC236}">
              <a16:creationId xmlns:a16="http://schemas.microsoft.com/office/drawing/2014/main" id="{7C4402B5-660B-044A-90BD-F5183EBCFAF2}"/>
            </a:ext>
          </a:extLst>
        </xdr:cNvPr>
        <xdr:cNvSpPr txBox="1"/>
      </xdr:nvSpPr>
      <xdr:spPr>
        <a:xfrm>
          <a:off x="19710400" y="9283700"/>
          <a:ext cx="4813300" cy="200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b="0"/>
            <a:t>Le taux total mesure l'évolution globale entre deux dates.</a:t>
          </a:r>
        </a:p>
        <a:p>
          <a:endParaRPr lang="fr-FR" b="0"/>
        </a:p>
        <a:p>
          <a:r>
            <a:rPr lang="fr-FR" b="0"/>
            <a:t>Le CAGR mesure la croissance annuelle moyenne en supposant une progression constante.Pour des prévisions long terme (ex. 2030), on utilise le CAGR. </a:t>
          </a:r>
        </a:p>
        <a:p>
          <a:endParaRPr lang="fr-FR" sz="1100" b="0"/>
        </a:p>
        <a:p>
          <a:r>
            <a:rPr lang="fr-FR" sz="1100" b="0" i="0" u="none" strike="noStrike">
              <a:solidFill>
                <a:schemeClr val="dk1"/>
              </a:solidFill>
              <a:effectLst/>
              <a:latin typeface="+mn-lt"/>
              <a:ea typeface="+mn-ea"/>
              <a:cs typeface="+mn-cs"/>
            </a:rPr>
            <a:t>Le taux total donne une évolution brute entre deux dates, mais ne précise pas la croissance annuelle.</a:t>
          </a:r>
        </a:p>
        <a:p>
          <a:br>
            <a:rPr lang="fr-FR" b="0"/>
          </a:br>
          <a:r>
            <a:rPr lang="fr-FR" sz="1100" b="0" i="0" u="none" strike="noStrike">
              <a:solidFill>
                <a:schemeClr val="dk1"/>
              </a:solidFill>
              <a:effectLst/>
              <a:latin typeface="+mn-lt"/>
              <a:ea typeface="+mn-ea"/>
              <a:cs typeface="+mn-cs"/>
            </a:rPr>
            <a:t>Le CAGR (Taux de Croissance Annuel Composé) permet de lisser cette croissance sur chaque année.</a:t>
          </a:r>
          <a:endParaRPr lang="fr-FR" sz="1100" b="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FBB6B-D1F9-3E4D-952B-640430896A7B}" name="Tableau1" displayName="Tableau1" ref="A2:K38" totalsRowShown="0" headerRowDxfId="12" headerRowBorderDxfId="11" headerRowCellStyle="Titre 2">
  <autoFilter ref="A2:K38" xr:uid="{9B7FBB6B-D1F9-3E4D-952B-640430896A7B}"/>
  <sortState xmlns:xlrd2="http://schemas.microsoft.com/office/spreadsheetml/2017/richdata2" ref="A3:K38">
    <sortCondition descending="1" ref="F2:F38"/>
  </sortState>
  <tableColumns count="11">
    <tableColumn id="1" xr3:uid="{25A95112-D4B7-A843-AB2B-271E5B58DDF0}" name="Continent" dataDxfId="10" dataCellStyle="40 % - Accent3"/>
    <tableColumn id="2" xr3:uid="{60CDE092-62A8-9A4B-B249-F59C0711DA59}" name="Zone" dataDxfId="9" dataCellStyle="40 % - Accent3"/>
    <tableColumn id="3" xr3:uid="{0565A23C-6A93-7049-854A-6F3AC4EE51C4}" name="Pays" dataDxfId="8" dataCellStyle="40 % - Accent3"/>
    <tableColumn id="4" xr3:uid="{9D14ECDB-6284-104B-AD86-6006502EF207}" name="Population (millions)" dataDxfId="7" dataCellStyle="40 % - Accent3"/>
    <tableColumn id="5" xr3:uid="{79C5CAAB-B95A-B740-ADFD-92239D712578}" name="PIB/hab" dataDxfId="6" dataCellStyle="40 % - Accent3"/>
    <tableColumn id="6" xr3:uid="{16BA6FB7-3A6E-F34D-9ACC-55C3F4B6638B}" name="Marché de la robinetterie sanitaire (en millions d'euros) (estimé sur des facteurs d'ajustement basé sur la population et le développement économique)" dataDxfId="5" dataCellStyle="Monétaire">
      <calculatedColumnFormula>(D3/36.5)*(E3/22000)*325</calculatedColumnFormula>
    </tableColumn>
    <tableColumn id="7" xr3:uid="{5B3A4D31-F469-4446-8B37-CE0D79E4B36F}" name="Marché de la robinetterie de collectivité  (estimé pour chaque pays en fonction du marché de la robinetterie sanitaire)" dataDxfId="4" dataCellStyle="Milliers">
      <calculatedColumnFormula>F3*10%</calculatedColumnFormula>
    </tableColumn>
    <tableColumn id="8" xr3:uid="{82027E5D-578D-4841-BD61-1A4793BD6CBC}" name="En plein potentiel (en millions d'euros) (x0,35, basé sur la France)" dataDxfId="3" dataCellStyle="Milliers">
      <calculatedColumnFormula>G3*0.35</calculatedColumnFormula>
    </tableColumn>
    <tableColumn id="9" xr3:uid="{C95AE66F-319D-E740-877A-211BD3A2AEC2}" name="Marché de la robinetterie sanitaire (en millions d'euros) (estimé sur des facteurs d'ajustement basé sur la population et le développement économique)2" dataDxfId="2">
      <calculatedColumnFormula>(D3/68.17)*(E3/44460)*635</calculatedColumnFormula>
    </tableColumn>
    <tableColumn id="10" xr3:uid="{716CFD67-A216-7C47-B8A9-A30094A88431}" name="Marché de la robinetterie de collectivité (estimé à 10% du marché de la robinetterie sanitaire)" dataDxfId="1">
      <calculatedColumnFormula>I3*10%</calculatedColumnFormula>
    </tableColumn>
    <tableColumn id="11" xr3:uid="{D7CE0D13-78E8-6841-9E38-D0520916332C}" name="En plein potentiel (en millions d'euros) (x0,35, basé sur la France)3" dataDxfId="0">
      <calculatedColumnFormula>J3*0.35</calculatedColumnFormula>
    </tableColumn>
  </tableColumns>
  <tableStyleInfo name="TableStyleLight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zoomScale="63" workbookViewId="0">
      <selection activeCell="C26" sqref="C26:C34"/>
    </sheetView>
  </sheetViews>
  <sheetFormatPr baseColWidth="10" defaultColWidth="8.83203125" defaultRowHeight="15" x14ac:dyDescent="0.2"/>
  <cols>
    <col min="1" max="1" width="17.6640625" customWidth="1"/>
    <col min="2" max="2" width="15.6640625" style="9" customWidth="1"/>
    <col min="3" max="3" width="34" style="9" customWidth="1"/>
    <col min="4" max="4" width="20" bestFit="1" customWidth="1"/>
    <col min="5" max="5" width="16.5" customWidth="1"/>
    <col min="6" max="6" width="58.33203125" customWidth="1"/>
    <col min="7" max="7" width="53" style="17" customWidth="1"/>
    <col min="8" max="8" width="17.5" customWidth="1"/>
    <col min="9" max="9" width="86" style="17" customWidth="1"/>
  </cols>
  <sheetData>
    <row r="1" spans="1:9" ht="19" thickBot="1" x14ac:dyDescent="0.25">
      <c r="A1" s="8" t="s">
        <v>0</v>
      </c>
      <c r="B1" s="8" t="s">
        <v>1</v>
      </c>
      <c r="C1" s="8" t="s">
        <v>2</v>
      </c>
      <c r="D1" s="8" t="s">
        <v>3</v>
      </c>
      <c r="E1" s="8" t="s">
        <v>4</v>
      </c>
      <c r="F1" s="8" t="s">
        <v>135</v>
      </c>
      <c r="G1" s="37" t="s">
        <v>38</v>
      </c>
      <c r="H1" s="38" t="s">
        <v>39</v>
      </c>
      <c r="I1" s="39" t="s">
        <v>74</v>
      </c>
    </row>
    <row r="2" spans="1:9" ht="65" thickTop="1" x14ac:dyDescent="0.2">
      <c r="A2" s="1" t="s">
        <v>5</v>
      </c>
      <c r="B2" s="24" t="s">
        <v>8</v>
      </c>
      <c r="C2" s="23" t="s">
        <v>11</v>
      </c>
      <c r="D2" s="10">
        <v>1.8</v>
      </c>
      <c r="E2" s="10">
        <v>22500</v>
      </c>
      <c r="F2" s="17" t="s">
        <v>109</v>
      </c>
      <c r="G2" s="17" t="s">
        <v>90</v>
      </c>
      <c r="H2" s="9" t="s">
        <v>41</v>
      </c>
      <c r="I2" s="36"/>
    </row>
    <row r="3" spans="1:9" ht="80" x14ac:dyDescent="0.2">
      <c r="A3" s="1" t="s">
        <v>5</v>
      </c>
      <c r="B3" s="24" t="s">
        <v>8</v>
      </c>
      <c r="C3" s="24" t="s">
        <v>12</v>
      </c>
      <c r="D3" s="10">
        <v>1.3</v>
      </c>
      <c r="E3" s="10">
        <v>30130</v>
      </c>
      <c r="F3" s="17" t="s">
        <v>108</v>
      </c>
      <c r="G3" s="17" t="s">
        <v>91</v>
      </c>
      <c r="H3" s="9" t="s">
        <v>42</v>
      </c>
      <c r="I3" s="36"/>
    </row>
    <row r="4" spans="1:9" ht="48" x14ac:dyDescent="0.2">
      <c r="A4" s="1" t="s">
        <v>5</v>
      </c>
      <c r="B4" s="24" t="s">
        <v>8</v>
      </c>
      <c r="C4" s="24" t="s">
        <v>13</v>
      </c>
      <c r="D4" s="10">
        <v>2.8</v>
      </c>
      <c r="E4" s="10">
        <v>27780</v>
      </c>
      <c r="F4" s="17" t="s">
        <v>110</v>
      </c>
      <c r="G4" s="17" t="s">
        <v>92</v>
      </c>
      <c r="H4" s="9" t="s">
        <v>43</v>
      </c>
      <c r="I4" s="36"/>
    </row>
    <row r="5" spans="1:9" x14ac:dyDescent="0.2">
      <c r="B5" s="20"/>
      <c r="C5" s="20"/>
      <c r="D5" s="9"/>
      <c r="E5" s="9"/>
      <c r="F5" s="17"/>
      <c r="H5" s="9"/>
    </row>
    <row r="6" spans="1:9" ht="409.6" x14ac:dyDescent="0.2">
      <c r="A6" s="2" t="s">
        <v>5</v>
      </c>
      <c r="B6" s="26" t="s">
        <v>9</v>
      </c>
      <c r="C6" s="26" t="s">
        <v>14</v>
      </c>
      <c r="D6" s="11">
        <v>2.4500000000000002</v>
      </c>
      <c r="E6" s="11">
        <v>6729</v>
      </c>
      <c r="F6" s="17" t="s">
        <v>111</v>
      </c>
      <c r="G6" s="17" t="s">
        <v>67</v>
      </c>
      <c r="H6" s="9" t="s">
        <v>44</v>
      </c>
      <c r="I6" s="17" t="s">
        <v>81</v>
      </c>
    </row>
    <row r="7" spans="1:9" ht="96" x14ac:dyDescent="0.2">
      <c r="A7" s="2" t="s">
        <v>5</v>
      </c>
      <c r="B7" s="25" t="s">
        <v>9</v>
      </c>
      <c r="C7" s="25" t="s">
        <v>15</v>
      </c>
      <c r="D7" s="11">
        <v>1.58</v>
      </c>
      <c r="E7" s="11">
        <v>5670</v>
      </c>
      <c r="F7" s="17" t="s">
        <v>112</v>
      </c>
      <c r="G7" s="17" t="s">
        <v>68</v>
      </c>
      <c r="H7" s="9" t="s">
        <v>45</v>
      </c>
      <c r="I7" s="36"/>
    </row>
    <row r="8" spans="1:9" ht="112" x14ac:dyDescent="0.2">
      <c r="A8" s="2" t="s">
        <v>5</v>
      </c>
      <c r="B8" s="25" t="s">
        <v>9</v>
      </c>
      <c r="C8" s="26" t="s">
        <v>16</v>
      </c>
      <c r="D8" s="11">
        <v>1.8</v>
      </c>
      <c r="E8" s="11">
        <v>8624</v>
      </c>
      <c r="F8" s="17" t="s">
        <v>113</v>
      </c>
      <c r="G8" s="17" t="s">
        <v>69</v>
      </c>
      <c r="H8" s="9" t="s">
        <v>46</v>
      </c>
      <c r="I8" s="36"/>
    </row>
    <row r="9" spans="1:9" ht="112" x14ac:dyDescent="0.2">
      <c r="A9" s="2" t="s">
        <v>5</v>
      </c>
      <c r="B9" s="25" t="s">
        <v>9</v>
      </c>
      <c r="C9" s="26" t="s">
        <v>17</v>
      </c>
      <c r="D9" s="11">
        <v>3.5</v>
      </c>
      <c r="E9" s="11">
        <v>8670</v>
      </c>
      <c r="F9" s="17" t="s">
        <v>114</v>
      </c>
      <c r="G9" s="17" t="s">
        <v>70</v>
      </c>
      <c r="H9" s="9" t="s">
        <v>47</v>
      </c>
      <c r="I9" s="36"/>
    </row>
    <row r="10" spans="1:9" x14ac:dyDescent="0.2">
      <c r="B10" s="20"/>
      <c r="C10" s="20"/>
      <c r="D10" s="9"/>
      <c r="E10" s="9"/>
      <c r="F10" s="17"/>
      <c r="H10" s="9"/>
    </row>
    <row r="11" spans="1:9" ht="176" x14ac:dyDescent="0.2">
      <c r="A11" s="3" t="s">
        <v>6</v>
      </c>
      <c r="B11" s="22" t="s">
        <v>8</v>
      </c>
      <c r="C11" s="22" t="s">
        <v>18</v>
      </c>
      <c r="D11" s="12">
        <v>18.079999999999998</v>
      </c>
      <c r="E11" s="12">
        <v>1704</v>
      </c>
      <c r="F11" s="17" t="s">
        <v>115</v>
      </c>
      <c r="G11" s="17" t="s">
        <v>71</v>
      </c>
      <c r="H11" s="9" t="s">
        <v>48</v>
      </c>
      <c r="I11" s="36"/>
    </row>
    <row r="12" spans="1:9" ht="128" x14ac:dyDescent="0.2">
      <c r="A12" s="3" t="s">
        <v>6</v>
      </c>
      <c r="B12" s="22" t="s">
        <v>8</v>
      </c>
      <c r="C12" s="22" t="s">
        <v>19</v>
      </c>
      <c r="D12" s="12">
        <v>23.77</v>
      </c>
      <c r="E12" s="12">
        <v>869</v>
      </c>
      <c r="F12" s="17" t="s">
        <v>116</v>
      </c>
      <c r="G12" s="17" t="s">
        <v>72</v>
      </c>
      <c r="H12" s="9" t="s">
        <v>49</v>
      </c>
      <c r="I12" s="36"/>
    </row>
    <row r="13" spans="1:9" ht="409.6" x14ac:dyDescent="0.2">
      <c r="A13" s="3" t="s">
        <v>6</v>
      </c>
      <c r="B13" s="22" t="s">
        <v>8</v>
      </c>
      <c r="C13" s="22" t="s">
        <v>20</v>
      </c>
      <c r="D13" s="12">
        <v>14.41</v>
      </c>
      <c r="E13" s="12">
        <v>1541</v>
      </c>
      <c r="F13" s="17" t="s">
        <v>117</v>
      </c>
      <c r="G13" s="17" t="s">
        <v>73</v>
      </c>
      <c r="H13" s="9" t="s">
        <v>50</v>
      </c>
      <c r="I13" s="17" t="s">
        <v>75</v>
      </c>
    </row>
    <row r="14" spans="1:9" ht="409.6" x14ac:dyDescent="0.2">
      <c r="A14" s="3" t="s">
        <v>6</v>
      </c>
      <c r="B14" s="22" t="s">
        <v>8</v>
      </c>
      <c r="C14" s="31" t="s">
        <v>21</v>
      </c>
      <c r="D14" s="12">
        <v>31.17</v>
      </c>
      <c r="E14" s="12">
        <v>2530</v>
      </c>
      <c r="F14" s="17" t="s">
        <v>118</v>
      </c>
      <c r="G14" s="17" t="s">
        <v>88</v>
      </c>
      <c r="H14" s="9" t="s">
        <v>51</v>
      </c>
      <c r="I14" s="17" t="s">
        <v>77</v>
      </c>
    </row>
    <row r="15" spans="1:9" x14ac:dyDescent="0.2">
      <c r="B15" s="20"/>
      <c r="C15" s="20"/>
      <c r="D15" s="9"/>
      <c r="E15" s="9"/>
      <c r="F15" s="17"/>
      <c r="H15" s="9"/>
    </row>
    <row r="16" spans="1:9" ht="409.6" x14ac:dyDescent="0.2">
      <c r="A16" s="4" t="s">
        <v>6</v>
      </c>
      <c r="B16" s="27" t="s">
        <v>9</v>
      </c>
      <c r="C16" s="32" t="s">
        <v>22</v>
      </c>
      <c r="D16" s="13">
        <v>227.5</v>
      </c>
      <c r="E16" s="13">
        <v>1597</v>
      </c>
      <c r="F16" s="17" t="s">
        <v>119</v>
      </c>
      <c r="G16" s="17" t="s">
        <v>89</v>
      </c>
      <c r="H16" s="9" t="s">
        <v>52</v>
      </c>
      <c r="I16" s="17" t="s">
        <v>78</v>
      </c>
    </row>
    <row r="17" spans="1:9" ht="409.6" x14ac:dyDescent="0.2">
      <c r="A17" s="4" t="s">
        <v>6</v>
      </c>
      <c r="B17" s="27" t="s">
        <v>9</v>
      </c>
      <c r="C17" s="27" t="s">
        <v>23</v>
      </c>
      <c r="D17" s="13">
        <v>26.08</v>
      </c>
      <c r="E17" s="13">
        <v>611</v>
      </c>
      <c r="F17" s="17" t="s">
        <v>120</v>
      </c>
      <c r="G17" s="17" t="s">
        <v>93</v>
      </c>
      <c r="H17" s="9" t="s">
        <v>53</v>
      </c>
      <c r="I17" s="17" t="s">
        <v>79</v>
      </c>
    </row>
    <row r="18" spans="1:9" ht="64" x14ac:dyDescent="0.2">
      <c r="A18" s="4" t="s">
        <v>6</v>
      </c>
      <c r="B18" s="27" t="s">
        <v>9</v>
      </c>
      <c r="C18" s="27" t="s">
        <v>24</v>
      </c>
      <c r="D18" s="13">
        <v>19.32</v>
      </c>
      <c r="E18" s="13">
        <v>680</v>
      </c>
      <c r="F18" s="17" t="s">
        <v>121</v>
      </c>
      <c r="G18" s="17" t="s">
        <v>94</v>
      </c>
      <c r="H18" s="9" t="s">
        <v>54</v>
      </c>
      <c r="I18" s="36"/>
    </row>
    <row r="19" spans="1:9" x14ac:dyDescent="0.2">
      <c r="B19" s="20"/>
      <c r="C19" s="20"/>
      <c r="D19" s="9"/>
      <c r="E19" s="9"/>
      <c r="F19" s="17"/>
      <c r="H19" s="9"/>
    </row>
    <row r="20" spans="1:9" ht="409.6" x14ac:dyDescent="0.2">
      <c r="A20" s="5" t="s">
        <v>6</v>
      </c>
      <c r="B20" s="28" t="s">
        <v>10</v>
      </c>
      <c r="C20" s="28" t="s">
        <v>25</v>
      </c>
      <c r="D20" s="14">
        <v>28.37</v>
      </c>
      <c r="E20" s="14">
        <v>1737</v>
      </c>
      <c r="F20" s="17" t="s">
        <v>122</v>
      </c>
      <c r="G20" s="17" t="s">
        <v>95</v>
      </c>
      <c r="H20" s="9" t="s">
        <v>55</v>
      </c>
      <c r="I20" s="17" t="s">
        <v>76</v>
      </c>
    </row>
    <row r="21" spans="1:9" ht="48" x14ac:dyDescent="0.2">
      <c r="A21" s="5" t="s">
        <v>6</v>
      </c>
      <c r="B21" s="28" t="s">
        <v>10</v>
      </c>
      <c r="C21" s="28" t="s">
        <v>26</v>
      </c>
      <c r="D21" s="14">
        <v>5.0999999999999996</v>
      </c>
      <c r="E21" s="14">
        <v>495</v>
      </c>
      <c r="F21" s="17" t="s">
        <v>123</v>
      </c>
      <c r="G21" s="17" t="s">
        <v>96</v>
      </c>
      <c r="H21" s="9" t="s">
        <v>56</v>
      </c>
      <c r="I21" s="36"/>
    </row>
    <row r="22" spans="1:9" ht="128" x14ac:dyDescent="0.2">
      <c r="A22" s="5" t="s">
        <v>6</v>
      </c>
      <c r="B22" s="28" t="s">
        <v>10</v>
      </c>
      <c r="C22" s="33" t="s">
        <v>27</v>
      </c>
      <c r="D22" s="14">
        <v>105.8</v>
      </c>
      <c r="E22" s="14">
        <v>627</v>
      </c>
      <c r="F22" s="17" t="s">
        <v>124</v>
      </c>
      <c r="G22" s="17" t="s">
        <v>97</v>
      </c>
      <c r="H22" s="9" t="s">
        <v>57</v>
      </c>
      <c r="I22" s="36"/>
    </row>
    <row r="23" spans="1:9" ht="48" x14ac:dyDescent="0.2">
      <c r="A23" s="5" t="s">
        <v>6</v>
      </c>
      <c r="B23" s="28" t="s">
        <v>10</v>
      </c>
      <c r="C23" s="28" t="s">
        <v>28</v>
      </c>
      <c r="D23" s="14">
        <v>6.1</v>
      </c>
      <c r="E23" s="14">
        <v>2478</v>
      </c>
      <c r="F23" s="17" t="s">
        <v>125</v>
      </c>
      <c r="G23" s="17" t="s">
        <v>98</v>
      </c>
      <c r="H23" s="9" t="s">
        <v>58</v>
      </c>
      <c r="I23" s="36"/>
    </row>
    <row r="24" spans="1:9" ht="409.6" x14ac:dyDescent="0.2">
      <c r="A24" s="5" t="s">
        <v>6</v>
      </c>
      <c r="B24" s="28" t="s">
        <v>10</v>
      </c>
      <c r="C24" s="28" t="s">
        <v>29</v>
      </c>
      <c r="D24" s="14">
        <v>2.48</v>
      </c>
      <c r="E24" s="14">
        <v>7803</v>
      </c>
      <c r="F24" s="17" t="s">
        <v>126</v>
      </c>
      <c r="G24" s="17" t="s">
        <v>99</v>
      </c>
      <c r="H24" s="9" t="s">
        <v>59</v>
      </c>
      <c r="I24" s="17" t="s">
        <v>80</v>
      </c>
    </row>
    <row r="25" spans="1:9" x14ac:dyDescent="0.2">
      <c r="B25" s="20"/>
      <c r="C25" s="20"/>
      <c r="D25" s="9"/>
      <c r="E25" s="9"/>
      <c r="F25" s="17"/>
      <c r="H25" s="9"/>
    </row>
    <row r="26" spans="1:9" ht="409.6" x14ac:dyDescent="0.2">
      <c r="A26" s="6" t="s">
        <v>7</v>
      </c>
      <c r="B26" s="29" t="s">
        <v>8</v>
      </c>
      <c r="C26" s="29" t="s">
        <v>30</v>
      </c>
      <c r="D26" s="15">
        <v>85.33</v>
      </c>
      <c r="E26" s="15">
        <v>13105</v>
      </c>
      <c r="F26" s="17" t="s">
        <v>127</v>
      </c>
      <c r="G26" s="17" t="s">
        <v>100</v>
      </c>
      <c r="H26" s="9" t="s">
        <v>60</v>
      </c>
      <c r="I26" s="17" t="s">
        <v>82</v>
      </c>
    </row>
    <row r="27" spans="1:9" ht="409.6" x14ac:dyDescent="0.2">
      <c r="A27" s="6" t="s">
        <v>7</v>
      </c>
      <c r="B27" s="29" t="s">
        <v>8</v>
      </c>
      <c r="C27" s="29" t="s">
        <v>31</v>
      </c>
      <c r="D27" s="15">
        <v>2.9</v>
      </c>
      <c r="E27" s="15">
        <v>8053</v>
      </c>
      <c r="F27" s="17" t="s">
        <v>128</v>
      </c>
      <c r="G27" s="17" t="s">
        <v>101</v>
      </c>
      <c r="H27" s="9" t="s">
        <v>61</v>
      </c>
      <c r="I27" s="17" t="s">
        <v>83</v>
      </c>
    </row>
    <row r="28" spans="1:9" ht="409.6" x14ac:dyDescent="0.2">
      <c r="A28" s="6" t="s">
        <v>7</v>
      </c>
      <c r="B28" s="29" t="s">
        <v>8</v>
      </c>
      <c r="C28" s="29" t="s">
        <v>32</v>
      </c>
      <c r="D28" s="15">
        <v>3.7</v>
      </c>
      <c r="E28" s="15">
        <v>8283</v>
      </c>
      <c r="F28" s="17" t="s">
        <v>129</v>
      </c>
      <c r="G28" s="17" t="s">
        <v>102</v>
      </c>
      <c r="H28" s="9" t="s">
        <v>62</v>
      </c>
      <c r="I28" s="17" t="s">
        <v>84</v>
      </c>
    </row>
    <row r="29" spans="1:9" ht="409.6" x14ac:dyDescent="0.2">
      <c r="A29" s="6" t="s">
        <v>7</v>
      </c>
      <c r="B29" s="29" t="s">
        <v>8</v>
      </c>
      <c r="C29" s="34" t="s">
        <v>33</v>
      </c>
      <c r="D29" s="15">
        <v>10.15</v>
      </c>
      <c r="E29" s="15">
        <v>7125</v>
      </c>
      <c r="F29" s="17" t="s">
        <v>130</v>
      </c>
      <c r="G29" s="17" t="s">
        <v>103</v>
      </c>
      <c r="H29" s="9" t="s">
        <v>40</v>
      </c>
      <c r="I29" s="17" t="s">
        <v>85</v>
      </c>
    </row>
    <row r="30" spans="1:9" x14ac:dyDescent="0.2">
      <c r="B30" s="20"/>
      <c r="C30" s="20"/>
      <c r="D30" s="9"/>
      <c r="E30" s="9"/>
      <c r="F30" s="17"/>
      <c r="H30" s="9"/>
    </row>
    <row r="31" spans="1:9" ht="409.6" x14ac:dyDescent="0.2">
      <c r="A31" s="7" t="s">
        <v>7</v>
      </c>
      <c r="B31" s="35" t="s">
        <v>9</v>
      </c>
      <c r="C31" s="35" t="s">
        <v>34</v>
      </c>
      <c r="D31" s="16">
        <v>35.65</v>
      </c>
      <c r="E31" s="16">
        <v>2849</v>
      </c>
      <c r="F31" s="17" t="s">
        <v>131</v>
      </c>
      <c r="G31" s="17" t="s">
        <v>104</v>
      </c>
      <c r="H31" s="9" t="s">
        <v>63</v>
      </c>
      <c r="I31" s="17" t="s">
        <v>87</v>
      </c>
    </row>
    <row r="32" spans="1:9" ht="409.6" x14ac:dyDescent="0.2">
      <c r="A32" s="7" t="s">
        <v>7</v>
      </c>
      <c r="B32" s="30" t="s">
        <v>9</v>
      </c>
      <c r="C32" s="35" t="s">
        <v>35</v>
      </c>
      <c r="D32" s="16">
        <v>20.329999999999998</v>
      </c>
      <c r="E32" s="16">
        <v>12918</v>
      </c>
      <c r="F32" s="17" t="s">
        <v>134</v>
      </c>
      <c r="G32" s="17" t="s">
        <v>105</v>
      </c>
      <c r="H32" s="9" t="s">
        <v>64</v>
      </c>
      <c r="I32" s="17" t="s">
        <v>86</v>
      </c>
    </row>
    <row r="33" spans="1:9" ht="240" x14ac:dyDescent="0.2">
      <c r="A33" s="7" t="s">
        <v>7</v>
      </c>
      <c r="B33" s="30" t="s">
        <v>9</v>
      </c>
      <c r="C33" s="35" t="s">
        <v>36</v>
      </c>
      <c r="D33" s="16">
        <v>7.1</v>
      </c>
      <c r="E33" s="16">
        <v>1970</v>
      </c>
      <c r="F33" s="17" t="s">
        <v>133</v>
      </c>
      <c r="G33" s="17" t="s">
        <v>106</v>
      </c>
      <c r="H33" s="9" t="s">
        <v>65</v>
      </c>
      <c r="I33" s="36"/>
    </row>
    <row r="34" spans="1:9" ht="112" x14ac:dyDescent="0.2">
      <c r="A34" s="7" t="s">
        <v>7</v>
      </c>
      <c r="B34" s="30" t="s">
        <v>9</v>
      </c>
      <c r="C34" s="35" t="s">
        <v>37</v>
      </c>
      <c r="D34" s="16">
        <v>10.39</v>
      </c>
      <c r="E34" s="16">
        <v>1160</v>
      </c>
      <c r="F34" s="17" t="s">
        <v>132</v>
      </c>
      <c r="G34" s="17" t="s">
        <v>107</v>
      </c>
      <c r="H34" s="9" t="s">
        <v>66</v>
      </c>
      <c r="I34" s="36"/>
    </row>
    <row r="35" spans="1:9" x14ac:dyDescent="0.2">
      <c r="B35" s="20"/>
      <c r="C35"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4916-EA8A-174A-9921-23F6E4F0F449}">
  <dimension ref="A1:K44"/>
  <sheetViews>
    <sheetView workbookViewId="0">
      <selection activeCell="F35" sqref="F35"/>
    </sheetView>
  </sheetViews>
  <sheetFormatPr baseColWidth="10" defaultRowHeight="15" x14ac:dyDescent="0.2"/>
  <cols>
    <col min="1" max="1" width="21.1640625" customWidth="1"/>
    <col min="2" max="2" width="21.6640625" customWidth="1"/>
    <col min="3" max="4" width="24" customWidth="1"/>
    <col min="5" max="5" width="19.6640625" customWidth="1"/>
    <col min="6" max="6" width="69.5" customWidth="1"/>
    <col min="7" max="7" width="47.83203125" style="9" customWidth="1"/>
    <col min="8" max="8" width="28.33203125" customWidth="1"/>
    <col min="9" max="9" width="51.33203125" customWidth="1"/>
    <col min="10" max="10" width="55.83203125" customWidth="1"/>
    <col min="11" max="11" width="40.5" customWidth="1"/>
    <col min="12" max="12" width="21.6640625" customWidth="1"/>
  </cols>
  <sheetData>
    <row r="1" spans="1:11" ht="21" thickBot="1" x14ac:dyDescent="0.3">
      <c r="F1" s="60" t="s">
        <v>180</v>
      </c>
      <c r="I1" s="60" t="s">
        <v>181</v>
      </c>
    </row>
    <row r="2" spans="1:11" ht="56" thickTop="1" thickBot="1" x14ac:dyDescent="0.25">
      <c r="A2" s="8" t="s">
        <v>0</v>
      </c>
      <c r="B2" s="8" t="s">
        <v>1</v>
      </c>
      <c r="C2" s="8" t="s">
        <v>2</v>
      </c>
      <c r="D2" s="8" t="s">
        <v>3</v>
      </c>
      <c r="E2" s="8" t="s">
        <v>4</v>
      </c>
      <c r="F2" s="59" t="s">
        <v>151</v>
      </c>
      <c r="G2" s="59" t="s">
        <v>152</v>
      </c>
      <c r="H2" s="59" t="s">
        <v>153</v>
      </c>
      <c r="I2" s="59" t="s">
        <v>182</v>
      </c>
      <c r="J2" s="59" t="s">
        <v>154</v>
      </c>
      <c r="K2" s="59" t="s">
        <v>183</v>
      </c>
    </row>
    <row r="3" spans="1:11" ht="20" thickTop="1" thickBot="1" x14ac:dyDescent="0.25">
      <c r="A3" s="8" t="s">
        <v>5</v>
      </c>
      <c r="B3" s="8" t="s">
        <v>45</v>
      </c>
      <c r="C3" s="71" t="s">
        <v>157</v>
      </c>
      <c r="D3" s="71">
        <v>68.17</v>
      </c>
      <c r="E3" s="71">
        <v>44460.82</v>
      </c>
      <c r="F3" s="9">
        <v>635</v>
      </c>
      <c r="G3" s="9">
        <f t="shared" ref="G3:G38" si="0">F3*10%</f>
        <v>63.5</v>
      </c>
      <c r="H3" s="9"/>
      <c r="I3" s="9"/>
      <c r="J3" s="9"/>
      <c r="K3" s="9"/>
    </row>
    <row r="4" spans="1:11" ht="19" thickTop="1" thickBot="1" x14ac:dyDescent="0.25">
      <c r="A4" s="65" t="s">
        <v>7</v>
      </c>
      <c r="B4" s="68" t="s">
        <v>8</v>
      </c>
      <c r="C4" s="68" t="s">
        <v>30</v>
      </c>
      <c r="D4" s="72">
        <v>85.33</v>
      </c>
      <c r="E4" s="72">
        <v>13105</v>
      </c>
      <c r="F4" s="61">
        <f>(D4/36.5)*(E4/22000)*325</f>
        <v>452.59170143212958</v>
      </c>
      <c r="G4" s="75">
        <f t="shared" si="0"/>
        <v>45.259170143212963</v>
      </c>
      <c r="H4" s="50">
        <f t="shared" ref="H4:H38" si="1">G4*0.35</f>
        <v>15.840709550124537</v>
      </c>
      <c r="I4" s="62">
        <f>(D4/68.17)*(E4/44460)*635</f>
        <v>234.28783751966699</v>
      </c>
      <c r="J4" s="62">
        <f>I4*10%</f>
        <v>23.428783751966701</v>
      </c>
      <c r="K4" s="62">
        <f>J4*0.35</f>
        <v>8.2000743131883453</v>
      </c>
    </row>
    <row r="5" spans="1:11" ht="20" thickTop="1" thickBot="1" x14ac:dyDescent="0.25">
      <c r="A5" s="8" t="s">
        <v>5</v>
      </c>
      <c r="B5" s="8" t="s">
        <v>45</v>
      </c>
      <c r="C5" s="71" t="s">
        <v>179</v>
      </c>
      <c r="D5" s="71">
        <v>36.5</v>
      </c>
      <c r="E5" s="8">
        <v>22000</v>
      </c>
      <c r="F5" s="9">
        <v>325</v>
      </c>
      <c r="G5" s="9">
        <f t="shared" si="0"/>
        <v>32.5</v>
      </c>
      <c r="H5" s="9">
        <f t="shared" si="1"/>
        <v>11.375</v>
      </c>
      <c r="I5" s="9"/>
      <c r="J5" s="9"/>
      <c r="K5" s="9"/>
    </row>
    <row r="6" spans="1:11" ht="18" thickTop="1" x14ac:dyDescent="0.2">
      <c r="A6" s="4" t="s">
        <v>6</v>
      </c>
      <c r="B6" s="27" t="s">
        <v>9</v>
      </c>
      <c r="C6" s="32" t="s">
        <v>22</v>
      </c>
      <c r="D6" s="13">
        <v>227.5</v>
      </c>
      <c r="E6" s="13">
        <v>1597</v>
      </c>
      <c r="F6" s="61">
        <f>(D6/36.5)*(E6/22000)*325</f>
        <v>147.04631070983811</v>
      </c>
      <c r="G6" s="75">
        <f t="shared" si="0"/>
        <v>14.704631070983812</v>
      </c>
      <c r="H6" s="50">
        <f t="shared" si="1"/>
        <v>5.1466208748443334</v>
      </c>
      <c r="I6" s="62">
        <f>(D6/68.17)*(E6/44460)*635</f>
        <v>76.119738922387882</v>
      </c>
      <c r="J6" s="62">
        <f>I6*10%</f>
        <v>7.6119738922387885</v>
      </c>
      <c r="K6" s="62">
        <f>J6*0.35</f>
        <v>2.6641908622835757</v>
      </c>
    </row>
    <row r="7" spans="1:11" ht="17" x14ac:dyDescent="0.2">
      <c r="A7" s="7" t="s">
        <v>7</v>
      </c>
      <c r="B7" s="30" t="s">
        <v>9</v>
      </c>
      <c r="C7" s="35" t="s">
        <v>35</v>
      </c>
      <c r="D7" s="16">
        <v>20.329999999999998</v>
      </c>
      <c r="E7" s="16">
        <v>12918</v>
      </c>
      <c r="F7" s="61">
        <f>(D7/36.5)*(E7/22000)*325</f>
        <v>106.29197447073473</v>
      </c>
      <c r="G7" s="75">
        <f t="shared" si="0"/>
        <v>10.629197447073473</v>
      </c>
      <c r="H7" s="50">
        <f t="shared" si="1"/>
        <v>3.7202191064757151</v>
      </c>
      <c r="I7" s="62">
        <f>(D7/68.17)*(E7/44460)*635</f>
        <v>55.022919699243594</v>
      </c>
      <c r="J7" s="62">
        <f>I7*10%</f>
        <v>5.50229196992436</v>
      </c>
      <c r="K7" s="62">
        <f>J7*0.35</f>
        <v>1.9258021894735258</v>
      </c>
    </row>
    <row r="8" spans="1:11" ht="18" x14ac:dyDescent="0.2">
      <c r="A8" s="63" t="s">
        <v>6</v>
      </c>
      <c r="B8" s="63" t="s">
        <v>45</v>
      </c>
      <c r="C8" s="64" t="s">
        <v>163</v>
      </c>
      <c r="D8" s="64">
        <v>37.799999999999997</v>
      </c>
      <c r="E8" s="64">
        <v>3700</v>
      </c>
      <c r="F8" s="9">
        <v>60</v>
      </c>
      <c r="G8" s="9">
        <f t="shared" si="0"/>
        <v>6</v>
      </c>
      <c r="H8" s="9">
        <f t="shared" si="1"/>
        <v>2.0999999999999996</v>
      </c>
      <c r="I8" s="9"/>
      <c r="J8" s="9"/>
      <c r="K8" s="9"/>
    </row>
    <row r="9" spans="1:11" ht="17" x14ac:dyDescent="0.2">
      <c r="A9" s="7" t="s">
        <v>7</v>
      </c>
      <c r="B9" s="35" t="s">
        <v>9</v>
      </c>
      <c r="C9" s="35" t="s">
        <v>34</v>
      </c>
      <c r="D9" s="16">
        <v>35.65</v>
      </c>
      <c r="E9" s="16">
        <v>2849</v>
      </c>
      <c r="F9" s="61">
        <f t="shared" ref="F9:F14" si="2">(D9/36.5)*(E9/22000)*325</f>
        <v>41.107380136986301</v>
      </c>
      <c r="G9" s="75">
        <f t="shared" si="0"/>
        <v>4.1107380136986302</v>
      </c>
      <c r="H9" s="50">
        <f t="shared" si="1"/>
        <v>1.4387583047945205</v>
      </c>
      <c r="I9" s="62">
        <f t="shared" ref="I9:I38" si="3">(D9/68.17)*(E9/44460)*635</f>
        <v>21.279575316821596</v>
      </c>
      <c r="J9" s="62">
        <f t="shared" ref="J9:J38" si="4">I9*10%</f>
        <v>2.1279575316821595</v>
      </c>
      <c r="K9" s="62">
        <f t="shared" ref="K9:K38" si="5">J9*0.35</f>
        <v>0.74478513608875574</v>
      </c>
    </row>
    <row r="10" spans="1:11" ht="17" x14ac:dyDescent="0.2">
      <c r="A10" s="3" t="s">
        <v>6</v>
      </c>
      <c r="B10" s="22" t="s">
        <v>8</v>
      </c>
      <c r="C10" s="31" t="s">
        <v>21</v>
      </c>
      <c r="D10" s="12">
        <v>31.17</v>
      </c>
      <c r="E10" s="12">
        <v>2530</v>
      </c>
      <c r="F10" s="61">
        <f t="shared" si="2"/>
        <v>31.917226027397263</v>
      </c>
      <c r="G10" s="75">
        <f t="shared" si="0"/>
        <v>3.1917226027397265</v>
      </c>
      <c r="H10" s="50">
        <f t="shared" si="1"/>
        <v>1.1171029109589041</v>
      </c>
      <c r="I10" s="62">
        <f t="shared" si="3"/>
        <v>16.522216032515363</v>
      </c>
      <c r="J10" s="62">
        <f t="shared" si="4"/>
        <v>1.6522216032515364</v>
      </c>
      <c r="K10" s="62">
        <f t="shared" si="5"/>
        <v>0.57827756113803774</v>
      </c>
    </row>
    <row r="11" spans="1:11" ht="17" x14ac:dyDescent="0.2">
      <c r="A11" s="1" t="s">
        <v>5</v>
      </c>
      <c r="B11" s="24" t="s">
        <v>8</v>
      </c>
      <c r="C11" s="24" t="s">
        <v>13</v>
      </c>
      <c r="D11" s="10">
        <v>2.8</v>
      </c>
      <c r="E11" s="10">
        <v>27780</v>
      </c>
      <c r="F11" s="61">
        <f t="shared" si="2"/>
        <v>31.481693648816933</v>
      </c>
      <c r="G11" s="75">
        <f t="shared" si="0"/>
        <v>3.1481693648816935</v>
      </c>
      <c r="H11" s="50">
        <f t="shared" si="1"/>
        <v>1.1018592777085927</v>
      </c>
      <c r="I11" s="62">
        <f t="shared" si="3"/>
        <v>16.296759094563342</v>
      </c>
      <c r="J11" s="62">
        <f t="shared" si="4"/>
        <v>1.6296759094563342</v>
      </c>
      <c r="K11" s="62">
        <f t="shared" si="5"/>
        <v>0.5703865683097169</v>
      </c>
    </row>
    <row r="12" spans="1:11" ht="17" x14ac:dyDescent="0.2">
      <c r="A12" s="6" t="s">
        <v>7</v>
      </c>
      <c r="B12" s="29" t="s">
        <v>8</v>
      </c>
      <c r="C12" s="34" t="s">
        <v>33</v>
      </c>
      <c r="D12" s="15">
        <v>10.15</v>
      </c>
      <c r="E12" s="15">
        <v>7125</v>
      </c>
      <c r="F12" s="61">
        <f t="shared" si="2"/>
        <v>29.269730697384809</v>
      </c>
      <c r="G12" s="75">
        <f t="shared" si="0"/>
        <v>2.926973069738481</v>
      </c>
      <c r="H12" s="50">
        <f t="shared" si="1"/>
        <v>1.0244405744084684</v>
      </c>
      <c r="I12" s="62">
        <f t="shared" si="3"/>
        <v>15.151718178159429</v>
      </c>
      <c r="J12" s="62">
        <f t="shared" si="4"/>
        <v>1.515171817815943</v>
      </c>
      <c r="K12" s="62">
        <f t="shared" si="5"/>
        <v>0.53031013623557999</v>
      </c>
    </row>
    <row r="13" spans="1:11" ht="34" x14ac:dyDescent="0.2">
      <c r="A13" s="5" t="s">
        <v>6</v>
      </c>
      <c r="B13" s="28" t="s">
        <v>10</v>
      </c>
      <c r="C13" s="33" t="s">
        <v>27</v>
      </c>
      <c r="D13" s="14">
        <v>105.8</v>
      </c>
      <c r="E13" s="14">
        <v>627</v>
      </c>
      <c r="F13" s="61">
        <f t="shared" si="2"/>
        <v>26.848561643835616</v>
      </c>
      <c r="G13" s="75">
        <f t="shared" si="0"/>
        <v>2.6848561643835618</v>
      </c>
      <c r="H13" s="50">
        <f t="shared" si="1"/>
        <v>0.93969965753424656</v>
      </c>
      <c r="I13" s="62">
        <f t="shared" si="3"/>
        <v>13.89837999270301</v>
      </c>
      <c r="J13" s="62">
        <f t="shared" si="4"/>
        <v>1.3898379992703012</v>
      </c>
      <c r="K13" s="62">
        <f t="shared" si="5"/>
        <v>0.48644329974460537</v>
      </c>
    </row>
    <row r="14" spans="1:11" ht="17" x14ac:dyDescent="0.2">
      <c r="A14" s="5" t="s">
        <v>6</v>
      </c>
      <c r="B14" s="28" t="s">
        <v>10</v>
      </c>
      <c r="C14" s="28" t="s">
        <v>25</v>
      </c>
      <c r="D14" s="14">
        <v>28.37</v>
      </c>
      <c r="E14" s="14">
        <v>1737</v>
      </c>
      <c r="F14" s="61">
        <f t="shared" si="2"/>
        <v>19.944675280199256</v>
      </c>
      <c r="G14" s="75">
        <f t="shared" si="0"/>
        <v>1.9944675280199258</v>
      </c>
      <c r="H14" s="50">
        <f t="shared" si="1"/>
        <v>0.69806363480697398</v>
      </c>
      <c r="I14" s="62">
        <f t="shared" si="3"/>
        <v>10.324526116240715</v>
      </c>
      <c r="J14" s="62">
        <f t="shared" si="4"/>
        <v>1.0324526116240715</v>
      </c>
      <c r="K14" s="62">
        <f t="shared" si="5"/>
        <v>0.361358414068425</v>
      </c>
    </row>
    <row r="15" spans="1:11" ht="17" x14ac:dyDescent="0.2">
      <c r="A15" s="1" t="s">
        <v>5</v>
      </c>
      <c r="B15" s="24" t="s">
        <v>8</v>
      </c>
      <c r="C15" s="23" t="s">
        <v>11</v>
      </c>
      <c r="D15" s="10">
        <v>1.8</v>
      </c>
      <c r="E15" s="10">
        <v>22500</v>
      </c>
      <c r="F15" s="61">
        <f>(D15/D14)*(E15/E14)*F14</f>
        <v>16.391656288916565</v>
      </c>
      <c r="G15" s="75">
        <f t="shared" si="0"/>
        <v>1.6391656288916565</v>
      </c>
      <c r="H15" s="50">
        <f t="shared" si="1"/>
        <v>0.57370797011207975</v>
      </c>
      <c r="I15" s="62">
        <f t="shared" si="3"/>
        <v>8.4852764492673991</v>
      </c>
      <c r="J15" s="62">
        <f t="shared" si="4"/>
        <v>0.84852764492673993</v>
      </c>
      <c r="K15" s="62">
        <f t="shared" si="5"/>
        <v>0.29698467572435894</v>
      </c>
    </row>
    <row r="16" spans="1:11" ht="17" x14ac:dyDescent="0.2">
      <c r="A16" s="1" t="s">
        <v>5</v>
      </c>
      <c r="B16" s="24" t="s">
        <v>8</v>
      </c>
      <c r="C16" s="24" t="s">
        <v>12</v>
      </c>
      <c r="D16" s="10">
        <v>1.3</v>
      </c>
      <c r="E16" s="10">
        <v>30130</v>
      </c>
      <c r="F16" s="61">
        <f t="shared" ref="F16:F33" si="6">(D16/36.5)*(E16/22000)*325</f>
        <v>15.852957658779578</v>
      </c>
      <c r="G16" s="75">
        <f t="shared" si="0"/>
        <v>1.5852957658779578</v>
      </c>
      <c r="H16" s="50">
        <f t="shared" si="1"/>
        <v>0.55485351805728522</v>
      </c>
      <c r="I16" s="62">
        <f t="shared" si="3"/>
        <v>8.206414647934686</v>
      </c>
      <c r="J16" s="62">
        <f t="shared" si="4"/>
        <v>0.82064146479346867</v>
      </c>
      <c r="K16" s="62">
        <f t="shared" si="5"/>
        <v>0.28722451267771404</v>
      </c>
    </row>
    <row r="17" spans="1:11" ht="17" x14ac:dyDescent="0.2">
      <c r="A17" s="3" t="s">
        <v>6</v>
      </c>
      <c r="B17" s="22" t="s">
        <v>8</v>
      </c>
      <c r="C17" s="22" t="s">
        <v>18</v>
      </c>
      <c r="D17" s="12">
        <v>18.079999999999998</v>
      </c>
      <c r="E17" s="12">
        <v>1704</v>
      </c>
      <c r="F17" s="61">
        <f t="shared" si="6"/>
        <v>12.469120797011207</v>
      </c>
      <c r="G17" s="75">
        <f t="shared" si="0"/>
        <v>1.2469120797011208</v>
      </c>
      <c r="H17" s="50">
        <f t="shared" si="1"/>
        <v>0.43641922789539228</v>
      </c>
      <c r="I17" s="62">
        <f t="shared" si="3"/>
        <v>6.4547435095677486</v>
      </c>
      <c r="J17" s="62">
        <f t="shared" si="4"/>
        <v>0.64547435095677486</v>
      </c>
      <c r="K17" s="62">
        <f t="shared" si="5"/>
        <v>0.22591602283487119</v>
      </c>
    </row>
    <row r="18" spans="1:11" ht="17" x14ac:dyDescent="0.2">
      <c r="A18" s="6" t="s">
        <v>7</v>
      </c>
      <c r="B18" s="29" t="s">
        <v>8</v>
      </c>
      <c r="C18" s="29" t="s">
        <v>32</v>
      </c>
      <c r="D18" s="15">
        <v>3.7</v>
      </c>
      <c r="E18" s="15">
        <v>8283</v>
      </c>
      <c r="F18" s="61">
        <f t="shared" si="6"/>
        <v>12.403869863013698</v>
      </c>
      <c r="G18" s="75">
        <f t="shared" si="0"/>
        <v>1.2403869863013699</v>
      </c>
      <c r="H18" s="50">
        <f t="shared" si="1"/>
        <v>0.43413544520547942</v>
      </c>
      <c r="I18" s="62">
        <f t="shared" si="3"/>
        <v>6.4209658239097029</v>
      </c>
      <c r="J18" s="62">
        <f t="shared" si="4"/>
        <v>0.64209658239097034</v>
      </c>
      <c r="K18" s="62">
        <f t="shared" si="5"/>
        <v>0.22473380383683961</v>
      </c>
    </row>
    <row r="19" spans="1:11" ht="17" x14ac:dyDescent="0.2">
      <c r="A19" s="2" t="s">
        <v>5</v>
      </c>
      <c r="B19" s="25" t="s">
        <v>9</v>
      </c>
      <c r="C19" s="26" t="s">
        <v>17</v>
      </c>
      <c r="D19" s="11">
        <v>3.5</v>
      </c>
      <c r="E19" s="11">
        <v>8670</v>
      </c>
      <c r="F19" s="61">
        <f t="shared" si="6"/>
        <v>12.281600249066003</v>
      </c>
      <c r="G19" s="75">
        <f t="shared" si="0"/>
        <v>1.2281600249066003</v>
      </c>
      <c r="H19" s="50">
        <f t="shared" si="1"/>
        <v>0.42985600871731006</v>
      </c>
      <c r="I19" s="62">
        <f t="shared" si="3"/>
        <v>6.3576719469881304</v>
      </c>
      <c r="J19" s="62">
        <f t="shared" si="4"/>
        <v>0.63576719469881304</v>
      </c>
      <c r="K19" s="62">
        <f t="shared" si="5"/>
        <v>0.22251851814458454</v>
      </c>
    </row>
    <row r="20" spans="1:11" ht="17" x14ac:dyDescent="0.2">
      <c r="A20" s="6" t="s">
        <v>7</v>
      </c>
      <c r="B20" s="29" t="s">
        <v>8</v>
      </c>
      <c r="C20" s="29" t="s">
        <v>31</v>
      </c>
      <c r="D20" s="15">
        <v>2.9</v>
      </c>
      <c r="E20" s="15">
        <v>8053</v>
      </c>
      <c r="F20" s="61">
        <f t="shared" si="6"/>
        <v>9.451995641344956</v>
      </c>
      <c r="G20" s="75">
        <f t="shared" si="0"/>
        <v>0.94519956413449568</v>
      </c>
      <c r="H20" s="50">
        <f t="shared" si="1"/>
        <v>0.33081984744707349</v>
      </c>
      <c r="I20" s="62">
        <f t="shared" si="3"/>
        <v>4.8929037188458295</v>
      </c>
      <c r="J20" s="62">
        <f t="shared" si="4"/>
        <v>0.48929037188458296</v>
      </c>
      <c r="K20" s="62">
        <f t="shared" si="5"/>
        <v>0.17125163015960404</v>
      </c>
    </row>
    <row r="21" spans="1:11" ht="17" x14ac:dyDescent="0.2">
      <c r="A21" s="3" t="s">
        <v>6</v>
      </c>
      <c r="B21" s="22" t="s">
        <v>8</v>
      </c>
      <c r="C21" s="22" t="s">
        <v>20</v>
      </c>
      <c r="D21" s="12">
        <v>14.41</v>
      </c>
      <c r="E21" s="12">
        <v>1541</v>
      </c>
      <c r="F21" s="61">
        <f t="shared" si="6"/>
        <v>8.9874075342465769</v>
      </c>
      <c r="G21" s="75">
        <f t="shared" si="0"/>
        <v>0.89874075342465776</v>
      </c>
      <c r="H21" s="50">
        <f t="shared" si="1"/>
        <v>0.31455926369863019</v>
      </c>
      <c r="I21" s="62">
        <f t="shared" si="3"/>
        <v>4.6524058427137422</v>
      </c>
      <c r="J21" s="62">
        <f t="shared" si="4"/>
        <v>0.46524058427137427</v>
      </c>
      <c r="K21" s="62">
        <f t="shared" si="5"/>
        <v>0.16283420449498098</v>
      </c>
    </row>
    <row r="22" spans="1:11" ht="17" x14ac:dyDescent="0.2">
      <c r="A22" s="3" t="s">
        <v>6</v>
      </c>
      <c r="B22" s="22" t="s">
        <v>8</v>
      </c>
      <c r="C22" s="22" t="s">
        <v>19</v>
      </c>
      <c r="D22" s="12">
        <v>23.77</v>
      </c>
      <c r="E22" s="12">
        <v>869</v>
      </c>
      <c r="F22" s="61">
        <f t="shared" si="6"/>
        <v>8.3602020547945202</v>
      </c>
      <c r="G22" s="75">
        <f t="shared" si="0"/>
        <v>0.83602020547945211</v>
      </c>
      <c r="H22" s="50">
        <f t="shared" si="1"/>
        <v>0.29260707191780821</v>
      </c>
      <c r="I22" s="62">
        <f t="shared" si="3"/>
        <v>4.327727738814958</v>
      </c>
      <c r="J22" s="62">
        <f t="shared" si="4"/>
        <v>0.43277277388149582</v>
      </c>
      <c r="K22" s="62">
        <f t="shared" si="5"/>
        <v>0.15147047085852353</v>
      </c>
    </row>
    <row r="23" spans="1:11" ht="17" x14ac:dyDescent="0.2">
      <c r="A23" s="5" t="s">
        <v>6</v>
      </c>
      <c r="B23" s="28" t="s">
        <v>10</v>
      </c>
      <c r="C23" s="28" t="s">
        <v>29</v>
      </c>
      <c r="D23" s="14">
        <v>2.48</v>
      </c>
      <c r="E23" s="14">
        <v>7803</v>
      </c>
      <c r="F23" s="61">
        <f t="shared" si="6"/>
        <v>7.8321519302615199</v>
      </c>
      <c r="G23" s="75">
        <f t="shared" si="0"/>
        <v>0.78321519302615206</v>
      </c>
      <c r="H23" s="50">
        <f t="shared" si="1"/>
        <v>0.2741253175591532</v>
      </c>
      <c r="I23" s="62">
        <f t="shared" si="3"/>
        <v>4.0543782244792874</v>
      </c>
      <c r="J23" s="62">
        <f t="shared" si="4"/>
        <v>0.40543782244792875</v>
      </c>
      <c r="K23" s="62">
        <f t="shared" si="5"/>
        <v>0.14190323785677506</v>
      </c>
    </row>
    <row r="24" spans="1:11" ht="17" x14ac:dyDescent="0.2">
      <c r="A24" s="2" t="s">
        <v>5</v>
      </c>
      <c r="B24" s="26" t="s">
        <v>9</v>
      </c>
      <c r="C24" s="26" t="s">
        <v>14</v>
      </c>
      <c r="D24" s="11">
        <v>2.4500000000000002</v>
      </c>
      <c r="E24" s="11">
        <v>6729</v>
      </c>
      <c r="F24" s="61">
        <f t="shared" si="6"/>
        <v>6.672436176836861</v>
      </c>
      <c r="G24" s="75">
        <f t="shared" si="0"/>
        <v>0.66724361768368612</v>
      </c>
      <c r="H24" s="50">
        <f t="shared" si="1"/>
        <v>0.23353526618929013</v>
      </c>
      <c r="I24" s="62">
        <f t="shared" si="3"/>
        <v>3.4540417729986386</v>
      </c>
      <c r="J24" s="62">
        <f t="shared" si="4"/>
        <v>0.34540417729986389</v>
      </c>
      <c r="K24" s="62">
        <f t="shared" si="5"/>
        <v>0.12089146205495235</v>
      </c>
    </row>
    <row r="25" spans="1:11" ht="17" x14ac:dyDescent="0.2">
      <c r="A25" s="4" t="s">
        <v>6</v>
      </c>
      <c r="B25" s="27" t="s">
        <v>9</v>
      </c>
      <c r="C25" s="27" t="s">
        <v>23</v>
      </c>
      <c r="D25" s="13">
        <v>26.08</v>
      </c>
      <c r="E25" s="13">
        <v>611</v>
      </c>
      <c r="F25" s="61">
        <f t="shared" si="6"/>
        <v>6.4493599003735982</v>
      </c>
      <c r="G25" s="75">
        <f t="shared" si="0"/>
        <v>0.64493599003735991</v>
      </c>
      <c r="H25" s="50">
        <f t="shared" si="1"/>
        <v>0.22572759651307595</v>
      </c>
      <c r="I25" s="62">
        <f t="shared" si="3"/>
        <v>3.3385644934790646</v>
      </c>
      <c r="J25" s="62">
        <f t="shared" si="4"/>
        <v>0.33385644934790648</v>
      </c>
      <c r="K25" s="62">
        <f t="shared" si="5"/>
        <v>0.11684975727176726</v>
      </c>
    </row>
    <row r="26" spans="1:11" ht="17" x14ac:dyDescent="0.2">
      <c r="A26" s="2" t="s">
        <v>5</v>
      </c>
      <c r="B26" s="25" t="s">
        <v>9</v>
      </c>
      <c r="C26" s="26" t="s">
        <v>16</v>
      </c>
      <c r="D26" s="11">
        <v>1.8</v>
      </c>
      <c r="E26" s="11">
        <v>8624</v>
      </c>
      <c r="F26" s="61">
        <f t="shared" si="6"/>
        <v>6.2827397260273967</v>
      </c>
      <c r="G26" s="75">
        <f t="shared" si="0"/>
        <v>0.62827397260273976</v>
      </c>
      <c r="H26" s="50">
        <f t="shared" si="1"/>
        <v>0.21989589041095889</v>
      </c>
      <c r="I26" s="62">
        <f t="shared" si="3"/>
        <v>3.2523121821547583</v>
      </c>
      <c r="J26" s="62">
        <f t="shared" si="4"/>
        <v>0.32523121821547585</v>
      </c>
      <c r="K26" s="62">
        <f t="shared" si="5"/>
        <v>0.11383092637541654</v>
      </c>
    </row>
    <row r="27" spans="1:11" ht="17" x14ac:dyDescent="0.2">
      <c r="A27" s="5" t="s">
        <v>6</v>
      </c>
      <c r="B27" s="28" t="s">
        <v>10</v>
      </c>
      <c r="C27" s="28" t="s">
        <v>28</v>
      </c>
      <c r="D27" s="14">
        <v>6.1</v>
      </c>
      <c r="E27" s="14">
        <v>2478</v>
      </c>
      <c r="F27" s="61">
        <f t="shared" si="6"/>
        <v>6.1178518057285167</v>
      </c>
      <c r="G27" s="75">
        <f t="shared" si="0"/>
        <v>0.61178518057285169</v>
      </c>
      <c r="H27" s="50">
        <f t="shared" si="1"/>
        <v>0.21412481320049809</v>
      </c>
      <c r="I27" s="62">
        <f t="shared" si="3"/>
        <v>3.166956586465091</v>
      </c>
      <c r="J27" s="62">
        <f t="shared" si="4"/>
        <v>0.31669565864650912</v>
      </c>
      <c r="K27" s="62">
        <f t="shared" si="5"/>
        <v>0.11084348052627818</v>
      </c>
    </row>
    <row r="28" spans="1:11" ht="17" x14ac:dyDescent="0.2">
      <c r="A28" s="7" t="s">
        <v>7</v>
      </c>
      <c r="B28" s="30" t="s">
        <v>9</v>
      </c>
      <c r="C28" s="35" t="s">
        <v>36</v>
      </c>
      <c r="D28" s="16">
        <v>7.1</v>
      </c>
      <c r="E28" s="16">
        <v>1970</v>
      </c>
      <c r="F28" s="61">
        <f t="shared" si="6"/>
        <v>5.6609900373598991</v>
      </c>
      <c r="G28" s="75">
        <f t="shared" si="0"/>
        <v>0.56609900373598998</v>
      </c>
      <c r="H28" s="50">
        <f t="shared" si="1"/>
        <v>0.19813465130759647</v>
      </c>
      <c r="I28" s="62">
        <f t="shared" si="3"/>
        <v>2.9304583134790896</v>
      </c>
      <c r="J28" s="62">
        <f t="shared" si="4"/>
        <v>0.29304583134790896</v>
      </c>
      <c r="K28" s="62">
        <f t="shared" si="5"/>
        <v>0.10256604097176814</v>
      </c>
    </row>
    <row r="29" spans="1:11" ht="17" x14ac:dyDescent="0.2">
      <c r="A29" s="4" t="s">
        <v>6</v>
      </c>
      <c r="B29" s="27" t="s">
        <v>9</v>
      </c>
      <c r="C29" s="27" t="s">
        <v>24</v>
      </c>
      <c r="D29" s="13">
        <v>19.32</v>
      </c>
      <c r="E29" s="13">
        <v>680</v>
      </c>
      <c r="F29" s="61">
        <f t="shared" si="6"/>
        <v>5.3172104607721051</v>
      </c>
      <c r="G29" s="75">
        <f t="shared" si="0"/>
        <v>0.53172104607721049</v>
      </c>
      <c r="H29" s="50">
        <f t="shared" si="1"/>
        <v>0.18610236612702366</v>
      </c>
      <c r="I29" s="62">
        <f t="shared" si="3"/>
        <v>2.7524979723430967</v>
      </c>
      <c r="J29" s="62">
        <f t="shared" si="4"/>
        <v>0.2752497972343097</v>
      </c>
      <c r="K29" s="62">
        <f t="shared" si="5"/>
        <v>9.6337429032008384E-2</v>
      </c>
    </row>
    <row r="30" spans="1:11" ht="17" x14ac:dyDescent="0.2">
      <c r="A30" s="7" t="s">
        <v>7</v>
      </c>
      <c r="B30" s="30" t="s">
        <v>9</v>
      </c>
      <c r="C30" s="35" t="s">
        <v>37</v>
      </c>
      <c r="D30" s="16">
        <v>10.39</v>
      </c>
      <c r="E30" s="16">
        <v>1160</v>
      </c>
      <c r="F30" s="61">
        <f t="shared" si="6"/>
        <v>4.8779950186799503</v>
      </c>
      <c r="G30" s="75">
        <f t="shared" si="0"/>
        <v>0.48779950186799503</v>
      </c>
      <c r="H30" s="50">
        <f t="shared" si="1"/>
        <v>0.17072982565379824</v>
      </c>
      <c r="I30" s="62">
        <f t="shared" si="3"/>
        <v>2.5251344661024793</v>
      </c>
      <c r="J30" s="62">
        <f t="shared" si="4"/>
        <v>0.25251344661024794</v>
      </c>
      <c r="K30" s="62">
        <f t="shared" si="5"/>
        <v>8.837970631358677E-2</v>
      </c>
    </row>
    <row r="31" spans="1:11" ht="17" x14ac:dyDescent="0.2">
      <c r="A31" s="67" t="s">
        <v>5</v>
      </c>
      <c r="B31" s="70" t="s">
        <v>9</v>
      </c>
      <c r="C31" s="70" t="s">
        <v>15</v>
      </c>
      <c r="D31" s="74">
        <v>1.58</v>
      </c>
      <c r="E31" s="74">
        <v>5670</v>
      </c>
      <c r="F31" s="61">
        <f t="shared" si="6"/>
        <v>3.6258343711083443</v>
      </c>
      <c r="G31" s="75">
        <f t="shared" si="0"/>
        <v>0.36258343711083446</v>
      </c>
      <c r="H31" s="50">
        <f t="shared" si="1"/>
        <v>0.12690420298879204</v>
      </c>
      <c r="I31" s="62">
        <f t="shared" si="3"/>
        <v>1.8769431505779492</v>
      </c>
      <c r="J31" s="62">
        <f t="shared" si="4"/>
        <v>0.18769431505779494</v>
      </c>
      <c r="K31" s="62">
        <f t="shared" si="5"/>
        <v>6.5693010270228225E-2</v>
      </c>
    </row>
    <row r="32" spans="1:11" ht="17" x14ac:dyDescent="0.2">
      <c r="A32" s="66" t="s">
        <v>6</v>
      </c>
      <c r="B32" s="69" t="s">
        <v>10</v>
      </c>
      <c r="C32" s="69" t="s">
        <v>26</v>
      </c>
      <c r="D32" s="73">
        <v>5.0999999999999996</v>
      </c>
      <c r="E32" s="73">
        <v>495</v>
      </c>
      <c r="F32" s="61">
        <f t="shared" si="6"/>
        <v>1.0217465753424655</v>
      </c>
      <c r="G32" s="75">
        <f t="shared" si="0"/>
        <v>0.10217465753424655</v>
      </c>
      <c r="H32" s="50">
        <f t="shared" si="1"/>
        <v>3.5761130136986292E-2</v>
      </c>
      <c r="I32" s="62">
        <f t="shared" si="3"/>
        <v>0.52891556533766793</v>
      </c>
      <c r="J32" s="62">
        <f t="shared" si="4"/>
        <v>5.2891556533766794E-2</v>
      </c>
      <c r="K32" s="62">
        <f t="shared" si="5"/>
        <v>1.8512044786818376E-2</v>
      </c>
    </row>
    <row r="33" spans="2:11" ht="16" x14ac:dyDescent="0.2">
      <c r="B33" s="20"/>
      <c r="C33" s="20"/>
      <c r="D33" s="9"/>
      <c r="E33" s="9"/>
      <c r="F33" s="61">
        <f t="shared" si="6"/>
        <v>0</v>
      </c>
      <c r="G33" s="75">
        <f t="shared" si="0"/>
        <v>0</v>
      </c>
      <c r="H33" s="50">
        <f t="shared" si="1"/>
        <v>0</v>
      </c>
      <c r="I33" s="62">
        <f t="shared" si="3"/>
        <v>0</v>
      </c>
      <c r="J33" s="62">
        <f t="shared" si="4"/>
        <v>0</v>
      </c>
      <c r="K33" s="62">
        <f t="shared" si="5"/>
        <v>0</v>
      </c>
    </row>
    <row r="34" spans="2:11" ht="16" x14ac:dyDescent="0.2">
      <c r="B34" s="20"/>
      <c r="C34" s="20"/>
      <c r="D34" s="9"/>
      <c r="E34" s="9"/>
      <c r="F34" s="61"/>
      <c r="G34" s="75">
        <f t="shared" si="0"/>
        <v>0</v>
      </c>
      <c r="H34" s="50">
        <f t="shared" si="1"/>
        <v>0</v>
      </c>
      <c r="I34" s="62">
        <f t="shared" si="3"/>
        <v>0</v>
      </c>
      <c r="J34" s="62">
        <f t="shared" si="4"/>
        <v>0</v>
      </c>
      <c r="K34" s="62">
        <f t="shared" si="5"/>
        <v>0</v>
      </c>
    </row>
    <row r="35" spans="2:11" ht="16" x14ac:dyDescent="0.2">
      <c r="B35" s="20"/>
      <c r="C35" s="20"/>
      <c r="D35" s="9"/>
      <c r="E35" s="9"/>
      <c r="F35" s="61"/>
      <c r="G35" s="75">
        <f t="shared" si="0"/>
        <v>0</v>
      </c>
      <c r="H35" s="50">
        <f t="shared" si="1"/>
        <v>0</v>
      </c>
      <c r="I35" s="62">
        <f t="shared" si="3"/>
        <v>0</v>
      </c>
      <c r="J35" s="62">
        <f t="shared" si="4"/>
        <v>0</v>
      </c>
      <c r="K35" s="62">
        <f t="shared" si="5"/>
        <v>0</v>
      </c>
    </row>
    <row r="36" spans="2:11" ht="16" x14ac:dyDescent="0.2">
      <c r="B36" s="20"/>
      <c r="C36" s="20"/>
      <c r="D36" s="9"/>
      <c r="E36" s="9"/>
      <c r="F36" s="61"/>
      <c r="G36" s="75">
        <f t="shared" si="0"/>
        <v>0</v>
      </c>
      <c r="H36" s="50">
        <f t="shared" si="1"/>
        <v>0</v>
      </c>
      <c r="I36" s="62">
        <f t="shared" si="3"/>
        <v>0</v>
      </c>
      <c r="J36" s="62">
        <f t="shared" si="4"/>
        <v>0</v>
      </c>
      <c r="K36" s="62">
        <f t="shared" si="5"/>
        <v>0</v>
      </c>
    </row>
    <row r="37" spans="2:11" ht="16" x14ac:dyDescent="0.2">
      <c r="B37" s="20"/>
      <c r="C37" s="20"/>
      <c r="D37" s="9"/>
      <c r="E37" s="9"/>
      <c r="F37" s="61"/>
      <c r="G37" s="75">
        <f t="shared" si="0"/>
        <v>0</v>
      </c>
      <c r="H37" s="50">
        <f t="shared" si="1"/>
        <v>0</v>
      </c>
      <c r="I37" s="62">
        <f t="shared" si="3"/>
        <v>0</v>
      </c>
      <c r="J37" s="62">
        <f t="shared" si="4"/>
        <v>0</v>
      </c>
      <c r="K37" s="62">
        <f t="shared" si="5"/>
        <v>0</v>
      </c>
    </row>
    <row r="38" spans="2:11" ht="16" x14ac:dyDescent="0.2">
      <c r="B38" s="20"/>
      <c r="C38" s="20"/>
      <c r="D38" s="9"/>
      <c r="E38" s="9"/>
      <c r="F38" s="61"/>
      <c r="G38" s="75">
        <f t="shared" si="0"/>
        <v>0</v>
      </c>
      <c r="H38" s="50">
        <f t="shared" si="1"/>
        <v>0</v>
      </c>
      <c r="I38" s="62">
        <f t="shared" si="3"/>
        <v>0</v>
      </c>
      <c r="J38" s="62">
        <f t="shared" si="4"/>
        <v>0</v>
      </c>
      <c r="K38" s="62">
        <f t="shared" si="5"/>
        <v>0</v>
      </c>
    </row>
    <row r="43" spans="2:11" ht="32" x14ac:dyDescent="0.2">
      <c r="C43" s="19" t="s">
        <v>140</v>
      </c>
      <c r="D43" s="19" t="s">
        <v>141</v>
      </c>
      <c r="E43" s="19"/>
    </row>
    <row r="44" spans="2:11" ht="48" x14ac:dyDescent="0.2">
      <c r="C44" s="19" t="s">
        <v>143</v>
      </c>
      <c r="D44" s="19" t="s">
        <v>144</v>
      </c>
      <c r="E44" s="1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C7A9-5B7F-B543-B671-0A4491314FB5}">
  <dimension ref="A1:R32"/>
  <sheetViews>
    <sheetView workbookViewId="0">
      <selection activeCell="H14" sqref="H14"/>
    </sheetView>
  </sheetViews>
  <sheetFormatPr baseColWidth="10" defaultRowHeight="15" x14ac:dyDescent="0.2"/>
  <cols>
    <col min="1" max="2" width="10.83203125" style="21"/>
    <col min="3" max="3" width="17.83203125" style="21" customWidth="1"/>
    <col min="4" max="4" width="16.6640625" style="21" customWidth="1"/>
    <col min="5" max="5" width="16.33203125" style="21" customWidth="1"/>
    <col min="6" max="7" width="32.5" style="19" customWidth="1"/>
    <col min="8" max="8" width="32.1640625" style="19" customWidth="1"/>
    <col min="9" max="10" width="32.5" style="19" customWidth="1"/>
    <col min="11" max="11" width="21.6640625" style="19" customWidth="1"/>
    <col min="12" max="13" width="32.1640625" style="18" customWidth="1"/>
    <col min="14" max="14" width="37" style="18" customWidth="1"/>
    <col min="15" max="15" width="35.83203125" style="18" customWidth="1"/>
    <col min="16" max="16" width="35.6640625" style="21" customWidth="1"/>
    <col min="17" max="17" width="27.1640625" style="21" customWidth="1"/>
    <col min="18" max="16384" width="10.83203125" style="21"/>
  </cols>
  <sheetData>
    <row r="1" spans="1:18" x14ac:dyDescent="0.2">
      <c r="L1" s="40"/>
      <c r="M1" s="20"/>
      <c r="N1" s="20"/>
      <c r="P1" s="18"/>
      <c r="Q1" s="18"/>
    </row>
    <row r="2" spans="1:18" x14ac:dyDescent="0.2">
      <c r="C2" s="21" t="s">
        <v>136</v>
      </c>
      <c r="D2" s="21" t="s">
        <v>136</v>
      </c>
      <c r="E2" s="21" t="s">
        <v>137</v>
      </c>
      <c r="L2" s="40"/>
      <c r="M2" s="20"/>
      <c r="N2" s="20"/>
      <c r="P2" s="18"/>
      <c r="Q2" s="18"/>
    </row>
    <row r="3" spans="1:18" ht="16" x14ac:dyDescent="0.2">
      <c r="A3" s="41"/>
      <c r="B3" s="41"/>
      <c r="C3" s="41">
        <f>(49463.86/D9)*(68.35/C9)*F9</f>
        <v>708.31997004118091</v>
      </c>
      <c r="D3" s="41">
        <v>70.8</v>
      </c>
      <c r="E3" s="41">
        <f>D3*0.35</f>
        <v>24.779999999999998</v>
      </c>
      <c r="F3" s="19" t="s">
        <v>138</v>
      </c>
      <c r="L3" s="40"/>
      <c r="M3" s="20"/>
      <c r="N3" s="20"/>
      <c r="P3" s="18"/>
      <c r="Q3" s="18"/>
    </row>
    <row r="4" spans="1:18" ht="16" x14ac:dyDescent="0.2">
      <c r="A4" s="41"/>
      <c r="B4" s="41"/>
      <c r="C4" s="41"/>
      <c r="D4" s="41"/>
      <c r="E4" s="41"/>
      <c r="L4" s="42"/>
      <c r="M4" s="20"/>
      <c r="N4" s="20"/>
      <c r="P4" s="18"/>
      <c r="Q4" s="18"/>
    </row>
    <row r="5" spans="1:18" ht="16" x14ac:dyDescent="0.2">
      <c r="A5" s="41"/>
      <c r="B5" s="41"/>
      <c r="C5" s="41"/>
      <c r="D5" s="41">
        <f>0.51/E5*100</f>
        <v>7.8764478764478767</v>
      </c>
      <c r="E5" s="41">
        <f>E6*0.35</f>
        <v>6.4749999999999996</v>
      </c>
      <c r="L5" s="42"/>
      <c r="M5" s="20"/>
      <c r="N5" s="20"/>
      <c r="P5" s="18"/>
      <c r="Q5" s="18"/>
    </row>
    <row r="6" spans="1:18" ht="32" x14ac:dyDescent="0.2">
      <c r="A6" s="41"/>
      <c r="B6" s="41"/>
      <c r="C6" s="41" t="s">
        <v>139</v>
      </c>
      <c r="D6" s="43">
        <f>(8.88/C9)*(99564.71/D9)*F9</f>
        <v>185.23428016146806</v>
      </c>
      <c r="E6" s="41">
        <v>18.5</v>
      </c>
      <c r="F6" s="19" t="s">
        <v>140</v>
      </c>
      <c r="G6" s="44">
        <f>0.28/47.24*100</f>
        <v>0.59271803556308211</v>
      </c>
      <c r="I6" s="19" t="s">
        <v>141</v>
      </c>
      <c r="L6" s="42"/>
      <c r="M6" s="42"/>
      <c r="N6" s="20"/>
      <c r="O6" s="19" t="s">
        <v>142</v>
      </c>
      <c r="P6" s="19"/>
      <c r="Q6" s="19"/>
    </row>
    <row r="7" spans="1:18" ht="48" x14ac:dyDescent="0.2">
      <c r="A7" s="41"/>
      <c r="B7" s="41"/>
      <c r="C7" s="41"/>
      <c r="D7" s="45"/>
      <c r="E7" s="41"/>
      <c r="F7" s="19" t="s">
        <v>143</v>
      </c>
      <c r="H7" s="46">
        <f>SUM(K20:K24)</f>
        <v>11.316703779002566</v>
      </c>
      <c r="I7" s="19" t="s">
        <v>144</v>
      </c>
      <c r="J7" s="46"/>
      <c r="L7" s="47" t="s">
        <v>145</v>
      </c>
      <c r="M7" s="42" t="s">
        <v>146</v>
      </c>
      <c r="N7" s="48"/>
      <c r="O7" s="19" t="s">
        <v>147</v>
      </c>
      <c r="P7" s="19"/>
      <c r="Q7" s="19"/>
    </row>
    <row r="8" spans="1:18" ht="64" x14ac:dyDescent="0.2">
      <c r="A8" s="41"/>
      <c r="B8" s="41" t="s">
        <v>2</v>
      </c>
      <c r="C8" s="41" t="s">
        <v>148</v>
      </c>
      <c r="D8" s="41" t="s">
        <v>149</v>
      </c>
      <c r="E8" s="41" t="s">
        <v>150</v>
      </c>
      <c r="F8" s="19" t="s">
        <v>151</v>
      </c>
      <c r="G8" s="19" t="s">
        <v>152</v>
      </c>
      <c r="H8" s="41" t="s">
        <v>153</v>
      </c>
      <c r="I8" s="19" t="s">
        <v>151</v>
      </c>
      <c r="J8" s="19" t="s">
        <v>154</v>
      </c>
      <c r="K8" s="41" t="s">
        <v>153</v>
      </c>
      <c r="L8" s="20" t="s">
        <v>155</v>
      </c>
      <c r="M8" s="42" t="s">
        <v>156</v>
      </c>
      <c r="N8" s="20"/>
      <c r="O8" s="19" t="s">
        <v>151</v>
      </c>
      <c r="P8" s="19" t="s">
        <v>154</v>
      </c>
      <c r="Q8" s="41" t="s">
        <v>153</v>
      </c>
    </row>
    <row r="9" spans="1:18" ht="17" x14ac:dyDescent="0.2">
      <c r="A9" s="41"/>
      <c r="B9" s="41" t="s">
        <v>157</v>
      </c>
      <c r="C9" s="41">
        <v>68.17</v>
      </c>
      <c r="D9" s="41">
        <v>44460.82</v>
      </c>
      <c r="E9" s="41">
        <v>3.0310000000000001</v>
      </c>
      <c r="F9" s="19">
        <v>635</v>
      </c>
      <c r="G9" s="49">
        <f>0.1*F9</f>
        <v>63.5</v>
      </c>
      <c r="H9" s="50">
        <v>22.6</v>
      </c>
      <c r="K9" s="19">
        <f t="shared" ref="K9:K24" si="0">0.35*J9</f>
        <v>0</v>
      </c>
      <c r="L9" s="51"/>
      <c r="M9" s="40"/>
      <c r="N9" s="48"/>
      <c r="P9" s="18"/>
      <c r="Q9" s="18"/>
    </row>
    <row r="10" spans="1:18" ht="17" x14ac:dyDescent="0.2">
      <c r="A10" s="41"/>
      <c r="B10" s="41" t="s">
        <v>158</v>
      </c>
      <c r="C10" s="41">
        <v>84.48</v>
      </c>
      <c r="D10" s="41">
        <v>52745.760000000002</v>
      </c>
      <c r="E10" s="41">
        <v>4.4560000000000004</v>
      </c>
      <c r="F10" s="52">
        <f>(C10/68.17)*(D10/44460)*635</f>
        <v>933.58192002727174</v>
      </c>
      <c r="G10" s="49">
        <f t="shared" ref="G10:G28" si="1">0.1*F10</f>
        <v>93.358192002727179</v>
      </c>
      <c r="H10" s="49">
        <f t="shared" ref="H10:H28" si="2">0.35*G10</f>
        <v>32.675367200954511</v>
      </c>
      <c r="K10" s="19">
        <f t="shared" si="0"/>
        <v>0</v>
      </c>
      <c r="L10" s="51"/>
      <c r="M10" s="42"/>
      <c r="N10" s="48"/>
      <c r="P10" s="18"/>
      <c r="Q10" s="18"/>
    </row>
    <row r="11" spans="1:18" ht="17" x14ac:dyDescent="0.2">
      <c r="A11" s="41"/>
      <c r="B11" s="41" t="s">
        <v>159</v>
      </c>
      <c r="C11" s="41">
        <v>58.76</v>
      </c>
      <c r="D11" s="41">
        <v>38373.17</v>
      </c>
      <c r="E11" s="41">
        <v>2.2549999999999999</v>
      </c>
      <c r="F11" s="52">
        <f>(C11/68.17)*(D11/44460)*635</f>
        <v>472.41147446999975</v>
      </c>
      <c r="G11" s="49">
        <f t="shared" si="1"/>
        <v>47.241147446999975</v>
      </c>
      <c r="H11" s="49">
        <f t="shared" si="2"/>
        <v>16.53440160644999</v>
      </c>
      <c r="K11" s="19">
        <f t="shared" si="0"/>
        <v>0</v>
      </c>
      <c r="L11" s="51"/>
      <c r="M11" s="42"/>
      <c r="N11" s="48"/>
      <c r="P11" s="18"/>
      <c r="Q11" s="18"/>
    </row>
    <row r="12" spans="1:18" ht="17" x14ac:dyDescent="0.2">
      <c r="A12" s="41"/>
      <c r="B12" s="41" t="s">
        <v>160</v>
      </c>
      <c r="C12" s="41">
        <v>36.5</v>
      </c>
      <c r="D12" s="45">
        <v>22000</v>
      </c>
      <c r="E12" s="41">
        <v>811.2</v>
      </c>
      <c r="F12" s="52">
        <v>325</v>
      </c>
      <c r="G12" s="49">
        <f>0.1*F12</f>
        <v>32.5</v>
      </c>
      <c r="H12" s="49">
        <f t="shared" si="2"/>
        <v>11.375</v>
      </c>
      <c r="I12" s="19">
        <v>325</v>
      </c>
      <c r="K12" s="19">
        <f t="shared" si="0"/>
        <v>0</v>
      </c>
      <c r="L12" s="53"/>
      <c r="M12" s="42"/>
      <c r="N12" s="54"/>
      <c r="P12" s="18"/>
      <c r="Q12" s="18"/>
    </row>
    <row r="13" spans="1:18" ht="17" x14ac:dyDescent="0.2">
      <c r="A13" s="41" t="s">
        <v>161</v>
      </c>
      <c r="B13" s="41"/>
      <c r="C13" s="41"/>
      <c r="D13" s="41"/>
      <c r="E13" s="41"/>
      <c r="F13" s="52">
        <f t="shared" ref="F13:F28" si="3">(C13/68.17)*(D13/44460)*635</f>
        <v>0</v>
      </c>
      <c r="G13" s="49">
        <f>0.1*F13</f>
        <v>0</v>
      </c>
      <c r="H13" s="49">
        <f t="shared" si="2"/>
        <v>0</v>
      </c>
      <c r="J13" s="49"/>
      <c r="K13" s="19">
        <f t="shared" si="0"/>
        <v>0</v>
      </c>
      <c r="L13" s="40"/>
      <c r="M13" s="42"/>
      <c r="N13" s="20"/>
      <c r="P13" s="18"/>
      <c r="Q13" s="18"/>
    </row>
    <row r="14" spans="1:18" ht="34" x14ac:dyDescent="0.2">
      <c r="A14" s="41" t="s">
        <v>162</v>
      </c>
      <c r="B14" s="41" t="s">
        <v>163</v>
      </c>
      <c r="C14" s="41">
        <v>37.799999999999997</v>
      </c>
      <c r="D14" s="41">
        <v>3700</v>
      </c>
      <c r="E14" s="41">
        <v>142.9</v>
      </c>
      <c r="F14" s="52">
        <f>(C14/68.17)*(D14/44460)*635</f>
        <v>29.302488004803418</v>
      </c>
      <c r="G14" s="49">
        <f t="shared" si="1"/>
        <v>2.9302488004803422</v>
      </c>
      <c r="H14" s="49">
        <f t="shared" si="2"/>
        <v>1.0255870801681197</v>
      </c>
      <c r="I14" s="49">
        <f>(C14/36.5)*(D14/20800)*325</f>
        <v>59.871575342465746</v>
      </c>
      <c r="J14" s="49">
        <f>I14*0.1</f>
        <v>5.9871575342465748</v>
      </c>
      <c r="K14" s="49">
        <f>0.35*J14</f>
        <v>2.0955051369863011</v>
      </c>
      <c r="L14" s="40">
        <v>0.08</v>
      </c>
      <c r="M14" s="42">
        <v>3.9199999999999999E-2</v>
      </c>
      <c r="N14" s="42"/>
      <c r="O14" s="18">
        <v>59.87</v>
      </c>
      <c r="P14" s="55">
        <f>O14*0.1</f>
        <v>5.9870000000000001</v>
      </c>
      <c r="Q14" s="55">
        <f>P14*0.35</f>
        <v>2.09545</v>
      </c>
      <c r="R14" s="56"/>
    </row>
    <row r="15" spans="1:18" ht="17" x14ac:dyDescent="0.2">
      <c r="A15" s="41"/>
      <c r="B15" s="41" t="s">
        <v>164</v>
      </c>
      <c r="C15" s="41">
        <v>44.2</v>
      </c>
      <c r="D15" s="41">
        <v>4717</v>
      </c>
      <c r="E15" s="41">
        <v>206.7</v>
      </c>
      <c r="F15" s="52">
        <f t="shared" si="3"/>
        <v>43.681658427031834</v>
      </c>
      <c r="G15" s="49">
        <f t="shared" si="1"/>
        <v>4.368165842703184</v>
      </c>
      <c r="H15" s="49">
        <f t="shared" si="2"/>
        <v>1.5288580449461142</v>
      </c>
      <c r="I15" s="49">
        <f>(C15/36.5)*(D15/20800)*325</f>
        <v>89.251455479452062</v>
      </c>
      <c r="J15" s="49">
        <f t="shared" ref="J15:J28" si="4">I15*0.1</f>
        <v>8.9251455479452062</v>
      </c>
      <c r="K15" s="49">
        <f t="shared" si="0"/>
        <v>3.1238009417808219</v>
      </c>
      <c r="L15" s="40">
        <v>0.09</v>
      </c>
      <c r="M15" s="42">
        <v>4.4200000000000003E-2</v>
      </c>
      <c r="N15" s="42"/>
      <c r="O15" s="55">
        <f>(44/37)*(4717/3700)*59.87</f>
        <v>90.766243681519356</v>
      </c>
      <c r="P15" s="55">
        <f t="shared" ref="P15" si="5">O15*0.1</f>
        <v>9.0766243681519363</v>
      </c>
      <c r="Q15" s="55">
        <f t="shared" ref="P15:Q16" si="6">P15*0.35</f>
        <v>3.1768185288531776</v>
      </c>
    </row>
    <row r="16" spans="1:18" ht="17" x14ac:dyDescent="0.2">
      <c r="A16" s="41"/>
      <c r="B16" s="41" t="s">
        <v>165</v>
      </c>
      <c r="C16" s="41">
        <v>12.3</v>
      </c>
      <c r="D16" s="43">
        <v>4000</v>
      </c>
      <c r="E16" s="41">
        <v>46.8</v>
      </c>
      <c r="F16" s="52">
        <f t="shared" si="3"/>
        <v>10.308039538369286</v>
      </c>
      <c r="G16" s="49">
        <f t="shared" si="1"/>
        <v>1.0308039538369287</v>
      </c>
      <c r="H16" s="49">
        <f t="shared" si="2"/>
        <v>0.36078138384292502</v>
      </c>
      <c r="I16" s="49">
        <f>(C16/36.5)*(D16/20800)*325</f>
        <v>21.061643835616437</v>
      </c>
      <c r="J16" s="49">
        <f t="shared" si="4"/>
        <v>2.1061643835616439</v>
      </c>
      <c r="K16" s="49">
        <f t="shared" si="0"/>
        <v>0.73715753424657537</v>
      </c>
      <c r="L16" s="40">
        <v>7.0000000000000007E-2</v>
      </c>
      <c r="M16" s="42">
        <v>3.4500000000000003E-2</v>
      </c>
      <c r="N16" s="42"/>
      <c r="O16" s="55">
        <f>L16*0.1</f>
        <v>7.000000000000001E-3</v>
      </c>
      <c r="P16" s="55">
        <f t="shared" si="6"/>
        <v>2.4500000000000004E-3</v>
      </c>
    </row>
    <row r="17" spans="1:16" ht="17" x14ac:dyDescent="0.2">
      <c r="A17" s="41" t="s">
        <v>166</v>
      </c>
      <c r="B17" s="41" t="s">
        <v>160</v>
      </c>
      <c r="C17" s="41">
        <v>36.5</v>
      </c>
      <c r="D17" s="45">
        <v>22000</v>
      </c>
      <c r="E17" s="41">
        <v>811.2</v>
      </c>
      <c r="F17" s="52">
        <f t="shared" si="3"/>
        <v>168.23893799411658</v>
      </c>
      <c r="G17" s="49">
        <f t="shared" si="1"/>
        <v>16.82389379941166</v>
      </c>
      <c r="H17" s="49">
        <f t="shared" si="2"/>
        <v>5.8883628297940804</v>
      </c>
      <c r="I17" s="49">
        <v>325</v>
      </c>
      <c r="J17" s="49">
        <f t="shared" si="4"/>
        <v>32.5</v>
      </c>
      <c r="K17" s="49">
        <f>0.35*J17</f>
        <v>11.375</v>
      </c>
      <c r="L17" s="42">
        <v>6.0900000000000003E-2</v>
      </c>
      <c r="M17" s="40">
        <v>0.03</v>
      </c>
      <c r="N17" s="42"/>
      <c r="P17" s="18"/>
    </row>
    <row r="18" spans="1:16" ht="17" x14ac:dyDescent="0.2">
      <c r="A18" s="41"/>
      <c r="B18" s="41" t="s">
        <v>167</v>
      </c>
      <c r="C18" s="41">
        <v>5.4269999999999996</v>
      </c>
      <c r="D18" s="41">
        <v>24470.240000000002</v>
      </c>
      <c r="E18" s="41">
        <v>132.80000000000001</v>
      </c>
      <c r="F18" s="52">
        <f t="shared" si="3"/>
        <v>27.823324658109424</v>
      </c>
      <c r="G18" s="49">
        <f t="shared" si="1"/>
        <v>2.7823324658109425</v>
      </c>
      <c r="H18" s="49">
        <f t="shared" si="2"/>
        <v>0.97381636303382979</v>
      </c>
      <c r="I18" s="49">
        <f t="shared" ref="I18:I28" si="7">(C18/36.5)*(D18/20800)*325</f>
        <v>56.849311849315072</v>
      </c>
      <c r="J18" s="49">
        <f t="shared" si="4"/>
        <v>5.6849311849315072</v>
      </c>
      <c r="K18" s="49">
        <f>0.35*J18</f>
        <v>1.9897259147260273</v>
      </c>
      <c r="L18" s="42">
        <v>5.5E-2</v>
      </c>
      <c r="M18" s="42">
        <v>2.69E-2</v>
      </c>
      <c r="N18" s="42"/>
      <c r="P18" s="18"/>
    </row>
    <row r="19" spans="1:16" ht="17" x14ac:dyDescent="0.2">
      <c r="A19" s="41"/>
      <c r="B19" s="41" t="s">
        <v>168</v>
      </c>
      <c r="C19" s="41">
        <v>10.7</v>
      </c>
      <c r="D19" s="41">
        <v>31630.3</v>
      </c>
      <c r="E19" s="41">
        <v>330.9</v>
      </c>
      <c r="F19" s="52">
        <f>(C19/68.17)*(D19/44460)*635</f>
        <v>70.908461345775549</v>
      </c>
      <c r="G19" s="49">
        <f t="shared" si="1"/>
        <v>7.0908461345775553</v>
      </c>
      <c r="H19" s="49">
        <f t="shared" si="2"/>
        <v>2.4817961471021444</v>
      </c>
      <c r="I19" s="49">
        <f t="shared" si="7"/>
        <v>144.88193921232875</v>
      </c>
      <c r="J19" s="49">
        <f t="shared" si="4"/>
        <v>14.488193921232876</v>
      </c>
      <c r="K19" s="49">
        <f t="shared" si="0"/>
        <v>5.0708678724315064</v>
      </c>
      <c r="L19" s="42">
        <v>6.5000000000000002E-2</v>
      </c>
      <c r="M19" s="42">
        <v>3.2199999999999999E-2</v>
      </c>
      <c r="N19" s="42"/>
      <c r="P19" s="18"/>
    </row>
    <row r="20" spans="1:16" ht="34" x14ac:dyDescent="0.2">
      <c r="A20" s="41" t="s">
        <v>169</v>
      </c>
      <c r="B20" s="41" t="s">
        <v>170</v>
      </c>
      <c r="C20" s="41">
        <v>19.059999999999999</v>
      </c>
      <c r="D20" s="41">
        <v>18419.419999999998</v>
      </c>
      <c r="E20" s="41">
        <v>351</v>
      </c>
      <c r="F20" s="52">
        <f t="shared" si="3"/>
        <v>73.55459694351218</v>
      </c>
      <c r="G20" s="49">
        <f t="shared" si="1"/>
        <v>7.355459694351218</v>
      </c>
      <c r="H20" s="49">
        <f t="shared" si="2"/>
        <v>2.5744108930229261</v>
      </c>
      <c r="I20" s="49">
        <f t="shared" si="7"/>
        <v>150.2885895547945</v>
      </c>
      <c r="J20" s="49">
        <f t="shared" si="4"/>
        <v>15.02885895547945</v>
      </c>
      <c r="K20" s="49">
        <f t="shared" si="0"/>
        <v>5.2601006344178067</v>
      </c>
      <c r="L20" s="51">
        <v>6.5000000000000002E-2</v>
      </c>
      <c r="M20" s="42">
        <v>3.1699999999999999E-2</v>
      </c>
      <c r="N20" s="51"/>
      <c r="P20" s="18"/>
    </row>
    <row r="21" spans="1:16" ht="17" x14ac:dyDescent="0.2">
      <c r="A21" s="41"/>
      <c r="B21" s="41" t="s">
        <v>14</v>
      </c>
      <c r="C21" s="41">
        <v>2.4870000000000001</v>
      </c>
      <c r="D21" s="41">
        <v>6650.65</v>
      </c>
      <c r="E21" s="41">
        <v>16.54</v>
      </c>
      <c r="F21" s="52">
        <f t="shared" si="3"/>
        <v>3.4653798936709985</v>
      </c>
      <c r="G21" s="49">
        <f t="shared" si="1"/>
        <v>0.3465379893670999</v>
      </c>
      <c r="H21" s="49">
        <f t="shared" si="2"/>
        <v>0.12128829627848496</v>
      </c>
      <c r="I21" s="49">
        <f t="shared" si="7"/>
        <v>7.0805507491438355</v>
      </c>
      <c r="J21" s="49">
        <f t="shared" si="4"/>
        <v>0.70805507491438358</v>
      </c>
      <c r="K21" s="49">
        <f t="shared" si="0"/>
        <v>0.24781927622003425</v>
      </c>
      <c r="L21" s="51">
        <v>0.05</v>
      </c>
      <c r="M21" s="42">
        <v>2.5100000000000001E-2</v>
      </c>
    </row>
    <row r="22" spans="1:16" ht="17" x14ac:dyDescent="0.2">
      <c r="A22" s="41"/>
      <c r="B22" s="41" t="s">
        <v>171</v>
      </c>
      <c r="C22" s="41">
        <v>6.43</v>
      </c>
      <c r="D22" s="41">
        <v>15797.6</v>
      </c>
      <c r="E22" s="41">
        <v>101.6</v>
      </c>
      <c r="F22" s="52">
        <f t="shared" si="3"/>
        <v>21.282030390140918</v>
      </c>
      <c r="G22" s="49">
        <f t="shared" si="1"/>
        <v>2.128203039014092</v>
      </c>
      <c r="H22" s="49">
        <f t="shared" si="2"/>
        <v>0.74487106365493216</v>
      </c>
      <c r="I22" s="49">
        <f t="shared" si="7"/>
        <v>43.483976027397262</v>
      </c>
      <c r="J22" s="49">
        <f t="shared" si="4"/>
        <v>4.348397602739726</v>
      </c>
      <c r="K22" s="49">
        <f t="shared" si="0"/>
        <v>1.5219391609589039</v>
      </c>
      <c r="L22" s="51">
        <v>5.8000000000000003E-2</v>
      </c>
      <c r="M22" s="42">
        <v>2.8400000000000002E-2</v>
      </c>
    </row>
    <row r="23" spans="1:16" ht="17" x14ac:dyDescent="0.2">
      <c r="A23" s="41"/>
      <c r="B23" s="41" t="s">
        <v>172</v>
      </c>
      <c r="C23" s="41">
        <v>6.6180000000000003</v>
      </c>
      <c r="D23" s="43">
        <v>11140</v>
      </c>
      <c r="E23" s="41">
        <v>75.19</v>
      </c>
      <c r="F23" s="52">
        <f t="shared" si="3"/>
        <v>15.446245266408479</v>
      </c>
      <c r="G23" s="49">
        <f t="shared" si="1"/>
        <v>1.544624526640848</v>
      </c>
      <c r="H23" s="49">
        <f t="shared" si="2"/>
        <v>0.54061858432429677</v>
      </c>
      <c r="I23" s="49">
        <f t="shared" si="7"/>
        <v>31.560154109589039</v>
      </c>
      <c r="J23" s="49">
        <f t="shared" si="4"/>
        <v>3.1560154109589043</v>
      </c>
      <c r="K23" s="49">
        <f t="shared" si="0"/>
        <v>1.1046053938356164</v>
      </c>
      <c r="L23" s="51">
        <v>5.5E-2</v>
      </c>
      <c r="M23" s="42">
        <v>2.7099999999999999E-2</v>
      </c>
      <c r="N23" s="57"/>
    </row>
    <row r="24" spans="1:16" ht="17" x14ac:dyDescent="0.2">
      <c r="A24" s="41"/>
      <c r="B24" s="41" t="s">
        <v>173</v>
      </c>
      <c r="C24" s="41">
        <v>9.59</v>
      </c>
      <c r="D24" s="41">
        <v>22147.21</v>
      </c>
      <c r="E24" s="41">
        <v>212.4</v>
      </c>
      <c r="F24" s="52">
        <f t="shared" si="3"/>
        <v>44.498831173666737</v>
      </c>
      <c r="G24" s="49">
        <f t="shared" si="1"/>
        <v>4.4498831173666735</v>
      </c>
      <c r="H24" s="49">
        <f t="shared" si="2"/>
        <v>1.5574590910783357</v>
      </c>
      <c r="I24" s="49">
        <f t="shared" si="7"/>
        <v>90.921123244863026</v>
      </c>
      <c r="J24" s="49">
        <f t="shared" si="4"/>
        <v>9.0921123244863029</v>
      </c>
      <c r="K24" s="49">
        <f t="shared" si="0"/>
        <v>3.1822393135702058</v>
      </c>
      <c r="L24" s="51">
        <v>0.06</v>
      </c>
      <c r="M24" s="42">
        <v>2.9899999999999999E-2</v>
      </c>
    </row>
    <row r="25" spans="1:16" ht="34" x14ac:dyDescent="0.2">
      <c r="A25" s="41" t="s">
        <v>174</v>
      </c>
      <c r="B25" s="41" t="s">
        <v>175</v>
      </c>
      <c r="C25" s="41">
        <v>10.36</v>
      </c>
      <c r="D25" s="41">
        <v>22990.01</v>
      </c>
      <c r="E25" s="41">
        <v>238.2</v>
      </c>
      <c r="F25" s="52">
        <f t="shared" si="3"/>
        <v>49.90107350039338</v>
      </c>
      <c r="G25" s="49">
        <f t="shared" si="1"/>
        <v>4.990107350039338</v>
      </c>
      <c r="H25" s="49">
        <f t="shared" si="2"/>
        <v>1.7465375725137682</v>
      </c>
      <c r="I25" s="49">
        <f t="shared" si="7"/>
        <v>101.9591196917808</v>
      </c>
      <c r="J25" s="49">
        <f t="shared" si="4"/>
        <v>10.195911969178081</v>
      </c>
      <c r="K25" s="49">
        <f>0.35*J25</f>
        <v>3.5685691892123281</v>
      </c>
      <c r="L25" s="53">
        <v>0.05</v>
      </c>
      <c r="M25" s="42">
        <v>2.46E-2</v>
      </c>
      <c r="N25" s="57"/>
    </row>
    <row r="26" spans="1:16" ht="17" x14ac:dyDescent="0.2">
      <c r="A26" s="41"/>
      <c r="B26" s="41" t="s">
        <v>176</v>
      </c>
      <c r="C26" s="41">
        <v>2.746</v>
      </c>
      <c r="D26" s="41">
        <v>8367.7800000000007</v>
      </c>
      <c r="E26" s="41">
        <v>22.98</v>
      </c>
      <c r="F26" s="52">
        <f t="shared" si="3"/>
        <v>4.814173737086989</v>
      </c>
      <c r="G26" s="49">
        <f t="shared" si="1"/>
        <v>0.48141737370869891</v>
      </c>
      <c r="H26" s="49">
        <f t="shared" si="2"/>
        <v>0.16849608079804462</v>
      </c>
      <c r="I26" s="49">
        <f t="shared" si="7"/>
        <v>9.8364400171232891</v>
      </c>
      <c r="J26" s="49">
        <f t="shared" si="4"/>
        <v>0.98364400171232891</v>
      </c>
      <c r="K26" s="49">
        <f>0.35*J26</f>
        <v>0.34427540059931511</v>
      </c>
      <c r="L26" s="40">
        <v>0.06</v>
      </c>
      <c r="M26" s="42">
        <v>2.98E-2</v>
      </c>
    </row>
    <row r="27" spans="1:16" ht="17" x14ac:dyDescent="0.2">
      <c r="A27" s="41"/>
      <c r="B27" s="41" t="s">
        <v>177</v>
      </c>
      <c r="C27" s="41">
        <v>3.8530000000000002</v>
      </c>
      <c r="D27" s="41">
        <v>21459.78</v>
      </c>
      <c r="E27" s="41">
        <v>82.69</v>
      </c>
      <c r="F27" s="52">
        <f t="shared" si="3"/>
        <v>17.32348432057508</v>
      </c>
      <c r="G27" s="49">
        <f t="shared" si="1"/>
        <v>1.732348432057508</v>
      </c>
      <c r="H27" s="49">
        <f t="shared" si="2"/>
        <v>0.60632195122012777</v>
      </c>
      <c r="I27" s="49">
        <f t="shared" si="7"/>
        <v>35.395775830479451</v>
      </c>
      <c r="J27" s="49">
        <f t="shared" si="4"/>
        <v>3.5395775830479455</v>
      </c>
      <c r="K27" s="49">
        <f>0.35*J27</f>
        <v>1.2388521540667807</v>
      </c>
      <c r="L27" s="42">
        <v>5.5E-2</v>
      </c>
      <c r="M27" s="42">
        <v>2.7300000000000001E-2</v>
      </c>
    </row>
    <row r="28" spans="1:16" ht="17" x14ac:dyDescent="0.2">
      <c r="A28" s="41"/>
      <c r="B28" s="41" t="s">
        <v>178</v>
      </c>
      <c r="C28" s="41">
        <v>2.121</v>
      </c>
      <c r="D28" s="41">
        <v>32163.51</v>
      </c>
      <c r="E28" s="41">
        <v>68.22</v>
      </c>
      <c r="F28" s="52">
        <f t="shared" si="3"/>
        <v>14.292726345751481</v>
      </c>
      <c r="G28" s="49">
        <f t="shared" si="1"/>
        <v>1.4292726345751481</v>
      </c>
      <c r="H28" s="49">
        <f t="shared" si="2"/>
        <v>0.50024542210130185</v>
      </c>
      <c r="I28" s="49">
        <f t="shared" si="7"/>
        <v>29.203255440924657</v>
      </c>
      <c r="J28" s="49">
        <f t="shared" si="4"/>
        <v>2.9203255440924658</v>
      </c>
      <c r="K28" s="49">
        <f>0.35*J28</f>
        <v>1.0221139404323629</v>
      </c>
      <c r="L28" s="42">
        <v>4.8000000000000001E-2</v>
      </c>
      <c r="M28" s="42">
        <v>2.3699999999999999E-2</v>
      </c>
    </row>
    <row r="29" spans="1:16" ht="16" x14ac:dyDescent="0.2">
      <c r="A29" s="41"/>
      <c r="B29" s="41"/>
      <c r="C29" s="41"/>
      <c r="D29" s="41"/>
      <c r="E29" s="41"/>
      <c r="M29" s="42"/>
    </row>
    <row r="30" spans="1:16" ht="16" x14ac:dyDescent="0.2">
      <c r="A30" s="41"/>
      <c r="B30" s="41"/>
      <c r="C30" s="41"/>
      <c r="D30" s="41"/>
      <c r="E30" s="41"/>
      <c r="K30" s="46"/>
      <c r="L30" s="58">
        <f>AVERAGE(L25:L28)</f>
        <v>5.3250000000000006E-2</v>
      </c>
      <c r="M30" s="57">
        <f>AVERAGE(M25:M28)</f>
        <v>2.6350000000000002E-2</v>
      </c>
    </row>
    <row r="31" spans="1:16" ht="16" x14ac:dyDescent="0.2">
      <c r="A31" s="41"/>
      <c r="B31" s="41"/>
      <c r="C31" s="41"/>
      <c r="D31" s="41"/>
      <c r="E31" s="41"/>
      <c r="I31" s="46">
        <f>SUM(I25:I28)</f>
        <v>176.39459098030821</v>
      </c>
    </row>
    <row r="32" spans="1:16" ht="16" x14ac:dyDescent="0.2">
      <c r="A32" s="41"/>
      <c r="B32" s="41"/>
      <c r="C32" s="41"/>
      <c r="D32" s="41"/>
      <c r="E32" s="41"/>
      <c r="K32" s="4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E771-4F45-E74D-AF7E-E7B9F323FA77}">
  <dimension ref="A2:J70"/>
  <sheetViews>
    <sheetView tabSelected="1" workbookViewId="0">
      <selection activeCell="B15" sqref="B15"/>
    </sheetView>
  </sheetViews>
  <sheetFormatPr baseColWidth="10" defaultRowHeight="15" x14ac:dyDescent="0.2"/>
  <cols>
    <col min="1" max="1" width="18" bestFit="1" customWidth="1"/>
    <col min="2" max="2" width="50.33203125" bestFit="1" customWidth="1"/>
    <col min="3" max="3" width="59.5" bestFit="1" customWidth="1"/>
    <col min="4" max="4" width="28.83203125" customWidth="1"/>
    <col min="5" max="5" width="21.5" customWidth="1"/>
    <col min="6" max="6" width="21.6640625" customWidth="1"/>
    <col min="7" max="7" width="21.33203125" customWidth="1"/>
    <col min="8" max="8" width="21.5" customWidth="1"/>
    <col min="9" max="9" width="18.5" customWidth="1"/>
    <col min="10" max="10" width="16.1640625" customWidth="1"/>
  </cols>
  <sheetData>
    <row r="2" spans="1:10" x14ac:dyDescent="0.2">
      <c r="A2" s="76" t="s">
        <v>184</v>
      </c>
      <c r="B2" s="76" t="s">
        <v>185</v>
      </c>
      <c r="C2" s="76" t="s">
        <v>186</v>
      </c>
      <c r="D2" s="76" t="s">
        <v>187</v>
      </c>
      <c r="E2" s="76" t="s">
        <v>187</v>
      </c>
      <c r="F2" s="76" t="s">
        <v>187</v>
      </c>
      <c r="G2" s="76" t="s">
        <v>187</v>
      </c>
      <c r="H2" s="76" t="s">
        <v>187</v>
      </c>
      <c r="I2" s="76" t="s">
        <v>188</v>
      </c>
      <c r="J2" s="76"/>
    </row>
    <row r="3" spans="1:10" x14ac:dyDescent="0.2">
      <c r="D3" s="76" t="s">
        <v>189</v>
      </c>
      <c r="E3" s="76" t="s">
        <v>190</v>
      </c>
      <c r="F3" s="76" t="s">
        <v>191</v>
      </c>
      <c r="G3" s="76" t="s">
        <v>192</v>
      </c>
      <c r="H3" s="76" t="s">
        <v>193</v>
      </c>
    </row>
    <row r="4" spans="1:10" x14ac:dyDescent="0.2">
      <c r="D4" s="77"/>
      <c r="E4" s="77"/>
      <c r="F4" s="77"/>
      <c r="G4" s="77"/>
      <c r="H4" s="77"/>
      <c r="I4" s="77"/>
    </row>
    <row r="5" spans="1:10" x14ac:dyDescent="0.2">
      <c r="B5" s="17"/>
      <c r="C5" s="17"/>
      <c r="D5" s="78"/>
      <c r="E5" s="78"/>
      <c r="F5" s="78"/>
      <c r="G5" s="78"/>
      <c r="H5" s="78"/>
      <c r="I5" s="78"/>
    </row>
    <row r="6" spans="1:10" ht="16" x14ac:dyDescent="0.2">
      <c r="B6" s="17" t="s">
        <v>248</v>
      </c>
      <c r="C6" s="17"/>
      <c r="D6" s="78"/>
      <c r="E6" s="78"/>
      <c r="F6" s="78"/>
      <c r="G6" s="78"/>
      <c r="H6" s="78"/>
      <c r="I6" s="78"/>
    </row>
    <row r="7" spans="1:10" x14ac:dyDescent="0.2">
      <c r="B7" s="17"/>
      <c r="C7" s="17"/>
      <c r="D7" s="78"/>
      <c r="E7" s="78"/>
      <c r="F7" s="78"/>
      <c r="G7" s="78"/>
      <c r="H7" s="78"/>
      <c r="I7" s="78"/>
    </row>
    <row r="8" spans="1:10" ht="16" x14ac:dyDescent="0.2">
      <c r="B8" s="17" t="s">
        <v>194</v>
      </c>
      <c r="C8" s="17" t="s">
        <v>241</v>
      </c>
      <c r="D8" s="78">
        <v>25000</v>
      </c>
      <c r="E8" s="78">
        <v>25000</v>
      </c>
      <c r="F8" s="78">
        <v>25000</v>
      </c>
      <c r="G8" s="78">
        <v>25000</v>
      </c>
      <c r="H8" s="78">
        <v>25000</v>
      </c>
      <c r="I8" s="78">
        <f t="shared" ref="I6:I42" si="0">SUM(D8:H8)</f>
        <v>125000</v>
      </c>
    </row>
    <row r="9" spans="1:10" x14ac:dyDescent="0.2">
      <c r="B9" s="17"/>
      <c r="C9" s="17"/>
      <c r="D9" s="78"/>
      <c r="E9" s="78"/>
      <c r="F9" s="78"/>
      <c r="G9" s="78"/>
      <c r="H9" s="78"/>
      <c r="I9" s="78">
        <f t="shared" si="0"/>
        <v>0</v>
      </c>
    </row>
    <row r="10" spans="1:10" ht="16" x14ac:dyDescent="0.2">
      <c r="B10" s="17" t="s">
        <v>195</v>
      </c>
      <c r="C10" s="17" t="s">
        <v>242</v>
      </c>
      <c r="D10" s="78"/>
      <c r="E10" s="78"/>
      <c r="F10" s="78"/>
      <c r="G10" s="78"/>
      <c r="H10" s="78"/>
      <c r="I10" s="78">
        <f t="shared" si="0"/>
        <v>0</v>
      </c>
    </row>
    <row r="11" spans="1:10" ht="16" x14ac:dyDescent="0.2">
      <c r="B11" s="17" t="s">
        <v>196</v>
      </c>
      <c r="C11" s="17" t="s">
        <v>243</v>
      </c>
      <c r="D11" s="78">
        <f>2000*3</f>
        <v>6000</v>
      </c>
      <c r="E11" s="78">
        <f t="shared" ref="E11:H11" si="1">2000*3</f>
        <v>6000</v>
      </c>
      <c r="F11" s="78">
        <f t="shared" si="1"/>
        <v>6000</v>
      </c>
      <c r="G11" s="78">
        <f t="shared" si="1"/>
        <v>6000</v>
      </c>
      <c r="H11" s="78">
        <f t="shared" si="1"/>
        <v>6000</v>
      </c>
      <c r="I11" s="78">
        <f t="shared" si="0"/>
        <v>30000</v>
      </c>
    </row>
    <row r="12" spans="1:10" x14ac:dyDescent="0.2">
      <c r="B12" s="17"/>
      <c r="C12" s="17"/>
      <c r="D12" s="78"/>
      <c r="E12" s="78"/>
      <c r="F12" s="78"/>
      <c r="G12" s="78"/>
      <c r="H12" s="78"/>
      <c r="I12" s="78">
        <f t="shared" si="0"/>
        <v>0</v>
      </c>
    </row>
    <row r="13" spans="1:10" x14ac:dyDescent="0.2">
      <c r="B13" s="17"/>
      <c r="C13" s="17"/>
      <c r="D13" s="78"/>
      <c r="E13" s="78"/>
      <c r="F13" s="78"/>
      <c r="G13" s="78"/>
      <c r="H13" s="78"/>
      <c r="I13" s="78">
        <f t="shared" si="0"/>
        <v>0</v>
      </c>
    </row>
    <row r="14" spans="1:10" x14ac:dyDescent="0.2">
      <c r="B14" s="17"/>
      <c r="C14" s="17"/>
      <c r="D14" s="78"/>
      <c r="E14" s="78"/>
      <c r="F14" s="78"/>
      <c r="G14" s="78"/>
      <c r="H14" s="78"/>
      <c r="I14" s="78">
        <f t="shared" si="0"/>
        <v>0</v>
      </c>
    </row>
    <row r="15" spans="1:10" ht="16" x14ac:dyDescent="0.2">
      <c r="B15" s="17" t="s">
        <v>197</v>
      </c>
      <c r="C15" s="17" t="s">
        <v>244</v>
      </c>
      <c r="D15" s="78">
        <v>12500</v>
      </c>
      <c r="E15" s="78"/>
      <c r="F15" s="78"/>
      <c r="G15" s="78"/>
      <c r="H15" s="78"/>
      <c r="I15" s="78">
        <f t="shared" si="0"/>
        <v>12500</v>
      </c>
    </row>
    <row r="16" spans="1:10" ht="16" x14ac:dyDescent="0.2">
      <c r="B16" s="17" t="s">
        <v>198</v>
      </c>
      <c r="C16" s="17" t="s">
        <v>247</v>
      </c>
      <c r="D16" s="78"/>
      <c r="E16" s="78"/>
      <c r="F16" s="78"/>
      <c r="G16" s="78"/>
      <c r="H16" s="78"/>
      <c r="I16" s="78">
        <f t="shared" si="0"/>
        <v>0</v>
      </c>
    </row>
    <row r="17" spans="2:9" ht="16" x14ac:dyDescent="0.2">
      <c r="B17" s="17" t="s">
        <v>199</v>
      </c>
      <c r="C17" s="17" t="s">
        <v>245</v>
      </c>
      <c r="D17" s="78">
        <f>3*36000</f>
        <v>108000</v>
      </c>
      <c r="E17" s="78">
        <f t="shared" ref="E17:H17" si="2">3*36000</f>
        <v>108000</v>
      </c>
      <c r="F17" s="78">
        <f t="shared" si="2"/>
        <v>108000</v>
      </c>
      <c r="G17" s="78">
        <f t="shared" si="2"/>
        <v>108000</v>
      </c>
      <c r="H17" s="78">
        <f t="shared" si="2"/>
        <v>108000</v>
      </c>
      <c r="I17" s="78">
        <f t="shared" si="0"/>
        <v>540000</v>
      </c>
    </row>
    <row r="18" spans="2:9" ht="16" x14ac:dyDescent="0.2">
      <c r="B18" s="17" t="s">
        <v>200</v>
      </c>
      <c r="C18" s="17" t="s">
        <v>246</v>
      </c>
      <c r="D18" s="78">
        <f>21%*D16</f>
        <v>0</v>
      </c>
      <c r="E18" s="78">
        <f t="shared" ref="E18:H19" si="3">21%*E16</f>
        <v>0</v>
      </c>
      <c r="F18" s="78">
        <f t="shared" si="3"/>
        <v>0</v>
      </c>
      <c r="G18" s="78">
        <f t="shared" si="3"/>
        <v>0</v>
      </c>
      <c r="H18" s="78">
        <f t="shared" si="3"/>
        <v>0</v>
      </c>
      <c r="I18" s="78">
        <f t="shared" si="0"/>
        <v>0</v>
      </c>
    </row>
    <row r="19" spans="2:9" ht="16" x14ac:dyDescent="0.2">
      <c r="B19" s="17" t="s">
        <v>201</v>
      </c>
      <c r="C19" s="17" t="s">
        <v>246</v>
      </c>
      <c r="D19" s="78">
        <f>21%*D17</f>
        <v>22680</v>
      </c>
      <c r="E19" s="78">
        <f t="shared" si="3"/>
        <v>22680</v>
      </c>
      <c r="F19" s="78">
        <f>21%*F17</f>
        <v>22680</v>
      </c>
      <c r="G19" s="78">
        <f>21%*G17</f>
        <v>22680</v>
      </c>
      <c r="H19" s="78">
        <f>21%*H17</f>
        <v>22680</v>
      </c>
      <c r="I19" s="78">
        <f t="shared" si="0"/>
        <v>113400</v>
      </c>
    </row>
    <row r="20" spans="2:9" ht="16" x14ac:dyDescent="0.2">
      <c r="B20" s="17" t="s">
        <v>202</v>
      </c>
      <c r="C20" s="17"/>
      <c r="D20" s="78"/>
      <c r="E20" s="78"/>
      <c r="F20" s="78"/>
      <c r="G20" s="78"/>
      <c r="H20" s="78"/>
      <c r="I20" s="78">
        <f t="shared" si="0"/>
        <v>0</v>
      </c>
    </row>
    <row r="21" spans="2:9" x14ac:dyDescent="0.2">
      <c r="B21" s="17"/>
      <c r="C21" s="17"/>
      <c r="D21" s="78"/>
      <c r="E21" s="78"/>
      <c r="F21" s="78"/>
      <c r="G21" s="78"/>
      <c r="H21" s="78"/>
      <c r="I21" s="78">
        <f t="shared" si="0"/>
        <v>0</v>
      </c>
    </row>
    <row r="22" spans="2:9" x14ac:dyDescent="0.2">
      <c r="B22" s="17"/>
      <c r="C22" s="17"/>
      <c r="D22" s="78">
        <v>8000</v>
      </c>
      <c r="E22" s="78">
        <v>8000</v>
      </c>
      <c r="F22" s="78">
        <v>9000</v>
      </c>
      <c r="G22" s="78">
        <v>9000</v>
      </c>
      <c r="H22" s="78">
        <v>10000</v>
      </c>
      <c r="I22" s="78">
        <f t="shared" si="0"/>
        <v>44000</v>
      </c>
    </row>
    <row r="23" spans="2:9" x14ac:dyDescent="0.2">
      <c r="B23" s="17"/>
      <c r="C23" s="17"/>
      <c r="D23" s="78">
        <v>750</v>
      </c>
      <c r="E23" s="78">
        <v>750</v>
      </c>
      <c r="F23" s="78">
        <v>750</v>
      </c>
      <c r="G23" s="78">
        <v>750</v>
      </c>
      <c r="H23" s="78">
        <v>750</v>
      </c>
      <c r="I23" s="78">
        <f t="shared" si="0"/>
        <v>3750</v>
      </c>
    </row>
    <row r="24" spans="2:9" ht="32" x14ac:dyDescent="0.2">
      <c r="B24" s="17" t="s">
        <v>203</v>
      </c>
      <c r="C24" s="17" t="s">
        <v>204</v>
      </c>
      <c r="D24" s="78">
        <f>2000+1000+1200+1500+750</f>
        <v>6450</v>
      </c>
      <c r="E24" s="78">
        <f t="shared" ref="E24" si="4">2000+1000+1200+1500+750</f>
        <v>6450</v>
      </c>
      <c r="F24" s="78">
        <f>2000+1000+1200+1500+750+500</f>
        <v>6950</v>
      </c>
      <c r="G24" s="78">
        <f>2000+1000+1200+1500+750+500</f>
        <v>6950</v>
      </c>
      <c r="H24" s="78">
        <f>2000+1000+1200+1500+750+500 + 500</f>
        <v>7450</v>
      </c>
      <c r="I24" s="78">
        <f t="shared" si="0"/>
        <v>34250</v>
      </c>
    </row>
    <row r="25" spans="2:9" x14ac:dyDescent="0.2">
      <c r="B25" s="17"/>
      <c r="C25" s="17"/>
      <c r="D25" s="78"/>
      <c r="E25" s="78"/>
      <c r="F25" s="78"/>
      <c r="G25" s="78"/>
      <c r="H25" s="78"/>
      <c r="I25" s="78">
        <f t="shared" si="0"/>
        <v>0</v>
      </c>
    </row>
    <row r="26" spans="2:9" ht="16" x14ac:dyDescent="0.2">
      <c r="B26" s="17" t="s">
        <v>205</v>
      </c>
      <c r="C26" s="17" t="s">
        <v>206</v>
      </c>
      <c r="D26" s="78">
        <f>1500*3</f>
        <v>4500</v>
      </c>
      <c r="E26" s="78">
        <f t="shared" ref="E26:H26" si="5">1500*3</f>
        <v>4500</v>
      </c>
      <c r="F26" s="78">
        <f t="shared" si="5"/>
        <v>4500</v>
      </c>
      <c r="G26" s="78">
        <f t="shared" si="5"/>
        <v>4500</v>
      </c>
      <c r="H26" s="78">
        <f t="shared" si="5"/>
        <v>4500</v>
      </c>
      <c r="I26" s="78">
        <f t="shared" si="0"/>
        <v>22500</v>
      </c>
    </row>
    <row r="27" spans="2:9" ht="16" x14ac:dyDescent="0.2">
      <c r="B27" s="17" t="s">
        <v>207</v>
      </c>
      <c r="C27" s="17" t="s">
        <v>208</v>
      </c>
      <c r="D27" s="78">
        <f>3500*2</f>
        <v>7000</v>
      </c>
      <c r="E27" s="78">
        <f t="shared" ref="E27:H27" si="6">3500*2</f>
        <v>7000</v>
      </c>
      <c r="F27" s="78">
        <f t="shared" si="6"/>
        <v>7000</v>
      </c>
      <c r="G27" s="78">
        <f t="shared" si="6"/>
        <v>7000</v>
      </c>
      <c r="H27" s="78">
        <f t="shared" si="6"/>
        <v>7000</v>
      </c>
      <c r="I27" s="78">
        <f t="shared" si="0"/>
        <v>35000</v>
      </c>
    </row>
    <row r="28" spans="2:9" ht="16" x14ac:dyDescent="0.2">
      <c r="B28" s="17" t="s">
        <v>209</v>
      </c>
      <c r="C28" s="17" t="s">
        <v>210</v>
      </c>
      <c r="D28" s="78">
        <v>1000</v>
      </c>
      <c r="E28" s="78">
        <v>1000</v>
      </c>
      <c r="F28" s="78">
        <v>1000</v>
      </c>
      <c r="G28" s="78">
        <v>1000</v>
      </c>
      <c r="H28" s="78">
        <v>1000</v>
      </c>
      <c r="I28" s="78">
        <f t="shared" si="0"/>
        <v>5000</v>
      </c>
    </row>
    <row r="29" spans="2:9" ht="16" x14ac:dyDescent="0.2">
      <c r="B29" s="17" t="s">
        <v>211</v>
      </c>
      <c r="C29" s="17" t="s">
        <v>212</v>
      </c>
      <c r="D29" s="78">
        <f>1500*2</f>
        <v>3000</v>
      </c>
      <c r="E29" s="78">
        <f t="shared" ref="E29:G29" si="7">1500*2</f>
        <v>3000</v>
      </c>
      <c r="F29" s="78">
        <f t="shared" si="7"/>
        <v>3000</v>
      </c>
      <c r="G29" s="78">
        <f t="shared" si="7"/>
        <v>3000</v>
      </c>
      <c r="H29" s="78">
        <f>1500*2</f>
        <v>3000</v>
      </c>
      <c r="I29" s="78">
        <f t="shared" si="0"/>
        <v>15000</v>
      </c>
    </row>
    <row r="30" spans="2:9" ht="16" x14ac:dyDescent="0.2">
      <c r="B30" s="17" t="s">
        <v>213</v>
      </c>
      <c r="C30" s="17" t="s">
        <v>214</v>
      </c>
      <c r="D30" s="78">
        <v>1000</v>
      </c>
      <c r="E30" s="78">
        <v>1000</v>
      </c>
      <c r="F30" s="78">
        <v>1000</v>
      </c>
      <c r="G30" s="78">
        <v>1000</v>
      </c>
      <c r="H30" s="78">
        <v>1000</v>
      </c>
      <c r="I30" s="78">
        <f t="shared" si="0"/>
        <v>5000</v>
      </c>
    </row>
    <row r="31" spans="2:9" ht="16" x14ac:dyDescent="0.2">
      <c r="B31" s="17" t="s">
        <v>215</v>
      </c>
      <c r="C31" s="17" t="s">
        <v>216</v>
      </c>
      <c r="D31" s="78">
        <v>750</v>
      </c>
      <c r="E31" s="78">
        <v>750</v>
      </c>
      <c r="F31" s="78">
        <v>750</v>
      </c>
      <c r="G31" s="78">
        <v>750</v>
      </c>
      <c r="H31" s="78">
        <v>750</v>
      </c>
      <c r="I31" s="78">
        <f t="shared" si="0"/>
        <v>3750</v>
      </c>
    </row>
    <row r="32" spans="2:9" ht="16" x14ac:dyDescent="0.2">
      <c r="B32" s="17" t="s">
        <v>217</v>
      </c>
      <c r="C32" s="17" t="s">
        <v>218</v>
      </c>
      <c r="D32" s="78" t="s">
        <v>218</v>
      </c>
      <c r="E32" s="78" t="s">
        <v>218</v>
      </c>
      <c r="F32" s="78" t="s">
        <v>218</v>
      </c>
      <c r="G32" s="78" t="s">
        <v>218</v>
      </c>
      <c r="H32" s="78" t="s">
        <v>218</v>
      </c>
      <c r="I32" s="78">
        <f t="shared" si="0"/>
        <v>0</v>
      </c>
    </row>
    <row r="33" spans="1:9" ht="16" x14ac:dyDescent="0.2">
      <c r="B33" s="17" t="s">
        <v>219</v>
      </c>
      <c r="C33" s="17" t="s">
        <v>220</v>
      </c>
      <c r="D33" s="78">
        <v>300</v>
      </c>
      <c r="E33" s="78">
        <v>300</v>
      </c>
      <c r="F33" s="78">
        <v>300</v>
      </c>
      <c r="G33" s="78">
        <v>300</v>
      </c>
      <c r="H33" s="78">
        <v>300</v>
      </c>
      <c r="I33" s="78">
        <f t="shared" si="0"/>
        <v>1500</v>
      </c>
    </row>
    <row r="34" spans="1:9" ht="16" x14ac:dyDescent="0.2">
      <c r="B34" s="17" t="s">
        <v>221</v>
      </c>
      <c r="C34" s="17" t="s">
        <v>222</v>
      </c>
      <c r="D34" s="78">
        <v>0</v>
      </c>
      <c r="E34" s="78">
        <v>4000</v>
      </c>
      <c r="F34" s="78">
        <v>0</v>
      </c>
      <c r="G34" s="78">
        <v>0</v>
      </c>
      <c r="H34" s="78">
        <v>0</v>
      </c>
      <c r="I34" s="78">
        <f t="shared" si="0"/>
        <v>4000</v>
      </c>
    </row>
    <row r="35" spans="1:9" ht="16" x14ac:dyDescent="0.2">
      <c r="B35" s="17" t="s">
        <v>223</v>
      </c>
      <c r="C35" s="17" t="s">
        <v>224</v>
      </c>
      <c r="D35" s="78">
        <v>3000</v>
      </c>
      <c r="E35" s="78">
        <v>3000</v>
      </c>
      <c r="F35" s="78">
        <v>3000</v>
      </c>
      <c r="G35" s="78">
        <v>3000</v>
      </c>
      <c r="H35" s="78">
        <v>3000</v>
      </c>
      <c r="I35" s="78">
        <f t="shared" si="0"/>
        <v>15000</v>
      </c>
    </row>
    <row r="36" spans="1:9" ht="16" x14ac:dyDescent="0.2">
      <c r="B36" s="17" t="s">
        <v>225</v>
      </c>
      <c r="C36" s="17" t="s">
        <v>226</v>
      </c>
      <c r="D36" s="78">
        <v>1400</v>
      </c>
      <c r="E36" s="78">
        <v>1400</v>
      </c>
      <c r="F36" s="78">
        <v>1400</v>
      </c>
      <c r="G36" s="78">
        <v>1400</v>
      </c>
      <c r="H36" s="78">
        <v>1400</v>
      </c>
      <c r="I36" s="78">
        <f t="shared" si="0"/>
        <v>7000</v>
      </c>
    </row>
    <row r="37" spans="1:9" ht="16" x14ac:dyDescent="0.2">
      <c r="B37" s="17" t="s">
        <v>227</v>
      </c>
      <c r="C37" s="17" t="s">
        <v>218</v>
      </c>
      <c r="D37" s="78"/>
      <c r="E37" s="78"/>
      <c r="F37" s="78"/>
      <c r="G37" s="78"/>
      <c r="H37" s="78"/>
      <c r="I37" s="78">
        <f t="shared" si="0"/>
        <v>0</v>
      </c>
    </row>
    <row r="38" spans="1:9" ht="32" x14ac:dyDescent="0.2">
      <c r="B38" s="17" t="s">
        <v>228</v>
      </c>
      <c r="C38" s="17" t="s">
        <v>229</v>
      </c>
      <c r="D38" s="78">
        <v>6000</v>
      </c>
      <c r="E38" s="78"/>
      <c r="F38" s="78">
        <v>5000</v>
      </c>
      <c r="G38" s="78"/>
      <c r="H38" s="78"/>
      <c r="I38" s="78">
        <f t="shared" si="0"/>
        <v>11000</v>
      </c>
    </row>
    <row r="39" spans="1:9" ht="16" x14ac:dyDescent="0.2">
      <c r="B39" s="17" t="s">
        <v>230</v>
      </c>
      <c r="C39" s="17" t="s">
        <v>231</v>
      </c>
      <c r="D39" s="78">
        <v>2000</v>
      </c>
      <c r="E39" s="78">
        <v>2000</v>
      </c>
      <c r="F39" s="78">
        <v>2000</v>
      </c>
      <c r="G39" s="78">
        <v>2000</v>
      </c>
      <c r="H39" s="78">
        <v>2000</v>
      </c>
      <c r="I39" s="78">
        <f t="shared" si="0"/>
        <v>10000</v>
      </c>
    </row>
    <row r="40" spans="1:9" ht="16" x14ac:dyDescent="0.2">
      <c r="B40" s="17" t="s">
        <v>232</v>
      </c>
      <c r="C40" s="17" t="s">
        <v>233</v>
      </c>
      <c r="D40" s="78">
        <v>7500</v>
      </c>
      <c r="E40" s="78"/>
      <c r="F40" s="78"/>
      <c r="G40" s="78"/>
      <c r="H40" s="78"/>
      <c r="I40" s="78">
        <f t="shared" si="0"/>
        <v>7500</v>
      </c>
    </row>
    <row r="41" spans="1:9" ht="16" x14ac:dyDescent="0.2">
      <c r="B41" s="17" t="s">
        <v>234</v>
      </c>
      <c r="C41" s="17" t="s">
        <v>218</v>
      </c>
      <c r="D41" s="78"/>
      <c r="E41" s="78"/>
      <c r="F41" s="78"/>
      <c r="G41" s="78"/>
      <c r="H41" s="78"/>
      <c r="I41" s="78">
        <f t="shared" si="0"/>
        <v>0</v>
      </c>
    </row>
    <row r="42" spans="1:9" ht="16" x14ac:dyDescent="0.2">
      <c r="B42" s="17" t="s">
        <v>235</v>
      </c>
      <c r="C42" s="17" t="s">
        <v>218</v>
      </c>
      <c r="D42" s="78"/>
      <c r="E42" s="78"/>
      <c r="F42" s="78"/>
      <c r="G42" s="78"/>
      <c r="H42" s="78"/>
      <c r="I42" s="78">
        <f t="shared" si="0"/>
        <v>0</v>
      </c>
    </row>
    <row r="43" spans="1:9" x14ac:dyDescent="0.2">
      <c r="B43" s="17"/>
      <c r="C43" s="17"/>
      <c r="I43" s="79"/>
    </row>
    <row r="44" spans="1:9" x14ac:dyDescent="0.2">
      <c r="B44" s="17"/>
      <c r="C44" s="17"/>
    </row>
    <row r="45" spans="1:9" ht="16" x14ac:dyDescent="0.2">
      <c r="A45" s="80" t="s">
        <v>236</v>
      </c>
      <c r="B45" s="81"/>
      <c r="C45" s="81"/>
      <c r="D45" s="82">
        <f>SUM(D5:D40)</f>
        <v>226830</v>
      </c>
      <c r="E45" s="82">
        <f t="shared" ref="E45:H45" si="8">SUM(E5:E40)</f>
        <v>204830</v>
      </c>
      <c r="F45" s="82">
        <f t="shared" si="8"/>
        <v>207330</v>
      </c>
      <c r="G45" s="82">
        <f t="shared" si="8"/>
        <v>202330</v>
      </c>
      <c r="H45" s="82">
        <f t="shared" si="8"/>
        <v>203830</v>
      </c>
      <c r="I45" s="82">
        <f>SUM(I5:I40)</f>
        <v>1045150</v>
      </c>
    </row>
    <row r="46" spans="1:9" ht="16" x14ac:dyDescent="0.2">
      <c r="B46" s="17"/>
      <c r="C46" s="17" t="s">
        <v>237</v>
      </c>
      <c r="D46" t="s">
        <v>189</v>
      </c>
      <c r="E46" t="s">
        <v>190</v>
      </c>
      <c r="F46" t="s">
        <v>191</v>
      </c>
      <c r="G46" t="s">
        <v>192</v>
      </c>
      <c r="H46" t="s">
        <v>238</v>
      </c>
      <c r="I46" t="s">
        <v>239</v>
      </c>
    </row>
    <row r="47" spans="1:9" ht="16" x14ac:dyDescent="0.2">
      <c r="B47" s="83" t="s">
        <v>240</v>
      </c>
      <c r="C47" s="84">
        <v>100000</v>
      </c>
      <c r="D47" s="85">
        <v>400000</v>
      </c>
      <c r="E47" s="85">
        <v>600000</v>
      </c>
      <c r="F47" s="85">
        <v>850000</v>
      </c>
      <c r="G47" s="85">
        <v>1100000</v>
      </c>
      <c r="H47" s="85">
        <v>1350000</v>
      </c>
      <c r="I47" s="85">
        <f>SUM(C47:H47)</f>
        <v>4400000</v>
      </c>
    </row>
    <row r="48" spans="1:9" x14ac:dyDescent="0.2">
      <c r="B48" s="17"/>
      <c r="C48" s="86"/>
      <c r="D48" s="77">
        <v>300000</v>
      </c>
      <c r="E48" s="77">
        <v>500000</v>
      </c>
      <c r="F48" s="77">
        <v>800000</v>
      </c>
      <c r="G48" s="77">
        <v>1100000</v>
      </c>
      <c r="H48" s="77">
        <v>1300000</v>
      </c>
      <c r="I48" s="77">
        <f>SUM(D48:H48)</f>
        <v>4000000</v>
      </c>
    </row>
    <row r="49" spans="2:3" x14ac:dyDescent="0.2">
      <c r="B49" s="17"/>
      <c r="C49" s="17"/>
    </row>
    <row r="50" spans="2:3" x14ac:dyDescent="0.2">
      <c r="B50" s="17"/>
      <c r="C50" s="17"/>
    </row>
    <row r="51" spans="2:3" x14ac:dyDescent="0.2">
      <c r="B51" s="17"/>
      <c r="C51" s="17"/>
    </row>
    <row r="52" spans="2:3" x14ac:dyDescent="0.2">
      <c r="B52" s="17"/>
      <c r="C52" s="17"/>
    </row>
    <row r="53" spans="2:3" x14ac:dyDescent="0.2">
      <c r="B53" s="17"/>
      <c r="C53" s="17"/>
    </row>
    <row r="54" spans="2:3" x14ac:dyDescent="0.2">
      <c r="B54" s="17"/>
      <c r="C54" s="17"/>
    </row>
    <row r="55" spans="2:3" x14ac:dyDescent="0.2">
      <c r="B55" s="17"/>
      <c r="C55" s="17"/>
    </row>
    <row r="56" spans="2:3" x14ac:dyDescent="0.2">
      <c r="B56" s="17"/>
      <c r="C56" s="17"/>
    </row>
    <row r="57" spans="2:3" x14ac:dyDescent="0.2">
      <c r="B57" s="17"/>
      <c r="C57" s="17"/>
    </row>
    <row r="58" spans="2:3" x14ac:dyDescent="0.2">
      <c r="B58" s="17"/>
      <c r="C58" s="17"/>
    </row>
    <row r="59" spans="2:3" x14ac:dyDescent="0.2">
      <c r="B59" s="17"/>
      <c r="C59" s="17"/>
    </row>
    <row r="60" spans="2:3" x14ac:dyDescent="0.2">
      <c r="B60" s="17"/>
      <c r="C60" s="17"/>
    </row>
    <row r="61" spans="2:3" x14ac:dyDescent="0.2">
      <c r="B61" s="17"/>
      <c r="C61" s="17"/>
    </row>
    <row r="62" spans="2:3" x14ac:dyDescent="0.2">
      <c r="B62" s="17"/>
      <c r="C62" s="17"/>
    </row>
    <row r="63" spans="2:3" x14ac:dyDescent="0.2">
      <c r="B63" s="17"/>
      <c r="C63" s="17"/>
    </row>
    <row r="64" spans="2:3" x14ac:dyDescent="0.2">
      <c r="B64" s="17"/>
      <c r="C64" s="17"/>
    </row>
    <row r="65" spans="2:3" x14ac:dyDescent="0.2">
      <c r="B65" s="17"/>
      <c r="C65" s="17"/>
    </row>
    <row r="66" spans="2:3" x14ac:dyDescent="0.2">
      <c r="B66" s="17"/>
      <c r="C66" s="17"/>
    </row>
    <row r="67" spans="2:3" x14ac:dyDescent="0.2">
      <c r="B67" s="17"/>
      <c r="C67" s="17"/>
    </row>
    <row r="68" spans="2:3" x14ac:dyDescent="0.2">
      <c r="B68" s="17"/>
      <c r="C68" s="17"/>
    </row>
    <row r="69" spans="2:3" x14ac:dyDescent="0.2">
      <c r="B69" s="17"/>
      <c r="C69" s="17"/>
    </row>
    <row r="70" spans="2:3" x14ac:dyDescent="0.2">
      <c r="B70" s="17"/>
      <c r="C70"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Zones</vt:lpstr>
      <vt:lpstr>Calcul Market sur la base de CB</vt:lpstr>
      <vt:lpstr>Feuille CB calcul Market</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Licence Office 365</cp:lastModifiedBy>
  <dcterms:created xsi:type="dcterms:W3CDTF">2025-06-26T14:48:29Z</dcterms:created>
  <dcterms:modified xsi:type="dcterms:W3CDTF">2025-07-01T15:26:11Z</dcterms:modified>
</cp:coreProperties>
</file>